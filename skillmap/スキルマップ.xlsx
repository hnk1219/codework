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キルマップ" sheetId="1" state="visible" r:id="rId1"/>
    <sheet name="サマリー" sheetId="2" state="visible" r:id="rId2"/>
    <sheet name="評価基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</font>
    <font>
      <name val="Meiryo UI"/>
      <color rgb="00666666"/>
      <sz val="9"/>
    </font>
    <font>
      <name val="Meiryo UI"/>
      <b val="1"/>
      <color rgb="00FFFFFF"/>
    </font>
    <font>
      <name val="Meiryo UI"/>
      <sz val="10"/>
    </font>
    <font>
      <name val="Meiryo UI"/>
      <b val="1"/>
      <sz val="10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FE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カテゴリ別スキル平均</a:t>
            </a:r>
          </a:p>
        </rich>
      </tx>
    </title>
    <plotArea>
      <radarChart>
        <radarStyle val="marker"/>
        <ser>
          <idx val="0"/>
          <order val="0"/>
          <tx>
            <strRef>
              <f>'サマリー'!B3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'サマリー'!$B$4:$B$9</f>
            </numRef>
          </val>
        </ser>
        <ser>
          <idx val="1"/>
          <order val="1"/>
          <tx>
            <strRef>
              <f>'サマリー'!C3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'サマリー'!$C$4:$C$9</f>
            </numRef>
          </val>
        </ser>
        <ser>
          <idx val="2"/>
          <order val="2"/>
          <tx>
            <strRef>
              <f>'サマリー'!D3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'サマリー'!$D$4:$D$9</f>
            </numRef>
          </val>
        </ser>
        <ser>
          <idx val="3"/>
          <order val="3"/>
          <tx>
            <strRef>
              <f>'サマリー'!E3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'サマリー'!$E$4:$E$9</f>
            </numRef>
          </val>
        </ser>
        <ser>
          <idx val="4"/>
          <order val="4"/>
          <tx>
            <strRef>
              <f>'サマリー'!F3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'サマリー'!$F$4:$F$9</f>
            </numRef>
          </val>
        </ser>
        <ser>
          <idx val="5"/>
          <order val="5"/>
          <tx>
            <strRef>
              <f>'サマリー'!G3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'サマリー'!$A$4:$A$9</f>
            </numRef>
          </cat>
          <val>
            <numRef>
              <f>'サマリー'!$G$4:$G$9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36" customWidth="1" min="14" max="14"/>
  </cols>
  <sheetData>
    <row r="1">
      <c r="A1" s="1" t="inlineStr">
        <is>
          <t>スキルマップ</t>
        </is>
      </c>
    </row>
    <row r="2">
      <c r="A2" s="2" t="inlineStr">
        <is>
          <t>評価日</t>
        </is>
      </c>
      <c r="B2" s="3" t="inlineStr">
        <is>
          <t>黄色いセルに 1〜5 を入力(基準は「評価基準」シート)。対象外の項目は空欄。</t>
        </is>
      </c>
    </row>
    <row r="4">
      <c r="A4" s="4" t="inlineStr">
        <is>
          <t>カテゴリ</t>
        </is>
      </c>
      <c r="B4" s="4" t="inlineStr">
        <is>
          <t>スキル項目</t>
        </is>
      </c>
      <c r="C4" s="4" t="inlineStr">
        <is>
          <t>目標</t>
        </is>
      </c>
      <c r="D4" s="4" t="inlineStr">
        <is>
          <t>F</t>
        </is>
      </c>
      <c r="E4" s="4" t="inlineStr">
        <is>
          <t>HS</t>
        </is>
      </c>
      <c r="F4" s="4" t="inlineStr">
        <is>
          <t>H</t>
        </is>
      </c>
      <c r="G4" s="4" t="inlineStr">
        <is>
          <t>M</t>
        </is>
      </c>
      <c r="H4" s="4" t="inlineStr">
        <is>
          <t>K</t>
        </is>
      </c>
      <c r="I4" s="4" t="inlineStr">
        <is>
          <t>F差</t>
        </is>
      </c>
      <c r="J4" s="4" t="inlineStr">
        <is>
          <t>HS差</t>
        </is>
      </c>
      <c r="K4" s="4" t="inlineStr">
        <is>
          <t>H差</t>
        </is>
      </c>
      <c r="L4" s="4" t="inlineStr">
        <is>
          <t>M差</t>
        </is>
      </c>
      <c r="M4" s="4" t="inlineStr">
        <is>
          <t>K差</t>
        </is>
      </c>
      <c r="N4" s="4" t="inlineStr">
        <is>
          <t>メモ</t>
        </is>
      </c>
    </row>
    <row r="5">
      <c r="A5" s="5" t="inlineStr">
        <is>
          <t>モデリング</t>
        </is>
      </c>
      <c r="B5" s="6" t="inlineStr">
        <is>
          <t>人体の形状把握(プロポーション・解剖)</t>
        </is>
      </c>
      <c r="C5" s="7" t="n">
        <v>3</v>
      </c>
      <c r="D5" s="7" t="n"/>
      <c r="E5" s="7" t="n"/>
      <c r="F5" s="7" t="n"/>
      <c r="G5" s="7" t="n"/>
      <c r="H5" s="7" t="n"/>
      <c r="I5" s="8">
        <f>IF(D5="","",D5-C5)</f>
        <v/>
      </c>
      <c r="J5" s="8">
        <f>IF(E5="","",E5-C5)</f>
        <v/>
      </c>
      <c r="K5" s="8">
        <f>IF(F5="","",F5-C5)</f>
        <v/>
      </c>
      <c r="L5" s="8">
        <f>IF(G5="","",G5-C5)</f>
        <v/>
      </c>
      <c r="M5" s="8">
        <f>IF(H5="","",H5-C5)</f>
        <v/>
      </c>
      <c r="N5" s="6" t="n"/>
    </row>
    <row r="6">
      <c r="A6" s="5" t="inlineStr">
        <is>
          <t>モデリング</t>
        </is>
      </c>
      <c r="B6" s="6" t="inlineStr">
        <is>
          <t>頭部・顔のモデリング</t>
        </is>
      </c>
      <c r="C6" s="7" t="n">
        <v>3</v>
      </c>
      <c r="D6" s="7" t="n"/>
      <c r="E6" s="7" t="n"/>
      <c r="F6" s="7" t="n"/>
      <c r="G6" s="7" t="n"/>
      <c r="H6" s="7" t="n"/>
      <c r="I6" s="8">
        <f>IF(D6="","",D6-C6)</f>
        <v/>
      </c>
      <c r="J6" s="8">
        <f>IF(E6="","",E6-C6)</f>
        <v/>
      </c>
      <c r="K6" s="8">
        <f>IF(F6="","",F6-C6)</f>
        <v/>
      </c>
      <c r="L6" s="8">
        <f>IF(G6="","",G6-C6)</f>
        <v/>
      </c>
      <c r="M6" s="8">
        <f>IF(H6="","",H6-C6)</f>
        <v/>
      </c>
      <c r="N6" s="6" t="n"/>
    </row>
    <row r="7">
      <c r="A7" s="5" t="inlineStr">
        <is>
          <t>モデリング</t>
        </is>
      </c>
      <c r="B7" s="6" t="inlineStr">
        <is>
          <t>衣装・小物のモデリング</t>
        </is>
      </c>
      <c r="C7" s="7" t="n">
        <v>3</v>
      </c>
      <c r="D7" s="7" t="n"/>
      <c r="E7" s="7" t="n"/>
      <c r="F7" s="7" t="n"/>
      <c r="G7" s="7" t="n"/>
      <c r="H7" s="7" t="n"/>
      <c r="I7" s="8">
        <f>IF(D7="","",D7-C7)</f>
        <v/>
      </c>
      <c r="J7" s="8">
        <f>IF(E7="","",E7-C7)</f>
        <v/>
      </c>
      <c r="K7" s="8">
        <f>IF(F7="","",F7-C7)</f>
        <v/>
      </c>
      <c r="L7" s="8">
        <f>IF(G7="","",G7-C7)</f>
        <v/>
      </c>
      <c r="M7" s="8">
        <f>IF(H7="","",H7-C7)</f>
        <v/>
      </c>
      <c r="N7" s="6" t="n"/>
    </row>
    <row r="8">
      <c r="A8" s="5" t="inlineStr">
        <is>
          <t>モデリング</t>
        </is>
      </c>
      <c r="B8" s="6" t="inlineStr">
        <is>
          <t>トポロジー・エッジフロー</t>
        </is>
      </c>
      <c r="C8" s="7" t="n">
        <v>3</v>
      </c>
      <c r="D8" s="7" t="n"/>
      <c r="E8" s="7" t="n"/>
      <c r="F8" s="7" t="n"/>
      <c r="G8" s="7" t="n"/>
      <c r="H8" s="7" t="n"/>
      <c r="I8" s="8">
        <f>IF(D8="","",D8-C8)</f>
        <v/>
      </c>
      <c r="J8" s="8">
        <f>IF(E8="","",E8-C8)</f>
        <v/>
      </c>
      <c r="K8" s="8">
        <f>IF(F8="","",F8-C8)</f>
        <v/>
      </c>
      <c r="L8" s="8">
        <f>IF(G8="","",G8-C8)</f>
        <v/>
      </c>
      <c r="M8" s="8">
        <f>IF(H8="","",H8-C8)</f>
        <v/>
      </c>
      <c r="N8" s="6" t="n"/>
    </row>
    <row r="9">
      <c r="A9" s="5" t="inlineStr">
        <is>
          <t>モデリング</t>
        </is>
      </c>
      <c r="B9" s="6" t="inlineStr">
        <is>
          <t>ポリゴン数・頂点数の管理</t>
        </is>
      </c>
      <c r="C9" s="7" t="n">
        <v>3</v>
      </c>
      <c r="D9" s="7" t="n"/>
      <c r="E9" s="7" t="n"/>
      <c r="F9" s="7" t="n"/>
      <c r="G9" s="7" t="n"/>
      <c r="H9" s="7" t="n"/>
      <c r="I9" s="8">
        <f>IF(D9="","",D9-C9)</f>
        <v/>
      </c>
      <c r="J9" s="8">
        <f>IF(E9="","",E9-C9)</f>
        <v/>
      </c>
      <c r="K9" s="8">
        <f>IF(F9="","",F9-C9)</f>
        <v/>
      </c>
      <c r="L9" s="8">
        <f>IF(G9="","",G9-C9)</f>
        <v/>
      </c>
      <c r="M9" s="8">
        <f>IF(H9="","",H9-C9)</f>
        <v/>
      </c>
      <c r="N9" s="6" t="n"/>
    </row>
    <row r="10">
      <c r="A10" s="5" t="inlineStr">
        <is>
          <t>モデリング</t>
        </is>
      </c>
      <c r="B10" s="6" t="inlineStr">
        <is>
          <t>ハードサーフェス(装備・武器等)</t>
        </is>
      </c>
      <c r="C10" s="7" t="n">
        <v>3</v>
      </c>
      <c r="D10" s="7" t="n"/>
      <c r="E10" s="7" t="n"/>
      <c r="F10" s="7" t="n"/>
      <c r="G10" s="7" t="n"/>
      <c r="H10" s="7" t="n"/>
      <c r="I10" s="8">
        <f>IF(D10="","",D10-C10)</f>
        <v/>
      </c>
      <c r="J10" s="8">
        <f>IF(E10="","",E10-C10)</f>
        <v/>
      </c>
      <c r="K10" s="8">
        <f>IF(F10="","",F10-C10)</f>
        <v/>
      </c>
      <c r="L10" s="8">
        <f>IF(G10="","",G10-C10)</f>
        <v/>
      </c>
      <c r="M10" s="8">
        <f>IF(H10="","",H10-C10)</f>
        <v/>
      </c>
      <c r="N10" s="6" t="n"/>
    </row>
    <row r="11">
      <c r="A11" s="5" t="inlineStr">
        <is>
          <t>モデリング</t>
        </is>
      </c>
      <c r="B11" s="6" t="inlineStr">
        <is>
          <t>スカルプト(ZBrush等)</t>
        </is>
      </c>
      <c r="C11" s="7" t="n">
        <v>3</v>
      </c>
      <c r="D11" s="7" t="n"/>
      <c r="E11" s="7" t="n"/>
      <c r="F11" s="7" t="n"/>
      <c r="G11" s="7" t="n"/>
      <c r="H11" s="7" t="n"/>
      <c r="I11" s="8">
        <f>IF(D11="","",D11-C11)</f>
        <v/>
      </c>
      <c r="J11" s="8">
        <f>IF(E11="","",E11-C11)</f>
        <v/>
      </c>
      <c r="K11" s="8">
        <f>IF(F11="","",F11-C11)</f>
        <v/>
      </c>
      <c r="L11" s="8">
        <f>IF(G11="","",G11-C11)</f>
        <v/>
      </c>
      <c r="M11" s="8">
        <f>IF(H11="","",H11-C11)</f>
        <v/>
      </c>
      <c r="N11" s="6" t="n"/>
    </row>
    <row r="12">
      <c r="A12" s="5" t="inlineStr">
        <is>
          <t>UV・テクスチャ</t>
        </is>
      </c>
      <c r="B12" s="6" t="inlineStr">
        <is>
          <t>UV展開(歪み・継ぎ目の処理)</t>
        </is>
      </c>
      <c r="C12" s="7" t="n">
        <v>3</v>
      </c>
      <c r="D12" s="7" t="n"/>
      <c r="E12" s="7" t="n"/>
      <c r="F12" s="7" t="n"/>
      <c r="G12" s="7" t="n"/>
      <c r="H12" s="7" t="n"/>
      <c r="I12" s="8">
        <f>IF(D12="","",D12-C12)</f>
        <v/>
      </c>
      <c r="J12" s="8">
        <f>IF(E12="","",E12-C12)</f>
        <v/>
      </c>
      <c r="K12" s="8">
        <f>IF(F12="","",F12-C12)</f>
        <v/>
      </c>
      <c r="L12" s="8">
        <f>IF(G12="","",G12-C12)</f>
        <v/>
      </c>
      <c r="M12" s="8">
        <f>IF(H12="","",H12-C12)</f>
        <v/>
      </c>
      <c r="N12" s="6" t="n"/>
    </row>
    <row r="13">
      <c r="A13" s="5" t="inlineStr">
        <is>
          <t>UV・テクスチャ</t>
        </is>
      </c>
      <c r="B13" s="6" t="inlineStr">
        <is>
          <t>UVレイアウト・テクセル密度の統一</t>
        </is>
      </c>
      <c r="C13" s="7" t="n">
        <v>3</v>
      </c>
      <c r="D13" s="7" t="n"/>
      <c r="E13" s="7" t="n"/>
      <c r="F13" s="7" t="n"/>
      <c r="G13" s="7" t="n"/>
      <c r="H13" s="7" t="n"/>
      <c r="I13" s="8">
        <f>IF(D13="","",D13-C13)</f>
        <v/>
      </c>
      <c r="J13" s="8">
        <f>IF(E13="","",E13-C13)</f>
        <v/>
      </c>
      <c r="K13" s="8">
        <f>IF(F13="","",F13-C13)</f>
        <v/>
      </c>
      <c r="L13" s="8">
        <f>IF(G13="","",G13-C13)</f>
        <v/>
      </c>
      <c r="M13" s="8">
        <f>IF(H13="","",H13-C13)</f>
        <v/>
      </c>
      <c r="N13" s="6" t="n"/>
    </row>
    <row r="14">
      <c r="A14" s="5" t="inlineStr">
        <is>
          <t>UV・テクスチャ</t>
        </is>
      </c>
      <c r="B14" s="6" t="inlineStr">
        <is>
          <t>テクスチャ作成(Substance/Photoshop)</t>
        </is>
      </c>
      <c r="C14" s="7" t="n">
        <v>3</v>
      </c>
      <c r="D14" s="7" t="n"/>
      <c r="E14" s="7" t="n"/>
      <c r="F14" s="7" t="n"/>
      <c r="G14" s="7" t="n"/>
      <c r="H14" s="7" t="n"/>
      <c r="I14" s="8">
        <f>IF(D14="","",D14-C14)</f>
        <v/>
      </c>
      <c r="J14" s="8">
        <f>IF(E14="","",E14-C14)</f>
        <v/>
      </c>
      <c r="K14" s="8">
        <f>IF(F14="","",F14-C14)</f>
        <v/>
      </c>
      <c r="L14" s="8">
        <f>IF(G14="","",G14-C14)</f>
        <v/>
      </c>
      <c r="M14" s="8">
        <f>IF(H14="","",H14-C14)</f>
        <v/>
      </c>
      <c r="N14" s="6" t="n"/>
    </row>
    <row r="15">
      <c r="A15" s="5" t="inlineStr">
        <is>
          <t>UV・テクスチャ</t>
        </is>
      </c>
      <c r="B15" s="6" t="inlineStr">
        <is>
          <t>マテリアル・シェーダー設定</t>
        </is>
      </c>
      <c r="C15" s="7" t="n">
        <v>3</v>
      </c>
      <c r="D15" s="7" t="n"/>
      <c r="E15" s="7" t="n"/>
      <c r="F15" s="7" t="n"/>
      <c r="G15" s="7" t="n"/>
      <c r="H15" s="7" t="n"/>
      <c r="I15" s="8">
        <f>IF(D15="","",D15-C15)</f>
        <v/>
      </c>
      <c r="J15" s="8">
        <f>IF(E15="","",E15-C15)</f>
        <v/>
      </c>
      <c r="K15" s="8">
        <f>IF(F15="","",F15-C15)</f>
        <v/>
      </c>
      <c r="L15" s="8">
        <f>IF(G15="","",G15-C15)</f>
        <v/>
      </c>
      <c r="M15" s="8">
        <f>IF(H15="","",H15-C15)</f>
        <v/>
      </c>
      <c r="N15" s="6" t="n"/>
    </row>
    <row r="16">
      <c r="A16" s="5" t="inlineStr">
        <is>
          <t>リギング</t>
        </is>
      </c>
      <c r="B16" s="6" t="inlineStr">
        <is>
          <t>ジョイント配置</t>
        </is>
      </c>
      <c r="C16" s="7" t="n">
        <v>3</v>
      </c>
      <c r="D16" s="7" t="n"/>
      <c r="E16" s="7" t="n"/>
      <c r="F16" s="7" t="n"/>
      <c r="G16" s="7" t="n"/>
      <c r="H16" s="7" t="n"/>
      <c r="I16" s="8">
        <f>IF(D16="","",D16-C16)</f>
        <v/>
      </c>
      <c r="J16" s="8">
        <f>IF(E16="","",E16-C16)</f>
        <v/>
      </c>
      <c r="K16" s="8">
        <f>IF(F16="","",F16-C16)</f>
        <v/>
      </c>
      <c r="L16" s="8">
        <f>IF(G16="","",G16-C16)</f>
        <v/>
      </c>
      <c r="M16" s="8">
        <f>IF(H16="","",H16-C16)</f>
        <v/>
      </c>
      <c r="N16" s="6" t="n"/>
    </row>
    <row r="17">
      <c r="A17" s="5" t="inlineStr">
        <is>
          <t>リギング</t>
        </is>
      </c>
      <c r="B17" s="6" t="inlineStr">
        <is>
          <t>スキニング・ウェイト調整</t>
        </is>
      </c>
      <c r="C17" s="7" t="n">
        <v>3</v>
      </c>
      <c r="D17" s="7" t="n"/>
      <c r="E17" s="7" t="n"/>
      <c r="F17" s="7" t="n"/>
      <c r="G17" s="7" t="n"/>
      <c r="H17" s="7" t="n"/>
      <c r="I17" s="8">
        <f>IF(D17="","",D17-C17)</f>
        <v/>
      </c>
      <c r="J17" s="8">
        <f>IF(E17="","",E17-C17)</f>
        <v/>
      </c>
      <c r="K17" s="8">
        <f>IF(F17="","",F17-C17)</f>
        <v/>
      </c>
      <c r="L17" s="8">
        <f>IF(G17="","",G17-C17)</f>
        <v/>
      </c>
      <c r="M17" s="8">
        <f>IF(H17="","",H17-C17)</f>
        <v/>
      </c>
      <c r="N17" s="6" t="n"/>
    </row>
    <row r="18">
      <c r="A18" s="5" t="inlineStr">
        <is>
          <t>リギング</t>
        </is>
      </c>
      <c r="B18" s="6" t="inlineStr">
        <is>
          <t>コントローラ作成・設定</t>
        </is>
      </c>
      <c r="C18" s="7" t="n">
        <v>3</v>
      </c>
      <c r="D18" s="7" t="n"/>
      <c r="E18" s="7" t="n"/>
      <c r="F18" s="7" t="n"/>
      <c r="G18" s="7" t="n"/>
      <c r="H18" s="7" t="n"/>
      <c r="I18" s="8">
        <f>IF(D18="","",D18-C18)</f>
        <v/>
      </c>
      <c r="J18" s="8">
        <f>IF(E18="","",E18-C18)</f>
        <v/>
      </c>
      <c r="K18" s="8">
        <f>IF(F18="","",F18-C18)</f>
        <v/>
      </c>
      <c r="L18" s="8">
        <f>IF(G18="","",G18-C18)</f>
        <v/>
      </c>
      <c r="M18" s="8">
        <f>IF(H18="","",H18-C18)</f>
        <v/>
      </c>
      <c r="N18" s="6" t="n"/>
    </row>
    <row r="19">
      <c r="A19" s="5" t="inlineStr">
        <is>
          <t>リギング</t>
        </is>
      </c>
      <c r="B19" s="6" t="inlineStr">
        <is>
          <t>表情(ブレンドシェイプ等)</t>
        </is>
      </c>
      <c r="C19" s="7" t="n">
        <v>3</v>
      </c>
      <c r="D19" s="7" t="n"/>
      <c r="E19" s="7" t="n"/>
      <c r="F19" s="7" t="n"/>
      <c r="G19" s="7" t="n"/>
      <c r="H19" s="7" t="n"/>
      <c r="I19" s="8">
        <f>IF(D19="","",D19-C19)</f>
        <v/>
      </c>
      <c r="J19" s="8">
        <f>IF(E19="","",E19-C19)</f>
        <v/>
      </c>
      <c r="K19" s="8">
        <f>IF(F19="","",F19-C19)</f>
        <v/>
      </c>
      <c r="L19" s="8">
        <f>IF(G19="","",G19-C19)</f>
        <v/>
      </c>
      <c r="M19" s="8">
        <f>IF(H19="","",H19-C19)</f>
        <v/>
      </c>
      <c r="N19" s="6" t="n"/>
    </row>
    <row r="20">
      <c r="A20" s="5" t="inlineStr">
        <is>
          <t>リギング</t>
        </is>
      </c>
      <c r="B20" s="6" t="inlineStr">
        <is>
          <t>補助ジョイント・変形補正</t>
        </is>
      </c>
      <c r="C20" s="7" t="n">
        <v>3</v>
      </c>
      <c r="D20" s="7" t="n"/>
      <c r="E20" s="7" t="n"/>
      <c r="F20" s="7" t="n"/>
      <c r="G20" s="7" t="n"/>
      <c r="H20" s="7" t="n"/>
      <c r="I20" s="8">
        <f>IF(D20="","",D20-C20)</f>
        <v/>
      </c>
      <c r="J20" s="8">
        <f>IF(E20="","",E20-C20)</f>
        <v/>
      </c>
      <c r="K20" s="8">
        <f>IF(F20="","",F20-C20)</f>
        <v/>
      </c>
      <c r="L20" s="8">
        <f>IF(G20="","",G20-C20)</f>
        <v/>
      </c>
      <c r="M20" s="8">
        <f>IF(H20="","",H20-C20)</f>
        <v/>
      </c>
      <c r="N20" s="6" t="n"/>
    </row>
    <row r="21">
      <c r="A21" s="5" t="inlineStr">
        <is>
          <t>リギング</t>
        </is>
      </c>
      <c r="B21" s="6" t="inlineStr">
        <is>
          <t>揺れ物・物理設定</t>
        </is>
      </c>
      <c r="C21" s="7" t="n">
        <v>3</v>
      </c>
      <c r="D21" s="7" t="n"/>
      <c r="E21" s="7" t="n"/>
      <c r="F21" s="7" t="n"/>
      <c r="G21" s="7" t="n"/>
      <c r="H21" s="7" t="n"/>
      <c r="I21" s="8">
        <f>IF(D21="","",D21-C21)</f>
        <v/>
      </c>
      <c r="J21" s="8">
        <f>IF(E21="","",E21-C21)</f>
        <v/>
      </c>
      <c r="K21" s="8">
        <f>IF(F21="","",F21-C21)</f>
        <v/>
      </c>
      <c r="L21" s="8">
        <f>IF(G21="","",G21-C21)</f>
        <v/>
      </c>
      <c r="M21" s="8">
        <f>IF(H21="","",H21-C21)</f>
        <v/>
      </c>
      <c r="N21" s="6" t="n"/>
    </row>
    <row r="22">
      <c r="A22" s="5" t="inlineStr">
        <is>
          <t>ツール・環境</t>
        </is>
      </c>
      <c r="B22" s="6" t="inlineStr">
        <is>
          <t>Maya基本操作</t>
        </is>
      </c>
      <c r="C22" s="7" t="n">
        <v>3</v>
      </c>
      <c r="D22" s="7" t="n"/>
      <c r="E22" s="7" t="n"/>
      <c r="F22" s="7" t="n"/>
      <c r="G22" s="7" t="n"/>
      <c r="H22" s="7" t="n"/>
      <c r="I22" s="8">
        <f>IF(D22="","",D22-C22)</f>
        <v/>
      </c>
      <c r="J22" s="8">
        <f>IF(E22="","",E22-C22)</f>
        <v/>
      </c>
      <c r="K22" s="8">
        <f>IF(F22="","",F22-C22)</f>
        <v/>
      </c>
      <c r="L22" s="8">
        <f>IF(G22="","",G22-C22)</f>
        <v/>
      </c>
      <c r="M22" s="8">
        <f>IF(H22="","",H22-C22)</f>
        <v/>
      </c>
      <c r="N22" s="6" t="n"/>
    </row>
    <row r="23">
      <c r="A23" s="5" t="inlineStr">
        <is>
          <t>ツール・環境</t>
        </is>
      </c>
      <c r="B23" s="6" t="inlineStr">
        <is>
          <t>ショートカット・作業効率化</t>
        </is>
      </c>
      <c r="C23" s="7" t="n">
        <v>3</v>
      </c>
      <c r="D23" s="7" t="n"/>
      <c r="E23" s="7" t="n"/>
      <c r="F23" s="7" t="n"/>
      <c r="G23" s="7" t="n"/>
      <c r="H23" s="7" t="n"/>
      <c r="I23" s="8">
        <f>IF(D23="","",D23-C23)</f>
        <v/>
      </c>
      <c r="J23" s="8">
        <f>IF(E23="","",E23-C23)</f>
        <v/>
      </c>
      <c r="K23" s="8">
        <f>IF(F23="","",F23-C23)</f>
        <v/>
      </c>
      <c r="L23" s="8">
        <f>IF(G23="","",G23-C23)</f>
        <v/>
      </c>
      <c r="M23" s="8">
        <f>IF(H23="","",H23-C23)</f>
        <v/>
      </c>
      <c r="N23" s="6" t="n"/>
    </row>
    <row r="24">
      <c r="A24" s="5" t="inlineStr">
        <is>
          <t>ツール・環境</t>
        </is>
      </c>
      <c r="B24" s="6" t="inlineStr">
        <is>
          <t>スクリプト(MEL/Python)の利用・作成</t>
        </is>
      </c>
      <c r="C24" s="7" t="n">
        <v>3</v>
      </c>
      <c r="D24" s="7" t="n"/>
      <c r="E24" s="7" t="n"/>
      <c r="F24" s="7" t="n"/>
      <c r="G24" s="7" t="n"/>
      <c r="H24" s="7" t="n"/>
      <c r="I24" s="8">
        <f>IF(D24="","",D24-C24)</f>
        <v/>
      </c>
      <c r="J24" s="8">
        <f>IF(E24="","",E24-C24)</f>
        <v/>
      </c>
      <c r="K24" s="8">
        <f>IF(F24="","",F24-C24)</f>
        <v/>
      </c>
      <c r="L24" s="8">
        <f>IF(G24="","",G24-C24)</f>
        <v/>
      </c>
      <c r="M24" s="8">
        <f>IF(H24="","",H24-C24)</f>
        <v/>
      </c>
      <c r="N24" s="6" t="n"/>
    </row>
    <row r="25">
      <c r="A25" s="5" t="inlineStr">
        <is>
          <t>ツール・環境</t>
        </is>
      </c>
      <c r="B25" s="6" t="inlineStr">
        <is>
          <t>エンジン(Unity/Unreal)での確認</t>
        </is>
      </c>
      <c r="C25" s="7" t="n">
        <v>3</v>
      </c>
      <c r="D25" s="7" t="n"/>
      <c r="E25" s="7" t="n"/>
      <c r="F25" s="7" t="n"/>
      <c r="G25" s="7" t="n"/>
      <c r="H25" s="7" t="n"/>
      <c r="I25" s="8">
        <f>IF(D25="","",D25-C25)</f>
        <v/>
      </c>
      <c r="J25" s="8">
        <f>IF(E25="","",E25-C25)</f>
        <v/>
      </c>
      <c r="K25" s="8">
        <f>IF(F25="","",F25-C25)</f>
        <v/>
      </c>
      <c r="L25" s="8">
        <f>IF(G25="","",G25-C25)</f>
        <v/>
      </c>
      <c r="M25" s="8">
        <f>IF(H25="","",H25-C25)</f>
        <v/>
      </c>
      <c r="N25" s="6" t="n"/>
    </row>
    <row r="26">
      <c r="A26" s="5" t="inlineStr">
        <is>
          <t>ツール・環境</t>
        </is>
      </c>
      <c r="B26" s="6" t="inlineStr">
        <is>
          <t>FBX等のデータ書き出し・取り込み</t>
        </is>
      </c>
      <c r="C26" s="7" t="n">
        <v>3</v>
      </c>
      <c r="D26" s="7" t="n"/>
      <c r="E26" s="7" t="n"/>
      <c r="F26" s="7" t="n"/>
      <c r="G26" s="7" t="n"/>
      <c r="H26" s="7" t="n"/>
      <c r="I26" s="8">
        <f>IF(D26="","",D26-C26)</f>
        <v/>
      </c>
      <c r="J26" s="8">
        <f>IF(E26="","",E26-C26)</f>
        <v/>
      </c>
      <c r="K26" s="8">
        <f>IF(F26="","",F26-C26)</f>
        <v/>
      </c>
      <c r="L26" s="8">
        <f>IF(G26="","",G26-C26)</f>
        <v/>
      </c>
      <c r="M26" s="8">
        <f>IF(H26="","",H26-C26)</f>
        <v/>
      </c>
      <c r="N26" s="6" t="n"/>
    </row>
    <row r="27">
      <c r="A27" s="5" t="inlineStr">
        <is>
          <t>業務遂行</t>
        </is>
      </c>
      <c r="B27" s="6" t="inlineStr">
        <is>
          <t>指示・仕様の理解</t>
        </is>
      </c>
      <c r="C27" s="7" t="n">
        <v>3</v>
      </c>
      <c r="D27" s="7" t="n"/>
      <c r="E27" s="7" t="n"/>
      <c r="F27" s="7" t="n"/>
      <c r="G27" s="7" t="n"/>
      <c r="H27" s="7" t="n"/>
      <c r="I27" s="8">
        <f>IF(D27="","",D27-C27)</f>
        <v/>
      </c>
      <c r="J27" s="8">
        <f>IF(E27="","",E27-C27)</f>
        <v/>
      </c>
      <c r="K27" s="8">
        <f>IF(F27="","",F27-C27)</f>
        <v/>
      </c>
      <c r="L27" s="8">
        <f>IF(G27="","",G27-C27)</f>
        <v/>
      </c>
      <c r="M27" s="8">
        <f>IF(H27="","",H27-C27)</f>
        <v/>
      </c>
      <c r="N27" s="6" t="n"/>
    </row>
    <row r="28">
      <c r="A28" s="5" t="inlineStr">
        <is>
          <t>業務遂行</t>
        </is>
      </c>
      <c r="B28" s="6" t="inlineStr">
        <is>
          <t>工数の見積もり</t>
        </is>
      </c>
      <c r="C28" s="7" t="n">
        <v>3</v>
      </c>
      <c r="D28" s="7" t="n"/>
      <c r="E28" s="7" t="n"/>
      <c r="F28" s="7" t="n"/>
      <c r="G28" s="7" t="n"/>
      <c r="H28" s="7" t="n"/>
      <c r="I28" s="8">
        <f>IF(D28="","",D28-C28)</f>
        <v/>
      </c>
      <c r="J28" s="8">
        <f>IF(E28="","",E28-C28)</f>
        <v/>
      </c>
      <c r="K28" s="8">
        <f>IF(F28="","",F28-C28)</f>
        <v/>
      </c>
      <c r="L28" s="8">
        <f>IF(G28="","",G28-C28)</f>
        <v/>
      </c>
      <c r="M28" s="8">
        <f>IF(H28="","",H28-C28)</f>
        <v/>
      </c>
      <c r="N28" s="6" t="n"/>
    </row>
    <row r="29">
      <c r="A29" s="5" t="inlineStr">
        <is>
          <t>業務遂行</t>
        </is>
      </c>
      <c r="B29" s="6" t="inlineStr">
        <is>
          <t>スケジュール遵守・進捗管理</t>
        </is>
      </c>
      <c r="C29" s="7" t="n">
        <v>3</v>
      </c>
      <c r="D29" s="7" t="n"/>
      <c r="E29" s="7" t="n"/>
      <c r="F29" s="7" t="n"/>
      <c r="G29" s="7" t="n"/>
      <c r="H29" s="7" t="n"/>
      <c r="I29" s="8">
        <f>IF(D29="","",D29-C29)</f>
        <v/>
      </c>
      <c r="J29" s="8">
        <f>IF(E29="","",E29-C29)</f>
        <v/>
      </c>
      <c r="K29" s="8">
        <f>IF(F29="","",F29-C29)</f>
        <v/>
      </c>
      <c r="L29" s="8">
        <f>IF(G29="","",G29-C29)</f>
        <v/>
      </c>
      <c r="M29" s="8">
        <f>IF(H29="","",H29-C29)</f>
        <v/>
      </c>
      <c r="N29" s="6" t="n"/>
    </row>
    <row r="30">
      <c r="A30" s="5" t="inlineStr">
        <is>
          <t>業務遂行</t>
        </is>
      </c>
      <c r="B30" s="6" t="inlineStr">
        <is>
          <t>品質のセルフチェック</t>
        </is>
      </c>
      <c r="C30" s="7" t="n">
        <v>3</v>
      </c>
      <c r="D30" s="7" t="n"/>
      <c r="E30" s="7" t="n"/>
      <c r="F30" s="7" t="n"/>
      <c r="G30" s="7" t="n"/>
      <c r="H30" s="7" t="n"/>
      <c r="I30" s="8">
        <f>IF(D30="","",D30-C30)</f>
        <v/>
      </c>
      <c r="J30" s="8">
        <f>IF(E30="","",E30-C30)</f>
        <v/>
      </c>
      <c r="K30" s="8">
        <f>IF(F30="","",F30-C30)</f>
        <v/>
      </c>
      <c r="L30" s="8">
        <f>IF(G30="","",G30-C30)</f>
        <v/>
      </c>
      <c r="M30" s="8">
        <f>IF(H30="","",H30-C30)</f>
        <v/>
      </c>
      <c r="N30" s="6" t="n"/>
    </row>
    <row r="31">
      <c r="A31" s="5" t="inlineStr">
        <is>
          <t>業務遂行</t>
        </is>
      </c>
      <c r="B31" s="6" t="inlineStr">
        <is>
          <t>FB対応の精度</t>
        </is>
      </c>
      <c r="C31" s="7" t="n">
        <v>3</v>
      </c>
      <c r="D31" s="7" t="n"/>
      <c r="E31" s="7" t="n"/>
      <c r="F31" s="7" t="n"/>
      <c r="G31" s="7" t="n"/>
      <c r="H31" s="7" t="n"/>
      <c r="I31" s="8">
        <f>IF(D31="","",D31-C31)</f>
        <v/>
      </c>
      <c r="J31" s="8">
        <f>IF(E31="","",E31-C31)</f>
        <v/>
      </c>
      <c r="K31" s="8">
        <f>IF(F31="","",F31-C31)</f>
        <v/>
      </c>
      <c r="L31" s="8">
        <f>IF(G31="","",G31-C31)</f>
        <v/>
      </c>
      <c r="M31" s="8">
        <f>IF(H31="","",H31-C31)</f>
        <v/>
      </c>
      <c r="N31" s="6" t="n"/>
    </row>
    <row r="32">
      <c r="A32" s="5" t="inlineStr">
        <is>
          <t>業務遂行</t>
        </is>
      </c>
      <c r="B32" s="6" t="inlineStr">
        <is>
          <t>命名規則・ファイル管理・納品形式</t>
        </is>
      </c>
      <c r="C32" s="7" t="n">
        <v>3</v>
      </c>
      <c r="D32" s="7" t="n"/>
      <c r="E32" s="7" t="n"/>
      <c r="F32" s="7" t="n"/>
      <c r="G32" s="7" t="n"/>
      <c r="H32" s="7" t="n"/>
      <c r="I32" s="8">
        <f>IF(D32="","",D32-C32)</f>
        <v/>
      </c>
      <c r="J32" s="8">
        <f>IF(E32="","",E32-C32)</f>
        <v/>
      </c>
      <c r="K32" s="8">
        <f>IF(F32="","",F32-C32)</f>
        <v/>
      </c>
      <c r="L32" s="8">
        <f>IF(G32="","",G32-C32)</f>
        <v/>
      </c>
      <c r="M32" s="8">
        <f>IF(H32="","",H32-C32)</f>
        <v/>
      </c>
      <c r="N32" s="6" t="n"/>
    </row>
    <row r="33">
      <c r="A33" s="5" t="inlineStr">
        <is>
          <t>コミュニケーション</t>
        </is>
      </c>
      <c r="B33" s="6" t="inlineStr">
        <is>
          <t>報告・連絡・相談</t>
        </is>
      </c>
      <c r="C33" s="7" t="n">
        <v>3</v>
      </c>
      <c r="D33" s="7" t="n"/>
      <c r="E33" s="7" t="n"/>
      <c r="F33" s="7" t="n"/>
      <c r="G33" s="7" t="n"/>
      <c r="H33" s="7" t="n"/>
      <c r="I33" s="8">
        <f>IF(D33="","",D33-C33)</f>
        <v/>
      </c>
      <c r="J33" s="8">
        <f>IF(E33="","",E33-C33)</f>
        <v/>
      </c>
      <c r="K33" s="8">
        <f>IF(F33="","",F33-C33)</f>
        <v/>
      </c>
      <c r="L33" s="8">
        <f>IF(G33="","",G33-C33)</f>
        <v/>
      </c>
      <c r="M33" s="8">
        <f>IF(H33="","",H33-C33)</f>
        <v/>
      </c>
      <c r="N33" s="6" t="n"/>
    </row>
    <row r="34">
      <c r="A34" s="5" t="inlineStr">
        <is>
          <t>コミュニケーション</t>
        </is>
      </c>
      <c r="B34" s="6" t="inlineStr">
        <is>
          <t>質問・確認の仕方</t>
        </is>
      </c>
      <c r="C34" s="7" t="n">
        <v>3</v>
      </c>
      <c r="D34" s="7" t="n"/>
      <c r="E34" s="7" t="n"/>
      <c r="F34" s="7" t="n"/>
      <c r="G34" s="7" t="n"/>
      <c r="H34" s="7" t="n"/>
      <c r="I34" s="8">
        <f>IF(D34="","",D34-C34)</f>
        <v/>
      </c>
      <c r="J34" s="8">
        <f>IF(E34="","",E34-C34)</f>
        <v/>
      </c>
      <c r="K34" s="8">
        <f>IF(F34="","",F34-C34)</f>
        <v/>
      </c>
      <c r="L34" s="8">
        <f>IF(G34="","",G34-C34)</f>
        <v/>
      </c>
      <c r="M34" s="8">
        <f>IF(H34="","",H34-C34)</f>
        <v/>
      </c>
      <c r="N34" s="6" t="n"/>
    </row>
    <row r="35">
      <c r="A35" s="5" t="inlineStr">
        <is>
          <t>コミュニケーション</t>
        </is>
      </c>
      <c r="B35" s="6" t="inlineStr">
        <is>
          <t>他メンバーとの連携</t>
        </is>
      </c>
      <c r="C35" s="7" t="n">
        <v>3</v>
      </c>
      <c r="D35" s="7" t="n"/>
      <c r="E35" s="7" t="n"/>
      <c r="F35" s="7" t="n"/>
      <c r="G35" s="7" t="n"/>
      <c r="H35" s="7" t="n"/>
      <c r="I35" s="8">
        <f>IF(D35="","",D35-C35)</f>
        <v/>
      </c>
      <c r="J35" s="8">
        <f>IF(E35="","",E35-C35)</f>
        <v/>
      </c>
      <c r="K35" s="8">
        <f>IF(F35="","",F35-C35)</f>
        <v/>
      </c>
      <c r="L35" s="8">
        <f>IF(G35="","",G35-C35)</f>
        <v/>
      </c>
      <c r="M35" s="8">
        <f>IF(H35="","",H35-C35)</f>
        <v/>
      </c>
      <c r="N35" s="6" t="n"/>
    </row>
    <row r="36">
      <c r="A36" s="5" t="inlineStr">
        <is>
          <t>コミュニケーション</t>
        </is>
      </c>
      <c r="B36" s="6" t="inlineStr">
        <is>
          <t>後輩への指導・フォロー</t>
        </is>
      </c>
      <c r="C36" s="7" t="n">
        <v>3</v>
      </c>
      <c r="D36" s="7" t="n"/>
      <c r="E36" s="7" t="n"/>
      <c r="F36" s="7" t="n"/>
      <c r="G36" s="7" t="n"/>
      <c r="H36" s="7" t="n"/>
      <c r="I36" s="8">
        <f>IF(D36="","",D36-C36)</f>
        <v/>
      </c>
      <c r="J36" s="8">
        <f>IF(E36="","",E36-C36)</f>
        <v/>
      </c>
      <c r="K36" s="8">
        <f>IF(F36="","",F36-C36)</f>
        <v/>
      </c>
      <c r="L36" s="8">
        <f>IF(G36="","",G36-C36)</f>
        <v/>
      </c>
      <c r="M36" s="8">
        <f>IF(H36="","",H36-C36)</f>
        <v/>
      </c>
      <c r="N36" s="6" t="n"/>
    </row>
    <row r="37">
      <c r="A37" s="5" t="inlineStr">
        <is>
          <t>コミュニケーション</t>
        </is>
      </c>
      <c r="B37" s="6" t="inlineStr">
        <is>
          <t>自己学習・知識の共有</t>
        </is>
      </c>
      <c r="C37" s="7" t="n">
        <v>3</v>
      </c>
      <c r="D37" s="7" t="n"/>
      <c r="E37" s="7" t="n"/>
      <c r="F37" s="7" t="n"/>
      <c r="G37" s="7" t="n"/>
      <c r="H37" s="7" t="n"/>
      <c r="I37" s="8">
        <f>IF(D37="","",D37-C37)</f>
        <v/>
      </c>
      <c r="J37" s="8">
        <f>IF(E37="","",E37-C37)</f>
        <v/>
      </c>
      <c r="K37" s="8">
        <f>IF(F37="","",F37-C37)</f>
        <v/>
      </c>
      <c r="L37" s="8">
        <f>IF(G37="","",G37-C37)</f>
        <v/>
      </c>
      <c r="M37" s="8">
        <f>IF(H37="","",H37-C37)</f>
        <v/>
      </c>
      <c r="N37" s="6" t="n"/>
    </row>
    <row r="39">
      <c r="A39" s="3" t="inlineStr">
        <is>
          <t>目標=そのスキルに現時点で求めるレベル。差がマイナスなら目標に未到達。目標は項目ごとに変更可。</t>
        </is>
      </c>
    </row>
  </sheetData>
  <conditionalFormatting sqref="D5:D37">
    <cfRule type="colorScale" priority="1">
      <colorScale>
        <cfvo type="num" val="1"/>
        <cfvo type="num" val="3"/>
        <cfvo type="num" val="5"/>
        <color rgb="00F8CBAD"/>
        <color rgb="00FFF2CC"/>
        <color rgb="00A9D08E"/>
      </colorScale>
    </cfRule>
  </conditionalFormatting>
  <conditionalFormatting sqref="E5:E37">
    <cfRule type="colorScale" priority="2">
      <colorScale>
        <cfvo type="num" val="1"/>
        <cfvo type="num" val="3"/>
        <cfvo type="num" val="5"/>
        <color rgb="00F8CBAD"/>
        <color rgb="00FFF2CC"/>
        <color rgb="00A9D08E"/>
      </colorScale>
    </cfRule>
  </conditionalFormatting>
  <conditionalFormatting sqref="F5:F37">
    <cfRule type="colorScale" priority="3">
      <colorScale>
        <cfvo type="num" val="1"/>
        <cfvo type="num" val="3"/>
        <cfvo type="num" val="5"/>
        <color rgb="00F8CBAD"/>
        <color rgb="00FFF2CC"/>
        <color rgb="00A9D08E"/>
      </colorScale>
    </cfRule>
  </conditionalFormatting>
  <conditionalFormatting sqref="G5:G37">
    <cfRule type="colorScale" priority="4">
      <colorScale>
        <cfvo type="num" val="1"/>
        <cfvo type="num" val="3"/>
        <cfvo type="num" val="5"/>
        <color rgb="00F8CBAD"/>
        <color rgb="00FFF2CC"/>
        <color rgb="00A9D08E"/>
      </colorScale>
    </cfRule>
  </conditionalFormatting>
  <conditionalFormatting sqref="H5:H37">
    <cfRule type="colorScale" priority="5">
      <colorScale>
        <cfvo type="num" val="1"/>
        <cfvo type="num" val="3"/>
        <cfvo type="num" val="5"/>
        <color rgb="00F8CBAD"/>
        <color rgb="00FFF2CC"/>
        <color rgb="00A9D08E"/>
      </colorScale>
    </cfRule>
  </conditionalFormatting>
  <conditionalFormatting sqref="I5:M37">
    <cfRule type="cellIs" priority="6" operator="lessThan" dxfId="0">
      <formula>0</formula>
    </cfRule>
  </conditionalFormatting>
  <dataValidations count="1">
    <dataValidation sqref="C5:H37" showDropDown="0" showInputMessage="0" showErrorMessage="1" allowBlank="1" errorTitle="入力エラー" error="1〜5の整数を入力してください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カテゴリ別平均</t>
        </is>
      </c>
    </row>
    <row r="3">
      <c r="A3" s="4" t="inlineStr">
        <is>
          <t>カテゴリ</t>
        </is>
      </c>
      <c r="B3" s="4" t="inlineStr">
        <is>
          <t>目標平均</t>
        </is>
      </c>
      <c r="C3" s="4" t="inlineStr">
        <is>
          <t>F</t>
        </is>
      </c>
      <c r="D3" s="4" t="inlineStr">
        <is>
          <t>HS</t>
        </is>
      </c>
      <c r="E3" s="4" t="inlineStr">
        <is>
          <t>H</t>
        </is>
      </c>
      <c r="F3" s="4" t="inlineStr">
        <is>
          <t>M</t>
        </is>
      </c>
      <c r="G3" s="4" t="inlineStr">
        <is>
          <t>K</t>
        </is>
      </c>
    </row>
    <row r="4">
      <c r="A4" s="6" t="inlineStr">
        <is>
          <t>モデリング</t>
        </is>
      </c>
      <c r="B4" s="9">
        <f>IFERROR(AVERAGEIFS(スキルマップ!$C$5:$C$37,スキルマップ!$A$5:$A$37,$A4),0)</f>
        <v/>
      </c>
      <c r="C4" s="9">
        <f>IFERROR(AVERAGEIFS(スキルマップ!$D$5:$D$37,スキルマップ!$A$5:$A$37,$A4),0)</f>
        <v/>
      </c>
      <c r="D4" s="9">
        <f>IFERROR(AVERAGEIFS(スキルマップ!$E$5:$E$37,スキルマップ!$A$5:$A$37,$A4),0)</f>
        <v/>
      </c>
      <c r="E4" s="9">
        <f>IFERROR(AVERAGEIFS(スキルマップ!$F$5:$F$37,スキルマップ!$A$5:$A$37,$A4),0)</f>
        <v/>
      </c>
      <c r="F4" s="9">
        <f>IFERROR(AVERAGEIFS(スキルマップ!$G$5:$G$37,スキルマップ!$A$5:$A$37,$A4),0)</f>
        <v/>
      </c>
      <c r="G4" s="9">
        <f>IFERROR(AVERAGEIFS(スキルマップ!$H$5:$H$37,スキルマップ!$A$5:$A$37,$A4),0)</f>
        <v/>
      </c>
    </row>
    <row r="5">
      <c r="A5" s="6" t="inlineStr">
        <is>
          <t>UV・テクスチャ</t>
        </is>
      </c>
      <c r="B5" s="9">
        <f>IFERROR(AVERAGEIFS(スキルマップ!$C$5:$C$37,スキルマップ!$A$5:$A$37,$A5),0)</f>
        <v/>
      </c>
      <c r="C5" s="9">
        <f>IFERROR(AVERAGEIFS(スキルマップ!$D$5:$D$37,スキルマップ!$A$5:$A$37,$A5),0)</f>
        <v/>
      </c>
      <c r="D5" s="9">
        <f>IFERROR(AVERAGEIFS(スキルマップ!$E$5:$E$37,スキルマップ!$A$5:$A$37,$A5),0)</f>
        <v/>
      </c>
      <c r="E5" s="9">
        <f>IFERROR(AVERAGEIFS(スキルマップ!$F$5:$F$37,スキルマップ!$A$5:$A$37,$A5),0)</f>
        <v/>
      </c>
      <c r="F5" s="9">
        <f>IFERROR(AVERAGEIFS(スキルマップ!$G$5:$G$37,スキルマップ!$A$5:$A$37,$A5),0)</f>
        <v/>
      </c>
      <c r="G5" s="9">
        <f>IFERROR(AVERAGEIFS(スキルマップ!$H$5:$H$37,スキルマップ!$A$5:$A$37,$A5),0)</f>
        <v/>
      </c>
    </row>
    <row r="6">
      <c r="A6" s="6" t="inlineStr">
        <is>
          <t>リギング</t>
        </is>
      </c>
      <c r="B6" s="9">
        <f>IFERROR(AVERAGEIFS(スキルマップ!$C$5:$C$37,スキルマップ!$A$5:$A$37,$A6),0)</f>
        <v/>
      </c>
      <c r="C6" s="9">
        <f>IFERROR(AVERAGEIFS(スキルマップ!$D$5:$D$37,スキルマップ!$A$5:$A$37,$A6),0)</f>
        <v/>
      </c>
      <c r="D6" s="9">
        <f>IFERROR(AVERAGEIFS(スキルマップ!$E$5:$E$37,スキルマップ!$A$5:$A$37,$A6),0)</f>
        <v/>
      </c>
      <c r="E6" s="9">
        <f>IFERROR(AVERAGEIFS(スキルマップ!$F$5:$F$37,スキルマップ!$A$5:$A$37,$A6),0)</f>
        <v/>
      </c>
      <c r="F6" s="9">
        <f>IFERROR(AVERAGEIFS(スキルマップ!$G$5:$G$37,スキルマップ!$A$5:$A$37,$A6),0)</f>
        <v/>
      </c>
      <c r="G6" s="9">
        <f>IFERROR(AVERAGEIFS(スキルマップ!$H$5:$H$37,スキルマップ!$A$5:$A$37,$A6),0)</f>
        <v/>
      </c>
    </row>
    <row r="7">
      <c r="A7" s="6" t="inlineStr">
        <is>
          <t>ツール・環境</t>
        </is>
      </c>
      <c r="B7" s="9">
        <f>IFERROR(AVERAGEIFS(スキルマップ!$C$5:$C$37,スキルマップ!$A$5:$A$37,$A7),0)</f>
        <v/>
      </c>
      <c r="C7" s="9">
        <f>IFERROR(AVERAGEIFS(スキルマップ!$D$5:$D$37,スキルマップ!$A$5:$A$37,$A7),0)</f>
        <v/>
      </c>
      <c r="D7" s="9">
        <f>IFERROR(AVERAGEIFS(スキルマップ!$E$5:$E$37,スキルマップ!$A$5:$A$37,$A7),0)</f>
        <v/>
      </c>
      <c r="E7" s="9">
        <f>IFERROR(AVERAGEIFS(スキルマップ!$F$5:$F$37,スキルマップ!$A$5:$A$37,$A7),0)</f>
        <v/>
      </c>
      <c r="F7" s="9">
        <f>IFERROR(AVERAGEIFS(スキルマップ!$G$5:$G$37,スキルマップ!$A$5:$A$37,$A7),0)</f>
        <v/>
      </c>
      <c r="G7" s="9">
        <f>IFERROR(AVERAGEIFS(スキルマップ!$H$5:$H$37,スキルマップ!$A$5:$A$37,$A7),0)</f>
        <v/>
      </c>
    </row>
    <row r="8">
      <c r="A8" s="6" t="inlineStr">
        <is>
          <t>業務遂行</t>
        </is>
      </c>
      <c r="B8" s="9">
        <f>IFERROR(AVERAGEIFS(スキルマップ!$C$5:$C$37,スキルマップ!$A$5:$A$37,$A8),0)</f>
        <v/>
      </c>
      <c r="C8" s="9">
        <f>IFERROR(AVERAGEIFS(スキルマップ!$D$5:$D$37,スキルマップ!$A$5:$A$37,$A8),0)</f>
        <v/>
      </c>
      <c r="D8" s="9">
        <f>IFERROR(AVERAGEIFS(スキルマップ!$E$5:$E$37,スキルマップ!$A$5:$A$37,$A8),0)</f>
        <v/>
      </c>
      <c r="E8" s="9">
        <f>IFERROR(AVERAGEIFS(スキルマップ!$F$5:$F$37,スキルマップ!$A$5:$A$37,$A8),0)</f>
        <v/>
      </c>
      <c r="F8" s="9">
        <f>IFERROR(AVERAGEIFS(スキルマップ!$G$5:$G$37,スキルマップ!$A$5:$A$37,$A8),0)</f>
        <v/>
      </c>
      <c r="G8" s="9">
        <f>IFERROR(AVERAGEIFS(スキルマップ!$H$5:$H$37,スキルマップ!$A$5:$A$37,$A8),0)</f>
        <v/>
      </c>
    </row>
    <row r="9">
      <c r="A9" s="6" t="inlineStr">
        <is>
          <t>コミュニケーション</t>
        </is>
      </c>
      <c r="B9" s="9">
        <f>IFERROR(AVERAGEIFS(スキルマップ!$C$5:$C$37,スキルマップ!$A$5:$A$37,$A9),0)</f>
        <v/>
      </c>
      <c r="C9" s="9">
        <f>IFERROR(AVERAGEIFS(スキルマップ!$D$5:$D$37,スキルマップ!$A$5:$A$37,$A9),0)</f>
        <v/>
      </c>
      <c r="D9" s="9">
        <f>IFERROR(AVERAGEIFS(スキルマップ!$E$5:$E$37,スキルマップ!$A$5:$A$37,$A9),0)</f>
        <v/>
      </c>
      <c r="E9" s="9">
        <f>IFERROR(AVERAGEIFS(スキルマップ!$F$5:$F$37,スキルマップ!$A$5:$A$37,$A9),0)</f>
        <v/>
      </c>
      <c r="F9" s="9">
        <f>IFERROR(AVERAGEIFS(スキルマップ!$G$5:$G$37,スキルマップ!$A$5:$A$37,$A9),0)</f>
        <v/>
      </c>
      <c r="G9" s="9">
        <f>IFERROR(AVERAGEIFS(スキルマップ!$H$5:$H$37,スキルマップ!$A$5:$A$37,$A9),0)</f>
        <v/>
      </c>
    </row>
    <row r="10">
      <c r="A10" s="10" t="inlineStr">
        <is>
          <t>全体平均</t>
        </is>
      </c>
      <c r="B10" s="11">
        <f>IFERROR(AVERAGE(スキルマップ!$C$5:$C$37),0)</f>
        <v/>
      </c>
      <c r="C10" s="11">
        <f>IFERROR(AVERAGE(スキルマップ!$D$5:$D$37),0)</f>
        <v/>
      </c>
      <c r="D10" s="11">
        <f>IFERROR(AVERAGE(スキルマップ!$E$5:$E$37),0)</f>
        <v/>
      </c>
      <c r="E10" s="11">
        <f>IFERROR(AVERAGE(スキルマップ!$F$5:$F$37),0)</f>
        <v/>
      </c>
      <c r="F10" s="11">
        <f>IFERROR(AVERAGE(スキルマップ!$G$5:$G$37),0)</f>
        <v/>
      </c>
      <c r="G10" s="11">
        <f>IFERROR(AVERAGE(スキルマップ!$H$5:$H$37),0)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</cols>
  <sheetData>
    <row r="1">
      <c r="A1" s="4" t="inlineStr">
        <is>
          <t>レベル</t>
        </is>
      </c>
      <c r="B1" s="4" t="inlineStr">
        <is>
          <t>区分</t>
        </is>
      </c>
      <c r="C1" s="4" t="inlineStr">
        <is>
          <t>目安</t>
        </is>
      </c>
    </row>
    <row r="2">
      <c r="A2" s="8" t="n">
        <v>1</v>
      </c>
      <c r="B2" s="6" t="inlineStr">
        <is>
          <t>実務未経験、学習中</t>
        </is>
      </c>
      <c r="C2" s="6" t="inlineStr">
        <is>
          <t>手順や基礎を学んでいる段階。実務での経験はまだない。</t>
        </is>
      </c>
    </row>
    <row r="3">
      <c r="A3" s="8" t="n">
        <v>2</v>
      </c>
      <c r="B3" s="6" t="inlineStr">
        <is>
          <t>リードの補助があればできる</t>
        </is>
      </c>
      <c r="C3" s="6" t="inlineStr">
        <is>
          <t>リードの指示・確認・サポートがあれば業務を進められる。</t>
        </is>
      </c>
    </row>
    <row r="4">
      <c r="A4" s="8" t="n">
        <v>3</v>
      </c>
      <c r="B4" s="6" t="inlineStr">
        <is>
          <t>1人で業務を遂行できる(一人前)</t>
        </is>
      </c>
      <c r="C4" s="6" t="inlineStr">
        <is>
          <t>指示を受ければ、自分だけで一通りの業務を完遂できる。</t>
        </is>
      </c>
    </row>
    <row r="5">
      <c r="A5" s="8" t="n">
        <v>4</v>
      </c>
      <c r="B5" s="6" t="inlineStr">
        <is>
          <t>熟練している</t>
        </is>
      </c>
      <c r="C5" s="6" t="inlineStr">
        <is>
          <t>高い品質と速さで安定してこなし、難しいケースにも対応できる。</t>
        </is>
      </c>
    </row>
    <row r="6">
      <c r="A6" s="8" t="n">
        <v>5</v>
      </c>
      <c r="B6" s="6" t="inlineStr">
        <is>
          <t>指導できる、専門、リードクラス</t>
        </is>
      </c>
      <c r="C6" s="6" t="inlineStr">
        <is>
          <t>他者に教えられる。専門家としてチームを引っ張れる。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2026-10-27T04:11:26Z</dcterms:created>
  <dcterms:modified xsi:type="dcterms:W3CDTF">2026-10-27T04:11:26Z</dcterms:modified>
</cp:coreProperties>
</file>