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Work\skillmap\"/>
    </mc:Choice>
  </mc:AlternateContent>
  <xr:revisionPtr revIDLastSave="0" documentId="13_ncr:1_{6EEB4D99-B7AD-400A-99F1-0C56E017F54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スキルマップ" sheetId="1" r:id="rId1"/>
    <sheet name="サマリー" sheetId="2" r:id="rId2"/>
    <sheet name="評価基準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" i="2" l="1"/>
  <c r="F10" i="2"/>
  <c r="E10" i="2"/>
  <c r="D10" i="2"/>
  <c r="C10" i="2"/>
  <c r="B10" i="2"/>
  <c r="G9" i="2"/>
  <c r="F9" i="2"/>
  <c r="E9" i="2"/>
  <c r="D9" i="2"/>
  <c r="C9" i="2"/>
  <c r="B9" i="2"/>
  <c r="G8" i="2"/>
  <c r="F8" i="2"/>
  <c r="E8" i="2"/>
  <c r="D8" i="2"/>
  <c r="C8" i="2"/>
  <c r="B8" i="2"/>
  <c r="G7" i="2"/>
  <c r="F7" i="2"/>
  <c r="E7" i="2"/>
  <c r="D7" i="2"/>
  <c r="C7" i="2"/>
  <c r="B7" i="2"/>
  <c r="G6" i="2"/>
  <c r="F6" i="2"/>
  <c r="E6" i="2"/>
  <c r="D6" i="2"/>
  <c r="C6" i="2"/>
  <c r="B6" i="2"/>
  <c r="G5" i="2"/>
  <c r="F5" i="2"/>
  <c r="E5" i="2"/>
  <c r="D5" i="2"/>
  <c r="C5" i="2"/>
  <c r="B5" i="2"/>
  <c r="G4" i="2"/>
  <c r="F4" i="2"/>
  <c r="E4" i="2"/>
  <c r="D4" i="2"/>
  <c r="C4" i="2"/>
  <c r="B4" i="2"/>
  <c r="M37" i="1"/>
  <c r="L37" i="1"/>
  <c r="K37" i="1"/>
  <c r="J37" i="1"/>
  <c r="I37" i="1"/>
  <c r="M36" i="1"/>
  <c r="L36" i="1"/>
  <c r="K36" i="1"/>
  <c r="J36" i="1"/>
  <c r="I36" i="1"/>
  <c r="M35" i="1"/>
  <c r="L35" i="1"/>
  <c r="K35" i="1"/>
  <c r="J35" i="1"/>
  <c r="I35" i="1"/>
  <c r="M34" i="1"/>
  <c r="L34" i="1"/>
  <c r="K34" i="1"/>
  <c r="J34" i="1"/>
  <c r="I34" i="1"/>
  <c r="M33" i="1"/>
  <c r="L33" i="1"/>
  <c r="K33" i="1"/>
  <c r="J33" i="1"/>
  <c r="I33" i="1"/>
  <c r="M32" i="1"/>
  <c r="L32" i="1"/>
  <c r="K32" i="1"/>
  <c r="J32" i="1"/>
  <c r="I32" i="1"/>
  <c r="M31" i="1"/>
  <c r="L31" i="1"/>
  <c r="K31" i="1"/>
  <c r="J31" i="1"/>
  <c r="I31" i="1"/>
  <c r="M30" i="1"/>
  <c r="L30" i="1"/>
  <c r="K30" i="1"/>
  <c r="J30" i="1"/>
  <c r="I30" i="1"/>
  <c r="M29" i="1"/>
  <c r="L29" i="1"/>
  <c r="K29" i="1"/>
  <c r="J29" i="1"/>
  <c r="I29" i="1"/>
  <c r="M28" i="1"/>
  <c r="L28" i="1"/>
  <c r="K28" i="1"/>
  <c r="J28" i="1"/>
  <c r="I28" i="1"/>
  <c r="M27" i="1"/>
  <c r="L27" i="1"/>
  <c r="K27" i="1"/>
  <c r="J27" i="1"/>
  <c r="I27" i="1"/>
  <c r="M26" i="1"/>
  <c r="L26" i="1"/>
  <c r="K26" i="1"/>
  <c r="J26" i="1"/>
  <c r="I26" i="1"/>
  <c r="M25" i="1"/>
  <c r="L25" i="1"/>
  <c r="K25" i="1"/>
  <c r="J25" i="1"/>
  <c r="I25" i="1"/>
  <c r="M24" i="1"/>
  <c r="L24" i="1"/>
  <c r="K24" i="1"/>
  <c r="J24" i="1"/>
  <c r="I24" i="1"/>
  <c r="M23" i="1"/>
  <c r="L23" i="1"/>
  <c r="K23" i="1"/>
  <c r="J23" i="1"/>
  <c r="I23" i="1"/>
  <c r="M22" i="1"/>
  <c r="L22" i="1"/>
  <c r="K22" i="1"/>
  <c r="J22" i="1"/>
  <c r="I22" i="1"/>
  <c r="M21" i="1"/>
  <c r="L21" i="1"/>
  <c r="K21" i="1"/>
  <c r="J21" i="1"/>
  <c r="I21" i="1"/>
  <c r="M20" i="1"/>
  <c r="L20" i="1"/>
  <c r="K20" i="1"/>
  <c r="J20" i="1"/>
  <c r="I20" i="1"/>
  <c r="M19" i="1"/>
  <c r="L19" i="1"/>
  <c r="K19" i="1"/>
  <c r="J19" i="1"/>
  <c r="I19" i="1"/>
  <c r="M18" i="1"/>
  <c r="K18" i="1"/>
  <c r="J18" i="1"/>
  <c r="I18" i="1"/>
  <c r="M17" i="1"/>
  <c r="L17" i="1"/>
  <c r="K17" i="1"/>
  <c r="J17" i="1"/>
  <c r="I17" i="1"/>
  <c r="M16" i="1"/>
  <c r="L16" i="1"/>
  <c r="K16" i="1"/>
  <c r="J16" i="1"/>
  <c r="I16" i="1"/>
  <c r="M15" i="1"/>
  <c r="L15" i="1"/>
  <c r="K15" i="1"/>
  <c r="J15" i="1"/>
  <c r="I15" i="1"/>
  <c r="M14" i="1"/>
  <c r="L14" i="1"/>
  <c r="K14" i="1"/>
  <c r="J14" i="1"/>
  <c r="I14" i="1"/>
  <c r="M13" i="1"/>
  <c r="L13" i="1"/>
  <c r="K13" i="1"/>
  <c r="J13" i="1"/>
  <c r="I13" i="1"/>
  <c r="M12" i="1"/>
  <c r="L12" i="1"/>
  <c r="K12" i="1"/>
  <c r="J12" i="1"/>
  <c r="I12" i="1"/>
  <c r="M11" i="1"/>
  <c r="L11" i="1"/>
  <c r="K11" i="1"/>
  <c r="J11" i="1"/>
  <c r="I11" i="1"/>
  <c r="M10" i="1"/>
  <c r="L10" i="1"/>
  <c r="K10" i="1"/>
  <c r="J10" i="1"/>
  <c r="I10" i="1"/>
  <c r="M9" i="1"/>
  <c r="L9" i="1"/>
  <c r="K9" i="1"/>
  <c r="J9" i="1"/>
  <c r="I9" i="1"/>
  <c r="M8" i="1"/>
  <c r="L8" i="1"/>
  <c r="K8" i="1"/>
  <c r="J8" i="1"/>
  <c r="I8" i="1"/>
  <c r="M7" i="1"/>
  <c r="L7" i="1"/>
  <c r="K7" i="1"/>
  <c r="J7" i="1"/>
  <c r="I7" i="1"/>
  <c r="M6" i="1"/>
  <c r="L6" i="1"/>
  <c r="K6" i="1"/>
  <c r="J6" i="1"/>
  <c r="I6" i="1"/>
  <c r="M5" i="1"/>
  <c r="L5" i="1"/>
  <c r="K5" i="1"/>
  <c r="J5" i="1"/>
  <c r="I5" i="1"/>
</calcChain>
</file>

<file path=xl/sharedStrings.xml><?xml version="1.0" encoding="utf-8"?>
<sst xmlns="http://schemas.openxmlformats.org/spreadsheetml/2006/main" count="112" uniqueCount="73">
  <si>
    <t>スキルマップ</t>
  </si>
  <si>
    <t>評価日</t>
  </si>
  <si>
    <t>黄色いセルに 1〜5 を入力(基準は「評価基準」シート)。対象外の項目は空欄。</t>
  </si>
  <si>
    <t>カテゴリ</t>
  </si>
  <si>
    <t>スキル項目</t>
  </si>
  <si>
    <t>目標</t>
  </si>
  <si>
    <t>F</t>
  </si>
  <si>
    <t>HS</t>
  </si>
  <si>
    <t>H</t>
  </si>
  <si>
    <t>M</t>
  </si>
  <si>
    <t>K</t>
  </si>
  <si>
    <t>F差</t>
  </si>
  <si>
    <t>HS差</t>
  </si>
  <si>
    <t>H差</t>
  </si>
  <si>
    <t>M差</t>
  </si>
  <si>
    <t>K差</t>
  </si>
  <si>
    <t>メモ</t>
  </si>
  <si>
    <t>モデリング</t>
  </si>
  <si>
    <t>人体の形状把握(プロポーション・解剖)</t>
  </si>
  <si>
    <t>頭部・顔のモデリング</t>
  </si>
  <si>
    <t>衣装・小物のモデリング</t>
  </si>
  <si>
    <t>トポロジー・エッジフロー</t>
  </si>
  <si>
    <t>ポリゴン数・頂点数の管理</t>
  </si>
  <si>
    <t>ハードサーフェス(装備・武器等)</t>
  </si>
  <si>
    <t>スカルプト(ZBrush等)</t>
  </si>
  <si>
    <t>UV・テクスチャ</t>
  </si>
  <si>
    <t>UV展開(歪み・継ぎ目の処理)</t>
  </si>
  <si>
    <t>UVレイアウト・テクセル密度の統一</t>
  </si>
  <si>
    <t>テクスチャ作成(Substance/Photoshop)</t>
  </si>
  <si>
    <t>マテリアル・シェーダー設定</t>
  </si>
  <si>
    <t>リギング</t>
  </si>
  <si>
    <t>ジョイント配置</t>
  </si>
  <si>
    <t>スキニング・ウェイト調整</t>
  </si>
  <si>
    <t>コントローラ作成・設定</t>
  </si>
  <si>
    <t>表情(ブレンドシェイプ等)</t>
  </si>
  <si>
    <t>補助ジョイント・変形補正</t>
  </si>
  <si>
    <t>揺れ物・物理設定</t>
  </si>
  <si>
    <t>ツール・環境</t>
  </si>
  <si>
    <t>Maya基本操作</t>
  </si>
  <si>
    <t>ショートカット・作業効率化</t>
  </si>
  <si>
    <t>スクリプト(MEL/Python)の利用・作成</t>
  </si>
  <si>
    <t>エンジン(Unity/Unreal)での確認</t>
  </si>
  <si>
    <t>FBX等のデータ書き出し・取り込み</t>
  </si>
  <si>
    <t>業務遂行</t>
  </si>
  <si>
    <t>指示・仕様の理解</t>
  </si>
  <si>
    <t>工数の見積もり</t>
  </si>
  <si>
    <t>スケジュール遵守・進捗管理</t>
  </si>
  <si>
    <t>品質のセルフチェック</t>
  </si>
  <si>
    <t>FB対応の精度</t>
  </si>
  <si>
    <t>命名規則・ファイル管理・納品形式</t>
  </si>
  <si>
    <t>コミュニケーション</t>
  </si>
  <si>
    <t>報告・連絡・相談</t>
  </si>
  <si>
    <t>質問・確認の仕方</t>
  </si>
  <si>
    <t>他メンバーとの連携</t>
  </si>
  <si>
    <t>後輩への指導・フォロー</t>
  </si>
  <si>
    <t>自己学習・知識の共有</t>
  </si>
  <si>
    <t>目標=そのスキルに現時点で求めるレベル。差がマイナスなら目標に未到達。目標は項目ごとに変更可。</t>
  </si>
  <si>
    <t>カテゴリ別平均</t>
  </si>
  <si>
    <t>目標平均</t>
  </si>
  <si>
    <t>全体平均</t>
  </si>
  <si>
    <t>レベル</t>
  </si>
  <si>
    <t>区分</t>
  </si>
  <si>
    <t>目安</t>
  </si>
  <si>
    <t>実務未経験、学習中</t>
  </si>
  <si>
    <t>手順や基礎を学んでいる段階。実務での経験はまだない。</t>
  </si>
  <si>
    <t>リードの補助があればできる</t>
  </si>
  <si>
    <t>リードの指示・確認・サポートがあれば業務を進められる。</t>
  </si>
  <si>
    <t>1人で業務を遂行できる(一人前)</t>
  </si>
  <si>
    <t>指示を受ければ、自分だけで一通りの業務を完遂できる。</t>
  </si>
  <si>
    <t>熟練している</t>
  </si>
  <si>
    <t>高い品質と速さで安定してこなし、難しいケースにも対応できる。</t>
  </si>
  <si>
    <t>指導できる、専門、リードクラス</t>
  </si>
  <si>
    <t>他者に教えられる。専門家としてチームを引っ張れる。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</si>
</sst>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8" x14ac:knownFonts="1">
    <font>
      <sz val="11"/>
      <color theme="1"/>
      <name val="ＭＳ Ｐゴシック"/>
      <family val="2"/>
      <scheme val="minor"/>
    </font>
    <font>
      <b/>
      <sz val="14"/>
      <name val="Meiryo UI"/>
      <family val="3"/>
      <charset val="128"/>
    </font>
    <font>
      <b/>
      <sz val="11"/>
      <name val="Meiryo UI"/>
      <family val="3"/>
      <charset val="128"/>
    </font>
    <font>
      <sz val="9"/>
      <color rgb="FF666666"/>
      <name val="Meiryo UI"/>
      <family val="3"/>
      <charset val="128"/>
    </font>
    <font>
      <b/>
      <sz val="11"/>
      <color rgb="FFFFFFFF"/>
      <name val="Meiryo UI"/>
      <family val="3"/>
      <charset val="128"/>
    </font>
    <font>
      <sz val="10"/>
      <name val="Meiryo UI"/>
      <family val="3"/>
      <charset val="128"/>
    </font>
    <font>
      <b/>
      <sz val="10"/>
      <name val="Meiryo UI"/>
      <family val="3"/>
      <charset val="128"/>
    </font>
    <font>
      <sz val="6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F4F6F"/>
      </patternFill>
    </fill>
    <fill>
      <patternFill patternType="solid">
        <fgColor rgb="FFFFFFE0"/>
      </patternFill>
    </fill>
    <fill>
      <patternFill patternType="solid">
        <fgColor rgb="FFDCE6F1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176" fontId="6" fillId="4" borderId="1" xfId="0" applyNumberFormat="1" applyFont="1" applyFill="1" applyBorder="1" applyAlignment="1">
      <alignment horizontal="center" vertical="center" wrapText="1"/>
    </xf>
  </cellXfs>
  <cellStyles count="1">
    <cellStyle name="標準" xfId="0" builtinId="0"/>
  </cellStyles>
  <dxfs count="1">
    <dxf>
      <font>
        <b/>
        <color rgb="FFC0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ja-JP" altLang="en-US"/>
              <a:t>カテゴリ別スキル平均</a:t>
            </a:r>
          </a:p>
        </c:rich>
      </c:tx>
      <c:overlay val="1"/>
    </c:title>
    <c:autoTitleDeleted val="0"/>
    <c:plotArea>
      <c:layout/>
      <c:radarChart>
        <c:radarStyle val="marker"/>
        <c:varyColors val="1"/>
        <c:ser>
          <c:idx val="0"/>
          <c:order val="0"/>
          <c:tx>
            <c:strRef>
              <c:f>サマリー!$B$3</c:f>
              <c:strCache>
                <c:ptCount val="1"/>
                <c:pt idx="0">
                  <c:v>目標平均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サマリー!$A$4:$A$9</c:f>
              <c:strCache>
                <c:ptCount val="6"/>
                <c:pt idx="0">
                  <c:v>モデリング</c:v>
                </c:pt>
                <c:pt idx="1">
                  <c:v>UV・テクスチャ</c:v>
                </c:pt>
                <c:pt idx="2">
                  <c:v>リギング</c:v>
                </c:pt>
                <c:pt idx="3">
                  <c:v>ツール・環境</c:v>
                </c:pt>
                <c:pt idx="4">
                  <c:v>業務遂行</c:v>
                </c:pt>
                <c:pt idx="5">
                  <c:v>コミュニケーション</c:v>
                </c:pt>
              </c:strCache>
            </c:strRef>
          </c:cat>
          <c:val>
            <c:numRef>
              <c:f>サマリー!$B$4:$B$9</c:f>
              <c:numCache>
                <c:formatCode>0.0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F4-45B7-8596-70C9485029DB}"/>
            </c:ext>
          </c:extLst>
        </c:ser>
        <c:ser>
          <c:idx val="1"/>
          <c:order val="1"/>
          <c:tx>
            <c:strRef>
              <c:f>サマリー!$C$3</c:f>
              <c:strCache>
                <c:ptCount val="1"/>
                <c:pt idx="0">
                  <c:v>F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サマリー!$A$4:$A$9</c:f>
              <c:strCache>
                <c:ptCount val="6"/>
                <c:pt idx="0">
                  <c:v>モデリング</c:v>
                </c:pt>
                <c:pt idx="1">
                  <c:v>UV・テクスチャ</c:v>
                </c:pt>
                <c:pt idx="2">
                  <c:v>リギング</c:v>
                </c:pt>
                <c:pt idx="3">
                  <c:v>ツール・環境</c:v>
                </c:pt>
                <c:pt idx="4">
                  <c:v>業務遂行</c:v>
                </c:pt>
                <c:pt idx="5">
                  <c:v>コミュニケーション</c:v>
                </c:pt>
              </c:strCache>
            </c:strRef>
          </c:cat>
          <c:val>
            <c:numRef>
              <c:f>サマリー!$C$4:$C$9</c:f>
              <c:numCache>
                <c:formatCode>0.0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1.5</c:v>
                </c:pt>
                <c:pt idx="3">
                  <c:v>2.4</c:v>
                </c:pt>
                <c:pt idx="4">
                  <c:v>1.6666666666666667</c:v>
                </c:pt>
                <c:pt idx="5">
                  <c:v>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F4-45B7-8596-70C9485029DB}"/>
            </c:ext>
          </c:extLst>
        </c:ser>
        <c:ser>
          <c:idx val="2"/>
          <c:order val="2"/>
          <c:tx>
            <c:strRef>
              <c:f>サマリー!$D$3</c:f>
              <c:strCache>
                <c:ptCount val="1"/>
                <c:pt idx="0">
                  <c:v>HS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サマリー!$A$4:$A$9</c:f>
              <c:strCache>
                <c:ptCount val="6"/>
                <c:pt idx="0">
                  <c:v>モデリング</c:v>
                </c:pt>
                <c:pt idx="1">
                  <c:v>UV・テクスチャ</c:v>
                </c:pt>
                <c:pt idx="2">
                  <c:v>リギング</c:v>
                </c:pt>
                <c:pt idx="3">
                  <c:v>ツール・環境</c:v>
                </c:pt>
                <c:pt idx="4">
                  <c:v>業務遂行</c:v>
                </c:pt>
                <c:pt idx="5">
                  <c:v>コミュニケーション</c:v>
                </c:pt>
              </c:strCache>
            </c:strRef>
          </c:cat>
          <c:val>
            <c:numRef>
              <c:f>サマリー!$D$4:$D$9</c:f>
              <c:numCache>
                <c:formatCode>0.0</c:formatCode>
                <c:ptCount val="6"/>
                <c:pt idx="0">
                  <c:v>2.8571428571428572</c:v>
                </c:pt>
                <c:pt idx="1">
                  <c:v>2.5</c:v>
                </c:pt>
                <c:pt idx="2">
                  <c:v>1.5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F4-45B7-8596-70C9485029DB}"/>
            </c:ext>
          </c:extLst>
        </c:ser>
        <c:ser>
          <c:idx val="3"/>
          <c:order val="3"/>
          <c:tx>
            <c:strRef>
              <c:f>サマリー!$E$3</c:f>
              <c:strCache>
                <c:ptCount val="1"/>
                <c:pt idx="0">
                  <c:v>H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サマリー!$A$4:$A$9</c:f>
              <c:strCache>
                <c:ptCount val="6"/>
                <c:pt idx="0">
                  <c:v>モデリング</c:v>
                </c:pt>
                <c:pt idx="1">
                  <c:v>UV・テクスチャ</c:v>
                </c:pt>
                <c:pt idx="2">
                  <c:v>リギング</c:v>
                </c:pt>
                <c:pt idx="3">
                  <c:v>ツール・環境</c:v>
                </c:pt>
                <c:pt idx="4">
                  <c:v>業務遂行</c:v>
                </c:pt>
                <c:pt idx="5">
                  <c:v>コミュニケーション</c:v>
                </c:pt>
              </c:strCache>
            </c:strRef>
          </c:cat>
          <c:val>
            <c:numRef>
              <c:f>サマリー!$E$4:$E$9</c:f>
              <c:numCache>
                <c:formatCode>0.0</c:formatCode>
                <c:ptCount val="6"/>
                <c:pt idx="0">
                  <c:v>4.7142857142857144</c:v>
                </c:pt>
                <c:pt idx="1">
                  <c:v>4.75</c:v>
                </c:pt>
                <c:pt idx="2">
                  <c:v>4.166666666666667</c:v>
                </c:pt>
                <c:pt idx="3">
                  <c:v>4.5999999999999996</c:v>
                </c:pt>
                <c:pt idx="4">
                  <c:v>5</c:v>
                </c:pt>
                <c:pt idx="5">
                  <c:v>4.4000000000000004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F4-45B7-8596-70C9485029DB}"/>
            </c:ext>
          </c:extLst>
        </c:ser>
        <c:ser>
          <c:idx val="4"/>
          <c:order val="4"/>
          <c:tx>
            <c:strRef>
              <c:f>サマリー!$F$3</c:f>
              <c:strCache>
                <c:ptCount val="1"/>
                <c:pt idx="0">
                  <c:v>M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サマリー!$A$4:$A$9</c:f>
              <c:strCache>
                <c:ptCount val="6"/>
                <c:pt idx="0">
                  <c:v>モデリング</c:v>
                </c:pt>
                <c:pt idx="1">
                  <c:v>UV・テクスチャ</c:v>
                </c:pt>
                <c:pt idx="2">
                  <c:v>リギング</c:v>
                </c:pt>
                <c:pt idx="3">
                  <c:v>ツール・環境</c:v>
                </c:pt>
                <c:pt idx="4">
                  <c:v>業務遂行</c:v>
                </c:pt>
                <c:pt idx="5">
                  <c:v>コミュニケーション</c:v>
                </c:pt>
              </c:strCache>
            </c:strRef>
          </c:cat>
          <c:val>
            <c:numRef>
              <c:f>サマリー!$F$4:$F$9</c:f>
              <c:numCache>
                <c:formatCode>0.0</c:formatCode>
                <c:ptCount val="6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F4-45B7-8596-70C9485029DB}"/>
            </c:ext>
          </c:extLst>
        </c:ser>
        <c:ser>
          <c:idx val="5"/>
          <c:order val="5"/>
          <c:tx>
            <c:strRef>
              <c:f>サマリー!$G$3</c:f>
              <c:strCache>
                <c:ptCount val="1"/>
                <c:pt idx="0">
                  <c:v>K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サマリー!$A$4:$A$9</c:f>
              <c:strCache>
                <c:ptCount val="6"/>
                <c:pt idx="0">
                  <c:v>モデリング</c:v>
                </c:pt>
                <c:pt idx="1">
                  <c:v>UV・テクスチャ</c:v>
                </c:pt>
                <c:pt idx="2">
                  <c:v>リギング</c:v>
                </c:pt>
                <c:pt idx="3">
                  <c:v>ツール・環境</c:v>
                </c:pt>
                <c:pt idx="4">
                  <c:v>業務遂行</c:v>
                </c:pt>
                <c:pt idx="5">
                  <c:v>コミュニケーション</c:v>
                </c:pt>
              </c:strCache>
            </c:strRef>
          </c:cat>
          <c:val>
            <c:numRef>
              <c:f>サマリー!$G$4:$G$9</c:f>
              <c:numCache>
                <c:formatCode>0.0</c:formatCode>
                <c:ptCount val="6"/>
                <c:pt idx="0">
                  <c:v>4.2857142857142856</c:v>
                </c:pt>
                <c:pt idx="1">
                  <c:v>4</c:v>
                </c:pt>
                <c:pt idx="2">
                  <c:v>3.1666666666666665</c:v>
                </c:pt>
                <c:pt idx="3">
                  <c:v>2.8</c:v>
                </c:pt>
                <c:pt idx="4">
                  <c:v>3.8333333333333335</c:v>
                </c:pt>
                <c:pt idx="5">
                  <c:v>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F4-45B7-8596-70C9485029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rad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5"/>
          <c:min val="0"/>
        </c:scaling>
        <c:delete val="0"/>
        <c:axPos val="l"/>
        <c:majorGridlines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  <c:majorUnit val="1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2</xdr:row>
      <xdr:rowOff>0</xdr:rowOff>
    </xdr:from>
    <xdr:ext cx="576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9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C5" sqref="C5"/>
    </sheetView>
  </sheetViews>
  <sheetFormatPr defaultRowHeight="13.5" x14ac:dyDescent="0.15"/>
  <cols>
    <col min="1" max="1" width="16" customWidth="1"/>
    <col min="2" max="2" width="40" customWidth="1"/>
    <col min="3" max="13" width="7" customWidth="1"/>
    <col min="14" max="14" width="36" customWidth="1"/>
  </cols>
  <sheetData>
    <row r="1" spans="1:14" ht="19.5" x14ac:dyDescent="0.3">
      <c r="A1" s="1" t="s">
        <v>0</v>
      </c>
    </row>
    <row r="2" spans="1:14" ht="15.75" x14ac:dyDescent="0.25">
      <c r="A2" s="2" t="s">
        <v>1</v>
      </c>
      <c r="B2" s="3" t="s">
        <v>2</v>
      </c>
    </row>
    <row r="4" spans="1:14" ht="15.75" x14ac:dyDescent="0.1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</row>
    <row r="5" spans="1:14" ht="14.25" x14ac:dyDescent="0.15">
      <c r="A5" s="5" t="s">
        <v>17</v>
      </c>
      <c r="B5" s="6" t="s">
        <v>18</v>
      </c>
      <c r="C5" s="7">
        <v>3</v>
      </c>
      <c r="D5" s="7">
        <v>2</v>
      </c>
      <c r="E5" s="7">
        <v>3</v>
      </c>
      <c r="F5" s="7">
        <v>5</v>
      </c>
      <c r="G5" s="7">
        <v>5</v>
      </c>
      <c r="H5" s="7">
        <v>4</v>
      </c>
      <c r="I5" s="8">
        <f t="shared" ref="I5:I37" si="0">IF(D5="","",D5-C5)</f>
        <v>-1</v>
      </c>
      <c r="J5" s="8">
        <f t="shared" ref="J5:J37" si="1">IF(E5="","",E5-C5)</f>
        <v>0</v>
      </c>
      <c r="K5" s="8">
        <f t="shared" ref="K5:K37" si="2">IF(F5="","",F5-C5)</f>
        <v>2</v>
      </c>
      <c r="L5" s="8">
        <f t="shared" ref="L5:L37" si="3">IF(G5="","",G5-C5)</f>
        <v>2</v>
      </c>
      <c r="M5" s="8">
        <f t="shared" ref="M5:M37" si="4">IF(H5="","",H5-C5)</f>
        <v>1</v>
      </c>
      <c r="N5" s="6"/>
    </row>
    <row r="6" spans="1:14" ht="14.25" x14ac:dyDescent="0.15">
      <c r="A6" s="5" t="s">
        <v>17</v>
      </c>
      <c r="B6" s="6" t="s">
        <v>19</v>
      </c>
      <c r="C6" s="7">
        <v>3</v>
      </c>
      <c r="D6" s="7">
        <v>2</v>
      </c>
      <c r="E6" s="7">
        <v>3</v>
      </c>
      <c r="F6" s="7">
        <v>5</v>
      </c>
      <c r="G6" s="7">
        <v>5</v>
      </c>
      <c r="H6" s="7">
        <v>5</v>
      </c>
      <c r="I6" s="8">
        <f t="shared" si="0"/>
        <v>-1</v>
      </c>
      <c r="J6" s="8">
        <f t="shared" si="1"/>
        <v>0</v>
      </c>
      <c r="K6" s="8">
        <f t="shared" si="2"/>
        <v>2</v>
      </c>
      <c r="L6" s="8">
        <f t="shared" si="3"/>
        <v>2</v>
      </c>
      <c r="M6" s="8">
        <f t="shared" si="4"/>
        <v>2</v>
      </c>
      <c r="N6" s="6"/>
    </row>
    <row r="7" spans="1:14" ht="14.25" x14ac:dyDescent="0.15">
      <c r="A7" s="5" t="s">
        <v>17</v>
      </c>
      <c r="B7" s="6" t="s">
        <v>20</v>
      </c>
      <c r="C7" s="7">
        <v>3</v>
      </c>
      <c r="D7" s="7">
        <v>2</v>
      </c>
      <c r="E7" s="7">
        <v>3</v>
      </c>
      <c r="F7" s="7">
        <v>5</v>
      </c>
      <c r="G7" s="7">
        <v>5</v>
      </c>
      <c r="H7" s="7">
        <v>5</v>
      </c>
      <c r="I7" s="8">
        <f t="shared" si="0"/>
        <v>-1</v>
      </c>
      <c r="J7" s="8">
        <f t="shared" si="1"/>
        <v>0</v>
      </c>
      <c r="K7" s="8">
        <f t="shared" si="2"/>
        <v>2</v>
      </c>
      <c r="L7" s="8">
        <f t="shared" si="3"/>
        <v>2</v>
      </c>
      <c r="M7" s="8">
        <f t="shared" si="4"/>
        <v>2</v>
      </c>
      <c r="N7" s="6"/>
    </row>
    <row r="8" spans="1:14" ht="14.25" x14ac:dyDescent="0.15">
      <c r="A8" s="5" t="s">
        <v>17</v>
      </c>
      <c r="B8" s="6" t="s">
        <v>21</v>
      </c>
      <c r="C8" s="7">
        <v>3</v>
      </c>
      <c r="D8" s="7">
        <v>2</v>
      </c>
      <c r="E8" s="7">
        <v>3</v>
      </c>
      <c r="F8" s="7">
        <v>5</v>
      </c>
      <c r="G8" s="7">
        <v>5</v>
      </c>
      <c r="H8" s="7">
        <v>4</v>
      </c>
      <c r="I8" s="8">
        <f t="shared" si="0"/>
        <v>-1</v>
      </c>
      <c r="J8" s="8">
        <f t="shared" si="1"/>
        <v>0</v>
      </c>
      <c r="K8" s="8">
        <f t="shared" si="2"/>
        <v>2</v>
      </c>
      <c r="L8" s="8">
        <f t="shared" si="3"/>
        <v>2</v>
      </c>
      <c r="M8" s="8">
        <f t="shared" si="4"/>
        <v>1</v>
      </c>
      <c r="N8" s="6"/>
    </row>
    <row r="9" spans="1:14" ht="14.25" x14ac:dyDescent="0.15">
      <c r="A9" s="5" t="s">
        <v>17</v>
      </c>
      <c r="B9" s="6" t="s">
        <v>22</v>
      </c>
      <c r="C9" s="7">
        <v>3</v>
      </c>
      <c r="D9" s="7">
        <v>3</v>
      </c>
      <c r="E9" s="7">
        <v>4</v>
      </c>
      <c r="F9" s="7">
        <v>5</v>
      </c>
      <c r="G9" s="7">
        <v>5</v>
      </c>
      <c r="H9" s="7">
        <v>5</v>
      </c>
      <c r="I9" s="8">
        <f t="shared" si="0"/>
        <v>0</v>
      </c>
      <c r="J9" s="8">
        <f t="shared" si="1"/>
        <v>1</v>
      </c>
      <c r="K9" s="8">
        <f t="shared" si="2"/>
        <v>2</v>
      </c>
      <c r="L9" s="8">
        <f t="shared" si="3"/>
        <v>2</v>
      </c>
      <c r="M9" s="8">
        <f t="shared" si="4"/>
        <v>2</v>
      </c>
      <c r="N9" s="6"/>
    </row>
    <row r="10" spans="1:14" ht="14.25" x14ac:dyDescent="0.15">
      <c r="A10" s="5" t="s">
        <v>17</v>
      </c>
      <c r="B10" s="6" t="s">
        <v>23</v>
      </c>
      <c r="C10" s="7">
        <v>3</v>
      </c>
      <c r="D10" s="7">
        <v>2</v>
      </c>
      <c r="E10" s="7">
        <v>3</v>
      </c>
      <c r="F10" s="7">
        <v>5</v>
      </c>
      <c r="G10" s="7">
        <v>5</v>
      </c>
      <c r="H10" s="7">
        <v>5</v>
      </c>
      <c r="I10" s="8">
        <f t="shared" si="0"/>
        <v>-1</v>
      </c>
      <c r="J10" s="8">
        <f t="shared" si="1"/>
        <v>0</v>
      </c>
      <c r="K10" s="8">
        <f t="shared" si="2"/>
        <v>2</v>
      </c>
      <c r="L10" s="8">
        <f t="shared" si="3"/>
        <v>2</v>
      </c>
      <c r="M10" s="8">
        <f t="shared" si="4"/>
        <v>2</v>
      </c>
      <c r="N10" s="6"/>
    </row>
    <row r="11" spans="1:14" ht="14.25" x14ac:dyDescent="0.15">
      <c r="A11" s="5" t="s">
        <v>17</v>
      </c>
      <c r="B11" s="6" t="s">
        <v>24</v>
      </c>
      <c r="C11" s="7">
        <v>3</v>
      </c>
      <c r="D11" s="7">
        <v>1</v>
      </c>
      <c r="E11" s="7">
        <v>1</v>
      </c>
      <c r="F11" s="7">
        <v>3</v>
      </c>
      <c r="G11" s="7">
        <v>5</v>
      </c>
      <c r="H11" s="7">
        <v>2</v>
      </c>
      <c r="I11" s="8">
        <f t="shared" si="0"/>
        <v>-2</v>
      </c>
      <c r="J11" s="8">
        <f t="shared" si="1"/>
        <v>-2</v>
      </c>
      <c r="K11" s="8">
        <f t="shared" si="2"/>
        <v>0</v>
      </c>
      <c r="L11" s="8">
        <f t="shared" si="3"/>
        <v>2</v>
      </c>
      <c r="M11" s="8">
        <f t="shared" si="4"/>
        <v>-1</v>
      </c>
      <c r="N11" s="6"/>
    </row>
    <row r="12" spans="1:14" ht="14.25" x14ac:dyDescent="0.15">
      <c r="A12" s="5" t="s">
        <v>25</v>
      </c>
      <c r="B12" s="6" t="s">
        <v>26</v>
      </c>
      <c r="C12" s="7">
        <v>3</v>
      </c>
      <c r="D12" s="7">
        <v>2</v>
      </c>
      <c r="E12" s="7">
        <v>3</v>
      </c>
      <c r="F12" s="7">
        <v>5</v>
      </c>
      <c r="G12" s="7">
        <v>5</v>
      </c>
      <c r="H12" s="7">
        <v>4</v>
      </c>
      <c r="I12" s="8">
        <f t="shared" si="0"/>
        <v>-1</v>
      </c>
      <c r="J12" s="8">
        <f t="shared" si="1"/>
        <v>0</v>
      </c>
      <c r="K12" s="8">
        <f t="shared" si="2"/>
        <v>2</v>
      </c>
      <c r="L12" s="8">
        <f t="shared" si="3"/>
        <v>2</v>
      </c>
      <c r="M12" s="8">
        <f t="shared" si="4"/>
        <v>1</v>
      </c>
      <c r="N12" s="6"/>
    </row>
    <row r="13" spans="1:14" ht="14.25" x14ac:dyDescent="0.15">
      <c r="A13" s="5" t="s">
        <v>25</v>
      </c>
      <c r="B13" s="6" t="s">
        <v>27</v>
      </c>
      <c r="C13" s="7">
        <v>3</v>
      </c>
      <c r="D13" s="7">
        <v>3</v>
      </c>
      <c r="E13" s="7">
        <v>3</v>
      </c>
      <c r="F13" s="7">
        <v>5</v>
      </c>
      <c r="G13" s="7">
        <v>5</v>
      </c>
      <c r="H13" s="7">
        <v>4</v>
      </c>
      <c r="I13" s="8">
        <f t="shared" si="0"/>
        <v>0</v>
      </c>
      <c r="J13" s="8">
        <f t="shared" si="1"/>
        <v>0</v>
      </c>
      <c r="K13" s="8">
        <f t="shared" si="2"/>
        <v>2</v>
      </c>
      <c r="L13" s="8">
        <f t="shared" si="3"/>
        <v>2</v>
      </c>
      <c r="M13" s="8">
        <f t="shared" si="4"/>
        <v>1</v>
      </c>
      <c r="N13" s="6"/>
    </row>
    <row r="14" spans="1:14" ht="14.25" x14ac:dyDescent="0.15">
      <c r="A14" s="5" t="s">
        <v>25</v>
      </c>
      <c r="B14" s="6" t="s">
        <v>28</v>
      </c>
      <c r="C14" s="7">
        <v>3</v>
      </c>
      <c r="D14" s="7">
        <v>2</v>
      </c>
      <c r="E14" s="7">
        <v>3</v>
      </c>
      <c r="F14" s="7">
        <v>5</v>
      </c>
      <c r="G14" s="7">
        <v>5</v>
      </c>
      <c r="H14" s="7">
        <v>4</v>
      </c>
      <c r="I14" s="8">
        <f t="shared" si="0"/>
        <v>-1</v>
      </c>
      <c r="J14" s="8">
        <f t="shared" si="1"/>
        <v>0</v>
      </c>
      <c r="K14" s="8">
        <f t="shared" si="2"/>
        <v>2</v>
      </c>
      <c r="L14" s="8">
        <f t="shared" si="3"/>
        <v>2</v>
      </c>
      <c r="M14" s="8">
        <f t="shared" si="4"/>
        <v>1</v>
      </c>
      <c r="N14" s="6"/>
    </row>
    <row r="15" spans="1:14" ht="14.25" x14ac:dyDescent="0.15">
      <c r="A15" s="5" t="s">
        <v>25</v>
      </c>
      <c r="B15" s="6" t="s">
        <v>29</v>
      </c>
      <c r="C15" s="7">
        <v>3</v>
      </c>
      <c r="D15" s="7">
        <v>1</v>
      </c>
      <c r="E15" s="7">
        <v>1</v>
      </c>
      <c r="F15" s="7">
        <v>4</v>
      </c>
      <c r="G15" s="7">
        <v>5</v>
      </c>
      <c r="H15" s="7">
        <v>4</v>
      </c>
      <c r="I15" s="8">
        <f t="shared" si="0"/>
        <v>-2</v>
      </c>
      <c r="J15" s="8">
        <f t="shared" si="1"/>
        <v>-2</v>
      </c>
      <c r="K15" s="8">
        <f t="shared" si="2"/>
        <v>1</v>
      </c>
      <c r="L15" s="8">
        <f t="shared" si="3"/>
        <v>2</v>
      </c>
      <c r="M15" s="8">
        <f t="shared" si="4"/>
        <v>1</v>
      </c>
      <c r="N15" s="6"/>
    </row>
    <row r="16" spans="1:14" ht="14.25" x14ac:dyDescent="0.15">
      <c r="A16" s="5" t="s">
        <v>30</v>
      </c>
      <c r="B16" s="6" t="s">
        <v>31</v>
      </c>
      <c r="C16" s="7">
        <v>3</v>
      </c>
      <c r="D16" s="7">
        <v>2</v>
      </c>
      <c r="E16" s="7">
        <v>3</v>
      </c>
      <c r="F16" s="7">
        <v>5</v>
      </c>
      <c r="G16" s="7">
        <v>5</v>
      </c>
      <c r="H16" s="7">
        <v>4</v>
      </c>
      <c r="I16" s="8">
        <f t="shared" si="0"/>
        <v>-1</v>
      </c>
      <c r="J16" s="8">
        <f t="shared" si="1"/>
        <v>0</v>
      </c>
      <c r="K16" s="8">
        <f t="shared" si="2"/>
        <v>2</v>
      </c>
      <c r="L16" s="8">
        <f t="shared" si="3"/>
        <v>2</v>
      </c>
      <c r="M16" s="8">
        <f t="shared" si="4"/>
        <v>1</v>
      </c>
      <c r="N16" s="6"/>
    </row>
    <row r="17" spans="1:14" ht="14.25" x14ac:dyDescent="0.15">
      <c r="A17" s="5" t="s">
        <v>30</v>
      </c>
      <c r="B17" s="6" t="s">
        <v>32</v>
      </c>
      <c r="C17" s="7">
        <v>3</v>
      </c>
      <c r="D17" s="7">
        <v>1</v>
      </c>
      <c r="E17" s="7">
        <v>2</v>
      </c>
      <c r="F17" s="7">
        <v>5</v>
      </c>
      <c r="G17" s="7">
        <v>5</v>
      </c>
      <c r="H17" s="7">
        <v>4</v>
      </c>
      <c r="I17" s="8">
        <f t="shared" si="0"/>
        <v>-2</v>
      </c>
      <c r="J17" s="8">
        <f t="shared" si="1"/>
        <v>-1</v>
      </c>
      <c r="K17" s="8">
        <f t="shared" si="2"/>
        <v>2</v>
      </c>
      <c r="L17" s="8">
        <f t="shared" si="3"/>
        <v>2</v>
      </c>
      <c r="M17" s="8">
        <f t="shared" si="4"/>
        <v>1</v>
      </c>
      <c r="N17" s="6"/>
    </row>
    <row r="18" spans="1:14" ht="14.25" x14ac:dyDescent="0.15">
      <c r="A18" s="5" t="s">
        <v>30</v>
      </c>
      <c r="B18" s="6" t="s">
        <v>33</v>
      </c>
      <c r="C18" s="7">
        <v>3</v>
      </c>
      <c r="D18" s="7">
        <v>2</v>
      </c>
      <c r="E18" s="7">
        <v>1</v>
      </c>
      <c r="F18" s="7">
        <v>2</v>
      </c>
      <c r="G18" s="7"/>
      <c r="H18" s="7">
        <v>1</v>
      </c>
      <c r="I18" s="8">
        <f t="shared" si="0"/>
        <v>-1</v>
      </c>
      <c r="J18" s="8">
        <f t="shared" si="1"/>
        <v>-2</v>
      </c>
      <c r="K18" s="8">
        <f t="shared" si="2"/>
        <v>-1</v>
      </c>
      <c r="L18" s="8">
        <v>3</v>
      </c>
      <c r="M18" s="8">
        <f t="shared" si="4"/>
        <v>-2</v>
      </c>
      <c r="N18" s="6"/>
    </row>
    <row r="19" spans="1:14" ht="14.25" x14ac:dyDescent="0.15">
      <c r="A19" s="5" t="s">
        <v>30</v>
      </c>
      <c r="B19" s="6" t="s">
        <v>34</v>
      </c>
      <c r="C19" s="7">
        <v>3</v>
      </c>
      <c r="D19" s="7">
        <v>2</v>
      </c>
      <c r="E19" s="7">
        <v>1</v>
      </c>
      <c r="F19" s="7">
        <v>5</v>
      </c>
      <c r="G19" s="7">
        <v>5</v>
      </c>
      <c r="H19" s="7">
        <v>4</v>
      </c>
      <c r="I19" s="8">
        <f t="shared" si="0"/>
        <v>-1</v>
      </c>
      <c r="J19" s="8">
        <f t="shared" si="1"/>
        <v>-2</v>
      </c>
      <c r="K19" s="8">
        <f t="shared" si="2"/>
        <v>2</v>
      </c>
      <c r="L19" s="8">
        <f t="shared" si="3"/>
        <v>2</v>
      </c>
      <c r="M19" s="8">
        <f t="shared" si="4"/>
        <v>1</v>
      </c>
      <c r="N19" s="6"/>
    </row>
    <row r="20" spans="1:14" ht="14.25" x14ac:dyDescent="0.15">
      <c r="A20" s="5" t="s">
        <v>30</v>
      </c>
      <c r="B20" s="6" t="s">
        <v>35</v>
      </c>
      <c r="C20" s="7">
        <v>3</v>
      </c>
      <c r="D20" s="7">
        <v>1</v>
      </c>
      <c r="E20" s="7">
        <v>1</v>
      </c>
      <c r="F20" s="7">
        <v>4</v>
      </c>
      <c r="G20" s="7">
        <v>5</v>
      </c>
      <c r="H20" s="7">
        <v>2</v>
      </c>
      <c r="I20" s="8">
        <f t="shared" si="0"/>
        <v>-2</v>
      </c>
      <c r="J20" s="8">
        <f t="shared" si="1"/>
        <v>-2</v>
      </c>
      <c r="K20" s="8">
        <f t="shared" si="2"/>
        <v>1</v>
      </c>
      <c r="L20" s="8">
        <f t="shared" si="3"/>
        <v>2</v>
      </c>
      <c r="M20" s="8">
        <f t="shared" si="4"/>
        <v>-1</v>
      </c>
      <c r="N20" s="6"/>
    </row>
    <row r="21" spans="1:14" ht="14.25" x14ac:dyDescent="0.15">
      <c r="A21" s="5" t="s">
        <v>30</v>
      </c>
      <c r="B21" s="6" t="s">
        <v>36</v>
      </c>
      <c r="C21" s="7">
        <v>3</v>
      </c>
      <c r="D21" s="7">
        <v>1</v>
      </c>
      <c r="E21" s="7">
        <v>1</v>
      </c>
      <c r="F21" s="7">
        <v>4</v>
      </c>
      <c r="G21" s="7">
        <v>5</v>
      </c>
      <c r="H21" s="7">
        <v>4</v>
      </c>
      <c r="I21" s="8">
        <f t="shared" si="0"/>
        <v>-2</v>
      </c>
      <c r="J21" s="8">
        <f t="shared" si="1"/>
        <v>-2</v>
      </c>
      <c r="K21" s="8">
        <f t="shared" si="2"/>
        <v>1</v>
      </c>
      <c r="L21" s="8">
        <f t="shared" si="3"/>
        <v>2</v>
      </c>
      <c r="M21" s="8">
        <f t="shared" si="4"/>
        <v>1</v>
      </c>
      <c r="N21" s="6"/>
    </row>
    <row r="22" spans="1:14" ht="14.25" x14ac:dyDescent="0.15">
      <c r="A22" s="5" t="s">
        <v>37</v>
      </c>
      <c r="B22" s="6" t="s">
        <v>38</v>
      </c>
      <c r="C22" s="7">
        <v>3</v>
      </c>
      <c r="D22" s="7">
        <v>3</v>
      </c>
      <c r="E22" s="7">
        <v>3</v>
      </c>
      <c r="F22" s="7">
        <v>5</v>
      </c>
      <c r="G22" s="7">
        <v>5</v>
      </c>
      <c r="H22" s="7">
        <v>4</v>
      </c>
      <c r="I22" s="8">
        <f t="shared" si="0"/>
        <v>0</v>
      </c>
      <c r="J22" s="8">
        <f t="shared" si="1"/>
        <v>0</v>
      </c>
      <c r="K22" s="8">
        <f t="shared" si="2"/>
        <v>2</v>
      </c>
      <c r="L22" s="8">
        <f t="shared" si="3"/>
        <v>2</v>
      </c>
      <c r="M22" s="8">
        <f t="shared" si="4"/>
        <v>1</v>
      </c>
      <c r="N22" s="6"/>
    </row>
    <row r="23" spans="1:14" ht="14.25" x14ac:dyDescent="0.15">
      <c r="A23" s="5" t="s">
        <v>37</v>
      </c>
      <c r="B23" s="6" t="s">
        <v>39</v>
      </c>
      <c r="C23" s="7">
        <v>3</v>
      </c>
      <c r="D23" s="7">
        <v>2</v>
      </c>
      <c r="E23" s="7">
        <v>2</v>
      </c>
      <c r="F23" s="7">
        <v>5</v>
      </c>
      <c r="G23" s="7">
        <v>5</v>
      </c>
      <c r="H23" s="7">
        <v>3</v>
      </c>
      <c r="I23" s="8">
        <f t="shared" si="0"/>
        <v>-1</v>
      </c>
      <c r="J23" s="8">
        <f t="shared" si="1"/>
        <v>-1</v>
      </c>
      <c r="K23" s="8">
        <f t="shared" si="2"/>
        <v>2</v>
      </c>
      <c r="L23" s="8">
        <f t="shared" si="3"/>
        <v>2</v>
      </c>
      <c r="M23" s="8">
        <f t="shared" si="4"/>
        <v>0</v>
      </c>
      <c r="N23" s="6"/>
    </row>
    <row r="24" spans="1:14" ht="14.25" x14ac:dyDescent="0.15">
      <c r="A24" s="5" t="s">
        <v>37</v>
      </c>
      <c r="B24" s="6" t="s">
        <v>40</v>
      </c>
      <c r="C24" s="7">
        <v>3</v>
      </c>
      <c r="D24" s="7">
        <v>2</v>
      </c>
      <c r="E24" s="7">
        <v>1</v>
      </c>
      <c r="F24" s="7">
        <v>5</v>
      </c>
      <c r="G24" s="7">
        <v>5</v>
      </c>
      <c r="H24" s="7">
        <v>2</v>
      </c>
      <c r="I24" s="8">
        <f t="shared" si="0"/>
        <v>-1</v>
      </c>
      <c r="J24" s="8">
        <f t="shared" si="1"/>
        <v>-2</v>
      </c>
      <c r="K24" s="8">
        <f t="shared" si="2"/>
        <v>2</v>
      </c>
      <c r="L24" s="8">
        <f t="shared" si="3"/>
        <v>2</v>
      </c>
      <c r="M24" s="8">
        <f t="shared" si="4"/>
        <v>-1</v>
      </c>
      <c r="N24" s="6"/>
    </row>
    <row r="25" spans="1:14" ht="14.25" x14ac:dyDescent="0.15">
      <c r="A25" s="5" t="s">
        <v>37</v>
      </c>
      <c r="B25" s="6" t="s">
        <v>41</v>
      </c>
      <c r="C25" s="7">
        <v>3</v>
      </c>
      <c r="D25" s="7">
        <v>2</v>
      </c>
      <c r="E25" s="7">
        <v>1</v>
      </c>
      <c r="F25" s="7">
        <v>3</v>
      </c>
      <c r="G25" s="7">
        <v>5</v>
      </c>
      <c r="H25" s="7">
        <v>2</v>
      </c>
      <c r="I25" s="8">
        <f t="shared" si="0"/>
        <v>-1</v>
      </c>
      <c r="J25" s="8">
        <f t="shared" si="1"/>
        <v>-2</v>
      </c>
      <c r="K25" s="8">
        <f t="shared" si="2"/>
        <v>0</v>
      </c>
      <c r="L25" s="8">
        <f t="shared" si="3"/>
        <v>2</v>
      </c>
      <c r="M25" s="8">
        <f t="shared" si="4"/>
        <v>-1</v>
      </c>
      <c r="N25" s="6"/>
    </row>
    <row r="26" spans="1:14" ht="14.25" x14ac:dyDescent="0.15">
      <c r="A26" s="5" t="s">
        <v>37</v>
      </c>
      <c r="B26" s="6" t="s">
        <v>42</v>
      </c>
      <c r="C26" s="7">
        <v>3</v>
      </c>
      <c r="D26" s="7">
        <v>3</v>
      </c>
      <c r="E26" s="7">
        <v>3</v>
      </c>
      <c r="F26" s="7">
        <v>5</v>
      </c>
      <c r="G26" s="7">
        <v>5</v>
      </c>
      <c r="H26" s="7">
        <v>3</v>
      </c>
      <c r="I26" s="8">
        <f t="shared" si="0"/>
        <v>0</v>
      </c>
      <c r="J26" s="8">
        <f t="shared" si="1"/>
        <v>0</v>
      </c>
      <c r="K26" s="8">
        <f t="shared" si="2"/>
        <v>2</v>
      </c>
      <c r="L26" s="8">
        <f t="shared" si="3"/>
        <v>2</v>
      </c>
      <c r="M26" s="8">
        <f t="shared" si="4"/>
        <v>0</v>
      </c>
      <c r="N26" s="6"/>
    </row>
    <row r="27" spans="1:14" ht="14.25" x14ac:dyDescent="0.15">
      <c r="A27" s="5" t="s">
        <v>43</v>
      </c>
      <c r="B27" s="6" t="s">
        <v>44</v>
      </c>
      <c r="C27" s="7">
        <v>3</v>
      </c>
      <c r="D27" s="7">
        <v>2</v>
      </c>
      <c r="E27" s="7">
        <v>2</v>
      </c>
      <c r="F27" s="7">
        <v>5</v>
      </c>
      <c r="G27" s="7">
        <v>5</v>
      </c>
      <c r="H27" s="7">
        <v>3</v>
      </c>
      <c r="I27" s="8">
        <f t="shared" si="0"/>
        <v>-1</v>
      </c>
      <c r="J27" s="8">
        <f t="shared" si="1"/>
        <v>-1</v>
      </c>
      <c r="K27" s="8">
        <f t="shared" si="2"/>
        <v>2</v>
      </c>
      <c r="L27" s="8">
        <f t="shared" si="3"/>
        <v>2</v>
      </c>
      <c r="M27" s="8">
        <f t="shared" si="4"/>
        <v>0</v>
      </c>
      <c r="N27" s="6"/>
    </row>
    <row r="28" spans="1:14" ht="14.25" x14ac:dyDescent="0.15">
      <c r="A28" s="5" t="s">
        <v>43</v>
      </c>
      <c r="B28" s="6" t="s">
        <v>45</v>
      </c>
      <c r="C28" s="7">
        <v>3</v>
      </c>
      <c r="D28" s="7">
        <v>2</v>
      </c>
      <c r="E28" s="7">
        <v>2</v>
      </c>
      <c r="F28" s="7">
        <v>5</v>
      </c>
      <c r="G28" s="7">
        <v>5</v>
      </c>
      <c r="H28" s="7">
        <v>4</v>
      </c>
      <c r="I28" s="8">
        <f t="shared" si="0"/>
        <v>-1</v>
      </c>
      <c r="J28" s="8">
        <f t="shared" si="1"/>
        <v>-1</v>
      </c>
      <c r="K28" s="8">
        <f t="shared" si="2"/>
        <v>2</v>
      </c>
      <c r="L28" s="8">
        <f t="shared" si="3"/>
        <v>2</v>
      </c>
      <c r="M28" s="8">
        <f t="shared" si="4"/>
        <v>1</v>
      </c>
      <c r="N28" s="6"/>
    </row>
    <row r="29" spans="1:14" ht="14.25" x14ac:dyDescent="0.15">
      <c r="A29" s="5" t="s">
        <v>43</v>
      </c>
      <c r="B29" s="6" t="s">
        <v>46</v>
      </c>
      <c r="C29" s="7">
        <v>3</v>
      </c>
      <c r="D29" s="7">
        <v>2</v>
      </c>
      <c r="E29" s="7">
        <v>2</v>
      </c>
      <c r="F29" s="7">
        <v>5</v>
      </c>
      <c r="G29" s="7">
        <v>5</v>
      </c>
      <c r="H29" s="7">
        <v>4</v>
      </c>
      <c r="I29" s="8">
        <f t="shared" si="0"/>
        <v>-1</v>
      </c>
      <c r="J29" s="8">
        <f t="shared" si="1"/>
        <v>-1</v>
      </c>
      <c r="K29" s="8">
        <f t="shared" si="2"/>
        <v>2</v>
      </c>
      <c r="L29" s="8">
        <f t="shared" si="3"/>
        <v>2</v>
      </c>
      <c r="M29" s="8">
        <f t="shared" si="4"/>
        <v>1</v>
      </c>
      <c r="N29" s="6"/>
    </row>
    <row r="30" spans="1:14" ht="14.25" x14ac:dyDescent="0.15">
      <c r="A30" s="5" t="s">
        <v>43</v>
      </c>
      <c r="B30" s="6" t="s">
        <v>47</v>
      </c>
      <c r="C30" s="7">
        <v>3</v>
      </c>
      <c r="D30" s="7">
        <v>2</v>
      </c>
      <c r="E30" s="7">
        <v>2</v>
      </c>
      <c r="F30" s="7">
        <v>5</v>
      </c>
      <c r="G30" s="7">
        <v>5</v>
      </c>
      <c r="H30" s="7">
        <v>4</v>
      </c>
      <c r="I30" s="8">
        <f t="shared" si="0"/>
        <v>-1</v>
      </c>
      <c r="J30" s="8">
        <f t="shared" si="1"/>
        <v>-1</v>
      </c>
      <c r="K30" s="8">
        <f t="shared" si="2"/>
        <v>2</v>
      </c>
      <c r="L30" s="8">
        <f t="shared" si="3"/>
        <v>2</v>
      </c>
      <c r="M30" s="8">
        <f t="shared" si="4"/>
        <v>1</v>
      </c>
      <c r="N30" s="6"/>
    </row>
    <row r="31" spans="1:14" ht="14.25" x14ac:dyDescent="0.15">
      <c r="A31" s="5" t="s">
        <v>43</v>
      </c>
      <c r="B31" s="6" t="s">
        <v>48</v>
      </c>
      <c r="C31" s="7">
        <v>3</v>
      </c>
      <c r="D31" s="7">
        <v>1</v>
      </c>
      <c r="E31" s="7">
        <v>2</v>
      </c>
      <c r="F31" s="7">
        <v>5</v>
      </c>
      <c r="G31" s="7">
        <v>5</v>
      </c>
      <c r="H31" s="7">
        <v>4</v>
      </c>
      <c r="I31" s="8">
        <f t="shared" si="0"/>
        <v>-2</v>
      </c>
      <c r="J31" s="8">
        <f t="shared" si="1"/>
        <v>-1</v>
      </c>
      <c r="K31" s="8">
        <f t="shared" si="2"/>
        <v>2</v>
      </c>
      <c r="L31" s="8">
        <f t="shared" si="3"/>
        <v>2</v>
      </c>
      <c r="M31" s="8">
        <f t="shared" si="4"/>
        <v>1</v>
      </c>
      <c r="N31" s="6"/>
    </row>
    <row r="32" spans="1:14" ht="14.25" x14ac:dyDescent="0.15">
      <c r="A32" s="5" t="s">
        <v>43</v>
      </c>
      <c r="B32" s="6" t="s">
        <v>49</v>
      </c>
      <c r="C32" s="7">
        <v>3</v>
      </c>
      <c r="D32" s="7">
        <v>1</v>
      </c>
      <c r="E32" s="7">
        <v>2</v>
      </c>
      <c r="F32" s="7">
        <v>5</v>
      </c>
      <c r="G32" s="7">
        <v>5</v>
      </c>
      <c r="H32" s="7">
        <v>4</v>
      </c>
      <c r="I32" s="8">
        <f t="shared" si="0"/>
        <v>-2</v>
      </c>
      <c r="J32" s="8">
        <f t="shared" si="1"/>
        <v>-1</v>
      </c>
      <c r="K32" s="8">
        <f t="shared" si="2"/>
        <v>2</v>
      </c>
      <c r="L32" s="8">
        <f t="shared" si="3"/>
        <v>2</v>
      </c>
      <c r="M32" s="8">
        <f t="shared" si="4"/>
        <v>1</v>
      </c>
      <c r="N32" s="6"/>
    </row>
    <row r="33" spans="1:14" ht="14.25" x14ac:dyDescent="0.15">
      <c r="A33" s="5" t="s">
        <v>50</v>
      </c>
      <c r="B33" s="6" t="s">
        <v>51</v>
      </c>
      <c r="C33" s="7">
        <v>3</v>
      </c>
      <c r="D33" s="7">
        <v>2</v>
      </c>
      <c r="E33" s="7">
        <v>2</v>
      </c>
      <c r="F33" s="7">
        <v>5</v>
      </c>
      <c r="G33" s="7">
        <v>3</v>
      </c>
      <c r="H33" s="7">
        <v>3</v>
      </c>
      <c r="I33" s="8">
        <f t="shared" si="0"/>
        <v>-1</v>
      </c>
      <c r="J33" s="8">
        <f t="shared" si="1"/>
        <v>-1</v>
      </c>
      <c r="K33" s="8">
        <f t="shared" si="2"/>
        <v>2</v>
      </c>
      <c r="L33" s="8">
        <f t="shared" si="3"/>
        <v>0</v>
      </c>
      <c r="M33" s="8">
        <f t="shared" si="4"/>
        <v>0</v>
      </c>
      <c r="N33" s="6"/>
    </row>
    <row r="34" spans="1:14" ht="14.25" x14ac:dyDescent="0.15">
      <c r="A34" s="5" t="s">
        <v>50</v>
      </c>
      <c r="B34" s="6" t="s">
        <v>52</v>
      </c>
      <c r="C34" s="7">
        <v>3</v>
      </c>
      <c r="D34" s="7">
        <v>2</v>
      </c>
      <c r="E34" s="7">
        <v>3</v>
      </c>
      <c r="F34" s="7">
        <v>5</v>
      </c>
      <c r="G34" s="7">
        <v>5</v>
      </c>
      <c r="H34" s="7">
        <v>3</v>
      </c>
      <c r="I34" s="8">
        <f t="shared" si="0"/>
        <v>-1</v>
      </c>
      <c r="J34" s="8">
        <f t="shared" si="1"/>
        <v>0</v>
      </c>
      <c r="K34" s="8">
        <f t="shared" si="2"/>
        <v>2</v>
      </c>
      <c r="L34" s="8">
        <f t="shared" si="3"/>
        <v>2</v>
      </c>
      <c r="M34" s="8">
        <f t="shared" si="4"/>
        <v>0</v>
      </c>
      <c r="N34" s="6"/>
    </row>
    <row r="35" spans="1:14" ht="14.25" x14ac:dyDescent="0.15">
      <c r="A35" s="5" t="s">
        <v>50</v>
      </c>
      <c r="B35" s="6" t="s">
        <v>53</v>
      </c>
      <c r="C35" s="7">
        <v>3</v>
      </c>
      <c r="D35" s="7">
        <v>1</v>
      </c>
      <c r="E35" s="7">
        <v>2</v>
      </c>
      <c r="F35" s="7">
        <v>5</v>
      </c>
      <c r="G35" s="7">
        <v>4</v>
      </c>
      <c r="H35" s="7">
        <v>3</v>
      </c>
      <c r="I35" s="8">
        <f t="shared" si="0"/>
        <v>-2</v>
      </c>
      <c r="J35" s="8">
        <f t="shared" si="1"/>
        <v>-1</v>
      </c>
      <c r="K35" s="8">
        <f t="shared" si="2"/>
        <v>2</v>
      </c>
      <c r="L35" s="8">
        <f t="shared" si="3"/>
        <v>1</v>
      </c>
      <c r="M35" s="8">
        <f t="shared" si="4"/>
        <v>0</v>
      </c>
      <c r="N35" s="6"/>
    </row>
    <row r="36" spans="1:14" ht="14.25" x14ac:dyDescent="0.15">
      <c r="A36" s="5" t="s">
        <v>50</v>
      </c>
      <c r="B36" s="6" t="s">
        <v>54</v>
      </c>
      <c r="C36" s="7">
        <v>3</v>
      </c>
      <c r="D36" s="7">
        <v>1</v>
      </c>
      <c r="E36" s="7">
        <v>1</v>
      </c>
      <c r="F36" s="7">
        <v>3</v>
      </c>
      <c r="G36" s="7">
        <v>3</v>
      </c>
      <c r="H36" s="7">
        <v>2</v>
      </c>
      <c r="I36" s="8">
        <f t="shared" si="0"/>
        <v>-2</v>
      </c>
      <c r="J36" s="8">
        <f t="shared" si="1"/>
        <v>-2</v>
      </c>
      <c r="K36" s="8">
        <f t="shared" si="2"/>
        <v>0</v>
      </c>
      <c r="L36" s="8">
        <f t="shared" si="3"/>
        <v>0</v>
      </c>
      <c r="M36" s="8">
        <f t="shared" si="4"/>
        <v>-1</v>
      </c>
      <c r="N36" s="6"/>
    </row>
    <row r="37" spans="1:14" ht="14.25" x14ac:dyDescent="0.15">
      <c r="A37" s="5" t="s">
        <v>50</v>
      </c>
      <c r="B37" s="6" t="s">
        <v>55</v>
      </c>
      <c r="C37" s="7">
        <v>3</v>
      </c>
      <c r="D37" s="7">
        <v>1</v>
      </c>
      <c r="E37" s="7">
        <v>2</v>
      </c>
      <c r="F37" s="7">
        <v>4</v>
      </c>
      <c r="G37" s="7">
        <v>4</v>
      </c>
      <c r="H37" s="7">
        <v>2</v>
      </c>
      <c r="I37" s="8">
        <f t="shared" si="0"/>
        <v>-2</v>
      </c>
      <c r="J37" s="8">
        <f t="shared" si="1"/>
        <v>-1</v>
      </c>
      <c r="K37" s="8">
        <f t="shared" si="2"/>
        <v>1</v>
      </c>
      <c r="L37" s="8">
        <f t="shared" si="3"/>
        <v>1</v>
      </c>
      <c r="M37" s="8">
        <f t="shared" si="4"/>
        <v>-1</v>
      </c>
      <c r="N37" s="6"/>
    </row>
    <row r="39" spans="1:14" ht="14.25" x14ac:dyDescent="0.2">
      <c r="A39" s="3" t="s">
        <v>56</v>
      </c>
    </row>
  </sheetData>
  <phoneticPr fontId="7"/>
  <conditionalFormatting sqref="D5:D37">
    <cfRule type="colorScale" priority="1">
      <colorScale>
        <cfvo type="num" val="1"/>
        <cfvo type="num" val="3"/>
        <cfvo type="num" val="5"/>
        <color rgb="FFF8CBAD"/>
        <color rgb="FFFFF2CC"/>
        <color rgb="FFA9D08E"/>
      </colorScale>
    </cfRule>
  </conditionalFormatting>
  <conditionalFormatting sqref="E5:E37">
    <cfRule type="colorScale" priority="2">
      <colorScale>
        <cfvo type="num" val="1"/>
        <cfvo type="num" val="3"/>
        <cfvo type="num" val="5"/>
        <color rgb="FFF8CBAD"/>
        <color rgb="FFFFF2CC"/>
        <color rgb="FFA9D08E"/>
      </colorScale>
    </cfRule>
  </conditionalFormatting>
  <conditionalFormatting sqref="F5:F37">
    <cfRule type="colorScale" priority="3">
      <colorScale>
        <cfvo type="num" val="1"/>
        <cfvo type="num" val="3"/>
        <cfvo type="num" val="5"/>
        <color rgb="FFF8CBAD"/>
        <color rgb="FFFFF2CC"/>
        <color rgb="FFA9D08E"/>
      </colorScale>
    </cfRule>
  </conditionalFormatting>
  <conditionalFormatting sqref="G5:G37">
    <cfRule type="colorScale" priority="4">
      <colorScale>
        <cfvo type="num" val="1"/>
        <cfvo type="num" val="3"/>
        <cfvo type="num" val="5"/>
        <color rgb="FFF8CBAD"/>
        <color rgb="FFFFF2CC"/>
        <color rgb="FFA9D08E"/>
      </colorScale>
    </cfRule>
  </conditionalFormatting>
  <conditionalFormatting sqref="H5:H37">
    <cfRule type="colorScale" priority="5">
      <colorScale>
        <cfvo type="num" val="1"/>
        <cfvo type="num" val="3"/>
        <cfvo type="num" val="5"/>
        <color rgb="FFF8CBAD"/>
        <color rgb="FFFFF2CC"/>
        <color rgb="FFA9D08E"/>
      </colorScale>
    </cfRule>
  </conditionalFormatting>
  <conditionalFormatting sqref="I5:M37">
    <cfRule type="cellIs" dxfId="0" priority="6" operator="lessThan">
      <formula>0</formula>
    </cfRule>
  </conditionalFormatting>
  <dataValidations count="1">
    <dataValidation type="whole" allowBlank="1" showErrorMessage="1" errorTitle="入力エラー" error="1〜5の整数を入力してください" sqref="C5:H37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"/>
  <sheetViews>
    <sheetView workbookViewId="0"/>
  </sheetViews>
  <sheetFormatPr defaultRowHeight="13.5" x14ac:dyDescent="0.15"/>
  <cols>
    <col min="1" max="1" width="20" customWidth="1"/>
    <col min="2" max="7" width="11" customWidth="1"/>
  </cols>
  <sheetData>
    <row r="1" spans="1:7" ht="19.5" x14ac:dyDescent="0.3">
      <c r="A1" s="1" t="s">
        <v>57</v>
      </c>
    </row>
    <row r="3" spans="1:7" ht="15.75" x14ac:dyDescent="0.15">
      <c r="A3" s="4" t="s">
        <v>3</v>
      </c>
      <c r="B3" s="4" t="s">
        <v>58</v>
      </c>
      <c r="C3" s="4" t="s">
        <v>6</v>
      </c>
      <c r="D3" s="4" t="s">
        <v>7</v>
      </c>
      <c r="E3" s="4" t="s">
        <v>8</v>
      </c>
      <c r="F3" s="4" t="s">
        <v>9</v>
      </c>
      <c r="G3" s="4" t="s">
        <v>10</v>
      </c>
    </row>
    <row r="4" spans="1:7" ht="14.25" x14ac:dyDescent="0.15">
      <c r="A4" s="6" t="s">
        <v>17</v>
      </c>
      <c r="B4" s="9">
        <f>IFERROR(AVERAGEIFS(スキルマップ!$C$5:$C$37,スキルマップ!$A$5:$A$37,$A4),0)</f>
        <v>3</v>
      </c>
      <c r="C4" s="9">
        <f>IFERROR(AVERAGEIFS(スキルマップ!$D$5:$D$37,スキルマップ!$A$5:$A$37,$A4),0)</f>
        <v>2</v>
      </c>
      <c r="D4" s="9">
        <f>IFERROR(AVERAGEIFS(スキルマップ!$E$5:$E$37,スキルマップ!$A$5:$A$37,$A4),0)</f>
        <v>2.8571428571428572</v>
      </c>
      <c r="E4" s="9">
        <f>IFERROR(AVERAGEIFS(スキルマップ!$F$5:$F$37,スキルマップ!$A$5:$A$37,$A4),0)</f>
        <v>4.7142857142857144</v>
      </c>
      <c r="F4" s="9">
        <f>IFERROR(AVERAGEIFS(スキルマップ!$G$5:$G$37,スキルマップ!$A$5:$A$37,$A4),0)</f>
        <v>5</v>
      </c>
      <c r="G4" s="9">
        <f>IFERROR(AVERAGEIFS(スキルマップ!$H$5:$H$37,スキルマップ!$A$5:$A$37,$A4),0)</f>
        <v>4.2857142857142856</v>
      </c>
    </row>
    <row r="5" spans="1:7" ht="14.25" x14ac:dyDescent="0.15">
      <c r="A5" s="6" t="s">
        <v>25</v>
      </c>
      <c r="B5" s="9">
        <f>IFERROR(AVERAGEIFS(スキルマップ!$C$5:$C$37,スキルマップ!$A$5:$A$37,$A5),0)</f>
        <v>3</v>
      </c>
      <c r="C5" s="9">
        <f>IFERROR(AVERAGEIFS(スキルマップ!$D$5:$D$37,スキルマップ!$A$5:$A$37,$A5),0)</f>
        <v>2</v>
      </c>
      <c r="D5" s="9">
        <f>IFERROR(AVERAGEIFS(スキルマップ!$E$5:$E$37,スキルマップ!$A$5:$A$37,$A5),0)</f>
        <v>2.5</v>
      </c>
      <c r="E5" s="9">
        <f>IFERROR(AVERAGEIFS(スキルマップ!$F$5:$F$37,スキルマップ!$A$5:$A$37,$A5),0)</f>
        <v>4.75</v>
      </c>
      <c r="F5" s="9">
        <f>IFERROR(AVERAGEIFS(スキルマップ!$G$5:$G$37,スキルマップ!$A$5:$A$37,$A5),0)</f>
        <v>5</v>
      </c>
      <c r="G5" s="9">
        <f>IFERROR(AVERAGEIFS(スキルマップ!$H$5:$H$37,スキルマップ!$A$5:$A$37,$A5),0)</f>
        <v>4</v>
      </c>
    </row>
    <row r="6" spans="1:7" ht="14.25" x14ac:dyDescent="0.15">
      <c r="A6" s="6" t="s">
        <v>30</v>
      </c>
      <c r="B6" s="9">
        <f>IFERROR(AVERAGEIFS(スキルマップ!$C$5:$C$37,スキルマップ!$A$5:$A$37,$A6),0)</f>
        <v>3</v>
      </c>
      <c r="C6" s="9">
        <f>IFERROR(AVERAGEIFS(スキルマップ!$D$5:$D$37,スキルマップ!$A$5:$A$37,$A6),0)</f>
        <v>1.5</v>
      </c>
      <c r="D6" s="9">
        <f>IFERROR(AVERAGEIFS(スキルマップ!$E$5:$E$37,スキルマップ!$A$5:$A$37,$A6),0)</f>
        <v>1.5</v>
      </c>
      <c r="E6" s="9">
        <f>IFERROR(AVERAGEIFS(スキルマップ!$F$5:$F$37,スキルマップ!$A$5:$A$37,$A6),0)</f>
        <v>4.166666666666667</v>
      </c>
      <c r="F6" s="9">
        <f>IFERROR(AVERAGEIFS(スキルマップ!$G$5:$G$37,スキルマップ!$A$5:$A$37,$A6),0)</f>
        <v>5</v>
      </c>
      <c r="G6" s="9">
        <f>IFERROR(AVERAGEIFS(スキルマップ!$H$5:$H$37,スキルマップ!$A$5:$A$37,$A6),0)</f>
        <v>3.1666666666666665</v>
      </c>
    </row>
    <row r="7" spans="1:7" ht="14.25" x14ac:dyDescent="0.15">
      <c r="A7" s="6" t="s">
        <v>37</v>
      </c>
      <c r="B7" s="9">
        <f>IFERROR(AVERAGEIFS(スキルマップ!$C$5:$C$37,スキルマップ!$A$5:$A$37,$A7),0)</f>
        <v>3</v>
      </c>
      <c r="C7" s="9">
        <f>IFERROR(AVERAGEIFS(スキルマップ!$D$5:$D$37,スキルマップ!$A$5:$A$37,$A7),0)</f>
        <v>2.4</v>
      </c>
      <c r="D7" s="9">
        <f>IFERROR(AVERAGEIFS(スキルマップ!$E$5:$E$37,スキルマップ!$A$5:$A$37,$A7),0)</f>
        <v>2</v>
      </c>
      <c r="E7" s="9">
        <f>IFERROR(AVERAGEIFS(スキルマップ!$F$5:$F$37,スキルマップ!$A$5:$A$37,$A7),0)</f>
        <v>4.5999999999999996</v>
      </c>
      <c r="F7" s="9">
        <f>IFERROR(AVERAGEIFS(スキルマップ!$G$5:$G$37,スキルマップ!$A$5:$A$37,$A7),0)</f>
        <v>5</v>
      </c>
      <c r="G7" s="9">
        <f>IFERROR(AVERAGEIFS(スキルマップ!$H$5:$H$37,スキルマップ!$A$5:$A$37,$A7),0)</f>
        <v>2.8</v>
      </c>
    </row>
    <row r="8" spans="1:7" ht="14.25" x14ac:dyDescent="0.15">
      <c r="A8" s="6" t="s">
        <v>43</v>
      </c>
      <c r="B8" s="9">
        <f>IFERROR(AVERAGEIFS(スキルマップ!$C$5:$C$37,スキルマップ!$A$5:$A$37,$A8),0)</f>
        <v>3</v>
      </c>
      <c r="C8" s="9">
        <f>IFERROR(AVERAGEIFS(スキルマップ!$D$5:$D$37,スキルマップ!$A$5:$A$37,$A8),0)</f>
        <v>1.6666666666666667</v>
      </c>
      <c r="D8" s="9">
        <f>IFERROR(AVERAGEIFS(スキルマップ!$E$5:$E$37,スキルマップ!$A$5:$A$37,$A8),0)</f>
        <v>2</v>
      </c>
      <c r="E8" s="9">
        <f>IFERROR(AVERAGEIFS(スキルマップ!$F$5:$F$37,スキルマップ!$A$5:$A$37,$A8),0)</f>
        <v>5</v>
      </c>
      <c r="F8" s="9">
        <f>IFERROR(AVERAGEIFS(スキルマップ!$G$5:$G$37,スキルマップ!$A$5:$A$37,$A8),0)</f>
        <v>5</v>
      </c>
      <c r="G8" s="9">
        <f>IFERROR(AVERAGEIFS(スキルマップ!$H$5:$H$37,スキルマップ!$A$5:$A$37,$A8),0)</f>
        <v>3.8333333333333335</v>
      </c>
    </row>
    <row r="9" spans="1:7" ht="14.25" x14ac:dyDescent="0.15">
      <c r="A9" s="6" t="s">
        <v>50</v>
      </c>
      <c r="B9" s="9">
        <f>IFERROR(AVERAGEIFS(スキルマップ!$C$5:$C$37,スキルマップ!$A$5:$A$37,$A9),0)</f>
        <v>3</v>
      </c>
      <c r="C9" s="9">
        <f>IFERROR(AVERAGEIFS(スキルマップ!$D$5:$D$37,スキルマップ!$A$5:$A$37,$A9),0)</f>
        <v>1.4</v>
      </c>
      <c r="D9" s="9">
        <f>IFERROR(AVERAGEIFS(スキルマップ!$E$5:$E$37,スキルマップ!$A$5:$A$37,$A9),0)</f>
        <v>2</v>
      </c>
      <c r="E9" s="9">
        <f>IFERROR(AVERAGEIFS(スキルマップ!$F$5:$F$37,スキルマップ!$A$5:$A$37,$A9),0)</f>
        <v>4.4000000000000004</v>
      </c>
      <c r="F9" s="9">
        <f>IFERROR(AVERAGEIFS(スキルマップ!$G$5:$G$37,スキルマップ!$A$5:$A$37,$A9),0)</f>
        <v>3.8</v>
      </c>
      <c r="G9" s="9">
        <f>IFERROR(AVERAGEIFS(スキルマップ!$H$5:$H$37,スキルマップ!$A$5:$A$37,$A9),0)</f>
        <v>2.6</v>
      </c>
    </row>
    <row r="10" spans="1:7" ht="14.25" x14ac:dyDescent="0.15">
      <c r="A10" s="10" t="s">
        <v>59</v>
      </c>
      <c r="B10" s="11">
        <f>IFERROR(AVERAGE(スキルマップ!$C$5:$C$37),0)</f>
        <v>3</v>
      </c>
      <c r="C10" s="11">
        <f>IFERROR(AVERAGE(スキルマップ!$D$5:$D$37),0)</f>
        <v>1.8181818181818181</v>
      </c>
      <c r="D10" s="11">
        <f>IFERROR(AVERAGE(スキルマップ!$E$5:$E$37),0)</f>
        <v>2.1515151515151514</v>
      </c>
      <c r="E10" s="11">
        <f>IFERROR(AVERAGE(スキルマップ!$F$5:$F$37),0)</f>
        <v>4.6060606060606064</v>
      </c>
      <c r="F10" s="11">
        <f>IFERROR(AVERAGE(スキルマップ!$G$5:$G$37),0)</f>
        <v>4.8125</v>
      </c>
      <c r="G10" s="11">
        <f>IFERROR(AVERAGE(スキルマップ!$H$5:$H$37),0)</f>
        <v>3.4848484848484849</v>
      </c>
    </row>
  </sheetData>
  <phoneticPr fontId="7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workbookViewId="0"/>
  </sheetViews>
  <sheetFormatPr defaultRowHeight="13.5" x14ac:dyDescent="0.15"/>
  <cols>
    <col min="1" max="1" width="9" customWidth="1"/>
    <col min="2" max="2" width="34" customWidth="1"/>
    <col min="3" max="3" width="60" customWidth="1"/>
  </cols>
  <sheetData>
    <row r="1" spans="1:3" ht="15.75" x14ac:dyDescent="0.15">
      <c r="A1" s="4" t="s">
        <v>60</v>
      </c>
      <c r="B1" s="4" t="s">
        <v>61</v>
      </c>
      <c r="C1" s="4" t="s">
        <v>62</v>
      </c>
    </row>
    <row r="2" spans="1:3" ht="14.25" x14ac:dyDescent="0.15">
      <c r="A2" s="8">
        <v>1</v>
      </c>
      <c r="B2" s="6" t="s">
        <v>63</v>
      </c>
      <c r="C2" s="6" t="s">
        <v>64</v>
      </c>
    </row>
    <row r="3" spans="1:3" ht="14.25" x14ac:dyDescent="0.15">
      <c r="A3" s="8">
        <v>2</v>
      </c>
      <c r="B3" s="6" t="s">
        <v>65</v>
      </c>
      <c r="C3" s="6" t="s">
        <v>66</v>
      </c>
    </row>
    <row r="4" spans="1:3" ht="14.25" x14ac:dyDescent="0.15">
      <c r="A4" s="8">
        <v>3</v>
      </c>
      <c r="B4" s="6" t="s">
        <v>67</v>
      </c>
      <c r="C4" s="6" t="s">
        <v>68</v>
      </c>
    </row>
    <row r="5" spans="1:3" ht="14.25" x14ac:dyDescent="0.15">
      <c r="A5" s="8">
        <v>4</v>
      </c>
      <c r="B5" s="6" t="s">
        <v>69</v>
      </c>
      <c r="C5" s="6" t="s">
        <v>70</v>
      </c>
    </row>
    <row r="6" spans="1:3" ht="14.25" x14ac:dyDescent="0.15">
      <c r="A6" s="8">
        <v>5</v>
      </c>
      <c r="B6" s="6" t="s">
        <v>71</v>
      </c>
      <c r="C6" s="6" t="s">
        <v>72</v>
      </c>
    </row>
  </sheetData>
  <phoneticPr fontId="7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スキルマップ</vt:lpstr>
      <vt:lpstr>サマリー</vt:lpstr>
      <vt:lpstr>評価基準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優佳 花木</cp:lastModifiedBy>
  <dcterms:created xsi:type="dcterms:W3CDTF">2026-10-27T04:11:26Z</dcterms:created>
  <dcterms:modified xsi:type="dcterms:W3CDTF">2026-10-31T00:25:36Z</dcterms:modified>
</cp:coreProperties>
</file>