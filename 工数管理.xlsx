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Work\"/>
    </mc:Choice>
  </mc:AlternateContent>
  <xr:revisionPtr revIDLastSave="0" documentId="13_ncr:1_{02909F07-51F2-4A3F-BD47-2FA8607B9F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数管理" sheetId="2" r:id="rId1"/>
    <sheet name="Gantt" sheetId="3" r:id="rId2"/>
    <sheet name="祝日" sheetId="4" r:id="rId3"/>
    <sheet name="使い方" sheetId="1" r:id="rId4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I6" i="4"/>
  <c r="L1" i="4"/>
  <c r="K1" i="4"/>
  <c r="J1" i="4"/>
  <c r="AM98" i="2"/>
  <c r="AK98" i="2"/>
  <c r="H98" i="2"/>
  <c r="E98" i="2"/>
  <c r="B98" i="2"/>
  <c r="A98" i="2"/>
  <c r="BP98" i="2" s="1"/>
  <c r="AM97" i="2"/>
  <c r="AK97" i="2"/>
  <c r="H97" i="2"/>
  <c r="E97" i="2"/>
  <c r="B97" i="2"/>
  <c r="A97" i="2"/>
  <c r="BP97" i="2" s="1"/>
  <c r="AM96" i="2"/>
  <c r="AK96" i="2"/>
  <c r="H96" i="2"/>
  <c r="E96" i="2"/>
  <c r="B96" i="2"/>
  <c r="A96" i="2"/>
  <c r="BP96" i="2" s="1"/>
  <c r="G95" i="2"/>
  <c r="E95" i="2"/>
  <c r="D95" i="2"/>
  <c r="F95" i="2" s="1"/>
  <c r="B95" i="2"/>
  <c r="AM94" i="2"/>
  <c r="AK94" i="2"/>
  <c r="H94" i="2"/>
  <c r="E94" i="2"/>
  <c r="B94" i="2"/>
  <c r="A94" i="2"/>
  <c r="BP94" i="2" s="1"/>
  <c r="AM93" i="2"/>
  <c r="AK93" i="2"/>
  <c r="H93" i="2"/>
  <c r="E93" i="2"/>
  <c r="B93" i="2"/>
  <c r="A93" i="2"/>
  <c r="BP93" i="2" s="1"/>
  <c r="AM92" i="2"/>
  <c r="AK92" i="2"/>
  <c r="H92" i="2"/>
  <c r="E92" i="2"/>
  <c r="B92" i="2"/>
  <c r="A92" i="2"/>
  <c r="BP92" i="2" s="1"/>
  <c r="G91" i="2"/>
  <c r="E91" i="2"/>
  <c r="D91" i="2"/>
  <c r="F91" i="2" s="1"/>
  <c r="B91" i="2"/>
  <c r="AM90" i="2"/>
  <c r="AK90" i="2"/>
  <c r="H90" i="2"/>
  <c r="E90" i="2"/>
  <c r="B90" i="2"/>
  <c r="A90" i="2"/>
  <c r="BP90" i="2" s="1"/>
  <c r="AM89" i="2"/>
  <c r="AK89" i="2"/>
  <c r="H89" i="2"/>
  <c r="E89" i="2"/>
  <c r="B89" i="2"/>
  <c r="A89" i="2"/>
  <c r="BP89" i="2" s="1"/>
  <c r="AM88" i="2"/>
  <c r="H88" i="2"/>
  <c r="E88" i="2"/>
  <c r="B88" i="2"/>
  <c r="A88" i="2"/>
  <c r="BP88" i="2" s="1"/>
  <c r="G87" i="2"/>
  <c r="E87" i="2"/>
  <c r="D87" i="2"/>
  <c r="F87" i="2" s="1"/>
  <c r="B87" i="2"/>
  <c r="AM86" i="2"/>
  <c r="H86" i="2"/>
  <c r="E86" i="2"/>
  <c r="B86" i="2"/>
  <c r="A86" i="2"/>
  <c r="BP86" i="2" s="1"/>
  <c r="AM85" i="2"/>
  <c r="H85" i="2"/>
  <c r="E85" i="2"/>
  <c r="B85" i="2"/>
  <c r="A85" i="2"/>
  <c r="BP85" i="2" s="1"/>
  <c r="AM84" i="2"/>
  <c r="H84" i="2"/>
  <c r="E84" i="2"/>
  <c r="B84" i="2"/>
  <c r="A84" i="2"/>
  <c r="BP84" i="2" s="1"/>
  <c r="E83" i="2"/>
  <c r="D83" i="2"/>
  <c r="F83" i="2" s="1"/>
  <c r="B83" i="2"/>
  <c r="AM82" i="2"/>
  <c r="H82" i="2"/>
  <c r="G82" i="2"/>
  <c r="BO82" i="2" s="1"/>
  <c r="E82" i="2"/>
  <c r="B82" i="2"/>
  <c r="A82" i="2"/>
  <c r="BP82" i="2" s="1"/>
  <c r="AM81" i="2"/>
  <c r="H81" i="2"/>
  <c r="E81" i="2"/>
  <c r="B81" i="2"/>
  <c r="A81" i="2"/>
  <c r="BP81" i="2" s="1"/>
  <c r="AM80" i="2"/>
  <c r="H80" i="2"/>
  <c r="E80" i="2"/>
  <c r="B80" i="2"/>
  <c r="A80" i="2"/>
  <c r="BP80" i="2" s="1"/>
  <c r="G79" i="2"/>
  <c r="E79" i="2"/>
  <c r="D79" i="2"/>
  <c r="F79" i="2" s="1"/>
  <c r="B79" i="2"/>
  <c r="AM78" i="2"/>
  <c r="H78" i="2"/>
  <c r="E78" i="2"/>
  <c r="B78" i="2"/>
  <c r="A78" i="2"/>
  <c r="BP78" i="2" s="1"/>
  <c r="AM77" i="2"/>
  <c r="H77" i="2"/>
  <c r="E77" i="2"/>
  <c r="B77" i="2"/>
  <c r="A77" i="2"/>
  <c r="BP77" i="2" s="1"/>
  <c r="AM76" i="2"/>
  <c r="H76" i="2"/>
  <c r="E76" i="2"/>
  <c r="B76" i="2"/>
  <c r="A76" i="2"/>
  <c r="BP76" i="2" s="1"/>
  <c r="G75" i="2"/>
  <c r="E75" i="2"/>
  <c r="D75" i="2"/>
  <c r="F75" i="2" s="1"/>
  <c r="B75" i="2"/>
  <c r="AM74" i="2"/>
  <c r="AK74" i="2"/>
  <c r="H74" i="2"/>
  <c r="G74" i="2"/>
  <c r="BO74" i="2" s="1"/>
  <c r="F74" i="2"/>
  <c r="AO74" i="2" s="1"/>
  <c r="E74" i="2"/>
  <c r="AN74" i="2" s="1"/>
  <c r="B74" i="2"/>
  <c r="A74" i="2"/>
  <c r="BP74" i="2" s="1"/>
  <c r="AM73" i="2"/>
  <c r="AK73" i="2"/>
  <c r="H73" i="2"/>
  <c r="G73" i="2"/>
  <c r="BO73" i="2" s="1"/>
  <c r="F73" i="2"/>
  <c r="AO73" i="2" s="1"/>
  <c r="E73" i="2"/>
  <c r="AN73" i="2" s="1"/>
  <c r="B73" i="2"/>
  <c r="A73" i="2"/>
  <c r="BP73" i="2" s="1"/>
  <c r="AM72" i="2"/>
  <c r="AK72" i="2"/>
  <c r="H72" i="2"/>
  <c r="G72" i="2"/>
  <c r="BO72" i="2" s="1"/>
  <c r="F72" i="2"/>
  <c r="AO72" i="2" s="1"/>
  <c r="E72" i="2"/>
  <c r="AN72" i="2" s="1"/>
  <c r="B72" i="2"/>
  <c r="A72" i="2"/>
  <c r="BP72" i="2" s="1"/>
  <c r="G71" i="2"/>
  <c r="F71" i="2"/>
  <c r="E71" i="2"/>
  <c r="D71" i="2"/>
  <c r="B71" i="2"/>
  <c r="BP69" i="2"/>
  <c r="AM69" i="2"/>
  <c r="H69" i="2"/>
  <c r="E69" i="2"/>
  <c r="B69" i="2"/>
  <c r="A69" i="2"/>
  <c r="AM68" i="2"/>
  <c r="H68" i="2"/>
  <c r="E68" i="2"/>
  <c r="B68" i="2"/>
  <c r="A68" i="2"/>
  <c r="BP68" i="2" s="1"/>
  <c r="AM67" i="2"/>
  <c r="H67" i="2"/>
  <c r="E67" i="2"/>
  <c r="B67" i="2"/>
  <c r="A67" i="2"/>
  <c r="BP67" i="2" s="1"/>
  <c r="E66" i="2"/>
  <c r="D66" i="2"/>
  <c r="F66" i="2" s="1"/>
  <c r="B66" i="2"/>
  <c r="AM65" i="2"/>
  <c r="H65" i="2"/>
  <c r="E65" i="2"/>
  <c r="B65" i="2"/>
  <c r="A65" i="2"/>
  <c r="BP65" i="2" s="1"/>
  <c r="AM64" i="2"/>
  <c r="H64" i="2"/>
  <c r="E64" i="2"/>
  <c r="B64" i="2"/>
  <c r="A64" i="2"/>
  <c r="BP64" i="2" s="1"/>
  <c r="AM63" i="2"/>
  <c r="H63" i="2"/>
  <c r="E63" i="2"/>
  <c r="B63" i="2"/>
  <c r="A63" i="2"/>
  <c r="BP63" i="2" s="1"/>
  <c r="E62" i="2"/>
  <c r="D62" i="2"/>
  <c r="F62" i="2" s="1"/>
  <c r="B62" i="2"/>
  <c r="AM61" i="2"/>
  <c r="H61" i="2"/>
  <c r="B61" i="2"/>
  <c r="A61" i="2"/>
  <c r="BP61" i="2" s="1"/>
  <c r="AM60" i="2"/>
  <c r="H60" i="2"/>
  <c r="E60" i="2"/>
  <c r="B60" i="2"/>
  <c r="A60" i="2"/>
  <c r="BP60" i="2" s="1"/>
  <c r="AM59" i="2"/>
  <c r="H59" i="2"/>
  <c r="E59" i="2"/>
  <c r="B59" i="2"/>
  <c r="A59" i="2"/>
  <c r="BP59" i="2" s="1"/>
  <c r="D58" i="2"/>
  <c r="B58" i="2"/>
  <c r="AM57" i="2"/>
  <c r="H57" i="2"/>
  <c r="E57" i="2"/>
  <c r="B57" i="2"/>
  <c r="A57" i="2"/>
  <c r="BP57" i="2" s="1"/>
  <c r="AM56" i="2"/>
  <c r="H56" i="2"/>
  <c r="E56" i="2"/>
  <c r="B56" i="2"/>
  <c r="A56" i="2"/>
  <c r="BP56" i="2" s="1"/>
  <c r="AM55" i="2"/>
  <c r="H55" i="2"/>
  <c r="E55" i="2"/>
  <c r="B55" i="2"/>
  <c r="A55" i="2"/>
  <c r="BP55" i="2" s="1"/>
  <c r="D54" i="2"/>
  <c r="B54" i="2"/>
  <c r="AM53" i="2"/>
  <c r="H53" i="2"/>
  <c r="E53" i="2"/>
  <c r="B53" i="2"/>
  <c r="A53" i="2"/>
  <c r="BP53" i="2" s="1"/>
  <c r="AM52" i="2"/>
  <c r="H52" i="2"/>
  <c r="E52" i="2"/>
  <c r="B52" i="2"/>
  <c r="A52" i="2"/>
  <c r="BP52" i="2" s="1"/>
  <c r="AM51" i="2"/>
  <c r="H51" i="2"/>
  <c r="E51" i="2"/>
  <c r="B51" i="2"/>
  <c r="A51" i="2"/>
  <c r="BP51" i="2" s="1"/>
  <c r="E50" i="2"/>
  <c r="D50" i="2"/>
  <c r="F50" i="2" s="1"/>
  <c r="B50" i="2"/>
  <c r="AS49" i="2"/>
  <c r="AT49" i="2" s="1"/>
  <c r="AM49" i="2"/>
  <c r="AK49" i="2"/>
  <c r="H49" i="2"/>
  <c r="G49" i="2"/>
  <c r="BO49" i="2" s="1"/>
  <c r="F49" i="2"/>
  <c r="AO49" i="2" s="1"/>
  <c r="E49" i="2"/>
  <c r="AN49" i="2" s="1"/>
  <c r="B49" i="2"/>
  <c r="A49" i="2"/>
  <c r="BP49" i="2" s="1"/>
  <c r="AM48" i="2"/>
  <c r="AK48" i="2"/>
  <c r="H48" i="2"/>
  <c r="G48" i="2"/>
  <c r="BO48" i="2" s="1"/>
  <c r="F48" i="2"/>
  <c r="AO48" i="2" s="1"/>
  <c r="E48" i="2"/>
  <c r="AN48" i="2" s="1"/>
  <c r="B48" i="2"/>
  <c r="A48" i="2"/>
  <c r="BP48" i="2" s="1"/>
  <c r="AM47" i="2"/>
  <c r="AK47" i="2"/>
  <c r="H47" i="2"/>
  <c r="G47" i="2"/>
  <c r="BO47" i="2" s="1"/>
  <c r="F47" i="2"/>
  <c r="AO47" i="2" s="1"/>
  <c r="E47" i="2"/>
  <c r="AN47" i="2" s="1"/>
  <c r="B47" i="2"/>
  <c r="A47" i="2"/>
  <c r="BP47" i="2" s="1"/>
  <c r="G46" i="2"/>
  <c r="F46" i="2"/>
  <c r="E46" i="2"/>
  <c r="D46" i="2"/>
  <c r="B46" i="2"/>
  <c r="BP45" i="2"/>
  <c r="AJ45" i="2"/>
  <c r="AM44" i="2"/>
  <c r="AK44" i="2"/>
  <c r="H44" i="2"/>
  <c r="E44" i="2"/>
  <c r="B44" i="2"/>
  <c r="A44" i="2"/>
  <c r="BP44" i="2" s="1"/>
  <c r="AM43" i="2"/>
  <c r="AK43" i="2"/>
  <c r="H43" i="2"/>
  <c r="E43" i="2"/>
  <c r="B43" i="2"/>
  <c r="A43" i="2"/>
  <c r="BP43" i="2" s="1"/>
  <c r="AM42" i="2"/>
  <c r="AK42" i="2"/>
  <c r="H42" i="2"/>
  <c r="E42" i="2"/>
  <c r="B42" i="2"/>
  <c r="A42" i="2"/>
  <c r="BP42" i="2" s="1"/>
  <c r="D41" i="2"/>
  <c r="B41" i="2"/>
  <c r="AM40" i="2"/>
  <c r="AK40" i="2"/>
  <c r="H40" i="2"/>
  <c r="B40" i="2"/>
  <c r="A40" i="2"/>
  <c r="BP40" i="2" s="1"/>
  <c r="AM39" i="2"/>
  <c r="AK39" i="2"/>
  <c r="H39" i="2"/>
  <c r="E39" i="2"/>
  <c r="B39" i="2"/>
  <c r="A39" i="2"/>
  <c r="BP39" i="2" s="1"/>
  <c r="AM38" i="2"/>
  <c r="AK38" i="2"/>
  <c r="H38" i="2"/>
  <c r="E38" i="2"/>
  <c r="B38" i="2"/>
  <c r="A38" i="2"/>
  <c r="BP38" i="2" s="1"/>
  <c r="D37" i="2"/>
  <c r="B37" i="2"/>
  <c r="AM36" i="2"/>
  <c r="AK36" i="2"/>
  <c r="H36" i="2"/>
  <c r="E36" i="2"/>
  <c r="B36" i="2"/>
  <c r="A36" i="2"/>
  <c r="BP36" i="2" s="1"/>
  <c r="AM35" i="2"/>
  <c r="AK35" i="2"/>
  <c r="H35" i="2"/>
  <c r="E35" i="2"/>
  <c r="B35" i="2"/>
  <c r="A35" i="2"/>
  <c r="BP35" i="2" s="1"/>
  <c r="AM34" i="2"/>
  <c r="AK34" i="2"/>
  <c r="I34" i="2"/>
  <c r="H34" i="2"/>
  <c r="AL34" i="2" s="1"/>
  <c r="E34" i="2"/>
  <c r="B34" i="2"/>
  <c r="A34" i="2"/>
  <c r="BP34" i="2" s="1"/>
  <c r="D33" i="2"/>
  <c r="B33" i="2"/>
  <c r="AM32" i="2"/>
  <c r="AK32" i="2"/>
  <c r="H32" i="2"/>
  <c r="E32" i="2"/>
  <c r="B32" i="2"/>
  <c r="A32" i="2"/>
  <c r="BP32" i="2" s="1"/>
  <c r="AM31" i="2"/>
  <c r="AK31" i="2"/>
  <c r="H31" i="2"/>
  <c r="E31" i="2"/>
  <c r="B31" i="2"/>
  <c r="A31" i="2"/>
  <c r="BP31" i="2" s="1"/>
  <c r="AM30" i="2"/>
  <c r="AK30" i="2"/>
  <c r="H30" i="2"/>
  <c r="E30" i="2"/>
  <c r="B30" i="2"/>
  <c r="A30" i="2"/>
  <c r="BP30" i="2" s="1"/>
  <c r="D29" i="2"/>
  <c r="B29" i="2"/>
  <c r="AM28" i="2"/>
  <c r="AK28" i="2"/>
  <c r="H28" i="2"/>
  <c r="G28" i="2"/>
  <c r="BO28" i="2" s="1"/>
  <c r="F28" i="2"/>
  <c r="AO28" i="2" s="1"/>
  <c r="E28" i="2"/>
  <c r="AN28" i="2" s="1"/>
  <c r="B28" i="2"/>
  <c r="A28" i="2"/>
  <c r="BP28" i="2" s="1"/>
  <c r="AM27" i="2"/>
  <c r="AK27" i="2"/>
  <c r="H27" i="2"/>
  <c r="G27" i="2"/>
  <c r="BO27" i="2" s="1"/>
  <c r="F27" i="2"/>
  <c r="AO27" i="2" s="1"/>
  <c r="E27" i="2"/>
  <c r="AN27" i="2" s="1"/>
  <c r="B27" i="2"/>
  <c r="A27" i="2"/>
  <c r="BP27" i="2" s="1"/>
  <c r="AM26" i="2"/>
  <c r="AK26" i="2"/>
  <c r="H26" i="2"/>
  <c r="G26" i="2"/>
  <c r="BO26" i="2" s="1"/>
  <c r="F26" i="2"/>
  <c r="AO26" i="2" s="1"/>
  <c r="E26" i="2"/>
  <c r="AN26" i="2" s="1"/>
  <c r="B26" i="2"/>
  <c r="A26" i="2"/>
  <c r="BP26" i="2" s="1"/>
  <c r="G25" i="2"/>
  <c r="F25" i="2"/>
  <c r="E25" i="2"/>
  <c r="D25" i="2"/>
  <c r="B25" i="2"/>
  <c r="BP24" i="2"/>
  <c r="AJ24" i="2"/>
  <c r="AM23" i="2"/>
  <c r="H23" i="2"/>
  <c r="E23" i="2"/>
  <c r="B23" i="2"/>
  <c r="A23" i="2"/>
  <c r="BP23" i="2" s="1"/>
  <c r="AM22" i="2"/>
  <c r="H22" i="2"/>
  <c r="E22" i="2"/>
  <c r="B22" i="2"/>
  <c r="A22" i="2"/>
  <c r="BP22" i="2" s="1"/>
  <c r="AM21" i="2"/>
  <c r="H21" i="2"/>
  <c r="E21" i="2"/>
  <c r="B21" i="2"/>
  <c r="A21" i="2"/>
  <c r="BP21" i="2" s="1"/>
  <c r="E20" i="2"/>
  <c r="D20" i="2"/>
  <c r="F20" i="2" s="1"/>
  <c r="B20" i="2"/>
  <c r="AM19" i="2"/>
  <c r="H19" i="2"/>
  <c r="E19" i="2"/>
  <c r="B19" i="2"/>
  <c r="A19" i="2"/>
  <c r="BP19" i="2" s="1"/>
  <c r="AM18" i="2"/>
  <c r="H18" i="2"/>
  <c r="E18" i="2"/>
  <c r="B18" i="2"/>
  <c r="A18" i="2"/>
  <c r="BP18" i="2" s="1"/>
  <c r="AM17" i="2"/>
  <c r="H17" i="2"/>
  <c r="E17" i="2"/>
  <c r="B17" i="2"/>
  <c r="A17" i="2"/>
  <c r="BP17" i="2" s="1"/>
  <c r="E16" i="2"/>
  <c r="D16" i="2"/>
  <c r="F16" i="2" s="1"/>
  <c r="B16" i="2"/>
  <c r="AM15" i="2"/>
  <c r="H15" i="2"/>
  <c r="E15" i="2"/>
  <c r="B15" i="2"/>
  <c r="A15" i="2"/>
  <c r="BP15" i="2" s="1"/>
  <c r="AM14" i="2"/>
  <c r="H14" i="2"/>
  <c r="E14" i="2"/>
  <c r="B14" i="2"/>
  <c r="A14" i="2"/>
  <c r="BP14" i="2" s="1"/>
  <c r="AM13" i="2"/>
  <c r="H13" i="2"/>
  <c r="E13" i="2"/>
  <c r="B13" i="2"/>
  <c r="A13" i="2"/>
  <c r="BP13" i="2" s="1"/>
  <c r="D12" i="2"/>
  <c r="B12" i="2"/>
  <c r="AM11" i="2"/>
  <c r="AK11" i="2"/>
  <c r="H11" i="2"/>
  <c r="E11" i="2"/>
  <c r="B11" i="2"/>
  <c r="A11" i="2"/>
  <c r="BP11" i="2" s="1"/>
  <c r="AM10" i="2"/>
  <c r="H10" i="2"/>
  <c r="E10" i="2"/>
  <c r="B10" i="2"/>
  <c r="A10" i="2"/>
  <c r="BP10" i="2" s="1"/>
  <c r="AM9" i="2"/>
  <c r="H9" i="2"/>
  <c r="E9" i="2"/>
  <c r="B9" i="2"/>
  <c r="A9" i="2"/>
  <c r="BP9" i="2" s="1"/>
  <c r="D8" i="2"/>
  <c r="B8" i="2"/>
  <c r="BC7" i="2"/>
  <c r="BD7" i="2" s="1"/>
  <c r="AM7" i="2"/>
  <c r="AK7" i="2"/>
  <c r="H7" i="2"/>
  <c r="G7" i="2"/>
  <c r="BO7" i="2" s="1"/>
  <c r="F7" i="2"/>
  <c r="AO7" i="2" s="1"/>
  <c r="E7" i="2"/>
  <c r="AN7" i="2" s="1"/>
  <c r="B7" i="2"/>
  <c r="A7" i="2"/>
  <c r="BP7" i="2" s="1"/>
  <c r="AM6" i="2"/>
  <c r="AK6" i="2"/>
  <c r="H6" i="2"/>
  <c r="G6" i="2"/>
  <c r="BO6" i="2" s="1"/>
  <c r="F6" i="2"/>
  <c r="AO6" i="2" s="1"/>
  <c r="E6" i="2"/>
  <c r="AN6" i="2" s="1"/>
  <c r="B6" i="2"/>
  <c r="A6" i="2"/>
  <c r="BP6" i="2" s="1"/>
  <c r="AM5" i="2"/>
  <c r="AK5" i="2"/>
  <c r="H5" i="2"/>
  <c r="G5" i="2"/>
  <c r="BO5" i="2" s="1"/>
  <c r="F5" i="2"/>
  <c r="AO5" i="2" s="1"/>
  <c r="E5" i="2"/>
  <c r="AN5" i="2" s="1"/>
  <c r="B5" i="2"/>
  <c r="A5" i="2"/>
  <c r="BP5" i="2" s="1"/>
  <c r="G4" i="2"/>
  <c r="F4" i="2"/>
  <c r="E4" i="2"/>
  <c r="D4" i="2"/>
  <c r="B4" i="2"/>
  <c r="BP3" i="2"/>
  <c r="AJ3" i="2"/>
  <c r="AI1" i="2"/>
  <c r="AD2" i="3"/>
  <c r="H8" i="4" l="1"/>
  <c r="I7" i="4"/>
  <c r="L8" i="4"/>
  <c r="L7" i="4"/>
  <c r="L6" i="4"/>
  <c r="BC98" i="2"/>
  <c r="BD98" i="2" s="1"/>
  <c r="BM98" i="2"/>
  <c r="BN98" i="2" s="1"/>
  <c r="BK98" i="2"/>
  <c r="BL98" i="2" s="1"/>
  <c r="BI98" i="2"/>
  <c r="BJ98" i="2" s="1"/>
  <c r="BE98" i="2"/>
  <c r="BF98" i="2" s="1"/>
  <c r="BA98" i="2"/>
  <c r="BB98" i="2" s="1"/>
  <c r="AY98" i="2"/>
  <c r="AZ98" i="2" s="1"/>
  <c r="AU98" i="2"/>
  <c r="AV98" i="2" s="1"/>
  <c r="AS98" i="2"/>
  <c r="AT98" i="2" s="1"/>
  <c r="AW98" i="2"/>
  <c r="AX98" i="2" s="1"/>
  <c r="AQ98" i="2"/>
  <c r="AR98" i="2" s="1"/>
  <c r="BG98" i="2"/>
  <c r="BH98" i="2" s="1"/>
  <c r="AL98" i="2"/>
  <c r="I98" i="2"/>
  <c r="AN98" i="2"/>
  <c r="F98" i="2"/>
  <c r="AO98" i="2" s="1"/>
  <c r="G98" i="2"/>
  <c r="BO98" i="2" s="1"/>
  <c r="BM97" i="2"/>
  <c r="BN97" i="2" s="1"/>
  <c r="BK97" i="2"/>
  <c r="BL97" i="2" s="1"/>
  <c r="BI97" i="2"/>
  <c r="BJ97" i="2" s="1"/>
  <c r="BG97" i="2"/>
  <c r="BH97" i="2" s="1"/>
  <c r="BE97" i="2"/>
  <c r="BF97" i="2" s="1"/>
  <c r="BC97" i="2"/>
  <c r="BD97" i="2" s="1"/>
  <c r="BA97" i="2"/>
  <c r="BB97" i="2" s="1"/>
  <c r="AY97" i="2"/>
  <c r="AZ97" i="2" s="1"/>
  <c r="AW97" i="2"/>
  <c r="AX97" i="2" s="1"/>
  <c r="AU97" i="2"/>
  <c r="AV97" i="2" s="1"/>
  <c r="AS97" i="2"/>
  <c r="AT97" i="2" s="1"/>
  <c r="AQ97" i="2"/>
  <c r="AR97" i="2" s="1"/>
  <c r="AL97" i="2"/>
  <c r="I97" i="2"/>
  <c r="AN97" i="2"/>
  <c r="G97" i="2"/>
  <c r="BO97" i="2" s="1"/>
  <c r="F97" i="2"/>
  <c r="AO97" i="2" s="1"/>
  <c r="BA96" i="2"/>
  <c r="BB96" i="2" s="1"/>
  <c r="BC96" i="2"/>
  <c r="BD96" i="2" s="1"/>
  <c r="BG96" i="2"/>
  <c r="BH96" i="2" s="1"/>
  <c r="BI96" i="2"/>
  <c r="BJ96" i="2" s="1"/>
  <c r="BK96" i="2"/>
  <c r="BL96" i="2" s="1"/>
  <c r="AU96" i="2"/>
  <c r="AV96" i="2" s="1"/>
  <c r="BE96" i="2"/>
  <c r="BF96" i="2" s="1"/>
  <c r="BM96" i="2"/>
  <c r="BN96" i="2" s="1"/>
  <c r="AQ96" i="2"/>
  <c r="AR96" i="2" s="1"/>
  <c r="AS96" i="2"/>
  <c r="AT96" i="2" s="1"/>
  <c r="AW96" i="2"/>
  <c r="AX96" i="2" s="1"/>
  <c r="AY96" i="2"/>
  <c r="AZ96" i="2" s="1"/>
  <c r="I96" i="2"/>
  <c r="AL96" i="2"/>
  <c r="G96" i="2"/>
  <c r="BO96" i="2" s="1"/>
  <c r="F96" i="2"/>
  <c r="AO96" i="2" s="1"/>
  <c r="AN96" i="2"/>
  <c r="BM94" i="2"/>
  <c r="BN94" i="2" s="1"/>
  <c r="AQ94" i="2"/>
  <c r="AR94" i="2" s="1"/>
  <c r="AS94" i="2"/>
  <c r="AT94" i="2" s="1"/>
  <c r="AU94" i="2"/>
  <c r="AV94" i="2" s="1"/>
  <c r="AW94" i="2"/>
  <c r="AX94" i="2" s="1"/>
  <c r="AY94" i="2"/>
  <c r="AZ94" i="2" s="1"/>
  <c r="BA94" i="2"/>
  <c r="BB94" i="2" s="1"/>
  <c r="BC94" i="2"/>
  <c r="BD94" i="2" s="1"/>
  <c r="BE94" i="2"/>
  <c r="BF94" i="2" s="1"/>
  <c r="BI94" i="2"/>
  <c r="BJ94" i="2" s="1"/>
  <c r="BK94" i="2"/>
  <c r="BL94" i="2" s="1"/>
  <c r="BG94" i="2"/>
  <c r="BH94" i="2" s="1"/>
  <c r="AL94" i="2"/>
  <c r="I94" i="2"/>
  <c r="AN94" i="2"/>
  <c r="G94" i="2"/>
  <c r="BO94" i="2" s="1"/>
  <c r="F94" i="2"/>
  <c r="AO94" i="2" s="1"/>
  <c r="BM93" i="2"/>
  <c r="BN93" i="2" s="1"/>
  <c r="BK93" i="2"/>
  <c r="BL93" i="2" s="1"/>
  <c r="BI93" i="2"/>
  <c r="BJ93" i="2" s="1"/>
  <c r="BG93" i="2"/>
  <c r="BH93" i="2" s="1"/>
  <c r="BE93" i="2"/>
  <c r="BF93" i="2" s="1"/>
  <c r="BC93" i="2"/>
  <c r="BD93" i="2" s="1"/>
  <c r="BA93" i="2"/>
  <c r="BB93" i="2" s="1"/>
  <c r="AY93" i="2"/>
  <c r="AZ93" i="2" s="1"/>
  <c r="AU93" i="2"/>
  <c r="AV93" i="2" s="1"/>
  <c r="AS93" i="2"/>
  <c r="AT93" i="2" s="1"/>
  <c r="AQ93" i="2"/>
  <c r="AR93" i="2" s="1"/>
  <c r="AW93" i="2"/>
  <c r="AX93" i="2" s="1"/>
  <c r="I93" i="2"/>
  <c r="AL93" i="2"/>
  <c r="AN93" i="2"/>
  <c r="G93" i="2"/>
  <c r="BO93" i="2" s="1"/>
  <c r="F93" i="2"/>
  <c r="AO93" i="2" s="1"/>
  <c r="AW92" i="2"/>
  <c r="AX92" i="2" s="1"/>
  <c r="AQ92" i="2"/>
  <c r="AR92" i="2" s="1"/>
  <c r="AS92" i="2"/>
  <c r="AT92" i="2" s="1"/>
  <c r="AU92" i="2"/>
  <c r="AV92" i="2" s="1"/>
  <c r="BG92" i="2"/>
  <c r="BH92" i="2" s="1"/>
  <c r="AY92" i="2"/>
  <c r="AZ92" i="2" s="1"/>
  <c r="BA92" i="2"/>
  <c r="BB92" i="2" s="1"/>
  <c r="BE92" i="2"/>
  <c r="BF92" i="2" s="1"/>
  <c r="BI92" i="2"/>
  <c r="BJ92" i="2" s="1"/>
  <c r="BK92" i="2"/>
  <c r="BL92" i="2" s="1"/>
  <c r="BM92" i="2"/>
  <c r="BN92" i="2" s="1"/>
  <c r="BC92" i="2"/>
  <c r="BD92" i="2" s="1"/>
  <c r="AL92" i="2"/>
  <c r="I92" i="2"/>
  <c r="AN92" i="2"/>
  <c r="F92" i="2"/>
  <c r="AO92" i="2" s="1"/>
  <c r="G92" i="2"/>
  <c r="BO92" i="2" s="1"/>
  <c r="AU90" i="2"/>
  <c r="AV90" i="2" s="1"/>
  <c r="AW90" i="2"/>
  <c r="AX90" i="2" s="1"/>
  <c r="BA90" i="2"/>
  <c r="BB90" i="2" s="1"/>
  <c r="BC90" i="2"/>
  <c r="BD90" i="2" s="1"/>
  <c r="BE90" i="2"/>
  <c r="BF90" i="2" s="1"/>
  <c r="BI90" i="2"/>
  <c r="BJ90" i="2" s="1"/>
  <c r="BK90" i="2"/>
  <c r="BL90" i="2" s="1"/>
  <c r="BM90" i="2"/>
  <c r="BN90" i="2" s="1"/>
  <c r="AQ90" i="2"/>
  <c r="AR90" i="2" s="1"/>
  <c r="BG90" i="2"/>
  <c r="BH90" i="2" s="1"/>
  <c r="AY90" i="2"/>
  <c r="AZ90" i="2" s="1"/>
  <c r="AS90" i="2"/>
  <c r="AT90" i="2" s="1"/>
  <c r="I90" i="2"/>
  <c r="AL90" i="2"/>
  <c r="AN90" i="2"/>
  <c r="G90" i="2"/>
  <c r="BO90" i="2" s="1"/>
  <c r="F90" i="2"/>
  <c r="AO90" i="2" s="1"/>
  <c r="BK89" i="2"/>
  <c r="BL89" i="2" s="1"/>
  <c r="AU89" i="2"/>
  <c r="AV89" i="2" s="1"/>
  <c r="AS89" i="2"/>
  <c r="AT89" i="2" s="1"/>
  <c r="AW89" i="2"/>
  <c r="AX89" i="2" s="1"/>
  <c r="BE89" i="2"/>
  <c r="BF89" i="2" s="1"/>
  <c r="BC89" i="2"/>
  <c r="BD89" i="2" s="1"/>
  <c r="BA89" i="2"/>
  <c r="BB89" i="2" s="1"/>
  <c r="BM89" i="2"/>
  <c r="BN89" i="2" s="1"/>
  <c r="AQ89" i="2"/>
  <c r="AR89" i="2" s="1"/>
  <c r="BI89" i="2"/>
  <c r="BJ89" i="2" s="1"/>
  <c r="BG89" i="2"/>
  <c r="BH89" i="2" s="1"/>
  <c r="AY89" i="2"/>
  <c r="AZ89" i="2" s="1"/>
  <c r="AL89" i="2"/>
  <c r="I89" i="2"/>
  <c r="F89" i="2"/>
  <c r="AO89" i="2" s="1"/>
  <c r="G89" i="2"/>
  <c r="BO89" i="2" s="1"/>
  <c r="AN89" i="2"/>
  <c r="AL88" i="2"/>
  <c r="I88" i="2"/>
  <c r="F88" i="2"/>
  <c r="AO88" i="2" s="1"/>
  <c r="AN88" i="2"/>
  <c r="G88" i="2"/>
  <c r="BO88" i="2" s="1"/>
  <c r="AL86" i="2"/>
  <c r="I86" i="2"/>
  <c r="G86" i="2"/>
  <c r="BO86" i="2" s="1"/>
  <c r="AN86" i="2"/>
  <c r="F86" i="2"/>
  <c r="AO86" i="2" s="1"/>
  <c r="AL85" i="2"/>
  <c r="I85" i="2"/>
  <c r="F85" i="2"/>
  <c r="AO85" i="2" s="1"/>
  <c r="AN85" i="2"/>
  <c r="G85" i="2"/>
  <c r="BO85" i="2" s="1"/>
  <c r="I84" i="2"/>
  <c r="AL84" i="2"/>
  <c r="G83" i="2"/>
  <c r="AN84" i="2"/>
  <c r="G84" i="2"/>
  <c r="BO84" i="2" s="1"/>
  <c r="F84" i="2"/>
  <c r="AO84" i="2" s="1"/>
  <c r="AL82" i="2"/>
  <c r="I82" i="2"/>
  <c r="AN82" i="2"/>
  <c r="F82" i="2"/>
  <c r="AO82" i="2" s="1"/>
  <c r="AL81" i="2"/>
  <c r="I81" i="2"/>
  <c r="F81" i="2"/>
  <c r="AO81" i="2" s="1"/>
  <c r="AN81" i="2"/>
  <c r="G81" i="2"/>
  <c r="BO81" i="2" s="1"/>
  <c r="AL80" i="2"/>
  <c r="I80" i="2"/>
  <c r="AN80" i="2"/>
  <c r="F80" i="2"/>
  <c r="AO80" i="2" s="1"/>
  <c r="G80" i="2"/>
  <c r="BO80" i="2" s="1"/>
  <c r="I78" i="2"/>
  <c r="AL78" i="2"/>
  <c r="AN78" i="2"/>
  <c r="G78" i="2"/>
  <c r="BO78" i="2" s="1"/>
  <c r="F78" i="2"/>
  <c r="AO78" i="2" s="1"/>
  <c r="I77" i="2"/>
  <c r="AL77" i="2"/>
  <c r="G77" i="2"/>
  <c r="BO77" i="2" s="1"/>
  <c r="AN77" i="2"/>
  <c r="F77" i="2"/>
  <c r="AO77" i="2" s="1"/>
  <c r="AL76" i="2"/>
  <c r="I76" i="2"/>
  <c r="F76" i="2"/>
  <c r="AO76" i="2" s="1"/>
  <c r="G76" i="2"/>
  <c r="BO76" i="2" s="1"/>
  <c r="AN76" i="2"/>
  <c r="BG74" i="2"/>
  <c r="BH74" i="2" s="1"/>
  <c r="BE74" i="2"/>
  <c r="BF74" i="2" s="1"/>
  <c r="AW74" i="2"/>
  <c r="AX74" i="2" s="1"/>
  <c r="AS74" i="2"/>
  <c r="AT74" i="2" s="1"/>
  <c r="AQ74" i="2"/>
  <c r="AR74" i="2" s="1"/>
  <c r="BM74" i="2"/>
  <c r="BN74" i="2" s="1"/>
  <c r="BI74" i="2"/>
  <c r="BJ74" i="2" s="1"/>
  <c r="BK74" i="2"/>
  <c r="BL74" i="2" s="1"/>
  <c r="AY74" i="2"/>
  <c r="AZ74" i="2" s="1"/>
  <c r="BA74" i="2"/>
  <c r="BB74" i="2" s="1"/>
  <c r="BC74" i="2"/>
  <c r="BD74" i="2" s="1"/>
  <c r="AU74" i="2"/>
  <c r="AV74" i="2" s="1"/>
  <c r="I74" i="2"/>
  <c r="AL74" i="2"/>
  <c r="BI73" i="2"/>
  <c r="BJ73" i="2" s="1"/>
  <c r="BE73" i="2"/>
  <c r="BF73" i="2" s="1"/>
  <c r="AY73" i="2"/>
  <c r="AZ73" i="2" s="1"/>
  <c r="BC73" i="2"/>
  <c r="BD73" i="2" s="1"/>
  <c r="AU73" i="2"/>
  <c r="AV73" i="2" s="1"/>
  <c r="BG73" i="2"/>
  <c r="BH73" i="2" s="1"/>
  <c r="AQ73" i="2"/>
  <c r="AR73" i="2" s="1"/>
  <c r="BM73" i="2"/>
  <c r="BN73" i="2" s="1"/>
  <c r="BK73" i="2"/>
  <c r="BL73" i="2" s="1"/>
  <c r="BA73" i="2"/>
  <c r="BB73" i="2" s="1"/>
  <c r="AW73" i="2"/>
  <c r="AX73" i="2" s="1"/>
  <c r="AS73" i="2"/>
  <c r="AT73" i="2" s="1"/>
  <c r="AL73" i="2"/>
  <c r="I73" i="2"/>
  <c r="BG72" i="2"/>
  <c r="BH72" i="2" s="1"/>
  <c r="AY72" i="2"/>
  <c r="AZ72" i="2" s="1"/>
  <c r="BI72" i="2"/>
  <c r="BJ72" i="2" s="1"/>
  <c r="BK72" i="2"/>
  <c r="BL72" i="2" s="1"/>
  <c r="AU72" i="2"/>
  <c r="AV72" i="2" s="1"/>
  <c r="AQ72" i="2"/>
  <c r="AR72" i="2" s="1"/>
  <c r="BM72" i="2"/>
  <c r="BN72" i="2" s="1"/>
  <c r="BE72" i="2"/>
  <c r="BF72" i="2" s="1"/>
  <c r="AW72" i="2"/>
  <c r="AX72" i="2" s="1"/>
  <c r="AS72" i="2"/>
  <c r="AT72" i="2" s="1"/>
  <c r="BC72" i="2"/>
  <c r="BD72" i="2" s="1"/>
  <c r="BA72" i="2"/>
  <c r="BB72" i="2" s="1"/>
  <c r="I72" i="2"/>
  <c r="AL72" i="2"/>
  <c r="I69" i="2"/>
  <c r="AL69" i="2"/>
  <c r="G69" i="2"/>
  <c r="BO69" i="2" s="1"/>
  <c r="AN69" i="2"/>
  <c r="F69" i="2"/>
  <c r="AO69" i="2" s="1"/>
  <c r="AL68" i="2"/>
  <c r="I68" i="2"/>
  <c r="F68" i="2"/>
  <c r="AO68" i="2" s="1"/>
  <c r="AN68" i="2"/>
  <c r="G68" i="2"/>
  <c r="BO68" i="2" s="1"/>
  <c r="AL67" i="2"/>
  <c r="I67" i="2"/>
  <c r="F67" i="2"/>
  <c r="AO67" i="2" s="1"/>
  <c r="G67" i="2"/>
  <c r="AN67" i="2"/>
  <c r="AL65" i="2"/>
  <c r="I65" i="2"/>
  <c r="F65" i="2"/>
  <c r="AO65" i="2" s="1"/>
  <c r="AN65" i="2"/>
  <c r="G65" i="2"/>
  <c r="BO65" i="2" s="1"/>
  <c r="I64" i="2"/>
  <c r="AL64" i="2"/>
  <c r="F64" i="2"/>
  <c r="AO64" i="2" s="1"/>
  <c r="G64" i="2"/>
  <c r="BO64" i="2" s="1"/>
  <c r="AN64" i="2"/>
  <c r="AL63" i="2"/>
  <c r="I63" i="2"/>
  <c r="F63" i="2"/>
  <c r="AO63" i="2" s="1"/>
  <c r="AN63" i="2"/>
  <c r="G63" i="2"/>
  <c r="AL61" i="2"/>
  <c r="I61" i="2"/>
  <c r="I60" i="2"/>
  <c r="AL60" i="2"/>
  <c r="F60" i="2"/>
  <c r="AO60" i="2" s="1"/>
  <c r="G60" i="2"/>
  <c r="BO60" i="2" s="1"/>
  <c r="AN60" i="2"/>
  <c r="AL59" i="2"/>
  <c r="I59" i="2"/>
  <c r="AN59" i="2"/>
  <c r="G59" i="2"/>
  <c r="F59" i="2"/>
  <c r="AO59" i="2" s="1"/>
  <c r="I57" i="2"/>
  <c r="AL57" i="2"/>
  <c r="AN57" i="2"/>
  <c r="G57" i="2"/>
  <c r="BO57" i="2" s="1"/>
  <c r="F57" i="2"/>
  <c r="AO57" i="2" s="1"/>
  <c r="I56" i="2"/>
  <c r="AL56" i="2"/>
  <c r="F56" i="2"/>
  <c r="AO56" i="2" s="1"/>
  <c r="AN56" i="2"/>
  <c r="G56" i="2"/>
  <c r="BO56" i="2" s="1"/>
  <c r="I55" i="2"/>
  <c r="AL55" i="2"/>
  <c r="G55" i="2"/>
  <c r="E54" i="2"/>
  <c r="F54" i="2" s="1"/>
  <c r="F55" i="2"/>
  <c r="AO55" i="2" s="1"/>
  <c r="AN55" i="2"/>
  <c r="I53" i="2"/>
  <c r="AL53" i="2"/>
  <c r="G53" i="2"/>
  <c r="BO53" i="2" s="1"/>
  <c r="F53" i="2"/>
  <c r="AO53" i="2" s="1"/>
  <c r="AN53" i="2"/>
  <c r="AL52" i="2"/>
  <c r="I52" i="2"/>
  <c r="F52" i="2"/>
  <c r="AO52" i="2" s="1"/>
  <c r="G52" i="2"/>
  <c r="BO52" i="2" s="1"/>
  <c r="AN52" i="2"/>
  <c r="AL51" i="2"/>
  <c r="G50" i="2"/>
  <c r="I51" i="2"/>
  <c r="G51" i="2"/>
  <c r="BO51" i="2" s="1"/>
  <c r="F51" i="2"/>
  <c r="AO51" i="2" s="1"/>
  <c r="AN51" i="2"/>
  <c r="AY49" i="2"/>
  <c r="AZ49" i="2" s="1"/>
  <c r="BA49" i="2"/>
  <c r="BB49" i="2" s="1"/>
  <c r="BK49" i="2"/>
  <c r="BL49" i="2" s="1"/>
  <c r="AW49" i="2"/>
  <c r="AX49" i="2" s="1"/>
  <c r="AQ49" i="2"/>
  <c r="AR49" i="2" s="1"/>
  <c r="AU49" i="2"/>
  <c r="AV49" i="2" s="1"/>
  <c r="BC49" i="2"/>
  <c r="BD49" i="2" s="1"/>
  <c r="BE49" i="2"/>
  <c r="BF49" i="2" s="1"/>
  <c r="BG49" i="2"/>
  <c r="BH49" i="2" s="1"/>
  <c r="BI49" i="2"/>
  <c r="BJ49" i="2" s="1"/>
  <c r="BM49" i="2"/>
  <c r="BN49" i="2" s="1"/>
  <c r="AL49" i="2"/>
  <c r="I49" i="2"/>
  <c r="AU48" i="2"/>
  <c r="AV48" i="2" s="1"/>
  <c r="AY48" i="2"/>
  <c r="AZ48" i="2" s="1"/>
  <c r="BA48" i="2"/>
  <c r="BB48" i="2" s="1"/>
  <c r="BC48" i="2"/>
  <c r="BD48" i="2" s="1"/>
  <c r="BM48" i="2"/>
  <c r="BN48" i="2" s="1"/>
  <c r="AQ48" i="2"/>
  <c r="AR48" i="2" s="1"/>
  <c r="AS48" i="2"/>
  <c r="AT48" i="2" s="1"/>
  <c r="AW48" i="2"/>
  <c r="AX48" i="2" s="1"/>
  <c r="BE48" i="2"/>
  <c r="BF48" i="2" s="1"/>
  <c r="BG48" i="2"/>
  <c r="BH48" i="2" s="1"/>
  <c r="BI48" i="2"/>
  <c r="BJ48" i="2" s="1"/>
  <c r="BK48" i="2"/>
  <c r="BL48" i="2" s="1"/>
  <c r="I48" i="2"/>
  <c r="AL48" i="2"/>
  <c r="AY47" i="2"/>
  <c r="AZ47" i="2" s="1"/>
  <c r="BG47" i="2"/>
  <c r="BH47" i="2" s="1"/>
  <c r="BE47" i="2"/>
  <c r="BF47" i="2" s="1"/>
  <c r="AW47" i="2"/>
  <c r="AX47" i="2" s="1"/>
  <c r="AU47" i="2"/>
  <c r="AV47" i="2" s="1"/>
  <c r="BM47" i="2"/>
  <c r="BN47" i="2" s="1"/>
  <c r="BA47" i="2"/>
  <c r="BB47" i="2" s="1"/>
  <c r="BC47" i="2"/>
  <c r="BD47" i="2" s="1"/>
  <c r="BK47" i="2"/>
  <c r="BL47" i="2" s="1"/>
  <c r="BI47" i="2"/>
  <c r="BJ47" i="2" s="1"/>
  <c r="AS47" i="2"/>
  <c r="AT47" i="2" s="1"/>
  <c r="AQ47" i="2"/>
  <c r="AR47" i="2" s="1"/>
  <c r="AL47" i="2"/>
  <c r="I47" i="2"/>
  <c r="AK59" i="2"/>
  <c r="AK76" i="2"/>
  <c r="AK80" i="2"/>
  <c r="AK85" i="2"/>
  <c r="AK69" i="2"/>
  <c r="AK57" i="2"/>
  <c r="AK51" i="2"/>
  <c r="AK78" i="2"/>
  <c r="AK68" i="2"/>
  <c r="AK65" i="2"/>
  <c r="AK82" i="2"/>
  <c r="AK67" i="2"/>
  <c r="AK53" i="2"/>
  <c r="AK52" i="2"/>
  <c r="AK64" i="2"/>
  <c r="AK86" i="2"/>
  <c r="AK81" i="2"/>
  <c r="AK55" i="2"/>
  <c r="AK63" i="2"/>
  <c r="AK84" i="2"/>
  <c r="AK77" i="2"/>
  <c r="AK60" i="2"/>
  <c r="AK56" i="2"/>
  <c r="AK61" i="2"/>
  <c r="AK88" i="2"/>
  <c r="BA44" i="2"/>
  <c r="BB44" i="2" s="1"/>
  <c r="BM44" i="2"/>
  <c r="BN44" i="2" s="1"/>
  <c r="AS44" i="2"/>
  <c r="AT44" i="2" s="1"/>
  <c r="BI44" i="2"/>
  <c r="BJ44" i="2" s="1"/>
  <c r="BK44" i="2"/>
  <c r="BL44" i="2" s="1"/>
  <c r="AY44" i="2"/>
  <c r="AZ44" i="2" s="1"/>
  <c r="BC44" i="2"/>
  <c r="BD44" i="2" s="1"/>
  <c r="AW44" i="2"/>
  <c r="AX44" i="2" s="1"/>
  <c r="BE44" i="2"/>
  <c r="BF44" i="2" s="1"/>
  <c r="AU44" i="2"/>
  <c r="AV44" i="2" s="1"/>
  <c r="BG44" i="2"/>
  <c r="BH44" i="2" s="1"/>
  <c r="AL44" i="2"/>
  <c r="I44" i="2"/>
  <c r="F44" i="2"/>
  <c r="AO44" i="2" s="1"/>
  <c r="G44" i="2"/>
  <c r="BO44" i="2" s="1"/>
  <c r="AN44" i="2"/>
  <c r="AS43" i="2"/>
  <c r="AT43" i="2" s="1"/>
  <c r="AU43" i="2"/>
  <c r="AV43" i="2" s="1"/>
  <c r="BG43" i="2"/>
  <c r="BH43" i="2" s="1"/>
  <c r="BM43" i="2"/>
  <c r="BN43" i="2" s="1"/>
  <c r="AY43" i="2"/>
  <c r="AZ43" i="2" s="1"/>
  <c r="BK43" i="2"/>
  <c r="BL43" i="2" s="1"/>
  <c r="BI43" i="2"/>
  <c r="BJ43" i="2" s="1"/>
  <c r="BE43" i="2"/>
  <c r="BF43" i="2" s="1"/>
  <c r="BC43" i="2"/>
  <c r="BD43" i="2" s="1"/>
  <c r="BA43" i="2"/>
  <c r="BB43" i="2" s="1"/>
  <c r="AW43" i="2"/>
  <c r="AX43" i="2" s="1"/>
  <c r="AL43" i="2"/>
  <c r="I43" i="2"/>
  <c r="F43" i="2"/>
  <c r="AO43" i="2" s="1"/>
  <c r="G43" i="2"/>
  <c r="BO43" i="2" s="1"/>
  <c r="AN43" i="2"/>
  <c r="BE42" i="2"/>
  <c r="BF42" i="2" s="1"/>
  <c r="BG42" i="2"/>
  <c r="BH42" i="2" s="1"/>
  <c r="AS42" i="2"/>
  <c r="AT42" i="2" s="1"/>
  <c r="BI42" i="2"/>
  <c r="BJ42" i="2" s="1"/>
  <c r="AU42" i="2"/>
  <c r="AV42" i="2" s="1"/>
  <c r="AY42" i="2"/>
  <c r="AZ42" i="2" s="1"/>
  <c r="BA42" i="2"/>
  <c r="BB42" i="2" s="1"/>
  <c r="AW42" i="2"/>
  <c r="AX42" i="2" s="1"/>
  <c r="BC42" i="2"/>
  <c r="BD42" i="2" s="1"/>
  <c r="BK42" i="2"/>
  <c r="BL42" i="2" s="1"/>
  <c r="BM42" i="2"/>
  <c r="BN42" i="2" s="1"/>
  <c r="I42" i="2"/>
  <c r="AL42" i="2"/>
  <c r="AN42" i="2"/>
  <c r="G42" i="2"/>
  <c r="F42" i="2"/>
  <c r="AO42" i="2" s="1"/>
  <c r="E41" i="2"/>
  <c r="F41" i="2" s="1"/>
  <c r="BG40" i="2"/>
  <c r="BH40" i="2" s="1"/>
  <c r="AY40" i="2"/>
  <c r="AZ40" i="2" s="1"/>
  <c r="AS40" i="2"/>
  <c r="AT40" i="2" s="1"/>
  <c r="BA40" i="2"/>
  <c r="BB40" i="2" s="1"/>
  <c r="BI40" i="2"/>
  <c r="BJ40" i="2" s="1"/>
  <c r="AW40" i="2"/>
  <c r="AX40" i="2" s="1"/>
  <c r="BC40" i="2"/>
  <c r="BD40" i="2" s="1"/>
  <c r="BK40" i="2"/>
  <c r="BL40" i="2" s="1"/>
  <c r="BM40" i="2"/>
  <c r="BN40" i="2" s="1"/>
  <c r="AU40" i="2"/>
  <c r="AV40" i="2" s="1"/>
  <c r="AQ40" i="2"/>
  <c r="AR40" i="2" s="1"/>
  <c r="BE40" i="2"/>
  <c r="BF40" i="2" s="1"/>
  <c r="AL40" i="2"/>
  <c r="I40" i="2"/>
  <c r="BG39" i="2"/>
  <c r="BH39" i="2" s="1"/>
  <c r="BM39" i="2"/>
  <c r="BN39" i="2" s="1"/>
  <c r="BE39" i="2"/>
  <c r="BF39" i="2" s="1"/>
  <c r="BC39" i="2"/>
  <c r="BD39" i="2" s="1"/>
  <c r="AY39" i="2"/>
  <c r="AZ39" i="2" s="1"/>
  <c r="BA39" i="2"/>
  <c r="BB39" i="2" s="1"/>
  <c r="BI39" i="2"/>
  <c r="BJ39" i="2" s="1"/>
  <c r="BK39" i="2"/>
  <c r="BL39" i="2" s="1"/>
  <c r="AW39" i="2"/>
  <c r="AX39" i="2" s="1"/>
  <c r="AL39" i="2"/>
  <c r="I39" i="2"/>
  <c r="F39" i="2"/>
  <c r="AO39" i="2" s="1"/>
  <c r="G39" i="2"/>
  <c r="BO39" i="2" s="1"/>
  <c r="AN39" i="2"/>
  <c r="BC38" i="2"/>
  <c r="BD38" i="2" s="1"/>
  <c r="BA38" i="2"/>
  <c r="BB38" i="2" s="1"/>
  <c r="AY38" i="2"/>
  <c r="AZ38" i="2" s="1"/>
  <c r="BK38" i="2"/>
  <c r="BL38" i="2" s="1"/>
  <c r="AW38" i="2"/>
  <c r="AX38" i="2" s="1"/>
  <c r="AU38" i="2"/>
  <c r="AV38" i="2" s="1"/>
  <c r="BG38" i="2"/>
  <c r="BH38" i="2" s="1"/>
  <c r="BI38" i="2"/>
  <c r="BJ38" i="2" s="1"/>
  <c r="BM38" i="2"/>
  <c r="BN38" i="2" s="1"/>
  <c r="BE38" i="2"/>
  <c r="BF38" i="2" s="1"/>
  <c r="I38" i="2"/>
  <c r="AL38" i="2"/>
  <c r="G38" i="2"/>
  <c r="AN38" i="2"/>
  <c r="F38" i="2"/>
  <c r="AO38" i="2" s="1"/>
  <c r="BI36" i="2"/>
  <c r="BJ36" i="2" s="1"/>
  <c r="BC36" i="2"/>
  <c r="BD36" i="2" s="1"/>
  <c r="BA36" i="2"/>
  <c r="BB36" i="2" s="1"/>
  <c r="AW36" i="2"/>
  <c r="AX36" i="2" s="1"/>
  <c r="BG36" i="2"/>
  <c r="BH36" i="2" s="1"/>
  <c r="BE36" i="2"/>
  <c r="BF36" i="2" s="1"/>
  <c r="AY36" i="2"/>
  <c r="AZ36" i="2" s="1"/>
  <c r="AU36" i="2"/>
  <c r="AV36" i="2" s="1"/>
  <c r="AS36" i="2"/>
  <c r="AT36" i="2" s="1"/>
  <c r="BK36" i="2"/>
  <c r="BL36" i="2" s="1"/>
  <c r="BM36" i="2"/>
  <c r="BN36" i="2" s="1"/>
  <c r="I36" i="2"/>
  <c r="AL36" i="2"/>
  <c r="G36" i="2"/>
  <c r="BO36" i="2" s="1"/>
  <c r="F36" i="2"/>
  <c r="AO36" i="2" s="1"/>
  <c r="AN36" i="2"/>
  <c r="AS35" i="2"/>
  <c r="AT35" i="2" s="1"/>
  <c r="AY35" i="2"/>
  <c r="AZ35" i="2" s="1"/>
  <c r="BA35" i="2"/>
  <c r="BB35" i="2" s="1"/>
  <c r="AW35" i="2"/>
  <c r="AX35" i="2" s="1"/>
  <c r="AU35" i="2"/>
  <c r="AV35" i="2" s="1"/>
  <c r="BI35" i="2"/>
  <c r="BJ35" i="2" s="1"/>
  <c r="BK35" i="2"/>
  <c r="BL35" i="2" s="1"/>
  <c r="BM35" i="2"/>
  <c r="BN35" i="2" s="1"/>
  <c r="BG35" i="2"/>
  <c r="BH35" i="2" s="1"/>
  <c r="BE35" i="2"/>
  <c r="BF35" i="2" s="1"/>
  <c r="BC35" i="2"/>
  <c r="BD35" i="2" s="1"/>
  <c r="AL35" i="2"/>
  <c r="I35" i="2"/>
  <c r="AN35" i="2"/>
  <c r="G35" i="2"/>
  <c r="BO35" i="2" s="1"/>
  <c r="F35" i="2"/>
  <c r="AO35" i="2" s="1"/>
  <c r="BI34" i="2"/>
  <c r="BJ34" i="2" s="1"/>
  <c r="BG34" i="2"/>
  <c r="BH34" i="2" s="1"/>
  <c r="AY34" i="2"/>
  <c r="AZ34" i="2" s="1"/>
  <c r="BM34" i="2"/>
  <c r="BN34" i="2" s="1"/>
  <c r="BK34" i="2"/>
  <c r="BL34" i="2" s="1"/>
  <c r="AW34" i="2"/>
  <c r="AX34" i="2" s="1"/>
  <c r="BE34" i="2"/>
  <c r="BF34" i="2" s="1"/>
  <c r="BC34" i="2"/>
  <c r="BD34" i="2" s="1"/>
  <c r="BA34" i="2"/>
  <c r="BB34" i="2" s="1"/>
  <c r="AU34" i="2"/>
  <c r="AV34" i="2" s="1"/>
  <c r="AN34" i="2"/>
  <c r="G34" i="2"/>
  <c r="F34" i="2"/>
  <c r="AO34" i="2" s="1"/>
  <c r="E33" i="2"/>
  <c r="F33" i="2" s="1"/>
  <c r="BK32" i="2"/>
  <c r="BL32" i="2" s="1"/>
  <c r="BI32" i="2"/>
  <c r="BJ32" i="2" s="1"/>
  <c r="AY32" i="2"/>
  <c r="AZ32" i="2" s="1"/>
  <c r="AW32" i="2"/>
  <c r="AX32" i="2" s="1"/>
  <c r="BM32" i="2"/>
  <c r="BN32" i="2" s="1"/>
  <c r="BG32" i="2"/>
  <c r="BH32" i="2" s="1"/>
  <c r="BE32" i="2"/>
  <c r="BF32" i="2" s="1"/>
  <c r="BC32" i="2"/>
  <c r="BD32" i="2" s="1"/>
  <c r="BA32" i="2"/>
  <c r="BB32" i="2" s="1"/>
  <c r="AU32" i="2"/>
  <c r="AV32" i="2" s="1"/>
  <c r="AS32" i="2"/>
  <c r="AT32" i="2" s="1"/>
  <c r="AQ32" i="2"/>
  <c r="AR32" i="2" s="1"/>
  <c r="I32" i="2"/>
  <c r="AL32" i="2"/>
  <c r="F32" i="2"/>
  <c r="AO32" i="2" s="1"/>
  <c r="G32" i="2"/>
  <c r="BO32" i="2" s="1"/>
  <c r="AN32" i="2"/>
  <c r="AS31" i="2"/>
  <c r="AT31" i="2" s="1"/>
  <c r="BM31" i="2"/>
  <c r="BN31" i="2" s="1"/>
  <c r="AU31" i="2"/>
  <c r="AV31" i="2" s="1"/>
  <c r="AW31" i="2"/>
  <c r="AX31" i="2" s="1"/>
  <c r="BA31" i="2"/>
  <c r="BB31" i="2" s="1"/>
  <c r="BC31" i="2"/>
  <c r="BD31" i="2" s="1"/>
  <c r="BG31" i="2"/>
  <c r="BH31" i="2" s="1"/>
  <c r="AY31" i="2"/>
  <c r="AZ31" i="2" s="1"/>
  <c r="BI31" i="2"/>
  <c r="BJ31" i="2" s="1"/>
  <c r="BE31" i="2"/>
  <c r="BF31" i="2" s="1"/>
  <c r="BK31" i="2"/>
  <c r="BL31" i="2" s="1"/>
  <c r="AQ31" i="2"/>
  <c r="AR31" i="2" s="1"/>
  <c r="AL31" i="2"/>
  <c r="I31" i="2"/>
  <c r="AN31" i="2"/>
  <c r="F31" i="2"/>
  <c r="AO31" i="2" s="1"/>
  <c r="G31" i="2"/>
  <c r="BO31" i="2" s="1"/>
  <c r="AW30" i="2"/>
  <c r="AX30" i="2" s="1"/>
  <c r="BI30" i="2"/>
  <c r="BJ30" i="2" s="1"/>
  <c r="BG30" i="2"/>
  <c r="BH30" i="2" s="1"/>
  <c r="BA30" i="2"/>
  <c r="BB30" i="2" s="1"/>
  <c r="BM30" i="2"/>
  <c r="BN30" i="2" s="1"/>
  <c r="BK30" i="2"/>
  <c r="BL30" i="2" s="1"/>
  <c r="BE30" i="2"/>
  <c r="BF30" i="2" s="1"/>
  <c r="BC30" i="2"/>
  <c r="BD30" i="2" s="1"/>
  <c r="AY30" i="2"/>
  <c r="AZ30" i="2" s="1"/>
  <c r="AL30" i="2"/>
  <c r="I30" i="2"/>
  <c r="G29" i="2"/>
  <c r="F30" i="2"/>
  <c r="AO30" i="2" s="1"/>
  <c r="G30" i="2"/>
  <c r="BO30" i="2" s="1"/>
  <c r="AN30" i="2"/>
  <c r="E29" i="2"/>
  <c r="F29" i="2" s="1"/>
  <c r="BG28" i="2"/>
  <c r="BH28" i="2" s="1"/>
  <c r="BI28" i="2"/>
  <c r="BJ28" i="2" s="1"/>
  <c r="BK28" i="2"/>
  <c r="BL28" i="2" s="1"/>
  <c r="BM28" i="2"/>
  <c r="BN28" i="2" s="1"/>
  <c r="BC28" i="2"/>
  <c r="BD28" i="2" s="1"/>
  <c r="BA28" i="2"/>
  <c r="BB28" i="2" s="1"/>
  <c r="AQ28" i="2"/>
  <c r="AR28" i="2" s="1"/>
  <c r="AS28" i="2"/>
  <c r="AT28" i="2" s="1"/>
  <c r="AU28" i="2"/>
  <c r="AV28" i="2" s="1"/>
  <c r="AW28" i="2"/>
  <c r="AX28" i="2" s="1"/>
  <c r="AY28" i="2"/>
  <c r="AZ28" i="2" s="1"/>
  <c r="BE28" i="2"/>
  <c r="BF28" i="2" s="1"/>
  <c r="AL28" i="2"/>
  <c r="I28" i="2"/>
  <c r="BM27" i="2"/>
  <c r="BN27" i="2" s="1"/>
  <c r="BK27" i="2"/>
  <c r="BL27" i="2" s="1"/>
  <c r="BI27" i="2"/>
  <c r="BJ27" i="2" s="1"/>
  <c r="BG27" i="2"/>
  <c r="BH27" i="2" s="1"/>
  <c r="BC27" i="2"/>
  <c r="BD27" i="2" s="1"/>
  <c r="AY27" i="2"/>
  <c r="AZ27" i="2" s="1"/>
  <c r="AW27" i="2"/>
  <c r="AX27" i="2" s="1"/>
  <c r="AU27" i="2"/>
  <c r="AV27" i="2" s="1"/>
  <c r="AQ27" i="2"/>
  <c r="AR27" i="2" s="1"/>
  <c r="AS27" i="2"/>
  <c r="AT27" i="2" s="1"/>
  <c r="BE27" i="2"/>
  <c r="BF27" i="2" s="1"/>
  <c r="BA27" i="2"/>
  <c r="BB27" i="2" s="1"/>
  <c r="I27" i="2"/>
  <c r="AL27" i="2"/>
  <c r="BG26" i="2"/>
  <c r="BH26" i="2" s="1"/>
  <c r="BI26" i="2"/>
  <c r="BJ26" i="2" s="1"/>
  <c r="BK26" i="2"/>
  <c r="BL26" i="2" s="1"/>
  <c r="BM26" i="2"/>
  <c r="BN26" i="2" s="1"/>
  <c r="AW26" i="2"/>
  <c r="AX26" i="2" s="1"/>
  <c r="AQ26" i="2"/>
  <c r="AR26" i="2" s="1"/>
  <c r="AS26" i="2"/>
  <c r="AT26" i="2" s="1"/>
  <c r="AU26" i="2"/>
  <c r="AV26" i="2" s="1"/>
  <c r="AY26" i="2"/>
  <c r="AZ26" i="2" s="1"/>
  <c r="BA26" i="2"/>
  <c r="BB26" i="2" s="1"/>
  <c r="BC26" i="2"/>
  <c r="BD26" i="2" s="1"/>
  <c r="BE26" i="2"/>
  <c r="BF26" i="2" s="1"/>
  <c r="I26" i="2"/>
  <c r="AL26" i="2"/>
  <c r="I23" i="2"/>
  <c r="AL23" i="2"/>
  <c r="AN23" i="2"/>
  <c r="F23" i="2"/>
  <c r="AO23" i="2" s="1"/>
  <c r="G23" i="2"/>
  <c r="BO23" i="2" s="1"/>
  <c r="I22" i="2"/>
  <c r="AL22" i="2"/>
  <c r="G22" i="2"/>
  <c r="BO22" i="2" s="1"/>
  <c r="AN22" i="2"/>
  <c r="F22" i="2"/>
  <c r="AO22" i="2" s="1"/>
  <c r="AL21" i="2"/>
  <c r="I21" i="2"/>
  <c r="AN21" i="2"/>
  <c r="G21" i="2"/>
  <c r="F21" i="2"/>
  <c r="AO21" i="2" s="1"/>
  <c r="I19" i="2"/>
  <c r="AL19" i="2"/>
  <c r="AN19" i="2"/>
  <c r="F19" i="2"/>
  <c r="AO19" i="2" s="1"/>
  <c r="G19" i="2"/>
  <c r="BO19" i="2" s="1"/>
  <c r="I18" i="2"/>
  <c r="AL18" i="2"/>
  <c r="G18" i="2"/>
  <c r="BO18" i="2" s="1"/>
  <c r="AN18" i="2"/>
  <c r="F18" i="2"/>
  <c r="AO18" i="2" s="1"/>
  <c r="I17" i="2"/>
  <c r="AL17" i="2"/>
  <c r="F17" i="2"/>
  <c r="AO17" i="2" s="1"/>
  <c r="G17" i="2"/>
  <c r="AN17" i="2"/>
  <c r="AL15" i="2"/>
  <c r="I15" i="2"/>
  <c r="F15" i="2"/>
  <c r="AO15" i="2" s="1"/>
  <c r="G15" i="2"/>
  <c r="BO15" i="2" s="1"/>
  <c r="AN15" i="2"/>
  <c r="AL14" i="2"/>
  <c r="I14" i="2"/>
  <c r="AN14" i="2"/>
  <c r="F14" i="2"/>
  <c r="AO14" i="2" s="1"/>
  <c r="G14" i="2"/>
  <c r="BO14" i="2" s="1"/>
  <c r="I13" i="2"/>
  <c r="AL13" i="2"/>
  <c r="AN13" i="2"/>
  <c r="G13" i="2"/>
  <c r="E12" i="2"/>
  <c r="F12" i="2" s="1"/>
  <c r="F13" i="2"/>
  <c r="AO13" i="2" s="1"/>
  <c r="BE11" i="2"/>
  <c r="BF11" i="2" s="1"/>
  <c r="BK11" i="2"/>
  <c r="BL11" i="2" s="1"/>
  <c r="BI11" i="2"/>
  <c r="BJ11" i="2" s="1"/>
  <c r="BG11" i="2"/>
  <c r="BH11" i="2" s="1"/>
  <c r="BC11" i="2"/>
  <c r="BD11" i="2" s="1"/>
  <c r="BA11" i="2"/>
  <c r="BB11" i="2" s="1"/>
  <c r="AY11" i="2"/>
  <c r="AZ11" i="2" s="1"/>
  <c r="AU11" i="2"/>
  <c r="AV11" i="2" s="1"/>
  <c r="BM11" i="2"/>
  <c r="BN11" i="2" s="1"/>
  <c r="AQ11" i="2"/>
  <c r="AR11" i="2" s="1"/>
  <c r="AW11" i="2"/>
  <c r="AX11" i="2" s="1"/>
  <c r="AS11" i="2"/>
  <c r="AT11" i="2" s="1"/>
  <c r="I11" i="2"/>
  <c r="AL11" i="2"/>
  <c r="AN11" i="2"/>
  <c r="G11" i="2"/>
  <c r="BO11" i="2" s="1"/>
  <c r="F11" i="2"/>
  <c r="AO11" i="2" s="1"/>
  <c r="AL10" i="2"/>
  <c r="I10" i="2"/>
  <c r="G10" i="2"/>
  <c r="BO10" i="2" s="1"/>
  <c r="F10" i="2"/>
  <c r="AO10" i="2" s="1"/>
  <c r="AN10" i="2"/>
  <c r="AL9" i="2"/>
  <c r="I9" i="2"/>
  <c r="F9" i="2"/>
  <c r="AO9" i="2" s="1"/>
  <c r="E8" i="2"/>
  <c r="F8" i="2" s="1"/>
  <c r="G9" i="2"/>
  <c r="AN9" i="2"/>
  <c r="BI7" i="2"/>
  <c r="BJ7" i="2" s="1"/>
  <c r="BG7" i="2"/>
  <c r="BH7" i="2" s="1"/>
  <c r="BE7" i="2"/>
  <c r="BF7" i="2" s="1"/>
  <c r="AY7" i="2"/>
  <c r="AZ7" i="2" s="1"/>
  <c r="BA7" i="2"/>
  <c r="BB7" i="2" s="1"/>
  <c r="AU7" i="2"/>
  <c r="AV7" i="2" s="1"/>
  <c r="BM7" i="2"/>
  <c r="BN7" i="2" s="1"/>
  <c r="BK7" i="2"/>
  <c r="BL7" i="2" s="1"/>
  <c r="AS7" i="2"/>
  <c r="AT7" i="2" s="1"/>
  <c r="AQ7" i="2"/>
  <c r="AR7" i="2" s="1"/>
  <c r="AW7" i="2"/>
  <c r="AX7" i="2" s="1"/>
  <c r="AL7" i="2"/>
  <c r="I7" i="2"/>
  <c r="AU6" i="2"/>
  <c r="AV6" i="2" s="1"/>
  <c r="BE6" i="2"/>
  <c r="BF6" i="2" s="1"/>
  <c r="BM6" i="2"/>
  <c r="BN6" i="2" s="1"/>
  <c r="BC6" i="2"/>
  <c r="BD6" i="2" s="1"/>
  <c r="BG6" i="2"/>
  <c r="BH6" i="2" s="1"/>
  <c r="AY6" i="2"/>
  <c r="AZ6" i="2" s="1"/>
  <c r="BK6" i="2"/>
  <c r="BL6" i="2" s="1"/>
  <c r="BA6" i="2"/>
  <c r="BB6" i="2" s="1"/>
  <c r="AS6" i="2"/>
  <c r="AT6" i="2" s="1"/>
  <c r="AW6" i="2"/>
  <c r="AX6" i="2" s="1"/>
  <c r="BI6" i="2"/>
  <c r="BJ6" i="2" s="1"/>
  <c r="AQ6" i="2"/>
  <c r="AR6" i="2" s="1"/>
  <c r="AL6" i="2"/>
  <c r="I6" i="2"/>
  <c r="BC5" i="2"/>
  <c r="BD5" i="2" s="1"/>
  <c r="BM5" i="2"/>
  <c r="BN5" i="2" s="1"/>
  <c r="AU5" i="2"/>
  <c r="AV5" i="2" s="1"/>
  <c r="AQ5" i="2"/>
  <c r="AR5" i="2" s="1"/>
  <c r="BG5" i="2"/>
  <c r="BH5" i="2" s="1"/>
  <c r="BA5" i="2"/>
  <c r="BB5" i="2" s="1"/>
  <c r="BK5" i="2"/>
  <c r="BL5" i="2" s="1"/>
  <c r="BE5" i="2"/>
  <c r="BF5" i="2" s="1"/>
  <c r="AW5" i="2"/>
  <c r="AX5" i="2" s="1"/>
  <c r="BI5" i="2"/>
  <c r="BJ5" i="2" s="1"/>
  <c r="AY5" i="2"/>
  <c r="AZ5" i="2" s="1"/>
  <c r="AS5" i="2"/>
  <c r="AT5" i="2" s="1"/>
  <c r="AL5" i="2"/>
  <c r="I5" i="2"/>
  <c r="AK13" i="2"/>
  <c r="AK23" i="2"/>
  <c r="AK10" i="2"/>
  <c r="AK22" i="2"/>
  <c r="AK21" i="2"/>
  <c r="AK9" i="2"/>
  <c r="AK19" i="2"/>
  <c r="AK18" i="2"/>
  <c r="AK17" i="2"/>
  <c r="AK15" i="2"/>
  <c r="AK14" i="2"/>
  <c r="E40" i="2"/>
  <c r="E37" i="2" s="1"/>
  <c r="F37" i="2" s="1"/>
  <c r="E61" i="2"/>
  <c r="E58" i="2" s="1"/>
  <c r="F58" i="2" s="1"/>
  <c r="B2" i="3"/>
  <c r="AD3" i="3"/>
  <c r="AE2" i="3"/>
  <c r="AD1" i="3"/>
  <c r="BP70" i="2"/>
  <c r="I8" i="4" l="1"/>
  <c r="H9" i="4"/>
  <c r="BO67" i="2"/>
  <c r="G66" i="2"/>
  <c r="BO63" i="2"/>
  <c r="G62" i="2"/>
  <c r="G58" i="2"/>
  <c r="BO59" i="2"/>
  <c r="BO55" i="2"/>
  <c r="G54" i="2"/>
  <c r="AU59" i="2"/>
  <c r="AV59" i="2" s="1"/>
  <c r="BE59" i="2"/>
  <c r="BF59" i="2" s="1"/>
  <c r="BG59" i="2"/>
  <c r="BH59" i="2" s="1"/>
  <c r="AS59" i="2"/>
  <c r="AT59" i="2" s="1"/>
  <c r="AY59" i="2"/>
  <c r="AZ59" i="2" s="1"/>
  <c r="BC59" i="2"/>
  <c r="BD59" i="2" s="1"/>
  <c r="BK59" i="2"/>
  <c r="BL59" i="2" s="1"/>
  <c r="BM59" i="2"/>
  <c r="BN59" i="2" s="1"/>
  <c r="AQ59" i="2"/>
  <c r="AR59" i="2" s="1"/>
  <c r="AW59" i="2"/>
  <c r="AX59" i="2" s="1"/>
  <c r="BA59" i="2"/>
  <c r="BB59" i="2" s="1"/>
  <c r="BI59" i="2"/>
  <c r="BJ59" i="2" s="1"/>
  <c r="AQ76" i="2"/>
  <c r="AR76" i="2" s="1"/>
  <c r="AS76" i="2"/>
  <c r="AT76" i="2" s="1"/>
  <c r="BA76" i="2"/>
  <c r="BB76" i="2" s="1"/>
  <c r="BG76" i="2"/>
  <c r="BH76" i="2" s="1"/>
  <c r="BK76" i="2"/>
  <c r="BL76" i="2" s="1"/>
  <c r="AU76" i="2"/>
  <c r="AV76" i="2" s="1"/>
  <c r="AW76" i="2"/>
  <c r="AX76" i="2" s="1"/>
  <c r="AY76" i="2"/>
  <c r="AZ76" i="2" s="1"/>
  <c r="BC76" i="2"/>
  <c r="BD76" i="2" s="1"/>
  <c r="BE76" i="2"/>
  <c r="BF76" i="2" s="1"/>
  <c r="BI76" i="2"/>
  <c r="BJ76" i="2" s="1"/>
  <c r="BM76" i="2"/>
  <c r="BN76" i="2" s="1"/>
  <c r="AQ80" i="2"/>
  <c r="AR80" i="2" s="1"/>
  <c r="AS80" i="2"/>
  <c r="AT80" i="2" s="1"/>
  <c r="AU80" i="2"/>
  <c r="AV80" i="2" s="1"/>
  <c r="AY80" i="2"/>
  <c r="AZ80" i="2" s="1"/>
  <c r="BK80" i="2"/>
  <c r="BL80" i="2" s="1"/>
  <c r="AW80" i="2"/>
  <c r="AX80" i="2" s="1"/>
  <c r="BA80" i="2"/>
  <c r="BB80" i="2" s="1"/>
  <c r="BC80" i="2"/>
  <c r="BD80" i="2" s="1"/>
  <c r="BE80" i="2"/>
  <c r="BF80" i="2" s="1"/>
  <c r="BG80" i="2"/>
  <c r="BH80" i="2" s="1"/>
  <c r="BI80" i="2"/>
  <c r="BJ80" i="2" s="1"/>
  <c r="BM80" i="2"/>
  <c r="BN80" i="2" s="1"/>
  <c r="AQ85" i="2"/>
  <c r="AR85" i="2" s="1"/>
  <c r="AW85" i="2"/>
  <c r="AX85" i="2" s="1"/>
  <c r="BG85" i="2"/>
  <c r="BH85" i="2" s="1"/>
  <c r="BI85" i="2"/>
  <c r="BJ85" i="2" s="1"/>
  <c r="AU85" i="2"/>
  <c r="AV85" i="2" s="1"/>
  <c r="AY85" i="2"/>
  <c r="AZ85" i="2" s="1"/>
  <c r="BE85" i="2"/>
  <c r="BF85" i="2" s="1"/>
  <c r="AS85" i="2"/>
  <c r="AT85" i="2" s="1"/>
  <c r="BA85" i="2"/>
  <c r="BB85" i="2" s="1"/>
  <c r="BC85" i="2"/>
  <c r="BD85" i="2" s="1"/>
  <c r="BK85" i="2"/>
  <c r="BL85" i="2" s="1"/>
  <c r="BM85" i="2"/>
  <c r="BN85" i="2" s="1"/>
  <c r="AQ69" i="2"/>
  <c r="AR69" i="2" s="1"/>
  <c r="AS69" i="2"/>
  <c r="AT69" i="2" s="1"/>
  <c r="AU69" i="2"/>
  <c r="AV69" i="2" s="1"/>
  <c r="AW69" i="2"/>
  <c r="AX69" i="2" s="1"/>
  <c r="AY69" i="2"/>
  <c r="AZ69" i="2" s="1"/>
  <c r="BA69" i="2"/>
  <c r="BB69" i="2" s="1"/>
  <c r="BC69" i="2"/>
  <c r="BD69" i="2" s="1"/>
  <c r="BG69" i="2"/>
  <c r="BH69" i="2" s="1"/>
  <c r="BK69" i="2"/>
  <c r="BL69" i="2" s="1"/>
  <c r="BE69" i="2"/>
  <c r="BF69" i="2" s="1"/>
  <c r="BI69" i="2"/>
  <c r="BJ69" i="2" s="1"/>
  <c r="BM69" i="2"/>
  <c r="BN69" i="2" s="1"/>
  <c r="AQ57" i="2"/>
  <c r="AR57" i="2" s="1"/>
  <c r="AS57" i="2"/>
  <c r="AT57" i="2" s="1"/>
  <c r="AU57" i="2"/>
  <c r="AV57" i="2" s="1"/>
  <c r="AW57" i="2"/>
  <c r="AX57" i="2" s="1"/>
  <c r="AY57" i="2"/>
  <c r="AZ57" i="2" s="1"/>
  <c r="BA57" i="2"/>
  <c r="BB57" i="2" s="1"/>
  <c r="BC57" i="2"/>
  <c r="BD57" i="2" s="1"/>
  <c r="BE57" i="2"/>
  <c r="BF57" i="2" s="1"/>
  <c r="BG57" i="2"/>
  <c r="BH57" i="2" s="1"/>
  <c r="BI57" i="2"/>
  <c r="BJ57" i="2" s="1"/>
  <c r="BK57" i="2"/>
  <c r="BL57" i="2" s="1"/>
  <c r="BM57" i="2"/>
  <c r="BN57" i="2" s="1"/>
  <c r="AQ51" i="2"/>
  <c r="AR51" i="2" s="1"/>
  <c r="AS51" i="2"/>
  <c r="AT51" i="2" s="1"/>
  <c r="AW51" i="2"/>
  <c r="AX51" i="2" s="1"/>
  <c r="AY51" i="2"/>
  <c r="AZ51" i="2" s="1"/>
  <c r="BA51" i="2"/>
  <c r="BB51" i="2" s="1"/>
  <c r="BC51" i="2"/>
  <c r="BD51" i="2" s="1"/>
  <c r="BM51" i="2"/>
  <c r="BN51" i="2" s="1"/>
  <c r="BG51" i="2"/>
  <c r="BH51" i="2" s="1"/>
  <c r="BI51" i="2"/>
  <c r="BJ51" i="2" s="1"/>
  <c r="BK51" i="2"/>
  <c r="BL51" i="2" s="1"/>
  <c r="AU51" i="2"/>
  <c r="AV51" i="2" s="1"/>
  <c r="BE51" i="2"/>
  <c r="BF51" i="2" s="1"/>
  <c r="AQ78" i="2"/>
  <c r="AR78" i="2" s="1"/>
  <c r="AS78" i="2"/>
  <c r="AT78" i="2" s="1"/>
  <c r="AU78" i="2"/>
  <c r="AV78" i="2" s="1"/>
  <c r="BA78" i="2"/>
  <c r="BB78" i="2" s="1"/>
  <c r="BC78" i="2"/>
  <c r="BD78" i="2" s="1"/>
  <c r="BE78" i="2"/>
  <c r="BF78" i="2" s="1"/>
  <c r="AW78" i="2"/>
  <c r="AX78" i="2" s="1"/>
  <c r="AY78" i="2"/>
  <c r="AZ78" i="2" s="1"/>
  <c r="BG78" i="2"/>
  <c r="BH78" i="2" s="1"/>
  <c r="BI78" i="2"/>
  <c r="BJ78" i="2" s="1"/>
  <c r="BK78" i="2"/>
  <c r="BL78" i="2" s="1"/>
  <c r="BM78" i="2"/>
  <c r="BN78" i="2" s="1"/>
  <c r="AQ68" i="2"/>
  <c r="AR68" i="2" s="1"/>
  <c r="AS68" i="2"/>
  <c r="AT68" i="2" s="1"/>
  <c r="AU68" i="2"/>
  <c r="AV68" i="2" s="1"/>
  <c r="AW68" i="2"/>
  <c r="AX68" i="2" s="1"/>
  <c r="AY68" i="2"/>
  <c r="AZ68" i="2" s="1"/>
  <c r="BA68" i="2"/>
  <c r="BB68" i="2" s="1"/>
  <c r="BC68" i="2"/>
  <c r="BD68" i="2" s="1"/>
  <c r="BE68" i="2"/>
  <c r="BF68" i="2" s="1"/>
  <c r="BG68" i="2"/>
  <c r="BH68" i="2" s="1"/>
  <c r="BI68" i="2"/>
  <c r="BJ68" i="2" s="1"/>
  <c r="BK68" i="2"/>
  <c r="BL68" i="2" s="1"/>
  <c r="BM68" i="2"/>
  <c r="BN68" i="2" s="1"/>
  <c r="AQ65" i="2"/>
  <c r="AR65" i="2" s="1"/>
  <c r="AS65" i="2"/>
  <c r="AT65" i="2" s="1"/>
  <c r="AU65" i="2"/>
  <c r="AV65" i="2" s="1"/>
  <c r="AW65" i="2"/>
  <c r="AX65" i="2" s="1"/>
  <c r="AY65" i="2"/>
  <c r="AZ65" i="2" s="1"/>
  <c r="BA65" i="2"/>
  <c r="BB65" i="2" s="1"/>
  <c r="BC65" i="2"/>
  <c r="BD65" i="2" s="1"/>
  <c r="BE65" i="2"/>
  <c r="BF65" i="2" s="1"/>
  <c r="BG65" i="2"/>
  <c r="BH65" i="2" s="1"/>
  <c r="BI65" i="2"/>
  <c r="BJ65" i="2" s="1"/>
  <c r="BK65" i="2"/>
  <c r="BL65" i="2" s="1"/>
  <c r="BM65" i="2"/>
  <c r="BN65" i="2" s="1"/>
  <c r="AS82" i="2"/>
  <c r="AT82" i="2" s="1"/>
  <c r="AU82" i="2"/>
  <c r="AV82" i="2" s="1"/>
  <c r="AW82" i="2"/>
  <c r="AX82" i="2" s="1"/>
  <c r="AY82" i="2"/>
  <c r="AZ82" i="2" s="1"/>
  <c r="BA82" i="2"/>
  <c r="BB82" i="2" s="1"/>
  <c r="BC82" i="2"/>
  <c r="BD82" i="2" s="1"/>
  <c r="BE82" i="2"/>
  <c r="BF82" i="2" s="1"/>
  <c r="BG82" i="2"/>
  <c r="BH82" i="2" s="1"/>
  <c r="BI82" i="2"/>
  <c r="BJ82" i="2" s="1"/>
  <c r="BK82" i="2"/>
  <c r="BL82" i="2" s="1"/>
  <c r="BM82" i="2"/>
  <c r="BN82" i="2" s="1"/>
  <c r="AQ82" i="2"/>
  <c r="AR82" i="2" s="1"/>
  <c r="AQ67" i="2"/>
  <c r="AR67" i="2" s="1"/>
  <c r="AS67" i="2"/>
  <c r="AT67" i="2" s="1"/>
  <c r="AU67" i="2"/>
  <c r="AV67" i="2" s="1"/>
  <c r="AW67" i="2"/>
  <c r="AX67" i="2" s="1"/>
  <c r="AY67" i="2"/>
  <c r="AZ67" i="2" s="1"/>
  <c r="BA67" i="2"/>
  <c r="BB67" i="2" s="1"/>
  <c r="BC67" i="2"/>
  <c r="BD67" i="2" s="1"/>
  <c r="BE67" i="2"/>
  <c r="BF67" i="2" s="1"/>
  <c r="BG67" i="2"/>
  <c r="BH67" i="2" s="1"/>
  <c r="BI67" i="2"/>
  <c r="BJ67" i="2" s="1"/>
  <c r="BK67" i="2"/>
  <c r="BL67" i="2" s="1"/>
  <c r="BM67" i="2"/>
  <c r="BN67" i="2" s="1"/>
  <c r="AU53" i="2"/>
  <c r="AV53" i="2" s="1"/>
  <c r="AW53" i="2"/>
  <c r="AX53" i="2" s="1"/>
  <c r="AY53" i="2"/>
  <c r="AZ53" i="2" s="1"/>
  <c r="BA53" i="2"/>
  <c r="BB53" i="2" s="1"/>
  <c r="BC53" i="2"/>
  <c r="BD53" i="2" s="1"/>
  <c r="BE53" i="2"/>
  <c r="BF53" i="2" s="1"/>
  <c r="BG53" i="2"/>
  <c r="BH53" i="2" s="1"/>
  <c r="BI53" i="2"/>
  <c r="BJ53" i="2" s="1"/>
  <c r="AQ53" i="2"/>
  <c r="AR53" i="2" s="1"/>
  <c r="AS53" i="2"/>
  <c r="AT53" i="2" s="1"/>
  <c r="BK53" i="2"/>
  <c r="BL53" i="2" s="1"/>
  <c r="BM53" i="2"/>
  <c r="BN53" i="2" s="1"/>
  <c r="AU52" i="2"/>
  <c r="AV52" i="2" s="1"/>
  <c r="BC52" i="2"/>
  <c r="BD52" i="2" s="1"/>
  <c r="BG52" i="2"/>
  <c r="BH52" i="2" s="1"/>
  <c r="BA52" i="2"/>
  <c r="BB52" i="2" s="1"/>
  <c r="AQ52" i="2"/>
  <c r="AR52" i="2" s="1"/>
  <c r="AW52" i="2"/>
  <c r="AX52" i="2" s="1"/>
  <c r="BI52" i="2"/>
  <c r="BJ52" i="2" s="1"/>
  <c r="BK52" i="2"/>
  <c r="BL52" i="2" s="1"/>
  <c r="BM52" i="2"/>
  <c r="BN52" i="2" s="1"/>
  <c r="AS52" i="2"/>
  <c r="AT52" i="2" s="1"/>
  <c r="AY52" i="2"/>
  <c r="AZ52" i="2" s="1"/>
  <c r="BE52" i="2"/>
  <c r="BF52" i="2" s="1"/>
  <c r="AQ64" i="2"/>
  <c r="AR64" i="2" s="1"/>
  <c r="AS64" i="2"/>
  <c r="AT64" i="2" s="1"/>
  <c r="AU64" i="2"/>
  <c r="AV64" i="2" s="1"/>
  <c r="AW64" i="2"/>
  <c r="AX64" i="2" s="1"/>
  <c r="AY64" i="2"/>
  <c r="AZ64" i="2" s="1"/>
  <c r="BA64" i="2"/>
  <c r="BB64" i="2" s="1"/>
  <c r="BC64" i="2"/>
  <c r="BD64" i="2" s="1"/>
  <c r="BE64" i="2"/>
  <c r="BF64" i="2" s="1"/>
  <c r="BG64" i="2"/>
  <c r="BH64" i="2" s="1"/>
  <c r="BI64" i="2"/>
  <c r="BJ64" i="2" s="1"/>
  <c r="BK64" i="2"/>
  <c r="BL64" i="2" s="1"/>
  <c r="BM64" i="2"/>
  <c r="BN64" i="2" s="1"/>
  <c r="AU86" i="2"/>
  <c r="AV86" i="2" s="1"/>
  <c r="BC86" i="2"/>
  <c r="BD86" i="2" s="1"/>
  <c r="AS86" i="2"/>
  <c r="AT86" i="2" s="1"/>
  <c r="BK86" i="2"/>
  <c r="BL86" i="2" s="1"/>
  <c r="BM86" i="2"/>
  <c r="BN86" i="2" s="1"/>
  <c r="AQ86" i="2"/>
  <c r="AR86" i="2" s="1"/>
  <c r="AY86" i="2"/>
  <c r="AZ86" i="2" s="1"/>
  <c r="BG86" i="2"/>
  <c r="BH86" i="2" s="1"/>
  <c r="AW86" i="2"/>
  <c r="AX86" i="2" s="1"/>
  <c r="BA86" i="2"/>
  <c r="BB86" i="2" s="1"/>
  <c r="BE86" i="2"/>
  <c r="BF86" i="2" s="1"/>
  <c r="BI86" i="2"/>
  <c r="BJ86" i="2" s="1"/>
  <c r="AY81" i="2"/>
  <c r="AZ81" i="2" s="1"/>
  <c r="BI81" i="2"/>
  <c r="BJ81" i="2" s="1"/>
  <c r="BK81" i="2"/>
  <c r="BL81" i="2" s="1"/>
  <c r="AQ81" i="2"/>
  <c r="AR81" i="2" s="1"/>
  <c r="AU81" i="2"/>
  <c r="AV81" i="2" s="1"/>
  <c r="BG81" i="2"/>
  <c r="BH81" i="2" s="1"/>
  <c r="AS81" i="2"/>
  <c r="AT81" i="2" s="1"/>
  <c r="AW81" i="2"/>
  <c r="AX81" i="2" s="1"/>
  <c r="BA81" i="2"/>
  <c r="BB81" i="2" s="1"/>
  <c r="BC81" i="2"/>
  <c r="BD81" i="2" s="1"/>
  <c r="BE81" i="2"/>
  <c r="BF81" i="2" s="1"/>
  <c r="BM81" i="2"/>
  <c r="BN81" i="2" s="1"/>
  <c r="AQ55" i="2"/>
  <c r="AR55" i="2" s="1"/>
  <c r="AS55" i="2"/>
  <c r="AT55" i="2" s="1"/>
  <c r="AY55" i="2"/>
  <c r="AZ55" i="2" s="1"/>
  <c r="BA55" i="2"/>
  <c r="BB55" i="2" s="1"/>
  <c r="BC55" i="2"/>
  <c r="BD55" i="2" s="1"/>
  <c r="BE55" i="2"/>
  <c r="BF55" i="2" s="1"/>
  <c r="BG55" i="2"/>
  <c r="BH55" i="2" s="1"/>
  <c r="BI55" i="2"/>
  <c r="BJ55" i="2" s="1"/>
  <c r="BK55" i="2"/>
  <c r="BL55" i="2" s="1"/>
  <c r="BM55" i="2"/>
  <c r="BN55" i="2" s="1"/>
  <c r="AU55" i="2"/>
  <c r="AV55" i="2" s="1"/>
  <c r="AW55" i="2"/>
  <c r="AX55" i="2" s="1"/>
  <c r="AQ63" i="2"/>
  <c r="AR63" i="2" s="1"/>
  <c r="AS63" i="2"/>
  <c r="AT63" i="2" s="1"/>
  <c r="AU63" i="2"/>
  <c r="AV63" i="2" s="1"/>
  <c r="AW63" i="2"/>
  <c r="AX63" i="2" s="1"/>
  <c r="AY63" i="2"/>
  <c r="AZ63" i="2" s="1"/>
  <c r="BA63" i="2"/>
  <c r="BB63" i="2" s="1"/>
  <c r="BC63" i="2"/>
  <c r="BD63" i="2" s="1"/>
  <c r="BE63" i="2"/>
  <c r="BF63" i="2" s="1"/>
  <c r="BG63" i="2"/>
  <c r="BH63" i="2" s="1"/>
  <c r="BI63" i="2"/>
  <c r="BJ63" i="2" s="1"/>
  <c r="BK63" i="2"/>
  <c r="BL63" i="2" s="1"/>
  <c r="BM63" i="2"/>
  <c r="BN63" i="2" s="1"/>
  <c r="AS84" i="2"/>
  <c r="AT84" i="2" s="1"/>
  <c r="AU84" i="2"/>
  <c r="AV84" i="2" s="1"/>
  <c r="AW84" i="2"/>
  <c r="AX84" i="2" s="1"/>
  <c r="AY84" i="2"/>
  <c r="AZ84" i="2" s="1"/>
  <c r="BG84" i="2"/>
  <c r="BH84" i="2" s="1"/>
  <c r="BI84" i="2"/>
  <c r="BJ84" i="2" s="1"/>
  <c r="BM84" i="2"/>
  <c r="BN84" i="2" s="1"/>
  <c r="AQ84" i="2"/>
  <c r="AR84" i="2" s="1"/>
  <c r="BA84" i="2"/>
  <c r="BB84" i="2" s="1"/>
  <c r="BC84" i="2"/>
  <c r="BD84" i="2" s="1"/>
  <c r="BE84" i="2"/>
  <c r="BF84" i="2" s="1"/>
  <c r="BK84" i="2"/>
  <c r="BL84" i="2" s="1"/>
  <c r="AS77" i="2"/>
  <c r="AT77" i="2" s="1"/>
  <c r="AW77" i="2"/>
  <c r="AX77" i="2" s="1"/>
  <c r="BE77" i="2"/>
  <c r="BF77" i="2" s="1"/>
  <c r="BI77" i="2"/>
  <c r="BJ77" i="2" s="1"/>
  <c r="AQ77" i="2"/>
  <c r="AR77" i="2" s="1"/>
  <c r="AU77" i="2"/>
  <c r="AV77" i="2" s="1"/>
  <c r="AY77" i="2"/>
  <c r="AZ77" i="2" s="1"/>
  <c r="BA77" i="2"/>
  <c r="BB77" i="2" s="1"/>
  <c r="BC77" i="2"/>
  <c r="BD77" i="2" s="1"/>
  <c r="BG77" i="2"/>
  <c r="BH77" i="2" s="1"/>
  <c r="BK77" i="2"/>
  <c r="BL77" i="2" s="1"/>
  <c r="BM77" i="2"/>
  <c r="BN77" i="2" s="1"/>
  <c r="AS60" i="2"/>
  <c r="AT60" i="2" s="1"/>
  <c r="AW60" i="2"/>
  <c r="AX60" i="2" s="1"/>
  <c r="BA60" i="2"/>
  <c r="BB60" i="2" s="1"/>
  <c r="BG60" i="2"/>
  <c r="BH60" i="2" s="1"/>
  <c r="BK60" i="2"/>
  <c r="BL60" i="2" s="1"/>
  <c r="BM60" i="2"/>
  <c r="BN60" i="2" s="1"/>
  <c r="AU60" i="2"/>
  <c r="AV60" i="2" s="1"/>
  <c r="AY60" i="2"/>
  <c r="AZ60" i="2" s="1"/>
  <c r="BE60" i="2"/>
  <c r="BF60" i="2" s="1"/>
  <c r="BI60" i="2"/>
  <c r="BJ60" i="2" s="1"/>
  <c r="AQ60" i="2"/>
  <c r="AR60" i="2" s="1"/>
  <c r="BC60" i="2"/>
  <c r="BD60" i="2" s="1"/>
  <c r="AQ56" i="2"/>
  <c r="AR56" i="2" s="1"/>
  <c r="AY56" i="2"/>
  <c r="AZ56" i="2" s="1"/>
  <c r="BA56" i="2"/>
  <c r="BB56" i="2" s="1"/>
  <c r="BC56" i="2"/>
  <c r="BD56" i="2" s="1"/>
  <c r="BE56" i="2"/>
  <c r="BF56" i="2" s="1"/>
  <c r="BG56" i="2"/>
  <c r="BH56" i="2" s="1"/>
  <c r="BI56" i="2"/>
  <c r="BJ56" i="2" s="1"/>
  <c r="BK56" i="2"/>
  <c r="BL56" i="2" s="1"/>
  <c r="AS56" i="2"/>
  <c r="AT56" i="2" s="1"/>
  <c r="AU56" i="2"/>
  <c r="AV56" i="2" s="1"/>
  <c r="AW56" i="2"/>
  <c r="AX56" i="2" s="1"/>
  <c r="BM56" i="2"/>
  <c r="BN56" i="2" s="1"/>
  <c r="AU61" i="2"/>
  <c r="AV61" i="2" s="1"/>
  <c r="BC61" i="2"/>
  <c r="BD61" i="2" s="1"/>
  <c r="BG61" i="2"/>
  <c r="BH61" i="2" s="1"/>
  <c r="AQ61" i="2"/>
  <c r="AR61" i="2" s="1"/>
  <c r="AS61" i="2"/>
  <c r="AT61" i="2" s="1"/>
  <c r="AY61" i="2"/>
  <c r="AZ61" i="2" s="1"/>
  <c r="BI61" i="2"/>
  <c r="BJ61" i="2" s="1"/>
  <c r="BK61" i="2"/>
  <c r="BL61" i="2" s="1"/>
  <c r="BM61" i="2"/>
  <c r="BN61" i="2" s="1"/>
  <c r="AW61" i="2"/>
  <c r="AX61" i="2" s="1"/>
  <c r="BA61" i="2"/>
  <c r="BB61" i="2" s="1"/>
  <c r="BE61" i="2"/>
  <c r="BF61" i="2" s="1"/>
  <c r="AQ88" i="2"/>
  <c r="AR88" i="2" s="1"/>
  <c r="AS88" i="2"/>
  <c r="AT88" i="2" s="1"/>
  <c r="AY88" i="2"/>
  <c r="AZ88" i="2" s="1"/>
  <c r="BA88" i="2"/>
  <c r="BB88" i="2" s="1"/>
  <c r="BK88" i="2"/>
  <c r="BL88" i="2" s="1"/>
  <c r="AU88" i="2"/>
  <c r="AV88" i="2" s="1"/>
  <c r="AW88" i="2"/>
  <c r="AX88" i="2" s="1"/>
  <c r="BC88" i="2"/>
  <c r="BD88" i="2" s="1"/>
  <c r="BE88" i="2"/>
  <c r="BF88" i="2" s="1"/>
  <c r="BG88" i="2"/>
  <c r="BH88" i="2" s="1"/>
  <c r="BI88" i="2"/>
  <c r="BJ88" i="2" s="1"/>
  <c r="BM88" i="2"/>
  <c r="BN88" i="2" s="1"/>
  <c r="BO42" i="2"/>
  <c r="G41" i="2"/>
  <c r="BO38" i="2"/>
  <c r="G37" i="2"/>
  <c r="BO34" i="2"/>
  <c r="G33" i="2"/>
  <c r="BO21" i="2"/>
  <c r="G20" i="2"/>
  <c r="BO17" i="2"/>
  <c r="G16" i="2"/>
  <c r="AU13" i="2"/>
  <c r="AV13" i="2" s="1"/>
  <c r="BA13" i="2"/>
  <c r="BB13" i="2" s="1"/>
  <c r="AS13" i="2"/>
  <c r="AT13" i="2" s="1"/>
  <c r="AW13" i="2"/>
  <c r="AX13" i="2" s="1"/>
  <c r="BC13" i="2"/>
  <c r="BD13" i="2" s="1"/>
  <c r="BE13" i="2"/>
  <c r="BF13" i="2" s="1"/>
  <c r="BG13" i="2"/>
  <c r="BH13" i="2" s="1"/>
  <c r="BI13" i="2"/>
  <c r="BJ13" i="2" s="1"/>
  <c r="BK13" i="2"/>
  <c r="BL13" i="2" s="1"/>
  <c r="BM13" i="2"/>
  <c r="BN13" i="2" s="1"/>
  <c r="AQ13" i="2"/>
  <c r="AR13" i="2" s="1"/>
  <c r="AY13" i="2"/>
  <c r="AZ13" i="2" s="1"/>
  <c r="AQ23" i="2"/>
  <c r="AR23" i="2" s="1"/>
  <c r="AS23" i="2"/>
  <c r="AT23" i="2" s="1"/>
  <c r="AU23" i="2"/>
  <c r="AV23" i="2" s="1"/>
  <c r="AW23" i="2"/>
  <c r="AX23" i="2" s="1"/>
  <c r="AY23" i="2"/>
  <c r="AZ23" i="2" s="1"/>
  <c r="BA23" i="2"/>
  <c r="BB23" i="2" s="1"/>
  <c r="BC23" i="2"/>
  <c r="BD23" i="2" s="1"/>
  <c r="BE23" i="2"/>
  <c r="BF23" i="2" s="1"/>
  <c r="BG23" i="2"/>
  <c r="BH23" i="2" s="1"/>
  <c r="BI23" i="2"/>
  <c r="BJ23" i="2" s="1"/>
  <c r="BK23" i="2"/>
  <c r="BL23" i="2" s="1"/>
  <c r="BM23" i="2"/>
  <c r="BN23" i="2" s="1"/>
  <c r="AS10" i="2"/>
  <c r="AT10" i="2" s="1"/>
  <c r="BA10" i="2"/>
  <c r="BB10" i="2" s="1"/>
  <c r="BI10" i="2"/>
  <c r="BJ10" i="2" s="1"/>
  <c r="BK10" i="2"/>
  <c r="BL10" i="2" s="1"/>
  <c r="BM10" i="2"/>
  <c r="BN10" i="2" s="1"/>
  <c r="AQ10" i="2"/>
  <c r="AR10" i="2" s="1"/>
  <c r="AU10" i="2"/>
  <c r="AV10" i="2" s="1"/>
  <c r="AW10" i="2"/>
  <c r="AX10" i="2" s="1"/>
  <c r="AY10" i="2"/>
  <c r="AZ10" i="2" s="1"/>
  <c r="BC10" i="2"/>
  <c r="BD10" i="2" s="1"/>
  <c r="BE10" i="2"/>
  <c r="BF10" i="2" s="1"/>
  <c r="BG10" i="2"/>
  <c r="BH10" i="2" s="1"/>
  <c r="AQ22" i="2"/>
  <c r="AR22" i="2" s="1"/>
  <c r="AS22" i="2"/>
  <c r="AT22" i="2" s="1"/>
  <c r="AU22" i="2"/>
  <c r="AV22" i="2" s="1"/>
  <c r="AW22" i="2"/>
  <c r="AX22" i="2" s="1"/>
  <c r="AY22" i="2"/>
  <c r="AZ22" i="2" s="1"/>
  <c r="BA22" i="2"/>
  <c r="BB22" i="2" s="1"/>
  <c r="BC22" i="2"/>
  <c r="BD22" i="2" s="1"/>
  <c r="BE22" i="2"/>
  <c r="BF22" i="2" s="1"/>
  <c r="BG22" i="2"/>
  <c r="BH22" i="2" s="1"/>
  <c r="BI22" i="2"/>
  <c r="BJ22" i="2" s="1"/>
  <c r="BK22" i="2"/>
  <c r="BL22" i="2" s="1"/>
  <c r="BM22" i="2"/>
  <c r="BN22" i="2" s="1"/>
  <c r="AQ21" i="2"/>
  <c r="AR21" i="2" s="1"/>
  <c r="AS21" i="2"/>
  <c r="AT21" i="2" s="1"/>
  <c r="AU21" i="2"/>
  <c r="AV21" i="2" s="1"/>
  <c r="AW21" i="2"/>
  <c r="AX21" i="2" s="1"/>
  <c r="AY21" i="2"/>
  <c r="AZ21" i="2" s="1"/>
  <c r="BA21" i="2"/>
  <c r="BB21" i="2" s="1"/>
  <c r="BC21" i="2"/>
  <c r="BD21" i="2" s="1"/>
  <c r="BE21" i="2"/>
  <c r="BF21" i="2" s="1"/>
  <c r="BG21" i="2"/>
  <c r="BH21" i="2" s="1"/>
  <c r="BI21" i="2"/>
  <c r="BJ21" i="2" s="1"/>
  <c r="BK21" i="2"/>
  <c r="BL21" i="2" s="1"/>
  <c r="BM21" i="2"/>
  <c r="BN21" i="2" s="1"/>
  <c r="AS9" i="2"/>
  <c r="AT9" i="2" s="1"/>
  <c r="AU9" i="2"/>
  <c r="AV9" i="2" s="1"/>
  <c r="BE9" i="2"/>
  <c r="BF9" i="2" s="1"/>
  <c r="BM9" i="2"/>
  <c r="BN9" i="2" s="1"/>
  <c r="AW9" i="2"/>
  <c r="AX9" i="2" s="1"/>
  <c r="BA9" i="2"/>
  <c r="BB9" i="2" s="1"/>
  <c r="BG9" i="2"/>
  <c r="BH9" i="2" s="1"/>
  <c r="BK9" i="2"/>
  <c r="BL9" i="2" s="1"/>
  <c r="G3" i="2"/>
  <c r="AQ9" i="2"/>
  <c r="AR9" i="2" s="1"/>
  <c r="AY9" i="2"/>
  <c r="AZ9" i="2" s="1"/>
  <c r="BC9" i="2"/>
  <c r="BD9" i="2" s="1"/>
  <c r="BI9" i="2"/>
  <c r="BJ9" i="2" s="1"/>
  <c r="H3" i="2"/>
  <c r="E3" i="2"/>
  <c r="F3" i="2"/>
  <c r="B3" i="2"/>
  <c r="D3" i="2"/>
  <c r="AQ19" i="2"/>
  <c r="AR19" i="2" s="1"/>
  <c r="AS19" i="2"/>
  <c r="AT19" i="2" s="1"/>
  <c r="AU19" i="2"/>
  <c r="AV19" i="2" s="1"/>
  <c r="AW19" i="2"/>
  <c r="AX19" i="2" s="1"/>
  <c r="AY19" i="2"/>
  <c r="AZ19" i="2" s="1"/>
  <c r="BA19" i="2"/>
  <c r="BB19" i="2" s="1"/>
  <c r="BC19" i="2"/>
  <c r="BD19" i="2" s="1"/>
  <c r="BE19" i="2"/>
  <c r="BF19" i="2" s="1"/>
  <c r="BG19" i="2"/>
  <c r="BH19" i="2" s="1"/>
  <c r="BI19" i="2"/>
  <c r="BJ19" i="2" s="1"/>
  <c r="BK19" i="2"/>
  <c r="BL19" i="2" s="1"/>
  <c r="BM19" i="2"/>
  <c r="BN19" i="2" s="1"/>
  <c r="AQ18" i="2"/>
  <c r="AR18" i="2" s="1"/>
  <c r="AS18" i="2"/>
  <c r="AT18" i="2" s="1"/>
  <c r="AU18" i="2"/>
  <c r="AV18" i="2" s="1"/>
  <c r="AW18" i="2"/>
  <c r="AX18" i="2" s="1"/>
  <c r="AY18" i="2"/>
  <c r="AZ18" i="2" s="1"/>
  <c r="BA18" i="2"/>
  <c r="BB18" i="2" s="1"/>
  <c r="BC18" i="2"/>
  <c r="BD18" i="2" s="1"/>
  <c r="BE18" i="2"/>
  <c r="BF18" i="2" s="1"/>
  <c r="BG18" i="2"/>
  <c r="BH18" i="2" s="1"/>
  <c r="BI18" i="2"/>
  <c r="BJ18" i="2" s="1"/>
  <c r="BK18" i="2"/>
  <c r="BL18" i="2" s="1"/>
  <c r="BM18" i="2"/>
  <c r="BN18" i="2" s="1"/>
  <c r="AQ17" i="2"/>
  <c r="AR17" i="2" s="1"/>
  <c r="AS17" i="2"/>
  <c r="AT17" i="2" s="1"/>
  <c r="AU17" i="2"/>
  <c r="AV17" i="2" s="1"/>
  <c r="AW17" i="2"/>
  <c r="AX17" i="2" s="1"/>
  <c r="AY17" i="2"/>
  <c r="AZ17" i="2" s="1"/>
  <c r="BA17" i="2"/>
  <c r="BB17" i="2" s="1"/>
  <c r="BC17" i="2"/>
  <c r="BD17" i="2" s="1"/>
  <c r="BE17" i="2"/>
  <c r="BF17" i="2" s="1"/>
  <c r="BG17" i="2"/>
  <c r="BH17" i="2" s="1"/>
  <c r="BI17" i="2"/>
  <c r="BJ17" i="2" s="1"/>
  <c r="BK17" i="2"/>
  <c r="BL17" i="2" s="1"/>
  <c r="BM17" i="2"/>
  <c r="BN17" i="2" s="1"/>
  <c r="AQ15" i="2"/>
  <c r="AR15" i="2" s="1"/>
  <c r="AS15" i="2"/>
  <c r="AT15" i="2" s="1"/>
  <c r="AU15" i="2"/>
  <c r="AV15" i="2" s="1"/>
  <c r="AW15" i="2"/>
  <c r="AX15" i="2" s="1"/>
  <c r="AY15" i="2"/>
  <c r="AZ15" i="2" s="1"/>
  <c r="BA15" i="2"/>
  <c r="BB15" i="2" s="1"/>
  <c r="BC15" i="2"/>
  <c r="BD15" i="2" s="1"/>
  <c r="BE15" i="2"/>
  <c r="BF15" i="2" s="1"/>
  <c r="BG15" i="2"/>
  <c r="BH15" i="2" s="1"/>
  <c r="BI15" i="2"/>
  <c r="BJ15" i="2" s="1"/>
  <c r="BK15" i="2"/>
  <c r="BL15" i="2" s="1"/>
  <c r="BM15" i="2"/>
  <c r="BN15" i="2" s="1"/>
  <c r="AQ14" i="2"/>
  <c r="AR14" i="2" s="1"/>
  <c r="AS14" i="2"/>
  <c r="AT14" i="2" s="1"/>
  <c r="AU14" i="2"/>
  <c r="AV14" i="2" s="1"/>
  <c r="AW14" i="2"/>
  <c r="AX14" i="2" s="1"/>
  <c r="AY14" i="2"/>
  <c r="AZ14" i="2" s="1"/>
  <c r="BA14" i="2"/>
  <c r="BB14" i="2" s="1"/>
  <c r="BC14" i="2"/>
  <c r="BD14" i="2" s="1"/>
  <c r="BE14" i="2"/>
  <c r="BF14" i="2" s="1"/>
  <c r="BG14" i="2"/>
  <c r="BH14" i="2" s="1"/>
  <c r="BI14" i="2"/>
  <c r="BJ14" i="2" s="1"/>
  <c r="BK14" i="2"/>
  <c r="BL14" i="2" s="1"/>
  <c r="BM14" i="2"/>
  <c r="BN14" i="2" s="1"/>
  <c r="F40" i="2"/>
  <c r="AO40" i="2" s="1"/>
  <c r="G40" i="2"/>
  <c r="BO40" i="2" s="1"/>
  <c r="AN40" i="2"/>
  <c r="F61" i="2"/>
  <c r="AO61" i="2" s="1"/>
  <c r="G61" i="2"/>
  <c r="BO61" i="2" s="1"/>
  <c r="AN61" i="2"/>
  <c r="AE3" i="3"/>
  <c r="AF2" i="3"/>
  <c r="AE1" i="3"/>
  <c r="BO13" i="2"/>
  <c r="G12" i="2"/>
  <c r="BO9" i="2"/>
  <c r="G8" i="2"/>
  <c r="K7" i="4"/>
  <c r="K8" i="4"/>
  <c r="G24" i="2"/>
  <c r="H24" i="2"/>
  <c r="J6" i="4"/>
  <c r="J7" i="4"/>
  <c r="J8" i="4"/>
  <c r="F45" i="2"/>
  <c r="D45" i="2"/>
  <c r="AQ42" i="2"/>
  <c r="AR42" i="2" s="1"/>
  <c r="AQ39" i="2"/>
  <c r="AR39" i="2" s="1"/>
  <c r="AS38" i="2"/>
  <c r="AT38" i="2" s="1"/>
  <c r="F24" i="2"/>
  <c r="AQ36" i="2"/>
  <c r="AR36" i="2" s="1"/>
  <c r="AQ35" i="2"/>
  <c r="AR35" i="2" s="1"/>
  <c r="E45" i="2"/>
  <c r="H45" i="2"/>
  <c r="K6" i="4"/>
  <c r="AQ44" i="2"/>
  <c r="AR44" i="2" s="1"/>
  <c r="AS39" i="2"/>
  <c r="AT39" i="2" s="1"/>
  <c r="AQ30" i="2"/>
  <c r="AR30" i="2" s="1"/>
  <c r="B24" i="2"/>
  <c r="D24" i="2"/>
  <c r="E24" i="2"/>
  <c r="AQ43" i="2"/>
  <c r="AR43" i="2" s="1"/>
  <c r="AU39" i="2"/>
  <c r="AV39" i="2" s="1"/>
  <c r="AQ38" i="2"/>
  <c r="AR38" i="2" s="1"/>
  <c r="AU30" i="2"/>
  <c r="AV30" i="2" s="1"/>
  <c r="G45" i="2"/>
  <c r="B45" i="2"/>
  <c r="AQ34" i="2"/>
  <c r="AR34" i="2" s="1"/>
  <c r="AS34" i="2"/>
  <c r="AT34" i="2" s="1"/>
  <c r="AS30" i="2"/>
  <c r="AT30" i="2" s="1"/>
  <c r="E43" i="3"/>
  <c r="E39" i="3"/>
  <c r="E59" i="3"/>
  <c r="E45" i="3"/>
  <c r="E37" i="3"/>
  <c r="E42" i="3"/>
  <c r="E34" i="3"/>
  <c r="E46" i="3"/>
  <c r="E40" i="3"/>
  <c r="E33" i="3"/>
  <c r="E47" i="3"/>
  <c r="E35" i="3"/>
  <c r="E48" i="3"/>
  <c r="E38" i="3"/>
  <c r="E20" i="3"/>
  <c r="E98" i="3"/>
  <c r="E117" i="3"/>
  <c r="E116" i="3"/>
  <c r="E115" i="3"/>
  <c r="E114" i="3"/>
  <c r="E113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112" i="3"/>
  <c r="E111" i="3"/>
  <c r="E110" i="3"/>
  <c r="E109" i="3"/>
  <c r="E108" i="3"/>
  <c r="E107" i="3"/>
  <c r="E106" i="3"/>
  <c r="E105" i="3"/>
  <c r="E104" i="3"/>
  <c r="E19" i="3"/>
  <c r="E103" i="3"/>
  <c r="E102" i="3"/>
  <c r="E101" i="3"/>
  <c r="E100" i="3"/>
  <c r="E99" i="3"/>
  <c r="E97" i="3"/>
  <c r="E96" i="3"/>
  <c r="E95" i="3"/>
  <c r="E25" i="3"/>
  <c r="E24" i="3"/>
  <c r="E22" i="3"/>
  <c r="E21" i="3"/>
  <c r="E120" i="3"/>
  <c r="E119" i="3"/>
  <c r="E118" i="3"/>
  <c r="E56" i="3"/>
  <c r="E55" i="3"/>
  <c r="E54" i="3"/>
  <c r="E53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52" i="3"/>
  <c r="E51" i="3"/>
  <c r="E69" i="3"/>
  <c r="E68" i="3"/>
  <c r="E67" i="3"/>
  <c r="E66" i="3"/>
  <c r="E65" i="3"/>
  <c r="E64" i="3"/>
  <c r="E63" i="3"/>
  <c r="E62" i="3"/>
  <c r="E61" i="3"/>
  <c r="E60" i="3"/>
  <c r="E94" i="3"/>
  <c r="E58" i="3"/>
  <c r="E57" i="3"/>
  <c r="E32" i="3"/>
  <c r="E31" i="3"/>
  <c r="E30" i="3"/>
  <c r="E29" i="3"/>
  <c r="E28" i="3"/>
  <c r="E27" i="3"/>
  <c r="E23" i="3"/>
  <c r="E121" i="3"/>
  <c r="E122" i="3"/>
  <c r="E123" i="3"/>
  <c r="E50" i="3"/>
  <c r="E49" i="3"/>
  <c r="E44" i="3"/>
  <c r="E41" i="3"/>
  <c r="E36" i="3"/>
  <c r="E26" i="3"/>
  <c r="J9" i="4" l="1"/>
  <c r="K9" i="4"/>
  <c r="L9" i="4"/>
  <c r="I9" i="4"/>
  <c r="H10" i="4"/>
  <c r="AG2" i="3"/>
  <c r="AF1" i="3"/>
  <c r="AF3" i="3"/>
  <c r="J2" i="4"/>
  <c r="D43" i="3"/>
  <c r="C43" i="3"/>
  <c r="B43" i="3"/>
  <c r="A43" i="3"/>
  <c r="JM43" i="3"/>
  <c r="JL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D39" i="3"/>
  <c r="C39" i="3"/>
  <c r="B39" i="3"/>
  <c r="A39" i="3"/>
  <c r="JM39" i="3"/>
  <c r="JL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D59" i="3"/>
  <c r="C59" i="3"/>
  <c r="B59" i="3"/>
  <c r="A59" i="3"/>
  <c r="JM59" i="3"/>
  <c r="JL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D45" i="3"/>
  <c r="C45" i="3"/>
  <c r="B45" i="3"/>
  <c r="A45" i="3"/>
  <c r="JM45" i="3"/>
  <c r="JL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D37" i="3"/>
  <c r="C37" i="3"/>
  <c r="B37" i="3"/>
  <c r="A37" i="3"/>
  <c r="JM37" i="3"/>
  <c r="JL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D42" i="3"/>
  <c r="C42" i="3"/>
  <c r="B42" i="3"/>
  <c r="A42" i="3"/>
  <c r="JM42" i="3"/>
  <c r="JL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D34" i="3"/>
  <c r="JL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D46" i="3"/>
  <c r="C46" i="3"/>
  <c r="B46" i="3"/>
  <c r="A46" i="3"/>
  <c r="JM46" i="3"/>
  <c r="JL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D40" i="3"/>
  <c r="C40" i="3"/>
  <c r="B40" i="3"/>
  <c r="A40" i="3"/>
  <c r="JM40" i="3"/>
  <c r="JL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D33" i="3"/>
  <c r="JL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D47" i="3"/>
  <c r="C47" i="3"/>
  <c r="B47" i="3"/>
  <c r="A47" i="3"/>
  <c r="JM47" i="3"/>
  <c r="JL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D35" i="3"/>
  <c r="JL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D48" i="3"/>
  <c r="C48" i="3"/>
  <c r="B48" i="3"/>
  <c r="A48" i="3"/>
  <c r="JM48" i="3"/>
  <c r="JL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D38" i="3"/>
  <c r="C38" i="3"/>
  <c r="B38" i="3"/>
  <c r="A38" i="3"/>
  <c r="JM38" i="3"/>
  <c r="JL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Q20" i="3"/>
  <c r="O20" i="3"/>
  <c r="J20" i="3"/>
  <c r="G20" i="3"/>
  <c r="D20" i="3"/>
  <c r="AC20" i="3"/>
  <c r="AB20" i="3"/>
  <c r="AA20" i="3"/>
  <c r="Y20" i="3"/>
  <c r="V20" i="3"/>
  <c r="U20" i="3"/>
  <c r="T20" i="3"/>
  <c r="R20" i="3"/>
  <c r="N20" i="3"/>
  <c r="L20" i="3"/>
  <c r="I20" i="3"/>
  <c r="F20" i="3"/>
  <c r="JL20" i="3"/>
  <c r="Z20" i="3"/>
  <c r="X20" i="3"/>
  <c r="W20" i="3"/>
  <c r="S20" i="3"/>
  <c r="P20" i="3"/>
  <c r="M20" i="3"/>
  <c r="K20" i="3"/>
  <c r="H20" i="3"/>
  <c r="D98" i="3"/>
  <c r="C98" i="3"/>
  <c r="B98" i="3"/>
  <c r="A98" i="3"/>
  <c r="JM98" i="3"/>
  <c r="JL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D117" i="3"/>
  <c r="C117" i="3"/>
  <c r="B117" i="3"/>
  <c r="A117" i="3"/>
  <c r="JM117" i="3"/>
  <c r="JL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D116" i="3"/>
  <c r="C116" i="3"/>
  <c r="B116" i="3"/>
  <c r="A116" i="3"/>
  <c r="JM116" i="3"/>
  <c r="JL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D115" i="3"/>
  <c r="C115" i="3"/>
  <c r="B115" i="3"/>
  <c r="A115" i="3"/>
  <c r="JM115" i="3"/>
  <c r="JL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D114" i="3"/>
  <c r="C114" i="3"/>
  <c r="B114" i="3"/>
  <c r="A114" i="3"/>
  <c r="JM114" i="3"/>
  <c r="JL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D113" i="3"/>
  <c r="C113" i="3"/>
  <c r="B113" i="3"/>
  <c r="A113" i="3"/>
  <c r="JM113" i="3"/>
  <c r="JL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D18" i="3"/>
  <c r="AA18" i="3"/>
  <c r="AC18" i="3"/>
  <c r="AB18" i="3"/>
  <c r="Z18" i="3"/>
  <c r="JL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D17" i="3"/>
  <c r="JL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D16" i="3"/>
  <c r="JL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D15" i="3"/>
  <c r="JL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D14" i="3"/>
  <c r="JL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D13" i="3"/>
  <c r="JL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D12" i="3"/>
  <c r="JL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D11" i="3"/>
  <c r="JL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D10" i="3"/>
  <c r="JL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D9" i="3"/>
  <c r="JL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D8" i="3"/>
  <c r="JL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D7" i="3"/>
  <c r="JL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D6" i="3"/>
  <c r="JL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D5" i="3"/>
  <c r="JL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D4" i="3"/>
  <c r="JL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D112" i="3"/>
  <c r="C112" i="3"/>
  <c r="B112" i="3"/>
  <c r="A112" i="3"/>
  <c r="JM112" i="3"/>
  <c r="JL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D111" i="3"/>
  <c r="C111" i="3"/>
  <c r="B111" i="3"/>
  <c r="A111" i="3"/>
  <c r="JM111" i="3"/>
  <c r="JL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D110" i="3"/>
  <c r="C110" i="3"/>
  <c r="B110" i="3"/>
  <c r="A110" i="3"/>
  <c r="JM110" i="3"/>
  <c r="JL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D109" i="3"/>
  <c r="C109" i="3"/>
  <c r="B109" i="3"/>
  <c r="A109" i="3"/>
  <c r="JM109" i="3"/>
  <c r="JL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D108" i="3"/>
  <c r="C108" i="3"/>
  <c r="B108" i="3"/>
  <c r="A108" i="3"/>
  <c r="JM108" i="3"/>
  <c r="JL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D107" i="3"/>
  <c r="C107" i="3"/>
  <c r="B107" i="3"/>
  <c r="A107" i="3"/>
  <c r="JM107" i="3"/>
  <c r="JL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D106" i="3"/>
  <c r="C106" i="3"/>
  <c r="B106" i="3"/>
  <c r="A106" i="3"/>
  <c r="JM106" i="3"/>
  <c r="JL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D105" i="3"/>
  <c r="C105" i="3"/>
  <c r="B105" i="3"/>
  <c r="A105" i="3"/>
  <c r="JM105" i="3"/>
  <c r="JL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D104" i="3"/>
  <c r="C104" i="3"/>
  <c r="B104" i="3"/>
  <c r="A104" i="3"/>
  <c r="JM104" i="3"/>
  <c r="JL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AC19" i="3"/>
  <c r="X19" i="3"/>
  <c r="V19" i="3"/>
  <c r="T19" i="3"/>
  <c r="Q19" i="3"/>
  <c r="P19" i="3"/>
  <c r="N19" i="3"/>
  <c r="L19" i="3"/>
  <c r="I19" i="3"/>
  <c r="F19" i="3"/>
  <c r="D19" i="3"/>
  <c r="S19" i="3"/>
  <c r="O19" i="3"/>
  <c r="M19" i="3"/>
  <c r="J19" i="3"/>
  <c r="JL19" i="3"/>
  <c r="AB19" i="3"/>
  <c r="AA19" i="3"/>
  <c r="Z19" i="3"/>
  <c r="Y19" i="3"/>
  <c r="W19" i="3"/>
  <c r="U19" i="3"/>
  <c r="R19" i="3"/>
  <c r="K19" i="3"/>
  <c r="H19" i="3"/>
  <c r="G19" i="3"/>
  <c r="D103" i="3"/>
  <c r="C103" i="3"/>
  <c r="B103" i="3"/>
  <c r="A103" i="3"/>
  <c r="JM103" i="3"/>
  <c r="JL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D102" i="3"/>
  <c r="C102" i="3"/>
  <c r="B102" i="3"/>
  <c r="A102" i="3"/>
  <c r="JM102" i="3"/>
  <c r="JL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D101" i="3"/>
  <c r="C101" i="3"/>
  <c r="B101" i="3"/>
  <c r="A101" i="3"/>
  <c r="JM101" i="3"/>
  <c r="JL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D100" i="3"/>
  <c r="C100" i="3"/>
  <c r="B100" i="3"/>
  <c r="A100" i="3"/>
  <c r="JM100" i="3"/>
  <c r="JL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D99" i="3"/>
  <c r="C99" i="3"/>
  <c r="B99" i="3"/>
  <c r="A99" i="3"/>
  <c r="JM99" i="3"/>
  <c r="JL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D97" i="3"/>
  <c r="C97" i="3"/>
  <c r="B97" i="3"/>
  <c r="A97" i="3"/>
  <c r="JM97" i="3"/>
  <c r="JL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D96" i="3"/>
  <c r="C96" i="3"/>
  <c r="B96" i="3"/>
  <c r="A96" i="3"/>
  <c r="JM96" i="3"/>
  <c r="JL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D95" i="3"/>
  <c r="C95" i="3"/>
  <c r="B95" i="3"/>
  <c r="A95" i="3"/>
  <c r="JM95" i="3"/>
  <c r="JL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D25" i="3"/>
  <c r="JL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D24" i="3"/>
  <c r="JL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T22" i="3"/>
  <c r="R22" i="3"/>
  <c r="P22" i="3"/>
  <c r="M22" i="3"/>
  <c r="K22" i="3"/>
  <c r="I22" i="3"/>
  <c r="G22" i="3"/>
  <c r="D22" i="3"/>
  <c r="JL22" i="3"/>
  <c r="AC22" i="3"/>
  <c r="AB22" i="3"/>
  <c r="AA22" i="3"/>
  <c r="Z22" i="3"/>
  <c r="Y22" i="3"/>
  <c r="X22" i="3"/>
  <c r="W22" i="3"/>
  <c r="V22" i="3"/>
  <c r="U22" i="3"/>
  <c r="S22" i="3"/>
  <c r="Q22" i="3"/>
  <c r="O22" i="3"/>
  <c r="N22" i="3"/>
  <c r="L22" i="3"/>
  <c r="J22" i="3"/>
  <c r="H22" i="3"/>
  <c r="F22" i="3"/>
  <c r="JL21" i="3"/>
  <c r="AC21" i="3"/>
  <c r="AB21" i="3"/>
  <c r="AA21" i="3"/>
  <c r="Z21" i="3"/>
  <c r="Y21" i="3"/>
  <c r="X21" i="3"/>
  <c r="V21" i="3"/>
  <c r="U21" i="3"/>
  <c r="S21" i="3"/>
  <c r="Q21" i="3"/>
  <c r="O21" i="3"/>
  <c r="M21" i="3"/>
  <c r="J21" i="3"/>
  <c r="G21" i="3"/>
  <c r="D21" i="3"/>
  <c r="B21" i="3"/>
  <c r="W21" i="3"/>
  <c r="R21" i="3"/>
  <c r="N21" i="3"/>
  <c r="L21" i="3"/>
  <c r="I21" i="3"/>
  <c r="F21" i="3"/>
  <c r="C21" i="3"/>
  <c r="A21" i="3"/>
  <c r="JM21" i="3"/>
  <c r="T21" i="3"/>
  <c r="P21" i="3"/>
  <c r="K21" i="3"/>
  <c r="H21" i="3"/>
  <c r="D120" i="3"/>
  <c r="C120" i="3"/>
  <c r="B120" i="3"/>
  <c r="A120" i="3"/>
  <c r="JM120" i="3"/>
  <c r="JL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D119" i="3"/>
  <c r="C119" i="3"/>
  <c r="B119" i="3"/>
  <c r="A119" i="3"/>
  <c r="JM119" i="3"/>
  <c r="JL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D118" i="3"/>
  <c r="C118" i="3"/>
  <c r="B118" i="3"/>
  <c r="A118" i="3"/>
  <c r="JM118" i="3"/>
  <c r="JL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D56" i="3"/>
  <c r="C56" i="3"/>
  <c r="B56" i="3"/>
  <c r="A56" i="3"/>
  <c r="JM56" i="3"/>
  <c r="JL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D55" i="3"/>
  <c r="C55" i="3"/>
  <c r="B55" i="3"/>
  <c r="A55" i="3"/>
  <c r="JM55" i="3"/>
  <c r="JL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D54" i="3"/>
  <c r="C54" i="3"/>
  <c r="B54" i="3"/>
  <c r="A54" i="3"/>
  <c r="JM54" i="3"/>
  <c r="JL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D53" i="3"/>
  <c r="C53" i="3"/>
  <c r="B53" i="3"/>
  <c r="A53" i="3"/>
  <c r="JM53" i="3"/>
  <c r="JL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D93" i="3"/>
  <c r="C93" i="3"/>
  <c r="B93" i="3"/>
  <c r="A93" i="3"/>
  <c r="JM93" i="3"/>
  <c r="JL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D92" i="3"/>
  <c r="C92" i="3"/>
  <c r="B92" i="3"/>
  <c r="A92" i="3"/>
  <c r="JM92" i="3"/>
  <c r="JL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D91" i="3"/>
  <c r="C91" i="3"/>
  <c r="B91" i="3"/>
  <c r="A91" i="3"/>
  <c r="JM91" i="3"/>
  <c r="JL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D90" i="3"/>
  <c r="C90" i="3"/>
  <c r="B90" i="3"/>
  <c r="A90" i="3"/>
  <c r="JM90" i="3"/>
  <c r="JL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D89" i="3"/>
  <c r="C89" i="3"/>
  <c r="B89" i="3"/>
  <c r="A89" i="3"/>
  <c r="JM89" i="3"/>
  <c r="JL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D88" i="3"/>
  <c r="C88" i="3"/>
  <c r="B88" i="3"/>
  <c r="A88" i="3"/>
  <c r="JM88" i="3"/>
  <c r="JL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D87" i="3"/>
  <c r="C87" i="3"/>
  <c r="B87" i="3"/>
  <c r="A87" i="3"/>
  <c r="JM87" i="3"/>
  <c r="JL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D86" i="3"/>
  <c r="C86" i="3"/>
  <c r="B86" i="3"/>
  <c r="A86" i="3"/>
  <c r="JM86" i="3"/>
  <c r="JL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D85" i="3"/>
  <c r="C85" i="3"/>
  <c r="B85" i="3"/>
  <c r="A85" i="3"/>
  <c r="JM85" i="3"/>
  <c r="JL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D84" i="3"/>
  <c r="C84" i="3"/>
  <c r="B84" i="3"/>
  <c r="A84" i="3"/>
  <c r="JM84" i="3"/>
  <c r="JL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D83" i="3"/>
  <c r="C83" i="3"/>
  <c r="B83" i="3"/>
  <c r="A83" i="3"/>
  <c r="JM83" i="3"/>
  <c r="JL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D82" i="3"/>
  <c r="C82" i="3"/>
  <c r="B82" i="3"/>
  <c r="A82" i="3"/>
  <c r="JM82" i="3"/>
  <c r="JL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D81" i="3"/>
  <c r="C81" i="3"/>
  <c r="B81" i="3"/>
  <c r="A81" i="3"/>
  <c r="JM81" i="3"/>
  <c r="JL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D80" i="3"/>
  <c r="C80" i="3"/>
  <c r="B80" i="3"/>
  <c r="A80" i="3"/>
  <c r="JM80" i="3"/>
  <c r="JL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D79" i="3"/>
  <c r="C79" i="3"/>
  <c r="B79" i="3"/>
  <c r="A79" i="3"/>
  <c r="JM79" i="3"/>
  <c r="JL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D78" i="3"/>
  <c r="C78" i="3"/>
  <c r="B78" i="3"/>
  <c r="A78" i="3"/>
  <c r="JM78" i="3"/>
  <c r="JL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D77" i="3"/>
  <c r="C77" i="3"/>
  <c r="B77" i="3"/>
  <c r="A77" i="3"/>
  <c r="JM77" i="3"/>
  <c r="JL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D76" i="3"/>
  <c r="C76" i="3"/>
  <c r="B76" i="3"/>
  <c r="A76" i="3"/>
  <c r="JM76" i="3"/>
  <c r="JL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D75" i="3"/>
  <c r="C75" i="3"/>
  <c r="B75" i="3"/>
  <c r="A75" i="3"/>
  <c r="JM75" i="3"/>
  <c r="JL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D74" i="3"/>
  <c r="C74" i="3"/>
  <c r="B74" i="3"/>
  <c r="A74" i="3"/>
  <c r="JM74" i="3"/>
  <c r="JL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D73" i="3"/>
  <c r="C73" i="3"/>
  <c r="B73" i="3"/>
  <c r="A73" i="3"/>
  <c r="JM73" i="3"/>
  <c r="JL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D72" i="3"/>
  <c r="C72" i="3"/>
  <c r="B72" i="3"/>
  <c r="A72" i="3"/>
  <c r="JM72" i="3"/>
  <c r="JL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D71" i="3"/>
  <c r="C71" i="3"/>
  <c r="B71" i="3"/>
  <c r="A71" i="3"/>
  <c r="JM71" i="3"/>
  <c r="JL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D70" i="3"/>
  <c r="C70" i="3"/>
  <c r="B70" i="3"/>
  <c r="A70" i="3"/>
  <c r="JM70" i="3"/>
  <c r="JL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D52" i="3"/>
  <c r="C52" i="3"/>
  <c r="B52" i="3"/>
  <c r="A52" i="3"/>
  <c r="JM52" i="3"/>
  <c r="JL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D51" i="3"/>
  <c r="C51" i="3"/>
  <c r="B51" i="3"/>
  <c r="A51" i="3"/>
  <c r="JM51" i="3"/>
  <c r="JL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D69" i="3"/>
  <c r="C69" i="3"/>
  <c r="B69" i="3"/>
  <c r="A69" i="3"/>
  <c r="JM69" i="3"/>
  <c r="JL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D68" i="3"/>
  <c r="C68" i="3"/>
  <c r="B68" i="3"/>
  <c r="A68" i="3"/>
  <c r="JM68" i="3"/>
  <c r="JL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D67" i="3"/>
  <c r="C67" i="3"/>
  <c r="B67" i="3"/>
  <c r="A67" i="3"/>
  <c r="JM67" i="3"/>
  <c r="JL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D66" i="3"/>
  <c r="C66" i="3"/>
  <c r="B66" i="3"/>
  <c r="A66" i="3"/>
  <c r="JM66" i="3"/>
  <c r="JL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D65" i="3"/>
  <c r="C65" i="3"/>
  <c r="B65" i="3"/>
  <c r="A65" i="3"/>
  <c r="JM65" i="3"/>
  <c r="JL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D64" i="3"/>
  <c r="C64" i="3"/>
  <c r="B64" i="3"/>
  <c r="A64" i="3"/>
  <c r="JM64" i="3"/>
  <c r="JL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D63" i="3"/>
  <c r="C63" i="3"/>
  <c r="B63" i="3"/>
  <c r="A63" i="3"/>
  <c r="JM63" i="3"/>
  <c r="JL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D62" i="3"/>
  <c r="C62" i="3"/>
  <c r="B62" i="3"/>
  <c r="A62" i="3"/>
  <c r="JM62" i="3"/>
  <c r="JL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D61" i="3"/>
  <c r="C61" i="3"/>
  <c r="B61" i="3"/>
  <c r="A61" i="3"/>
  <c r="JM61" i="3"/>
  <c r="JL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D60" i="3"/>
  <c r="C60" i="3"/>
  <c r="B60" i="3"/>
  <c r="A60" i="3"/>
  <c r="JM60" i="3"/>
  <c r="JL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D94" i="3"/>
  <c r="C94" i="3"/>
  <c r="B94" i="3"/>
  <c r="A94" i="3"/>
  <c r="JM94" i="3"/>
  <c r="JL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D58" i="3"/>
  <c r="C58" i="3"/>
  <c r="B58" i="3"/>
  <c r="A58" i="3"/>
  <c r="JM58" i="3"/>
  <c r="JL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D57" i="3"/>
  <c r="C57" i="3"/>
  <c r="B57" i="3"/>
  <c r="A57" i="3"/>
  <c r="JM57" i="3"/>
  <c r="JL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D32" i="3"/>
  <c r="JL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D31" i="3"/>
  <c r="JL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D30" i="3"/>
  <c r="JL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D29" i="3"/>
  <c r="JL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D28" i="3"/>
  <c r="JL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D27" i="3"/>
  <c r="JL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JL23" i="3"/>
  <c r="AC23" i="3"/>
  <c r="AA23" i="3"/>
  <c r="Y23" i="3"/>
  <c r="W23" i="3"/>
  <c r="S23" i="3"/>
  <c r="Q23" i="3"/>
  <c r="O23" i="3"/>
  <c r="M23" i="3"/>
  <c r="K23" i="3"/>
  <c r="I23" i="3"/>
  <c r="G23" i="3"/>
  <c r="D23" i="3"/>
  <c r="C23" i="3"/>
  <c r="B23" i="3"/>
  <c r="A23" i="3"/>
  <c r="JM23" i="3" s="1"/>
  <c r="AB23" i="3"/>
  <c r="Z23" i="3"/>
  <c r="X23" i="3"/>
  <c r="V23" i="3"/>
  <c r="U23" i="3"/>
  <c r="T23" i="3"/>
  <c r="R23" i="3"/>
  <c r="P23" i="3"/>
  <c r="N23" i="3"/>
  <c r="L23" i="3"/>
  <c r="J23" i="3"/>
  <c r="H23" i="3"/>
  <c r="F23" i="3"/>
  <c r="D121" i="3"/>
  <c r="C121" i="3"/>
  <c r="B121" i="3"/>
  <c r="A121" i="3"/>
  <c r="JM121" i="3"/>
  <c r="JL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D122" i="3"/>
  <c r="C122" i="3"/>
  <c r="B122" i="3"/>
  <c r="A122" i="3"/>
  <c r="JM122" i="3"/>
  <c r="JL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D123" i="3"/>
  <c r="C123" i="3"/>
  <c r="B123" i="3"/>
  <c r="A123" i="3"/>
  <c r="JM123" i="3"/>
  <c r="JL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D50" i="3"/>
  <c r="C50" i="3"/>
  <c r="B50" i="3"/>
  <c r="A50" i="3"/>
  <c r="JM50" i="3"/>
  <c r="JL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D49" i="3"/>
  <c r="C49" i="3"/>
  <c r="B49" i="3"/>
  <c r="A49" i="3"/>
  <c r="JM49" i="3"/>
  <c r="JL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D44" i="3"/>
  <c r="C44" i="3"/>
  <c r="B44" i="3"/>
  <c r="A44" i="3"/>
  <c r="JM44" i="3"/>
  <c r="JL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D41" i="3"/>
  <c r="C41" i="3"/>
  <c r="B41" i="3"/>
  <c r="A41" i="3"/>
  <c r="JM41" i="3"/>
  <c r="JL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D36" i="3"/>
  <c r="JL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W26" i="3"/>
  <c r="V26" i="3"/>
  <c r="U26" i="3"/>
  <c r="T26" i="3"/>
  <c r="S26" i="3"/>
  <c r="R26" i="3"/>
  <c r="Q26" i="3"/>
  <c r="P26" i="3"/>
  <c r="O26" i="3"/>
  <c r="N26" i="3"/>
  <c r="M26" i="3"/>
  <c r="K26" i="3"/>
  <c r="I26" i="3"/>
  <c r="D26" i="3"/>
  <c r="JL26" i="3"/>
  <c r="AC26" i="3"/>
  <c r="AB26" i="3"/>
  <c r="AA26" i="3"/>
  <c r="Z26" i="3"/>
  <c r="Y26" i="3"/>
  <c r="X26" i="3"/>
  <c r="L26" i="3"/>
  <c r="J26" i="3"/>
  <c r="H26" i="3"/>
  <c r="G26" i="3"/>
  <c r="F26" i="3"/>
  <c r="B20" i="3" l="1"/>
  <c r="A20" i="3"/>
  <c r="JM20" i="3" s="1"/>
  <c r="C20" i="3"/>
  <c r="C36" i="3"/>
  <c r="B36" i="3"/>
  <c r="A36" i="3"/>
  <c r="JM36" i="3" s="1"/>
  <c r="J10" i="4"/>
  <c r="K10" i="4"/>
  <c r="L10" i="4"/>
  <c r="I10" i="4"/>
  <c r="H11" i="4"/>
  <c r="AG3" i="3"/>
  <c r="AG1" i="3"/>
  <c r="AH2" i="3"/>
  <c r="B34" i="3"/>
  <c r="C34" i="3"/>
  <c r="A34" i="3"/>
  <c r="JM34" i="3" s="1"/>
  <c r="B33" i="3"/>
  <c r="C33" i="3"/>
  <c r="A33" i="3"/>
  <c r="JM33" i="3" s="1"/>
  <c r="A35" i="3"/>
  <c r="JM35" i="3" s="1"/>
  <c r="B35" i="3"/>
  <c r="C35" i="3"/>
  <c r="C18" i="3"/>
  <c r="B18" i="3"/>
  <c r="A18" i="3"/>
  <c r="JM18" i="3" s="1"/>
  <c r="B17" i="3"/>
  <c r="A17" i="3"/>
  <c r="JM17" i="3" s="1"/>
  <c r="C17" i="3"/>
  <c r="C16" i="3"/>
  <c r="B16" i="3"/>
  <c r="A16" i="3"/>
  <c r="JM16" i="3" s="1"/>
  <c r="C15" i="3"/>
  <c r="B15" i="3"/>
  <c r="A15" i="3"/>
  <c r="JM15" i="3" s="1"/>
  <c r="C14" i="3"/>
  <c r="B14" i="3"/>
  <c r="A14" i="3"/>
  <c r="JM14" i="3" s="1"/>
  <c r="A13" i="3"/>
  <c r="JM13" i="3" s="1"/>
  <c r="B13" i="3"/>
  <c r="C13" i="3"/>
  <c r="A12" i="3"/>
  <c r="JM12" i="3" s="1"/>
  <c r="B12" i="3"/>
  <c r="C12" i="3"/>
  <c r="A11" i="3"/>
  <c r="JM11" i="3" s="1"/>
  <c r="C11" i="3"/>
  <c r="B11" i="3"/>
  <c r="C10" i="3"/>
  <c r="B10" i="3"/>
  <c r="A10" i="3"/>
  <c r="JM10" i="3" s="1"/>
  <c r="C9" i="3"/>
  <c r="B9" i="3"/>
  <c r="A9" i="3"/>
  <c r="JM9" i="3" s="1"/>
  <c r="A8" i="3"/>
  <c r="JM8" i="3" s="1"/>
  <c r="C8" i="3"/>
  <c r="B8" i="3"/>
  <c r="C7" i="3"/>
  <c r="A7" i="3"/>
  <c r="JM7" i="3" s="1"/>
  <c r="B7" i="3"/>
  <c r="C6" i="3"/>
  <c r="B6" i="3"/>
  <c r="A6" i="3"/>
  <c r="JM6" i="3" s="1"/>
  <c r="A5" i="3"/>
  <c r="JM5" i="3" s="1"/>
  <c r="C5" i="3"/>
  <c r="B5" i="3"/>
  <c r="B4" i="3"/>
  <c r="A4" i="3"/>
  <c r="JM4" i="3" s="1"/>
  <c r="C4" i="3"/>
  <c r="C19" i="3"/>
  <c r="B19" i="3"/>
  <c r="A19" i="3"/>
  <c r="JM19" i="3" s="1"/>
  <c r="B25" i="3"/>
  <c r="A25" i="3"/>
  <c r="JM25" i="3" s="1"/>
  <c r="C25" i="3"/>
  <c r="B24" i="3"/>
  <c r="A24" i="3"/>
  <c r="JM24" i="3" s="1"/>
  <c r="C24" i="3"/>
  <c r="B22" i="3"/>
  <c r="C22" i="3"/>
  <c r="A22" i="3"/>
  <c r="JM22" i="3" s="1"/>
  <c r="C32" i="3"/>
  <c r="B32" i="3"/>
  <c r="A32" i="3"/>
  <c r="JM32" i="3" s="1"/>
  <c r="C31" i="3"/>
  <c r="B31" i="3"/>
  <c r="A31" i="3"/>
  <c r="JM31" i="3" s="1"/>
  <c r="C30" i="3"/>
  <c r="B30" i="3"/>
  <c r="A30" i="3"/>
  <c r="JM30" i="3" s="1"/>
  <c r="C29" i="3"/>
  <c r="B29" i="3"/>
  <c r="A29" i="3"/>
  <c r="JM29" i="3" s="1"/>
  <c r="C28" i="3"/>
  <c r="B28" i="3"/>
  <c r="A28" i="3"/>
  <c r="JM28" i="3" s="1"/>
  <c r="C27" i="3"/>
  <c r="B27" i="3"/>
  <c r="A27" i="3"/>
  <c r="JM27" i="3" s="1"/>
  <c r="C26" i="3"/>
  <c r="B26" i="3"/>
  <c r="A26" i="3"/>
  <c r="JM26" i="3" s="1"/>
  <c r="J11" i="4" l="1"/>
  <c r="K11" i="4"/>
  <c r="L11" i="4"/>
  <c r="I11" i="4"/>
  <c r="H12" i="4"/>
  <c r="AI2" i="3"/>
  <c r="AH1" i="3"/>
  <c r="AH3" i="3"/>
  <c r="J12" i="4" l="1"/>
  <c r="K12" i="4"/>
  <c r="L12" i="4"/>
  <c r="I12" i="4"/>
  <c r="H13" i="4"/>
  <c r="AI1" i="3"/>
  <c r="AJ2" i="3"/>
  <c r="AI3" i="3"/>
  <c r="J13" i="4" l="1"/>
  <c r="K13" i="4"/>
  <c r="L13" i="4"/>
  <c r="I13" i="4"/>
  <c r="H14" i="4"/>
  <c r="AJ3" i="3"/>
  <c r="AJ1" i="3"/>
  <c r="AK2" i="3"/>
  <c r="J14" i="4" l="1"/>
  <c r="K14" i="4"/>
  <c r="L14" i="4"/>
  <c r="I14" i="4"/>
  <c r="H15" i="4"/>
  <c r="AL2" i="3"/>
  <c r="AK1" i="3"/>
  <c r="AK3" i="3"/>
  <c r="J15" i="4" l="1"/>
  <c r="K15" i="4"/>
  <c r="L15" i="4"/>
  <c r="I15" i="4"/>
  <c r="H16" i="4"/>
  <c r="AL1" i="3"/>
  <c r="AM2" i="3"/>
  <c r="AL3" i="3"/>
  <c r="J16" i="4" l="1"/>
  <c r="K16" i="4"/>
  <c r="L16" i="4"/>
  <c r="I16" i="4"/>
  <c r="H17" i="4"/>
  <c r="AM3" i="3"/>
  <c r="AM1" i="3"/>
  <c r="AN2" i="3"/>
  <c r="J17" i="4" l="1"/>
  <c r="K17" i="4"/>
  <c r="L17" i="4"/>
  <c r="I17" i="4"/>
  <c r="H18" i="4"/>
  <c r="AO2" i="3"/>
  <c r="AN1" i="3"/>
  <c r="AN3" i="3"/>
  <c r="J18" i="4" l="1"/>
  <c r="K18" i="4"/>
  <c r="L18" i="4"/>
  <c r="I18" i="4"/>
  <c r="H19" i="4"/>
  <c r="AO1" i="3"/>
  <c r="AP2" i="3"/>
  <c r="AO3" i="3"/>
  <c r="J19" i="4" l="1"/>
  <c r="K19" i="4"/>
  <c r="L19" i="4"/>
  <c r="I19" i="4"/>
  <c r="H20" i="4"/>
  <c r="AP3" i="3"/>
  <c r="AP1" i="3"/>
  <c r="AQ2" i="3"/>
  <c r="J20" i="4" l="1"/>
  <c r="K20" i="4"/>
  <c r="L20" i="4"/>
  <c r="I20" i="4"/>
  <c r="H21" i="4"/>
  <c r="AR2" i="3"/>
  <c r="AQ1" i="3"/>
  <c r="AQ3" i="3"/>
  <c r="J21" i="4" l="1"/>
  <c r="K21" i="4"/>
  <c r="L21" i="4"/>
  <c r="I21" i="4"/>
  <c r="H22" i="4"/>
  <c r="AR1" i="3"/>
  <c r="AR3" i="3"/>
  <c r="AS2" i="3"/>
  <c r="J22" i="4" l="1"/>
  <c r="K22" i="4"/>
  <c r="L22" i="4"/>
  <c r="I22" i="4"/>
  <c r="H23" i="4"/>
  <c r="AT2" i="3"/>
  <c r="AS3" i="3"/>
  <c r="AS1" i="3"/>
  <c r="J23" i="4" l="1"/>
  <c r="K23" i="4"/>
  <c r="L23" i="4"/>
  <c r="I23" i="4"/>
  <c r="H24" i="4"/>
  <c r="AT1" i="3"/>
  <c r="AU2" i="3"/>
  <c r="AT3" i="3"/>
  <c r="K24" i="4" l="1"/>
  <c r="J24" i="4"/>
  <c r="L24" i="4"/>
  <c r="I24" i="4"/>
  <c r="H25" i="4"/>
  <c r="AU3" i="3"/>
  <c r="AV2" i="3"/>
  <c r="AU1" i="3"/>
  <c r="J25" i="4" l="1"/>
  <c r="K25" i="4"/>
  <c r="L25" i="4"/>
  <c r="I25" i="4"/>
  <c r="H26" i="4"/>
  <c r="AW2" i="3"/>
  <c r="AV1" i="3"/>
  <c r="AV3" i="3"/>
  <c r="K26" i="4" l="1"/>
  <c r="J26" i="4"/>
  <c r="L26" i="4"/>
  <c r="I26" i="4"/>
  <c r="H27" i="4"/>
  <c r="AW3" i="3"/>
  <c r="AW1" i="3"/>
  <c r="AX2" i="3"/>
  <c r="J27" i="4" l="1"/>
  <c r="K27" i="4"/>
  <c r="L27" i="4"/>
  <c r="I27" i="4"/>
  <c r="H28" i="4"/>
  <c r="AY2" i="3"/>
  <c r="AX1" i="3"/>
  <c r="AX3" i="3"/>
  <c r="K28" i="4" l="1"/>
  <c r="J28" i="4"/>
  <c r="L28" i="4"/>
  <c r="I28" i="4"/>
  <c r="H29" i="4"/>
  <c r="AY1" i="3"/>
  <c r="AZ2" i="3"/>
  <c r="AY3" i="3"/>
  <c r="J29" i="4" l="1"/>
  <c r="K29" i="4"/>
  <c r="L29" i="4"/>
  <c r="I29" i="4"/>
  <c r="H30" i="4"/>
  <c r="AZ3" i="3"/>
  <c r="AZ1" i="3"/>
  <c r="BA2" i="3"/>
  <c r="L30" i="4" l="1"/>
  <c r="J30" i="4"/>
  <c r="K30" i="4"/>
  <c r="I30" i="4"/>
  <c r="H31" i="4"/>
  <c r="BB2" i="3"/>
  <c r="BA1" i="3"/>
  <c r="BA3" i="3"/>
  <c r="L31" i="4" l="1"/>
  <c r="J31" i="4"/>
  <c r="K31" i="4"/>
  <c r="I31" i="4"/>
  <c r="H32" i="4"/>
  <c r="BB1" i="3"/>
  <c r="BC2" i="3"/>
  <c r="BB3" i="3"/>
  <c r="L32" i="4" l="1"/>
  <c r="J32" i="4"/>
  <c r="K32" i="4"/>
  <c r="I32" i="4"/>
  <c r="H33" i="4"/>
  <c r="BC3" i="3"/>
  <c r="BC1" i="3"/>
  <c r="BD2" i="3"/>
  <c r="J33" i="4" l="1"/>
  <c r="L33" i="4"/>
  <c r="K33" i="4"/>
  <c r="I33" i="4"/>
  <c r="H34" i="4"/>
  <c r="BE2" i="3"/>
  <c r="BD1" i="3"/>
  <c r="BD3" i="3"/>
  <c r="J34" i="4" l="1"/>
  <c r="L34" i="4"/>
  <c r="K34" i="4"/>
  <c r="I34" i="4"/>
  <c r="H35" i="4"/>
  <c r="BE1" i="3"/>
  <c r="BE3" i="3"/>
  <c r="BF2" i="3"/>
  <c r="J35" i="4" l="1"/>
  <c r="L35" i="4"/>
  <c r="K35" i="4"/>
  <c r="I35" i="4"/>
  <c r="H36" i="4"/>
  <c r="BG2" i="3"/>
  <c r="BF3" i="3"/>
  <c r="BF1" i="3"/>
  <c r="J36" i="4" l="1"/>
  <c r="L36" i="4"/>
  <c r="L2" i="4" s="1"/>
  <c r="K36" i="4"/>
  <c r="K2" i="4" s="1"/>
  <c r="I36" i="4"/>
  <c r="H37" i="4"/>
  <c r="BG1" i="3"/>
  <c r="BH2" i="3"/>
  <c r="BG3" i="3"/>
  <c r="L37" i="4" l="1"/>
  <c r="J37" i="4"/>
  <c r="K37" i="4"/>
  <c r="I37" i="4"/>
  <c r="H38" i="4"/>
  <c r="BH3" i="3"/>
  <c r="BI2" i="3"/>
  <c r="BH1" i="3"/>
  <c r="L38" i="4" l="1"/>
  <c r="J38" i="4"/>
  <c r="K38" i="4"/>
  <c r="I38" i="4"/>
  <c r="H39" i="4"/>
  <c r="BJ2" i="3"/>
  <c r="BI1" i="3"/>
  <c r="BI3" i="3"/>
  <c r="L39" i="4" l="1"/>
  <c r="J39" i="4"/>
  <c r="K39" i="4"/>
  <c r="I39" i="4"/>
  <c r="H40" i="4"/>
  <c r="BK2" i="3"/>
  <c r="BJ3" i="3"/>
  <c r="BJ1" i="3"/>
  <c r="L40" i="4" l="1"/>
  <c r="J40" i="4"/>
  <c r="K40" i="4"/>
  <c r="I40" i="4"/>
  <c r="H41" i="4"/>
  <c r="BK3" i="3"/>
  <c r="BL2" i="3"/>
  <c r="BK1" i="3"/>
  <c r="L41" i="4" l="1"/>
  <c r="J41" i="4"/>
  <c r="K41" i="4"/>
  <c r="I41" i="4"/>
  <c r="H42" i="4"/>
  <c r="BM2" i="3"/>
  <c r="BL1" i="3"/>
  <c r="BL3" i="3"/>
  <c r="J42" i="4" l="1"/>
  <c r="L42" i="4"/>
  <c r="K42" i="4"/>
  <c r="I42" i="4"/>
  <c r="H43" i="4"/>
  <c r="BN2" i="3"/>
  <c r="BM3" i="3"/>
  <c r="BM1" i="3"/>
  <c r="L43" i="4" l="1"/>
  <c r="J43" i="4"/>
  <c r="K43" i="4"/>
  <c r="I43" i="4"/>
  <c r="H44" i="4"/>
  <c r="BN1" i="3"/>
  <c r="BN3" i="3"/>
  <c r="BO2" i="3"/>
  <c r="L44" i="4" l="1"/>
  <c r="J44" i="4"/>
  <c r="K44" i="4"/>
  <c r="I44" i="4"/>
  <c r="H45" i="4"/>
  <c r="BP2" i="3"/>
  <c r="BO3" i="3"/>
  <c r="BO1" i="3"/>
  <c r="L45" i="4" l="1"/>
  <c r="J45" i="4"/>
  <c r="K45" i="4"/>
  <c r="I45" i="4"/>
  <c r="H46" i="4"/>
  <c r="BQ2" i="3"/>
  <c r="BP3" i="3"/>
  <c r="BP1" i="3"/>
  <c r="J46" i="4" l="1"/>
  <c r="L46" i="4"/>
  <c r="K46" i="4"/>
  <c r="I46" i="4"/>
  <c r="H47" i="4"/>
  <c r="BQ3" i="3"/>
  <c r="BR2" i="3"/>
  <c r="BQ1" i="3"/>
  <c r="J47" i="4" l="1"/>
  <c r="L47" i="4"/>
  <c r="K47" i="4"/>
  <c r="I47" i="4"/>
  <c r="H48" i="4"/>
  <c r="BS2" i="3"/>
  <c r="BR3" i="3"/>
  <c r="BR1" i="3"/>
  <c r="J48" i="4" l="1"/>
  <c r="K48" i="4"/>
  <c r="L48" i="4"/>
  <c r="I48" i="4"/>
  <c r="H49" i="4"/>
  <c r="BS1" i="3"/>
  <c r="BT2" i="3"/>
  <c r="BS3" i="3"/>
  <c r="J49" i="4" l="1"/>
  <c r="K49" i="4"/>
  <c r="L49" i="4"/>
  <c r="I49" i="4"/>
  <c r="H50" i="4"/>
  <c r="BT3" i="3"/>
  <c r="BU2" i="3"/>
  <c r="BT1" i="3"/>
  <c r="J50" i="4" l="1"/>
  <c r="K50" i="4"/>
  <c r="L50" i="4"/>
  <c r="I50" i="4"/>
  <c r="H51" i="4"/>
  <c r="BV2" i="3"/>
  <c r="BU3" i="3"/>
  <c r="BU1" i="3"/>
  <c r="J51" i="4" l="1"/>
  <c r="K51" i="4"/>
  <c r="L51" i="4"/>
  <c r="I51" i="4"/>
  <c r="H52" i="4"/>
  <c r="BV3" i="3"/>
  <c r="BW2" i="3"/>
  <c r="BV1" i="3"/>
  <c r="J52" i="4" l="1"/>
  <c r="K52" i="4"/>
  <c r="L52" i="4"/>
  <c r="I52" i="4"/>
  <c r="H53" i="4"/>
  <c r="BW1" i="3"/>
  <c r="BX2" i="3"/>
  <c r="BW3" i="3"/>
  <c r="J53" i="4" l="1"/>
  <c r="K53" i="4"/>
  <c r="L53" i="4"/>
  <c r="I53" i="4"/>
  <c r="H54" i="4"/>
  <c r="BX3" i="3"/>
  <c r="BX1" i="3"/>
  <c r="BY2" i="3"/>
  <c r="J54" i="4" l="1"/>
  <c r="K54" i="4"/>
  <c r="L54" i="4"/>
  <c r="I54" i="4"/>
  <c r="H55" i="4"/>
  <c r="BY1" i="3"/>
  <c r="BZ2" i="3"/>
  <c r="BY3" i="3"/>
  <c r="J55" i="4" l="1"/>
  <c r="K55" i="4"/>
  <c r="L55" i="4"/>
  <c r="I55" i="4"/>
  <c r="H56" i="4"/>
  <c r="BZ3" i="3"/>
  <c r="CA2" i="3"/>
  <c r="BZ1" i="3"/>
  <c r="J56" i="4" l="1"/>
  <c r="K56" i="4"/>
  <c r="L56" i="4"/>
  <c r="I56" i="4"/>
  <c r="H57" i="4"/>
  <c r="CB2" i="3"/>
  <c r="CA3" i="3"/>
  <c r="CA1" i="3"/>
  <c r="J57" i="4" l="1"/>
  <c r="K57" i="4"/>
  <c r="L57" i="4"/>
  <c r="I57" i="4"/>
  <c r="H58" i="4"/>
  <c r="CB3" i="3"/>
  <c r="CC2" i="3"/>
  <c r="CB1" i="3"/>
  <c r="J58" i="4" l="1"/>
  <c r="K58" i="4"/>
  <c r="L58" i="4"/>
  <c r="I58" i="4"/>
  <c r="H59" i="4"/>
  <c r="CC1" i="3"/>
  <c r="CD2" i="3"/>
  <c r="CC3" i="3"/>
  <c r="J59" i="4" l="1"/>
  <c r="K59" i="4"/>
  <c r="L59" i="4"/>
  <c r="I59" i="4"/>
  <c r="H60" i="4"/>
  <c r="CD3" i="3"/>
  <c r="CD1" i="3"/>
  <c r="CE2" i="3"/>
  <c r="J60" i="4" l="1"/>
  <c r="K60" i="4"/>
  <c r="L60" i="4"/>
  <c r="I60" i="4"/>
  <c r="H61" i="4"/>
  <c r="CE1" i="3"/>
  <c r="CF2" i="3"/>
  <c r="CE3" i="3"/>
  <c r="J61" i="4" l="1"/>
  <c r="K61" i="4"/>
  <c r="L61" i="4"/>
  <c r="I61" i="4"/>
  <c r="H62" i="4"/>
  <c r="CF3" i="3"/>
  <c r="CG2" i="3"/>
  <c r="CF1" i="3"/>
  <c r="J62" i="4" l="1"/>
  <c r="K62" i="4"/>
  <c r="L62" i="4"/>
  <c r="I62" i="4"/>
  <c r="H63" i="4"/>
  <c r="CH2" i="3"/>
  <c r="CG1" i="3"/>
  <c r="CG3" i="3"/>
  <c r="J63" i="4" l="1"/>
  <c r="K63" i="4"/>
  <c r="L63" i="4"/>
  <c r="I63" i="4"/>
  <c r="H64" i="4"/>
  <c r="CH1" i="3"/>
  <c r="CI2" i="3"/>
  <c r="CH3" i="3"/>
  <c r="K64" i="4" l="1"/>
  <c r="J64" i="4"/>
  <c r="L64" i="4"/>
  <c r="I64" i="4"/>
  <c r="H65" i="4"/>
  <c r="CI3" i="3"/>
  <c r="CI1" i="3"/>
  <c r="CJ2" i="3"/>
  <c r="J65" i="4" l="1"/>
  <c r="K65" i="4"/>
  <c r="L65" i="4"/>
  <c r="I65" i="4"/>
  <c r="H66" i="4"/>
  <c r="CK2" i="3"/>
  <c r="CJ1" i="3"/>
  <c r="CJ3" i="3"/>
  <c r="K66" i="4" l="1"/>
  <c r="J66" i="4"/>
  <c r="L66" i="4"/>
  <c r="I66" i="4"/>
  <c r="H67" i="4"/>
  <c r="CL2" i="3"/>
  <c r="CK1" i="3"/>
  <c r="CK3" i="3"/>
  <c r="J67" i="4" l="1"/>
  <c r="K67" i="4"/>
  <c r="L67" i="4"/>
  <c r="I67" i="4"/>
  <c r="H68" i="4"/>
  <c r="CM2" i="3"/>
  <c r="CL3" i="3"/>
  <c r="CL1" i="3"/>
  <c r="K68" i="4" l="1"/>
  <c r="J68" i="4"/>
  <c r="L68" i="4"/>
  <c r="I68" i="4"/>
  <c r="H69" i="4"/>
  <c r="CM3" i="3"/>
  <c r="CN2" i="3"/>
  <c r="CM1" i="3"/>
  <c r="K69" i="4" l="1"/>
  <c r="J69" i="4"/>
  <c r="L69" i="4"/>
  <c r="I69" i="4"/>
  <c r="H70" i="4"/>
  <c r="CO2" i="3"/>
  <c r="CN1" i="3"/>
  <c r="CN3" i="3"/>
  <c r="L70" i="4" l="1"/>
  <c r="J70" i="4"/>
  <c r="K70" i="4"/>
  <c r="I70" i="4"/>
  <c r="H71" i="4"/>
  <c r="CP2" i="3"/>
  <c r="CO3" i="3"/>
  <c r="CO1" i="3"/>
  <c r="L71" i="4" l="1"/>
  <c r="J71" i="4"/>
  <c r="K71" i="4"/>
  <c r="I71" i="4"/>
  <c r="H72" i="4"/>
  <c r="CQ2" i="3"/>
  <c r="CP3" i="3"/>
  <c r="CP1" i="3"/>
  <c r="J72" i="4" l="1"/>
  <c r="L72" i="4"/>
  <c r="K72" i="4"/>
  <c r="I72" i="4"/>
  <c r="H73" i="4"/>
  <c r="CQ3" i="3"/>
  <c r="CQ1" i="3"/>
  <c r="CR2" i="3"/>
  <c r="L73" i="4" l="1"/>
  <c r="J73" i="4"/>
  <c r="K73" i="4"/>
  <c r="I73" i="4"/>
  <c r="H74" i="4"/>
  <c r="CS2" i="3"/>
  <c r="CR1" i="3"/>
  <c r="CR3" i="3"/>
  <c r="L74" i="4" l="1"/>
  <c r="J74" i="4"/>
  <c r="K74" i="4"/>
  <c r="I74" i="4"/>
  <c r="H75" i="4"/>
  <c r="CT2" i="3"/>
  <c r="CS3" i="3"/>
  <c r="CS1" i="3"/>
  <c r="J75" i="4" l="1"/>
  <c r="L75" i="4"/>
  <c r="K75" i="4"/>
  <c r="I75" i="4"/>
  <c r="H76" i="4"/>
  <c r="CU2" i="3"/>
  <c r="CT3" i="3"/>
  <c r="CT1" i="3"/>
  <c r="L76" i="4" l="1"/>
  <c r="J76" i="4"/>
  <c r="K76" i="4"/>
  <c r="I76" i="4"/>
  <c r="H77" i="4"/>
  <c r="CU3" i="3"/>
  <c r="CU1" i="3"/>
  <c r="CV2" i="3"/>
  <c r="L77" i="4" l="1"/>
  <c r="J77" i="4"/>
  <c r="K77" i="4"/>
  <c r="I77" i="4"/>
  <c r="H78" i="4"/>
  <c r="CW2" i="3"/>
  <c r="CV3" i="3"/>
  <c r="CV1" i="3"/>
  <c r="J78" i="4" l="1"/>
  <c r="L78" i="4"/>
  <c r="K78" i="4"/>
  <c r="I78" i="4"/>
  <c r="H79" i="4"/>
  <c r="CX2" i="3"/>
  <c r="CW3" i="3"/>
  <c r="CW1" i="3"/>
  <c r="L79" i="4" l="1"/>
  <c r="J79" i="4"/>
  <c r="K79" i="4"/>
  <c r="I79" i="4"/>
  <c r="H80" i="4"/>
  <c r="CY2" i="3"/>
  <c r="CX3" i="3"/>
  <c r="CX1" i="3"/>
  <c r="L80" i="4" l="1"/>
  <c r="J80" i="4"/>
  <c r="K80" i="4"/>
  <c r="I80" i="4"/>
  <c r="H81" i="4"/>
  <c r="CY3" i="3"/>
  <c r="CY1" i="3"/>
  <c r="CZ2" i="3"/>
  <c r="L81" i="4" l="1"/>
  <c r="J81" i="4"/>
  <c r="K81" i="4"/>
  <c r="I81" i="4"/>
  <c r="H82" i="4"/>
  <c r="DA2" i="3"/>
  <c r="CZ3" i="3"/>
  <c r="CZ1" i="3"/>
  <c r="J82" i="4" l="1"/>
  <c r="L82" i="4"/>
  <c r="K82" i="4"/>
  <c r="I82" i="4"/>
  <c r="H83" i="4"/>
  <c r="DB2" i="3"/>
  <c r="DA3" i="3"/>
  <c r="DA1" i="3"/>
  <c r="L83" i="4" l="1"/>
  <c r="J83" i="4"/>
  <c r="K83" i="4"/>
  <c r="I83" i="4"/>
  <c r="H84" i="4"/>
  <c r="DC2" i="3"/>
  <c r="DB3" i="3"/>
  <c r="DB1" i="3"/>
  <c r="J84" i="4" l="1"/>
  <c r="L84" i="4"/>
  <c r="K84" i="4"/>
  <c r="I84" i="4"/>
  <c r="H85" i="4"/>
  <c r="DC3" i="3"/>
  <c r="DC1" i="3"/>
  <c r="DD2" i="3"/>
  <c r="L85" i="4" l="1"/>
  <c r="J85" i="4"/>
  <c r="K85" i="4"/>
  <c r="I85" i="4"/>
  <c r="H86" i="4"/>
  <c r="DE2" i="3"/>
  <c r="DD3" i="3"/>
  <c r="DD1" i="3"/>
  <c r="L86" i="4" l="1"/>
  <c r="J86" i="4"/>
  <c r="K86" i="4"/>
  <c r="I86" i="4"/>
  <c r="H87" i="4"/>
  <c r="DF2" i="3"/>
  <c r="DE3" i="3"/>
  <c r="DE1" i="3"/>
  <c r="L87" i="4" l="1"/>
  <c r="J87" i="4"/>
  <c r="K87" i="4"/>
  <c r="I87" i="4"/>
  <c r="H88" i="4"/>
  <c r="DG2" i="3"/>
  <c r="DF3" i="3"/>
  <c r="DF1" i="3"/>
  <c r="J88" i="4" l="1"/>
  <c r="L88" i="4"/>
  <c r="K88" i="4"/>
  <c r="I88" i="4"/>
  <c r="H89" i="4"/>
  <c r="DG3" i="3"/>
  <c r="DG1" i="3"/>
  <c r="DH2" i="3"/>
  <c r="L89" i="4" l="1"/>
  <c r="J89" i="4"/>
  <c r="K89" i="4"/>
  <c r="I89" i="4"/>
  <c r="H90" i="4"/>
  <c r="DI2" i="3"/>
  <c r="DH3" i="3"/>
  <c r="DH1" i="3"/>
  <c r="J90" i="4" l="1"/>
  <c r="L90" i="4"/>
  <c r="K90" i="4"/>
  <c r="I90" i="4"/>
  <c r="H91" i="4"/>
  <c r="DJ2" i="3"/>
  <c r="DI3" i="3"/>
  <c r="DI1" i="3"/>
  <c r="L91" i="4" l="1"/>
  <c r="J91" i="4"/>
  <c r="K91" i="4"/>
  <c r="I91" i="4"/>
  <c r="H92" i="4"/>
  <c r="DJ1" i="3"/>
  <c r="DK2" i="3"/>
  <c r="DJ3" i="3"/>
  <c r="L92" i="4" l="1"/>
  <c r="J92" i="4"/>
  <c r="K92" i="4"/>
  <c r="I92" i="4"/>
  <c r="H93" i="4"/>
  <c r="DK3" i="3"/>
  <c r="DK1" i="3"/>
  <c r="DL2" i="3"/>
  <c r="L93" i="4" l="1"/>
  <c r="J93" i="4"/>
  <c r="K93" i="4"/>
  <c r="I93" i="4"/>
  <c r="H94" i="4"/>
  <c r="DM2" i="3"/>
  <c r="DL1" i="3"/>
  <c r="DL3" i="3"/>
  <c r="L94" i="4" l="1"/>
  <c r="J94" i="4"/>
  <c r="K94" i="4"/>
  <c r="I94" i="4"/>
  <c r="H95" i="4"/>
  <c r="DN2" i="3"/>
  <c r="DM3" i="3"/>
  <c r="DM1" i="3"/>
  <c r="J95" i="4" l="1"/>
  <c r="L95" i="4"/>
  <c r="K95" i="4"/>
  <c r="I95" i="4"/>
  <c r="H96" i="4"/>
  <c r="DN1" i="3"/>
  <c r="DO2" i="3"/>
  <c r="DN3" i="3"/>
  <c r="L96" i="4" l="1"/>
  <c r="J96" i="4"/>
  <c r="K96" i="4"/>
  <c r="I96" i="4"/>
  <c r="H97" i="4"/>
  <c r="DO3" i="3"/>
  <c r="DO1" i="3"/>
  <c r="DP2" i="3"/>
  <c r="L97" i="4" l="1"/>
  <c r="J97" i="4"/>
  <c r="K97" i="4"/>
  <c r="I97" i="4"/>
  <c r="H98" i="4"/>
  <c r="DQ2" i="3"/>
  <c r="DP1" i="3"/>
  <c r="DP3" i="3"/>
  <c r="L98" i="4" l="1"/>
  <c r="J98" i="4"/>
  <c r="K98" i="4"/>
  <c r="I98" i="4"/>
  <c r="H99" i="4"/>
  <c r="DR2" i="3"/>
  <c r="DQ3" i="3"/>
  <c r="DQ1" i="3"/>
  <c r="L99" i="4" l="1"/>
  <c r="J99" i="4"/>
  <c r="K99" i="4"/>
  <c r="I99" i="4"/>
  <c r="H100" i="4"/>
  <c r="DR3" i="3"/>
  <c r="DS2" i="3"/>
  <c r="DR1" i="3"/>
  <c r="J100" i="4" l="1"/>
  <c r="K100" i="4"/>
  <c r="L100" i="4"/>
  <c r="I100" i="4"/>
  <c r="H101" i="4"/>
  <c r="DS3" i="3"/>
  <c r="DS1" i="3"/>
  <c r="DT2" i="3"/>
  <c r="J101" i="4" l="1"/>
  <c r="K101" i="4"/>
  <c r="L101" i="4"/>
  <c r="I101" i="4"/>
  <c r="H102" i="4"/>
  <c r="DU2" i="3"/>
  <c r="DT1" i="3"/>
  <c r="DT3" i="3"/>
  <c r="J102" i="4" l="1"/>
  <c r="K102" i="4"/>
  <c r="L102" i="4"/>
  <c r="I102" i="4"/>
  <c r="H103" i="4"/>
  <c r="DV2" i="3"/>
  <c r="DU3" i="3"/>
  <c r="DU1" i="3"/>
  <c r="J103" i="4" l="1"/>
  <c r="K103" i="4"/>
  <c r="L103" i="4"/>
  <c r="I103" i="4"/>
  <c r="H104" i="4"/>
  <c r="DV3" i="3"/>
  <c r="DW2" i="3"/>
  <c r="DV1" i="3"/>
  <c r="J104" i="4" l="1"/>
  <c r="K104" i="4"/>
  <c r="L104" i="4"/>
  <c r="I104" i="4"/>
  <c r="H105" i="4"/>
  <c r="DW3" i="3"/>
  <c r="DW1" i="3"/>
  <c r="DX2" i="3"/>
  <c r="J105" i="4" l="1"/>
  <c r="K105" i="4"/>
  <c r="L105" i="4"/>
  <c r="I105" i="4"/>
  <c r="H106" i="4"/>
  <c r="DY2" i="3"/>
  <c r="DX3" i="3"/>
  <c r="DX1" i="3"/>
  <c r="J106" i="4" l="1"/>
  <c r="K106" i="4"/>
  <c r="L106" i="4"/>
  <c r="I106" i="4"/>
  <c r="H107" i="4"/>
  <c r="DY1" i="3"/>
  <c r="DZ2" i="3"/>
  <c r="DY3" i="3"/>
  <c r="J107" i="4" l="1"/>
  <c r="K107" i="4"/>
  <c r="L107" i="4"/>
  <c r="I107" i="4"/>
  <c r="H108" i="4"/>
  <c r="DZ3" i="3"/>
  <c r="DZ1" i="3"/>
  <c r="EA2" i="3"/>
  <c r="J108" i="4" l="1"/>
  <c r="K108" i="4"/>
  <c r="L108" i="4"/>
  <c r="I108" i="4"/>
  <c r="H109" i="4"/>
  <c r="EA1" i="3"/>
  <c r="EA3" i="3"/>
  <c r="EB2" i="3"/>
  <c r="J109" i="4" l="1"/>
  <c r="K109" i="4"/>
  <c r="L109" i="4"/>
  <c r="I109" i="4"/>
  <c r="H110" i="4"/>
  <c r="EC2" i="3"/>
  <c r="EB3" i="3"/>
  <c r="EB1" i="3"/>
  <c r="J110" i="4" l="1"/>
  <c r="K110" i="4"/>
  <c r="L110" i="4"/>
  <c r="I110" i="4"/>
  <c r="H111" i="4"/>
  <c r="EC1" i="3"/>
  <c r="ED2" i="3"/>
  <c r="EC3" i="3"/>
  <c r="J111" i="4" l="1"/>
  <c r="K111" i="4"/>
  <c r="L111" i="4"/>
  <c r="I111" i="4"/>
  <c r="H112" i="4"/>
  <c r="ED3" i="3"/>
  <c r="EE2" i="3"/>
  <c r="ED1" i="3"/>
  <c r="J112" i="4" l="1"/>
  <c r="K112" i="4"/>
  <c r="L112" i="4"/>
  <c r="I112" i="4"/>
  <c r="H113" i="4"/>
  <c r="EE3" i="3"/>
  <c r="EE1" i="3"/>
  <c r="EF2" i="3"/>
  <c r="J113" i="4" l="1"/>
  <c r="K113" i="4"/>
  <c r="L113" i="4"/>
  <c r="I113" i="4"/>
  <c r="H114" i="4"/>
  <c r="EG2" i="3"/>
  <c r="EF1" i="3"/>
  <c r="EF3" i="3"/>
  <c r="J114" i="4" l="1"/>
  <c r="K114" i="4"/>
  <c r="L114" i="4"/>
  <c r="I114" i="4"/>
  <c r="H115" i="4"/>
  <c r="EH2" i="3"/>
  <c r="EG3" i="3"/>
  <c r="EG1" i="3"/>
  <c r="J115" i="4" l="1"/>
  <c r="K115" i="4"/>
  <c r="L115" i="4"/>
  <c r="I115" i="4"/>
  <c r="H116" i="4"/>
  <c r="EH3" i="3"/>
  <c r="EI2" i="3"/>
  <c r="EH1" i="3"/>
  <c r="J116" i="4" l="1"/>
  <c r="K116" i="4"/>
  <c r="L116" i="4"/>
  <c r="I116" i="4"/>
  <c r="H117" i="4"/>
  <c r="EI3" i="3"/>
  <c r="EI1" i="3"/>
  <c r="EJ2" i="3"/>
  <c r="J117" i="4" l="1"/>
  <c r="K117" i="4"/>
  <c r="L117" i="4"/>
  <c r="I117" i="4"/>
  <c r="H118" i="4"/>
  <c r="EK2" i="3"/>
  <c r="EJ1" i="3"/>
  <c r="EJ3" i="3"/>
  <c r="J118" i="4" l="1"/>
  <c r="K118" i="4"/>
  <c r="L118" i="4"/>
  <c r="I118" i="4"/>
  <c r="H119" i="4"/>
  <c r="EL2" i="3"/>
  <c r="EK3" i="3"/>
  <c r="EK1" i="3"/>
  <c r="L119" i="4" l="1"/>
  <c r="J119" i="4"/>
  <c r="K119" i="4"/>
  <c r="I119" i="4"/>
  <c r="H120" i="4"/>
  <c r="EL3" i="3"/>
  <c r="EM2" i="3"/>
  <c r="EL1" i="3"/>
  <c r="L120" i="4" l="1"/>
  <c r="J120" i="4"/>
  <c r="K120" i="4"/>
  <c r="I120" i="4"/>
  <c r="H121" i="4"/>
  <c r="EM3" i="3"/>
  <c r="EM1" i="3"/>
  <c r="EN2" i="3"/>
  <c r="L121" i="4" l="1"/>
  <c r="J121" i="4"/>
  <c r="K121" i="4"/>
  <c r="I121" i="4"/>
  <c r="H122" i="4"/>
  <c r="EO2" i="3"/>
  <c r="EN1" i="3"/>
  <c r="EN3" i="3"/>
  <c r="L122" i="4" l="1"/>
  <c r="J122" i="4"/>
  <c r="K122" i="4"/>
  <c r="I122" i="4"/>
  <c r="H123" i="4"/>
  <c r="EP2" i="3"/>
  <c r="EO3" i="3"/>
  <c r="EO1" i="3"/>
  <c r="J123" i="4" l="1"/>
  <c r="L123" i="4"/>
  <c r="K123" i="4"/>
  <c r="I123" i="4"/>
  <c r="H124" i="4"/>
  <c r="EP3" i="3"/>
  <c r="EQ2" i="3"/>
  <c r="EP1" i="3"/>
  <c r="L124" i="4" l="1"/>
  <c r="J124" i="4"/>
  <c r="K124" i="4"/>
  <c r="I124" i="4"/>
  <c r="H125" i="4"/>
  <c r="EQ3" i="3"/>
  <c r="EQ1" i="3"/>
  <c r="ER2" i="3"/>
  <c r="L125" i="4" l="1"/>
  <c r="J125" i="4"/>
  <c r="K125" i="4"/>
  <c r="I125" i="4"/>
  <c r="H126" i="4"/>
  <c r="ES2" i="3"/>
  <c r="ER1" i="3"/>
  <c r="ER3" i="3"/>
  <c r="L126" i="4" l="1"/>
  <c r="J126" i="4"/>
  <c r="K126" i="4"/>
  <c r="I126" i="4"/>
  <c r="H127" i="4"/>
  <c r="ET2" i="3"/>
  <c r="ES3" i="3"/>
  <c r="ES1" i="3"/>
  <c r="J127" i="4" l="1"/>
  <c r="L127" i="4"/>
  <c r="K127" i="4"/>
  <c r="I127" i="4"/>
  <c r="H128" i="4"/>
  <c r="ET3" i="3"/>
  <c r="EU2" i="3"/>
  <c r="ET1" i="3"/>
  <c r="J128" i="4" l="1"/>
  <c r="L128" i="4"/>
  <c r="K128" i="4"/>
  <c r="I128" i="4"/>
  <c r="H129" i="4"/>
  <c r="EU3" i="3"/>
  <c r="EU1" i="3"/>
  <c r="EV2" i="3"/>
  <c r="J129" i="4" l="1"/>
  <c r="L129" i="4"/>
  <c r="K129" i="4"/>
  <c r="I129" i="4"/>
  <c r="H130" i="4"/>
  <c r="EW2" i="3"/>
  <c r="EV1" i="3"/>
  <c r="EV3" i="3"/>
  <c r="L130" i="4" l="1"/>
  <c r="J130" i="4"/>
  <c r="K130" i="4"/>
  <c r="I130" i="4"/>
  <c r="H131" i="4"/>
  <c r="EX2" i="3"/>
  <c r="EW3" i="3"/>
  <c r="EW1" i="3"/>
  <c r="L131" i="4" l="1"/>
  <c r="J131" i="4"/>
  <c r="K131" i="4"/>
  <c r="I131" i="4"/>
  <c r="H132" i="4"/>
  <c r="EX3" i="3"/>
  <c r="EX1" i="3"/>
  <c r="EY2" i="3"/>
  <c r="L132" i="4" l="1"/>
  <c r="J132" i="4"/>
  <c r="K132" i="4"/>
  <c r="I132" i="4"/>
  <c r="H133" i="4"/>
  <c r="EZ2" i="3"/>
  <c r="EY1" i="3"/>
  <c r="EY3" i="3"/>
  <c r="L133" i="4" l="1"/>
  <c r="J133" i="4"/>
  <c r="K133" i="4"/>
  <c r="I133" i="4"/>
  <c r="H134" i="4"/>
  <c r="EZ3" i="3"/>
  <c r="EZ1" i="3"/>
  <c r="FA2" i="3"/>
  <c r="L134" i="4" l="1"/>
  <c r="J134" i="4"/>
  <c r="K134" i="4"/>
  <c r="I134" i="4"/>
  <c r="H135" i="4"/>
  <c r="FA1" i="3"/>
  <c r="FB2" i="3"/>
  <c r="FA3" i="3"/>
  <c r="L135" i="4" l="1"/>
  <c r="J135" i="4"/>
  <c r="K135" i="4"/>
  <c r="I135" i="4"/>
  <c r="H136" i="4"/>
  <c r="FB3" i="3"/>
  <c r="FB1" i="3"/>
  <c r="FC2" i="3"/>
  <c r="L136" i="4" l="1"/>
  <c r="J136" i="4"/>
  <c r="K136" i="4"/>
  <c r="I136" i="4"/>
  <c r="H137" i="4"/>
  <c r="FD2" i="3"/>
  <c r="FC1" i="3"/>
  <c r="FC3" i="3"/>
  <c r="J137" i="4" l="1"/>
  <c r="K137" i="4"/>
  <c r="L137" i="4"/>
  <c r="I137" i="4"/>
  <c r="H138" i="4"/>
  <c r="FE2" i="3"/>
  <c r="FD3" i="3"/>
  <c r="FD1" i="3"/>
  <c r="J138" i="4" l="1"/>
  <c r="K138" i="4"/>
  <c r="L138" i="4"/>
  <c r="I138" i="4"/>
  <c r="H139" i="4"/>
  <c r="FE1" i="3"/>
  <c r="FF2" i="3"/>
  <c r="FE3" i="3"/>
  <c r="J139" i="4" l="1"/>
  <c r="K139" i="4"/>
  <c r="L139" i="4"/>
  <c r="I139" i="4"/>
  <c r="H140" i="4"/>
  <c r="FF3" i="3"/>
  <c r="FF1" i="3"/>
  <c r="FG2" i="3"/>
  <c r="J140" i="4" l="1"/>
  <c r="K140" i="4"/>
  <c r="L140" i="4"/>
  <c r="I140" i="4"/>
  <c r="H141" i="4"/>
  <c r="FH2" i="3"/>
  <c r="FG1" i="3"/>
  <c r="FG3" i="3"/>
  <c r="J141" i="4" l="1"/>
  <c r="K141" i="4"/>
  <c r="L141" i="4"/>
  <c r="I141" i="4"/>
  <c r="H142" i="4"/>
  <c r="FI2" i="3"/>
  <c r="FH3" i="3"/>
  <c r="FH1" i="3"/>
  <c r="J142" i="4" l="1"/>
  <c r="K142" i="4"/>
  <c r="L142" i="4"/>
  <c r="I142" i="4"/>
  <c r="H143" i="4"/>
  <c r="FI1" i="3"/>
  <c r="FJ2" i="3"/>
  <c r="FI3" i="3"/>
  <c r="L143" i="4" l="1"/>
  <c r="J143" i="4"/>
  <c r="K143" i="4"/>
  <c r="I143" i="4"/>
  <c r="H144" i="4"/>
  <c r="FJ3" i="3"/>
  <c r="FJ1" i="3"/>
  <c r="FK2" i="3"/>
  <c r="J144" i="4" l="1"/>
  <c r="L144" i="4"/>
  <c r="K144" i="4"/>
  <c r="I144" i="4"/>
  <c r="H145" i="4"/>
  <c r="FL2" i="3"/>
  <c r="FK1" i="3"/>
  <c r="FK3" i="3"/>
  <c r="L145" i="4" l="1"/>
  <c r="J145" i="4"/>
  <c r="K145" i="4"/>
  <c r="I145" i="4"/>
  <c r="H146" i="4"/>
  <c r="FM2" i="3"/>
  <c r="FL3" i="3"/>
  <c r="FL1" i="3"/>
  <c r="L146" i="4" l="1"/>
  <c r="J146" i="4"/>
  <c r="K146" i="4"/>
  <c r="I146" i="4"/>
  <c r="H147" i="4"/>
  <c r="FM1" i="3"/>
  <c r="FN2" i="3"/>
  <c r="FM3" i="3"/>
  <c r="L147" i="4" l="1"/>
  <c r="J147" i="4"/>
  <c r="K147" i="4"/>
  <c r="I147" i="4"/>
  <c r="H148" i="4"/>
  <c r="FN3" i="3"/>
  <c r="FN1" i="3"/>
  <c r="FO2" i="3"/>
  <c r="L148" i="4" l="1"/>
  <c r="J148" i="4"/>
  <c r="K148" i="4"/>
  <c r="I148" i="4"/>
  <c r="H149" i="4"/>
  <c r="FP2" i="3"/>
  <c r="FO3" i="3"/>
  <c r="FO1" i="3"/>
  <c r="J149" i="4" l="1"/>
  <c r="K149" i="4"/>
  <c r="L149" i="4"/>
  <c r="I149" i="4"/>
  <c r="H150" i="4"/>
  <c r="FQ2" i="3"/>
  <c r="FP1" i="3"/>
  <c r="FP3" i="3"/>
  <c r="J150" i="4" l="1"/>
  <c r="K150" i="4"/>
  <c r="L150" i="4"/>
  <c r="I150" i="4"/>
  <c r="H151" i="4"/>
  <c r="FR2" i="3"/>
  <c r="FQ3" i="3"/>
  <c r="FQ1" i="3"/>
  <c r="L151" i="4" l="1"/>
  <c r="J151" i="4"/>
  <c r="K151" i="4"/>
  <c r="I151" i="4"/>
  <c r="H152" i="4"/>
  <c r="FR3" i="3"/>
  <c r="FS2" i="3"/>
  <c r="FR1" i="3"/>
  <c r="L152" i="4" l="1"/>
  <c r="J152" i="4"/>
  <c r="K152" i="4"/>
  <c r="I152" i="4"/>
  <c r="H153" i="4"/>
  <c r="FT2" i="3"/>
  <c r="FS3" i="3"/>
  <c r="FS1" i="3"/>
  <c r="J153" i="4" l="1"/>
  <c r="K153" i="4"/>
  <c r="L153" i="4"/>
  <c r="I153" i="4"/>
  <c r="H154" i="4"/>
  <c r="FU2" i="3"/>
  <c r="FT1" i="3"/>
  <c r="FT3" i="3"/>
  <c r="J154" i="4" l="1"/>
  <c r="K154" i="4"/>
  <c r="L154" i="4"/>
  <c r="I154" i="4"/>
  <c r="H155" i="4"/>
  <c r="FV2" i="3"/>
  <c r="FU3" i="3"/>
  <c r="FU1" i="3"/>
  <c r="L155" i="4" l="1"/>
  <c r="J155" i="4"/>
  <c r="K155" i="4"/>
  <c r="I155" i="4"/>
  <c r="H156" i="4"/>
  <c r="FV3" i="3"/>
  <c r="FW2" i="3"/>
  <c r="FV1" i="3"/>
  <c r="L156" i="4" l="1"/>
  <c r="J156" i="4"/>
  <c r="K156" i="4"/>
  <c r="I156" i="4"/>
  <c r="H157" i="4"/>
  <c r="FX2" i="3"/>
  <c r="FW1" i="3"/>
  <c r="FW3" i="3"/>
  <c r="L157" i="4" l="1"/>
  <c r="J157" i="4"/>
  <c r="K157" i="4"/>
  <c r="I157" i="4"/>
  <c r="H158" i="4"/>
  <c r="FY2" i="3"/>
  <c r="FX3" i="3"/>
  <c r="FX1" i="3"/>
  <c r="J158" i="4" l="1"/>
  <c r="L158" i="4"/>
  <c r="K158" i="4"/>
  <c r="I158" i="4"/>
  <c r="H159" i="4"/>
  <c r="FZ2" i="3"/>
  <c r="FY3" i="3"/>
  <c r="FY1" i="3"/>
  <c r="J159" i="4" l="1"/>
  <c r="K159" i="4"/>
  <c r="L159" i="4"/>
  <c r="I159" i="4"/>
  <c r="H160" i="4"/>
  <c r="FZ3" i="3"/>
  <c r="GA2" i="3"/>
  <c r="FZ1" i="3"/>
  <c r="J160" i="4" l="1"/>
  <c r="K160" i="4"/>
  <c r="L160" i="4"/>
  <c r="I160" i="4"/>
  <c r="H161" i="4"/>
  <c r="GB2" i="3"/>
  <c r="GA3" i="3"/>
  <c r="GA1" i="3"/>
  <c r="L161" i="4" l="1"/>
  <c r="J161" i="4"/>
  <c r="K161" i="4"/>
  <c r="I161" i="4"/>
  <c r="H162" i="4"/>
  <c r="GC2" i="3"/>
  <c r="GB1" i="3"/>
  <c r="GB3" i="3"/>
  <c r="L162" i="4" l="1"/>
  <c r="J162" i="4"/>
  <c r="K162" i="4"/>
  <c r="I162" i="4"/>
  <c r="H163" i="4"/>
  <c r="GD2" i="3"/>
  <c r="GC3" i="3"/>
  <c r="GC1" i="3"/>
  <c r="L163" i="4" l="1"/>
  <c r="J163" i="4"/>
  <c r="K163" i="4"/>
  <c r="I163" i="4"/>
  <c r="H164" i="4"/>
  <c r="GD3" i="3"/>
  <c r="GE2" i="3"/>
  <c r="GD1" i="3"/>
  <c r="L164" i="4" l="1"/>
  <c r="J164" i="4"/>
  <c r="K164" i="4"/>
  <c r="I164" i="4"/>
  <c r="H165" i="4"/>
  <c r="GF2" i="3"/>
  <c r="GE3" i="3"/>
  <c r="GE1" i="3"/>
  <c r="L165" i="4" l="1"/>
  <c r="J165" i="4"/>
  <c r="K165" i="4"/>
  <c r="I165" i="4"/>
  <c r="H166" i="4"/>
  <c r="GG2" i="3"/>
  <c r="GF1" i="3"/>
  <c r="GF3" i="3"/>
  <c r="L166" i="4" l="1"/>
  <c r="J166" i="4"/>
  <c r="K166" i="4"/>
  <c r="I166" i="4"/>
  <c r="H167" i="4"/>
  <c r="GH2" i="3"/>
  <c r="GG3" i="3"/>
  <c r="GG1" i="3"/>
  <c r="J167" i="4" l="1"/>
  <c r="K167" i="4"/>
  <c r="L167" i="4"/>
  <c r="I167" i="4"/>
  <c r="H168" i="4"/>
  <c r="GH3" i="3"/>
  <c r="GI2" i="3"/>
  <c r="GH1" i="3"/>
  <c r="J168" i="4" l="1"/>
  <c r="K168" i="4"/>
  <c r="L168" i="4"/>
  <c r="I168" i="4"/>
  <c r="H169" i="4"/>
  <c r="GJ2" i="3"/>
  <c r="GI3" i="3"/>
  <c r="GI1" i="3"/>
  <c r="J169" i="4" l="1"/>
  <c r="K169" i="4"/>
  <c r="L169" i="4"/>
  <c r="I169" i="4"/>
  <c r="H170" i="4"/>
  <c r="GK2" i="3"/>
  <c r="GJ3" i="3"/>
  <c r="GJ1" i="3"/>
  <c r="J170" i="4" l="1"/>
  <c r="K170" i="4"/>
  <c r="L170" i="4"/>
  <c r="I170" i="4"/>
  <c r="H171" i="4"/>
  <c r="GK1" i="3"/>
  <c r="GL2" i="3"/>
  <c r="GK3" i="3"/>
  <c r="J171" i="4" l="1"/>
  <c r="K171" i="4"/>
  <c r="L171" i="4"/>
  <c r="I171" i="4"/>
  <c r="H172" i="4"/>
  <c r="GL3" i="3"/>
  <c r="GL1" i="3"/>
  <c r="GM2" i="3"/>
  <c r="J172" i="4" l="1"/>
  <c r="K172" i="4"/>
  <c r="L172" i="4"/>
  <c r="I172" i="4"/>
  <c r="H173" i="4"/>
  <c r="GM3" i="3"/>
  <c r="GM1" i="3"/>
  <c r="GN2" i="3"/>
  <c r="J173" i="4" l="1"/>
  <c r="K173" i="4"/>
  <c r="L173" i="4"/>
  <c r="I173" i="4"/>
  <c r="H174" i="4"/>
  <c r="GO2" i="3"/>
  <c r="GN1" i="3"/>
  <c r="GN3" i="3"/>
  <c r="J174" i="4" l="1"/>
  <c r="L174" i="4"/>
  <c r="K174" i="4"/>
  <c r="I174" i="4"/>
  <c r="H175" i="4"/>
  <c r="GP2" i="3"/>
  <c r="GO3" i="3"/>
  <c r="GO1" i="3"/>
  <c r="L175" i="4" l="1"/>
  <c r="J175" i="4"/>
  <c r="K175" i="4"/>
  <c r="I175" i="4"/>
  <c r="H176" i="4"/>
  <c r="GP3" i="3"/>
  <c r="GQ2" i="3"/>
  <c r="GP1" i="3"/>
  <c r="L176" i="4" l="1"/>
  <c r="J176" i="4"/>
  <c r="K176" i="4"/>
  <c r="I176" i="4"/>
  <c r="H177" i="4"/>
  <c r="GQ3" i="3"/>
  <c r="GQ1" i="3"/>
  <c r="GR2" i="3"/>
  <c r="L177" i="4" l="1"/>
  <c r="J177" i="4"/>
  <c r="K177" i="4"/>
  <c r="I177" i="4"/>
  <c r="H178" i="4"/>
  <c r="GS2" i="3"/>
  <c r="GR1" i="3"/>
  <c r="GR3" i="3"/>
  <c r="L178" i="4" l="1"/>
  <c r="J178" i="4"/>
  <c r="K178" i="4"/>
  <c r="I178" i="4"/>
  <c r="H179" i="4"/>
  <c r="GT2" i="3"/>
  <c r="GS3" i="3"/>
  <c r="GS1" i="3"/>
  <c r="L179" i="4" l="1"/>
  <c r="J179" i="4"/>
  <c r="K179" i="4"/>
  <c r="I179" i="4"/>
  <c r="H180" i="4"/>
  <c r="GT3" i="3"/>
  <c r="GU2" i="3"/>
  <c r="GT1" i="3"/>
  <c r="L180" i="4" l="1"/>
  <c r="J180" i="4"/>
  <c r="K180" i="4"/>
  <c r="I180" i="4"/>
  <c r="H181" i="4"/>
  <c r="GU3" i="3"/>
  <c r="GU1" i="3"/>
  <c r="GV2" i="3"/>
  <c r="L181" i="4" l="1"/>
  <c r="J181" i="4"/>
  <c r="K181" i="4"/>
  <c r="I181" i="4"/>
  <c r="H182" i="4"/>
  <c r="GW2" i="3"/>
  <c r="GV1" i="3"/>
  <c r="GV3" i="3"/>
  <c r="L182" i="4" l="1"/>
  <c r="J182" i="4"/>
  <c r="K182" i="4"/>
  <c r="I182" i="4"/>
  <c r="H183" i="4"/>
  <c r="GX2" i="3"/>
  <c r="GW3" i="3"/>
  <c r="GW1" i="3"/>
  <c r="L183" i="4" l="1"/>
  <c r="J183" i="4"/>
  <c r="K183" i="4"/>
  <c r="I183" i="4"/>
  <c r="H184" i="4"/>
  <c r="GX3" i="3"/>
  <c r="GY2" i="3"/>
  <c r="GX1" i="3"/>
  <c r="L184" i="4" l="1"/>
  <c r="J184" i="4"/>
  <c r="K184" i="4"/>
  <c r="I184" i="4"/>
  <c r="H185" i="4"/>
  <c r="GY3" i="3"/>
  <c r="GY1" i="3"/>
  <c r="GZ2" i="3"/>
  <c r="L185" i="4" l="1"/>
  <c r="J185" i="4"/>
  <c r="K185" i="4"/>
  <c r="I185" i="4"/>
  <c r="H186" i="4"/>
  <c r="HA2" i="3"/>
  <c r="GZ1" i="3"/>
  <c r="GZ3" i="3"/>
  <c r="J186" i="4" l="1"/>
  <c r="L186" i="4"/>
  <c r="K186" i="4"/>
  <c r="I186" i="4"/>
  <c r="H187" i="4"/>
  <c r="HB2" i="3"/>
  <c r="HA3" i="3"/>
  <c r="HA1" i="3"/>
  <c r="J187" i="4" l="1"/>
  <c r="L187" i="4"/>
  <c r="K187" i="4"/>
  <c r="I187" i="4"/>
  <c r="H188" i="4"/>
  <c r="HB3" i="3"/>
  <c r="HB1" i="3"/>
  <c r="HC2" i="3"/>
  <c r="L188" i="4" l="1"/>
  <c r="J188" i="4"/>
  <c r="K188" i="4"/>
  <c r="I188" i="4"/>
  <c r="H189" i="4"/>
  <c r="HC1" i="3"/>
  <c r="HC3" i="3"/>
  <c r="HD2" i="3"/>
  <c r="J189" i="4" l="1"/>
  <c r="L189" i="4"/>
  <c r="K189" i="4"/>
  <c r="I189" i="4"/>
  <c r="H190" i="4"/>
  <c r="HE2" i="3"/>
  <c r="HD3" i="3"/>
  <c r="HD1" i="3"/>
  <c r="L190" i="4" l="1"/>
  <c r="J190" i="4"/>
  <c r="K190" i="4"/>
  <c r="I190" i="4"/>
  <c r="H191" i="4"/>
  <c r="HE3" i="3"/>
  <c r="HF2" i="3"/>
  <c r="HE1" i="3"/>
  <c r="L191" i="4" l="1"/>
  <c r="J191" i="4"/>
  <c r="K191" i="4"/>
  <c r="I191" i="4"/>
  <c r="H192" i="4"/>
  <c r="HF3" i="3"/>
  <c r="HF1" i="3"/>
  <c r="HG2" i="3"/>
  <c r="J192" i="4" l="1"/>
  <c r="K192" i="4"/>
  <c r="L192" i="4"/>
  <c r="I192" i="4"/>
  <c r="H193" i="4"/>
  <c r="HG3" i="3"/>
  <c r="HG1" i="3"/>
  <c r="HH2" i="3"/>
  <c r="J193" i="4" l="1"/>
  <c r="K193" i="4"/>
  <c r="L193" i="4"/>
  <c r="I193" i="4"/>
  <c r="H194" i="4"/>
  <c r="HH1" i="3"/>
  <c r="HI2" i="3"/>
  <c r="HH3" i="3"/>
  <c r="J194" i="4" l="1"/>
  <c r="K194" i="4"/>
  <c r="L194" i="4"/>
  <c r="I194" i="4"/>
  <c r="H195" i="4"/>
  <c r="HI3" i="3"/>
  <c r="HI1" i="3"/>
  <c r="HJ2" i="3"/>
  <c r="J195" i="4" l="1"/>
  <c r="K195" i="4"/>
  <c r="L195" i="4"/>
  <c r="I195" i="4"/>
  <c r="H196" i="4"/>
  <c r="HJ1" i="3"/>
  <c r="HJ3" i="3"/>
  <c r="HK2" i="3"/>
  <c r="J196" i="4" l="1"/>
  <c r="K196" i="4"/>
  <c r="L196" i="4"/>
  <c r="I196" i="4"/>
  <c r="H197" i="4"/>
  <c r="HK3" i="3"/>
  <c r="HK1" i="3"/>
  <c r="HL2" i="3"/>
  <c r="J197" i="4" l="1"/>
  <c r="K197" i="4"/>
  <c r="L197" i="4"/>
  <c r="I197" i="4"/>
  <c r="H198" i="4"/>
  <c r="HL1" i="3"/>
  <c r="HM2" i="3"/>
  <c r="HL3" i="3"/>
  <c r="J198" i="4" l="1"/>
  <c r="K198" i="4"/>
  <c r="L198" i="4"/>
  <c r="I198" i="4"/>
  <c r="H199" i="4"/>
  <c r="HM3" i="3"/>
  <c r="HM1" i="3"/>
  <c r="HN2" i="3"/>
  <c r="J199" i="4" l="1"/>
  <c r="K199" i="4"/>
  <c r="L199" i="4"/>
  <c r="I199" i="4"/>
  <c r="H200" i="4"/>
  <c r="HN1" i="3"/>
  <c r="HN3" i="3"/>
  <c r="HO2" i="3"/>
  <c r="J200" i="4" l="1"/>
  <c r="K200" i="4"/>
  <c r="L200" i="4"/>
  <c r="I200" i="4"/>
  <c r="H201" i="4"/>
  <c r="HO3" i="3"/>
  <c r="HO1" i="3"/>
  <c r="HP2" i="3"/>
  <c r="J201" i="4" l="1"/>
  <c r="K201" i="4"/>
  <c r="L201" i="4"/>
  <c r="I201" i="4"/>
  <c r="H202" i="4"/>
  <c r="HP1" i="3"/>
  <c r="HQ2" i="3"/>
  <c r="HP3" i="3"/>
  <c r="J202" i="4" l="1"/>
  <c r="K202" i="4"/>
  <c r="L202" i="4"/>
  <c r="I202" i="4"/>
  <c r="H203" i="4"/>
  <c r="HQ3" i="3"/>
  <c r="HQ1" i="3"/>
  <c r="HR2" i="3"/>
  <c r="J203" i="4" l="1"/>
  <c r="K203" i="4"/>
  <c r="L203" i="4"/>
  <c r="I203" i="4"/>
  <c r="H204" i="4"/>
  <c r="HR3" i="3"/>
  <c r="HR1" i="3"/>
  <c r="HS2" i="3"/>
  <c r="J204" i="4" l="1"/>
  <c r="K204" i="4"/>
  <c r="L204" i="4"/>
  <c r="I204" i="4"/>
  <c r="H205" i="4"/>
  <c r="HS1" i="3"/>
  <c r="HS3" i="3"/>
  <c r="HT2" i="3"/>
  <c r="J205" i="4" l="1"/>
  <c r="K205" i="4"/>
  <c r="L205" i="4"/>
  <c r="I205" i="4"/>
  <c r="H206" i="4"/>
  <c r="HU2" i="3"/>
  <c r="HT3" i="3"/>
  <c r="HT1" i="3"/>
  <c r="J206" i="4" l="1"/>
  <c r="K206" i="4"/>
  <c r="L206" i="4"/>
  <c r="I206" i="4"/>
  <c r="H207" i="4"/>
  <c r="HU3" i="3"/>
  <c r="HU1" i="3"/>
  <c r="HV2" i="3"/>
  <c r="J207" i="4" l="1"/>
  <c r="K207" i="4"/>
  <c r="L207" i="4"/>
  <c r="I207" i="4"/>
  <c r="H208" i="4"/>
  <c r="HV1" i="3"/>
  <c r="HV3" i="3"/>
  <c r="HW2" i="3"/>
  <c r="J208" i="4" l="1"/>
  <c r="K208" i="4"/>
  <c r="L208" i="4"/>
  <c r="I208" i="4"/>
  <c r="H209" i="4"/>
  <c r="HW3" i="3"/>
  <c r="HW1" i="3"/>
  <c r="HX2" i="3"/>
  <c r="J209" i="4" l="1"/>
  <c r="K209" i="4"/>
  <c r="L209" i="4"/>
  <c r="I209" i="4"/>
  <c r="H210" i="4"/>
  <c r="HX1" i="3"/>
  <c r="HY2" i="3"/>
  <c r="HX3" i="3"/>
  <c r="L210" i="4" l="1"/>
  <c r="J210" i="4"/>
  <c r="K210" i="4"/>
  <c r="I210" i="4"/>
  <c r="H211" i="4"/>
  <c r="HY3" i="3"/>
  <c r="HY1" i="3"/>
  <c r="HZ2" i="3"/>
  <c r="J211" i="4" l="1"/>
  <c r="L211" i="4"/>
  <c r="K211" i="4"/>
  <c r="I211" i="4"/>
  <c r="H212" i="4"/>
  <c r="IA2" i="3"/>
  <c r="HZ1" i="3"/>
  <c r="HZ3" i="3"/>
  <c r="L212" i="4" l="1"/>
  <c r="J212" i="4"/>
  <c r="K212" i="4"/>
  <c r="I212" i="4"/>
  <c r="H213" i="4"/>
  <c r="IA1" i="3"/>
  <c r="IA3" i="3"/>
  <c r="IB2" i="3"/>
  <c r="L213" i="4" l="1"/>
  <c r="J213" i="4"/>
  <c r="K213" i="4"/>
  <c r="I213" i="4"/>
  <c r="H214" i="4"/>
  <c r="IB1" i="3"/>
  <c r="IC2" i="3"/>
  <c r="IB3" i="3"/>
  <c r="L214" i="4" l="1"/>
  <c r="J214" i="4"/>
  <c r="K214" i="4"/>
  <c r="I214" i="4"/>
  <c r="H215" i="4"/>
  <c r="IC3" i="3"/>
  <c r="ID2" i="3"/>
  <c r="IC1" i="3"/>
  <c r="L215" i="4" l="1"/>
  <c r="J215" i="4"/>
  <c r="K215" i="4"/>
  <c r="I215" i="4"/>
  <c r="H216" i="4"/>
  <c r="ID1" i="3"/>
  <c r="ID3" i="3"/>
  <c r="IE2" i="3"/>
  <c r="J216" i="4" l="1"/>
  <c r="L216" i="4"/>
  <c r="K216" i="4"/>
  <c r="I216" i="4"/>
  <c r="H217" i="4"/>
  <c r="IF2" i="3"/>
  <c r="IE1" i="3"/>
  <c r="IE3" i="3"/>
  <c r="L217" i="4" l="1"/>
  <c r="J217" i="4"/>
  <c r="K217" i="4"/>
  <c r="I217" i="4"/>
  <c r="H218" i="4"/>
  <c r="IF1" i="3"/>
  <c r="IG2" i="3"/>
  <c r="IF3" i="3"/>
  <c r="J218" i="4" l="1"/>
  <c r="L218" i="4"/>
  <c r="K218" i="4"/>
  <c r="I218" i="4"/>
  <c r="H219" i="4"/>
  <c r="IG3" i="3"/>
  <c r="IH2" i="3"/>
  <c r="IG1" i="3"/>
  <c r="L219" i="4" l="1"/>
  <c r="J219" i="4"/>
  <c r="K219" i="4"/>
  <c r="I219" i="4"/>
  <c r="H220" i="4"/>
  <c r="II2" i="3"/>
  <c r="IH1" i="3"/>
  <c r="IH3" i="3"/>
  <c r="L220" i="4" l="1"/>
  <c r="J220" i="4"/>
  <c r="K220" i="4"/>
  <c r="I220" i="4"/>
  <c r="H221" i="4"/>
  <c r="II1" i="3"/>
  <c r="IJ2" i="3"/>
  <c r="II3" i="3"/>
  <c r="L221" i="4" l="1"/>
  <c r="J221" i="4"/>
  <c r="K221" i="4"/>
  <c r="I221" i="4"/>
  <c r="H222" i="4"/>
  <c r="IJ3" i="3"/>
  <c r="IK2" i="3"/>
  <c r="IJ1" i="3"/>
  <c r="L222" i="4" l="1"/>
  <c r="J222" i="4"/>
  <c r="K222" i="4"/>
  <c r="I222" i="4"/>
  <c r="H223" i="4"/>
  <c r="IK1" i="3"/>
  <c r="IK3" i="3"/>
  <c r="IL2" i="3"/>
  <c r="J223" i="4" l="1"/>
  <c r="L223" i="4"/>
  <c r="K223" i="4"/>
  <c r="I223" i="4"/>
  <c r="H224" i="4"/>
  <c r="IL1" i="3"/>
  <c r="IM2" i="3"/>
  <c r="IL3" i="3"/>
  <c r="L224" i="4" l="1"/>
  <c r="J224" i="4"/>
  <c r="K224" i="4"/>
  <c r="I224" i="4"/>
  <c r="H225" i="4"/>
  <c r="IM3" i="3"/>
  <c r="IN2" i="3"/>
  <c r="IM1" i="3"/>
  <c r="J225" i="4" l="1"/>
  <c r="L225" i="4"/>
  <c r="K225" i="4"/>
  <c r="I225" i="4"/>
  <c r="H226" i="4"/>
  <c r="IN1" i="3"/>
  <c r="IN3" i="3"/>
  <c r="IO2" i="3"/>
  <c r="L226" i="4" l="1"/>
  <c r="J226" i="4"/>
  <c r="K226" i="4"/>
  <c r="I226" i="4"/>
  <c r="H227" i="4"/>
  <c r="IO1" i="3"/>
  <c r="IP2" i="3"/>
  <c r="IO3" i="3"/>
  <c r="L227" i="4" l="1"/>
  <c r="J227" i="4"/>
  <c r="K227" i="4"/>
  <c r="I227" i="4"/>
  <c r="H228" i="4"/>
  <c r="IP3" i="3"/>
  <c r="IQ2" i="3"/>
  <c r="IP1" i="3"/>
  <c r="L228" i="4" l="1"/>
  <c r="J228" i="4"/>
  <c r="K228" i="4"/>
  <c r="I228" i="4"/>
  <c r="H229" i="4"/>
  <c r="IQ1" i="3"/>
  <c r="IR2" i="3"/>
  <c r="IQ3" i="3"/>
  <c r="L229" i="4" l="1"/>
  <c r="J229" i="4"/>
  <c r="K229" i="4"/>
  <c r="I229" i="4"/>
  <c r="H230" i="4"/>
  <c r="IR3" i="3"/>
  <c r="IR1" i="3"/>
  <c r="IS2" i="3"/>
  <c r="L230" i="4" l="1"/>
  <c r="J230" i="4"/>
  <c r="K230" i="4"/>
  <c r="I230" i="4"/>
  <c r="H231" i="4"/>
  <c r="IS1" i="3"/>
  <c r="IS3" i="3"/>
  <c r="IT2" i="3"/>
  <c r="L231" i="4" l="1"/>
  <c r="J231" i="4"/>
  <c r="K231" i="4"/>
  <c r="I231" i="4"/>
  <c r="H232" i="4"/>
  <c r="IU2" i="3"/>
  <c r="IT3" i="3"/>
  <c r="IT1" i="3"/>
  <c r="L232" i="4" l="1"/>
  <c r="J232" i="4"/>
  <c r="K232" i="4"/>
  <c r="I232" i="4"/>
  <c r="H233" i="4"/>
  <c r="IU3" i="3"/>
  <c r="IV2" i="3"/>
  <c r="IU1" i="3"/>
  <c r="L233" i="4" l="1"/>
  <c r="J233" i="4"/>
  <c r="K233" i="4"/>
  <c r="I233" i="4"/>
  <c r="H234" i="4"/>
  <c r="IV3" i="3"/>
  <c r="IV1" i="3"/>
  <c r="IW2" i="3"/>
  <c r="L234" i="4" l="1"/>
  <c r="J234" i="4"/>
  <c r="K234" i="4"/>
  <c r="I234" i="4"/>
  <c r="H235" i="4"/>
  <c r="IW1" i="3"/>
  <c r="IX2" i="3"/>
  <c r="IW3" i="3"/>
  <c r="L235" i="4" l="1"/>
  <c r="J235" i="4"/>
  <c r="K235" i="4"/>
  <c r="I235" i="4"/>
  <c r="H236" i="4"/>
  <c r="IX3" i="3"/>
  <c r="IX1" i="3"/>
  <c r="IY2" i="3"/>
  <c r="L236" i="4" l="1"/>
  <c r="J236" i="4"/>
  <c r="K236" i="4"/>
  <c r="I236" i="4"/>
  <c r="H237" i="4"/>
  <c r="IY1" i="3"/>
  <c r="IY3" i="3"/>
  <c r="IZ2" i="3"/>
  <c r="L237" i="4" l="1"/>
  <c r="J237" i="4"/>
  <c r="K237" i="4"/>
  <c r="I237" i="4"/>
  <c r="H238" i="4"/>
  <c r="JA2" i="3"/>
  <c r="IZ3" i="3"/>
  <c r="IZ1" i="3"/>
  <c r="L238" i="4" l="1"/>
  <c r="J238" i="4"/>
  <c r="K238" i="4"/>
  <c r="I238" i="4"/>
  <c r="H239" i="4"/>
  <c r="JA3" i="3"/>
  <c r="JB2" i="3"/>
  <c r="JA1" i="3"/>
  <c r="L239" i="4" l="1"/>
  <c r="J239" i="4"/>
  <c r="K239" i="4"/>
  <c r="I239" i="4"/>
  <c r="H240" i="4"/>
  <c r="JC2" i="3"/>
  <c r="JB1" i="3"/>
  <c r="JB3" i="3"/>
  <c r="J240" i="4" l="1"/>
  <c r="L240" i="4"/>
  <c r="K240" i="4"/>
  <c r="I240" i="4"/>
  <c r="H241" i="4"/>
  <c r="JC3" i="3"/>
  <c r="JC1" i="3"/>
  <c r="JD2" i="3"/>
  <c r="L241" i="4" l="1"/>
  <c r="J241" i="4"/>
  <c r="K241" i="4"/>
  <c r="I241" i="4"/>
  <c r="H242" i="4"/>
  <c r="JE2" i="3"/>
  <c r="JD3" i="3"/>
  <c r="JD1" i="3"/>
  <c r="L242" i="4" l="1"/>
  <c r="J242" i="4"/>
  <c r="K242" i="4"/>
  <c r="I242" i="4"/>
  <c r="H243" i="4"/>
  <c r="JE3" i="3"/>
  <c r="JF2" i="3"/>
  <c r="JE1" i="3"/>
  <c r="L243" i="4" l="1"/>
  <c r="J243" i="4"/>
  <c r="K243" i="4"/>
  <c r="I243" i="4"/>
  <c r="H244" i="4"/>
  <c r="JG2" i="3"/>
  <c r="JF3" i="3"/>
  <c r="JF1" i="3"/>
  <c r="L244" i="4" l="1"/>
  <c r="J244" i="4"/>
  <c r="K244" i="4"/>
  <c r="I244" i="4"/>
  <c r="H245" i="4"/>
  <c r="JH2" i="3"/>
  <c r="JG1" i="3"/>
  <c r="JG3" i="3"/>
  <c r="J245" i="4" l="1"/>
  <c r="L245" i="4"/>
  <c r="K245" i="4"/>
  <c r="I245" i="4"/>
  <c r="H246" i="4"/>
  <c r="JI2" i="3"/>
  <c r="JH3" i="3"/>
  <c r="JH1" i="3"/>
  <c r="L246" i="4" l="1"/>
  <c r="J246" i="4"/>
  <c r="K246" i="4"/>
  <c r="I246" i="4"/>
  <c r="H247" i="4"/>
  <c r="JI3" i="3"/>
  <c r="JI1" i="3"/>
  <c r="L247" i="4" l="1"/>
  <c r="J247" i="4"/>
  <c r="K247" i="4"/>
  <c r="I247" i="4"/>
  <c r="H248" i="4"/>
  <c r="L248" i="4" l="1"/>
  <c r="J248" i="4"/>
  <c r="K248" i="4"/>
  <c r="I248" i="4"/>
  <c r="H249" i="4"/>
  <c r="L249" i="4" l="1"/>
  <c r="J249" i="4"/>
  <c r="K249" i="4"/>
  <c r="I249" i="4"/>
  <c r="H250" i="4"/>
  <c r="L250" i="4" l="1"/>
  <c r="J250" i="4"/>
  <c r="K250" i="4"/>
  <c r="I250" i="4"/>
  <c r="H251" i="4"/>
  <c r="L251" i="4" l="1"/>
  <c r="J251" i="4"/>
  <c r="K251" i="4"/>
  <c r="I251" i="4"/>
  <c r="H252" i="4"/>
  <c r="L252" i="4" l="1"/>
  <c r="J252" i="4"/>
  <c r="K252" i="4"/>
  <c r="I252" i="4"/>
  <c r="H253" i="4"/>
  <c r="L253" i="4" l="1"/>
  <c r="J253" i="4"/>
  <c r="K253" i="4"/>
  <c r="I253" i="4"/>
  <c r="H254" i="4"/>
  <c r="L254" i="4" l="1"/>
  <c r="J254" i="4"/>
  <c r="K254" i="4"/>
  <c r="I254" i="4"/>
  <c r="H255" i="4"/>
  <c r="L255" i="4" l="1"/>
  <c r="J255" i="4"/>
  <c r="K255" i="4"/>
  <c r="I255" i="4"/>
  <c r="H256" i="4"/>
  <c r="L256" i="4" l="1"/>
  <c r="J256" i="4"/>
  <c r="K256" i="4"/>
  <c r="I256" i="4"/>
  <c r="H257" i="4"/>
  <c r="L257" i="4" l="1"/>
  <c r="J257" i="4"/>
  <c r="K257" i="4"/>
  <c r="I257" i="4"/>
  <c r="H258" i="4"/>
  <c r="L258" i="4" l="1"/>
  <c r="J258" i="4"/>
  <c r="K258" i="4"/>
  <c r="I258" i="4"/>
  <c r="H259" i="4"/>
  <c r="L259" i="4" l="1"/>
  <c r="J259" i="4"/>
  <c r="K259" i="4"/>
  <c r="I259" i="4"/>
  <c r="H260" i="4"/>
  <c r="L260" i="4" l="1"/>
  <c r="J260" i="4"/>
  <c r="K260" i="4"/>
  <c r="I260" i="4"/>
  <c r="H261" i="4"/>
  <c r="L261" i="4" l="1"/>
  <c r="J261" i="4"/>
  <c r="K261" i="4"/>
  <c r="I261" i="4"/>
  <c r="H262" i="4"/>
  <c r="L262" i="4" l="1"/>
  <c r="J262" i="4"/>
  <c r="K262" i="4"/>
  <c r="I262" i="4"/>
  <c r="H263" i="4"/>
  <c r="L263" i="4" l="1"/>
  <c r="J263" i="4"/>
  <c r="K263" i="4"/>
  <c r="I263" i="4"/>
  <c r="H264" i="4"/>
  <c r="J264" i="4" l="1"/>
  <c r="K264" i="4"/>
  <c r="L264" i="4"/>
  <c r="I264" i="4"/>
  <c r="H265" i="4"/>
  <c r="J265" i="4" l="1"/>
  <c r="K265" i="4"/>
  <c r="L265" i="4"/>
  <c r="I265" i="4"/>
  <c r="H266" i="4"/>
  <c r="J266" i="4" l="1"/>
  <c r="K266" i="4"/>
  <c r="L266" i="4"/>
  <c r="I266" i="4"/>
  <c r="H267" i="4"/>
  <c r="J267" i="4" l="1"/>
  <c r="K267" i="4"/>
  <c r="L267" i="4"/>
  <c r="I267" i="4"/>
  <c r="H268" i="4"/>
  <c r="J268" i="4" l="1"/>
  <c r="K268" i="4"/>
  <c r="L268" i="4"/>
  <c r="I268" i="4"/>
  <c r="H269" i="4"/>
  <c r="J269" i="4" l="1"/>
  <c r="K269" i="4"/>
  <c r="L269" i="4"/>
  <c r="I269" i="4"/>
  <c r="H270" i="4"/>
  <c r="J270" i="4" l="1"/>
  <c r="K270" i="4"/>
  <c r="L270" i="4"/>
  <c r="I270" i="4"/>
  <c r="H271" i="4"/>
  <c r="J271" i="4" l="1"/>
  <c r="K271" i="4"/>
  <c r="L271" i="4"/>
  <c r="I271" i="4"/>
  <c r="H272" i="4"/>
  <c r="J272" i="4" l="1"/>
  <c r="K272" i="4"/>
  <c r="L272" i="4"/>
  <c r="I272" i="4"/>
  <c r="H273" i="4"/>
  <c r="J273" i="4" l="1"/>
  <c r="K273" i="4"/>
  <c r="L273" i="4"/>
  <c r="I273" i="4"/>
  <c r="H274" i="4"/>
  <c r="J274" i="4" l="1"/>
  <c r="K274" i="4"/>
  <c r="L274" i="4"/>
  <c r="I274" i="4"/>
  <c r="H275" i="4"/>
  <c r="J275" i="4" l="1"/>
  <c r="K275" i="4"/>
  <c r="L275" i="4"/>
  <c r="I275" i="4"/>
  <c r="H276" i="4"/>
  <c r="J276" i="4" l="1"/>
  <c r="K276" i="4"/>
  <c r="L276" i="4"/>
  <c r="I276" i="4"/>
  <c r="H277" i="4"/>
  <c r="J277" i="4" l="1"/>
  <c r="K277" i="4"/>
  <c r="L277" i="4"/>
  <c r="I277" i="4"/>
  <c r="H278" i="4"/>
  <c r="J278" i="4" l="1"/>
  <c r="K278" i="4"/>
  <c r="L278" i="4"/>
  <c r="I278" i="4"/>
  <c r="H279" i="4"/>
  <c r="J279" i="4" l="1"/>
  <c r="K279" i="4"/>
  <c r="L279" i="4"/>
  <c r="I279" i="4"/>
  <c r="H280" i="4"/>
  <c r="J280" i="4" l="1"/>
  <c r="K280" i="4"/>
  <c r="L280" i="4"/>
  <c r="I280" i="4"/>
  <c r="H281" i="4"/>
  <c r="J281" i="4" l="1"/>
  <c r="K281" i="4"/>
  <c r="L281" i="4"/>
  <c r="I281" i="4"/>
  <c r="H282" i="4"/>
  <c r="J282" i="4" l="1"/>
  <c r="K282" i="4"/>
  <c r="L282" i="4"/>
  <c r="I282" i="4"/>
  <c r="H283" i="4"/>
  <c r="J283" i="4" l="1"/>
  <c r="K283" i="4"/>
  <c r="L283" i="4"/>
  <c r="I283" i="4"/>
  <c r="H284" i="4"/>
  <c r="J284" i="4" l="1"/>
  <c r="K284" i="4"/>
  <c r="L284" i="4"/>
  <c r="I284" i="4"/>
  <c r="H285" i="4"/>
  <c r="J285" i="4" l="1"/>
  <c r="K285" i="4"/>
  <c r="L285" i="4"/>
  <c r="I285" i="4"/>
  <c r="H286" i="4"/>
  <c r="J286" i="4" l="1"/>
  <c r="K286" i="4"/>
  <c r="L286" i="4"/>
  <c r="I286" i="4"/>
  <c r="H287" i="4"/>
  <c r="J287" i="4" l="1"/>
  <c r="K287" i="4"/>
  <c r="L287" i="4"/>
  <c r="I287" i="4"/>
  <c r="H288" i="4"/>
  <c r="J288" i="4" l="1"/>
  <c r="K288" i="4"/>
  <c r="L288" i="4"/>
  <c r="I288" i="4"/>
  <c r="H289" i="4"/>
  <c r="J289" i="4" l="1"/>
  <c r="K289" i="4"/>
  <c r="L289" i="4"/>
  <c r="I289" i="4"/>
  <c r="H290" i="4"/>
  <c r="J290" i="4" l="1"/>
  <c r="K290" i="4"/>
  <c r="L290" i="4"/>
  <c r="I290" i="4"/>
  <c r="H291" i="4"/>
  <c r="J291" i="4" l="1"/>
  <c r="K291" i="4"/>
  <c r="L291" i="4"/>
  <c r="I291" i="4"/>
  <c r="H292" i="4"/>
  <c r="J292" i="4" l="1"/>
  <c r="K292" i="4"/>
  <c r="L292" i="4"/>
  <c r="I292" i="4"/>
  <c r="H293" i="4"/>
  <c r="J293" i="4" l="1"/>
  <c r="K293" i="4"/>
  <c r="L293" i="4"/>
  <c r="I293" i="4"/>
  <c r="H294" i="4"/>
  <c r="J294" i="4" l="1"/>
  <c r="K294" i="4"/>
  <c r="L294" i="4"/>
  <c r="I294" i="4"/>
  <c r="H295" i="4"/>
  <c r="J295" i="4" l="1"/>
  <c r="K295" i="4"/>
  <c r="L295" i="4"/>
  <c r="I295" i="4"/>
  <c r="H296" i="4"/>
  <c r="J296" i="4" l="1"/>
  <c r="K296" i="4"/>
  <c r="L296" i="4"/>
  <c r="I296" i="4"/>
  <c r="H297" i="4"/>
  <c r="J297" i="4" l="1"/>
  <c r="K297" i="4"/>
  <c r="L297" i="4"/>
  <c r="I297" i="4"/>
  <c r="H298" i="4"/>
  <c r="J298" i="4" l="1"/>
  <c r="K298" i="4"/>
  <c r="L298" i="4"/>
  <c r="I298" i="4"/>
  <c r="H299" i="4"/>
  <c r="J299" i="4" l="1"/>
  <c r="K299" i="4"/>
  <c r="L299" i="4"/>
  <c r="I299" i="4"/>
  <c r="H300" i="4"/>
  <c r="J300" i="4" l="1"/>
  <c r="K300" i="4"/>
  <c r="L300" i="4"/>
  <c r="I300" i="4"/>
  <c r="H301" i="4"/>
  <c r="J301" i="4" l="1"/>
  <c r="K301" i="4"/>
  <c r="L301" i="4"/>
  <c r="I301" i="4"/>
  <c r="H302" i="4"/>
  <c r="J302" i="4" l="1"/>
  <c r="K302" i="4"/>
  <c r="L302" i="4"/>
  <c r="I302" i="4"/>
  <c r="H303" i="4"/>
  <c r="J303" i="4" l="1"/>
  <c r="K303" i="4"/>
  <c r="L303" i="4"/>
  <c r="I303" i="4"/>
  <c r="H304" i="4"/>
  <c r="J304" i="4" l="1"/>
  <c r="K304" i="4"/>
  <c r="L304" i="4"/>
  <c r="I304" i="4"/>
  <c r="H305" i="4"/>
  <c r="J305" i="4" l="1"/>
  <c r="J3" i="4" s="1"/>
  <c r="K305" i="4"/>
  <c r="K3" i="4" s="1"/>
  <c r="L305" i="4"/>
  <c r="L3" i="4" s="1"/>
  <c r="I305" i="4"/>
  <c r="JH126" i="3" l="1"/>
  <c r="JF126" i="3"/>
  <c r="JD126" i="3"/>
  <c r="JB126" i="3"/>
  <c r="IZ126" i="3"/>
  <c r="IX126" i="3"/>
  <c r="IV126" i="3"/>
  <c r="IT126" i="3"/>
  <c r="IR126" i="3"/>
  <c r="IP126" i="3"/>
  <c r="IN126" i="3"/>
  <c r="IL126" i="3"/>
  <c r="IJ126" i="3"/>
  <c r="IH126" i="3"/>
  <c r="IF126" i="3"/>
  <c r="ID126" i="3"/>
  <c r="IB126" i="3"/>
  <c r="HZ126" i="3"/>
  <c r="HX126" i="3"/>
  <c r="HV126" i="3"/>
  <c r="HT126" i="3"/>
  <c r="HR126" i="3"/>
  <c r="HP126" i="3"/>
  <c r="HN126" i="3"/>
  <c r="HL126" i="3"/>
  <c r="HJ126" i="3"/>
  <c r="HH126" i="3"/>
  <c r="HF126" i="3"/>
  <c r="HD126" i="3"/>
  <c r="HB126" i="3"/>
  <c r="GZ126" i="3"/>
  <c r="GX126" i="3"/>
  <c r="GV126" i="3"/>
  <c r="GT126" i="3"/>
  <c r="GR126" i="3"/>
  <c r="GP126" i="3"/>
  <c r="GN126" i="3"/>
  <c r="GL126" i="3"/>
  <c r="GJ126" i="3"/>
  <c r="GH126" i="3"/>
  <c r="GF126" i="3"/>
  <c r="GD126" i="3"/>
  <c r="GB126" i="3"/>
  <c r="FZ126" i="3"/>
  <c r="FX126" i="3"/>
  <c r="FV126" i="3"/>
  <c r="FU126" i="3"/>
  <c r="FT126" i="3"/>
  <c r="FS126" i="3"/>
  <c r="FR126" i="3"/>
  <c r="FQ126" i="3"/>
  <c r="FP126" i="3"/>
  <c r="FO126" i="3"/>
  <c r="FN126" i="3"/>
  <c r="FM126" i="3"/>
  <c r="FL126" i="3"/>
  <c r="FK126" i="3"/>
  <c r="FJ126" i="3"/>
  <c r="FI126" i="3"/>
  <c r="FH126" i="3"/>
  <c r="FG126" i="3"/>
  <c r="FF126" i="3"/>
  <c r="FE126" i="3"/>
  <c r="FD126" i="3"/>
  <c r="FC126" i="3"/>
  <c r="FB126" i="3"/>
  <c r="FA126" i="3"/>
  <c r="EZ126" i="3"/>
  <c r="EY126" i="3"/>
  <c r="EX126" i="3"/>
  <c r="EW126" i="3"/>
  <c r="EV126" i="3"/>
  <c r="EU126" i="3"/>
  <c r="ET126" i="3"/>
  <c r="ES126" i="3"/>
  <c r="ER126" i="3"/>
  <c r="EQ126" i="3"/>
  <c r="EP126" i="3"/>
  <c r="EO126" i="3"/>
  <c r="EN126" i="3"/>
  <c r="EM126" i="3"/>
  <c r="EL126" i="3"/>
  <c r="EK126" i="3"/>
  <c r="EJ126" i="3"/>
  <c r="EI126" i="3"/>
  <c r="EH126" i="3"/>
  <c r="EG126" i="3"/>
  <c r="EF126" i="3"/>
  <c r="EE126" i="3"/>
  <c r="ED126" i="3"/>
  <c r="EC126" i="3"/>
  <c r="EB126" i="3"/>
  <c r="EA126" i="3"/>
  <c r="DZ126" i="3"/>
  <c r="DY126" i="3"/>
  <c r="DX126" i="3"/>
  <c r="DW126" i="3"/>
  <c r="DV126" i="3"/>
  <c r="DU126" i="3"/>
  <c r="DT126" i="3"/>
  <c r="DS126" i="3"/>
  <c r="DR126" i="3"/>
  <c r="DQ126" i="3"/>
  <c r="DP126" i="3"/>
  <c r="DO126" i="3"/>
  <c r="DN126" i="3"/>
  <c r="DM126" i="3"/>
  <c r="DL126" i="3"/>
  <c r="DK126" i="3"/>
  <c r="DJ126" i="3"/>
  <c r="DI126" i="3"/>
  <c r="DH126" i="3"/>
  <c r="DG126" i="3"/>
  <c r="DF126" i="3"/>
  <c r="DE126" i="3"/>
  <c r="DD126" i="3"/>
  <c r="DC126" i="3"/>
  <c r="DB126" i="3"/>
  <c r="DA126" i="3"/>
  <c r="CZ126" i="3"/>
  <c r="CY126" i="3"/>
  <c r="CX126" i="3"/>
  <c r="CW126" i="3"/>
  <c r="CV126" i="3"/>
  <c r="CU126" i="3"/>
  <c r="CT126" i="3"/>
  <c r="CS126" i="3"/>
  <c r="CR126" i="3"/>
  <c r="CQ126" i="3"/>
  <c r="CP126" i="3"/>
  <c r="CO126" i="3"/>
  <c r="CN126" i="3"/>
  <c r="CM126" i="3"/>
  <c r="CL126" i="3"/>
  <c r="CK126" i="3"/>
  <c r="CJ126" i="3"/>
  <c r="CI126" i="3"/>
  <c r="CH126" i="3"/>
  <c r="CG126" i="3"/>
  <c r="CF126" i="3"/>
  <c r="CE126" i="3"/>
  <c r="CD126" i="3"/>
  <c r="CC126" i="3"/>
  <c r="CB126" i="3"/>
  <c r="CA126" i="3"/>
  <c r="BZ126" i="3"/>
  <c r="BY126" i="3"/>
  <c r="BX126" i="3"/>
  <c r="BW126" i="3"/>
  <c r="BV126" i="3"/>
  <c r="BU126" i="3"/>
  <c r="BT126" i="3"/>
  <c r="BS126" i="3"/>
  <c r="BR126" i="3"/>
  <c r="BQ126" i="3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J4" i="4"/>
  <c r="I3" i="2" s="1"/>
  <c r="AD126" i="3"/>
  <c r="AE126" i="3"/>
  <c r="AG126" i="3"/>
  <c r="AF126" i="3"/>
  <c r="FW126" i="3"/>
  <c r="FY126" i="3"/>
  <c r="GA126" i="3"/>
  <c r="GC126" i="3"/>
  <c r="GE126" i="3"/>
  <c r="GG126" i="3"/>
  <c r="GI126" i="3"/>
  <c r="GK126" i="3"/>
  <c r="GM126" i="3"/>
  <c r="GO126" i="3"/>
  <c r="GQ126" i="3"/>
  <c r="GS126" i="3"/>
  <c r="GU126" i="3"/>
  <c r="GW126" i="3"/>
  <c r="GY126" i="3"/>
  <c r="HA126" i="3"/>
  <c r="HC126" i="3"/>
  <c r="HE126" i="3"/>
  <c r="HG126" i="3"/>
  <c r="HI126" i="3"/>
  <c r="HK126" i="3"/>
  <c r="HM126" i="3"/>
  <c r="HO126" i="3"/>
  <c r="HQ126" i="3"/>
  <c r="HS126" i="3"/>
  <c r="HU126" i="3"/>
  <c r="HW126" i="3"/>
  <c r="HY126" i="3"/>
  <c r="IA126" i="3"/>
  <c r="IC126" i="3"/>
  <c r="IE126" i="3"/>
  <c r="IG126" i="3"/>
  <c r="II126" i="3"/>
  <c r="IK126" i="3"/>
  <c r="IM126" i="3"/>
  <c r="IO126" i="3"/>
  <c r="IQ126" i="3"/>
  <c r="IS126" i="3"/>
  <c r="IU126" i="3"/>
  <c r="IW126" i="3"/>
  <c r="IY126" i="3"/>
  <c r="JA126" i="3"/>
  <c r="JC126" i="3"/>
  <c r="JE126" i="3"/>
  <c r="JG126" i="3"/>
  <c r="JI126" i="3"/>
  <c r="JH127" i="3"/>
  <c r="JF127" i="3"/>
  <c r="JD127" i="3"/>
  <c r="JB127" i="3"/>
  <c r="IZ127" i="3"/>
  <c r="IX127" i="3"/>
  <c r="IV127" i="3"/>
  <c r="IT127" i="3"/>
  <c r="IR127" i="3"/>
  <c r="IP127" i="3"/>
  <c r="IN127" i="3"/>
  <c r="IL127" i="3"/>
  <c r="IJ127" i="3"/>
  <c r="IH127" i="3"/>
  <c r="IF127" i="3"/>
  <c r="ID127" i="3"/>
  <c r="IB127" i="3"/>
  <c r="HZ127" i="3"/>
  <c r="HX127" i="3"/>
  <c r="HV127" i="3"/>
  <c r="HT127" i="3"/>
  <c r="HR127" i="3"/>
  <c r="HP127" i="3"/>
  <c r="HN127" i="3"/>
  <c r="HL127" i="3"/>
  <c r="HJ127" i="3"/>
  <c r="HH127" i="3"/>
  <c r="HF127" i="3"/>
  <c r="HD127" i="3"/>
  <c r="HB127" i="3"/>
  <c r="GZ127" i="3"/>
  <c r="GX127" i="3"/>
  <c r="GV127" i="3"/>
  <c r="GT127" i="3"/>
  <c r="GR127" i="3"/>
  <c r="GP127" i="3"/>
  <c r="GN127" i="3"/>
  <c r="GL127" i="3"/>
  <c r="GJ127" i="3"/>
  <c r="GH127" i="3"/>
  <c r="GF127" i="3"/>
  <c r="GD127" i="3"/>
  <c r="GB127" i="3"/>
  <c r="FZ127" i="3"/>
  <c r="FX127" i="3"/>
  <c r="FV127" i="3"/>
  <c r="FU127" i="3"/>
  <c r="FT127" i="3"/>
  <c r="FS127" i="3"/>
  <c r="FR127" i="3"/>
  <c r="FQ127" i="3"/>
  <c r="FP127" i="3"/>
  <c r="FO127" i="3"/>
  <c r="FN127" i="3"/>
  <c r="FM127" i="3"/>
  <c r="FL127" i="3"/>
  <c r="FK127" i="3"/>
  <c r="FJ127" i="3"/>
  <c r="FI127" i="3"/>
  <c r="FH127" i="3"/>
  <c r="FG127" i="3"/>
  <c r="FF127" i="3"/>
  <c r="FE127" i="3"/>
  <c r="FD127" i="3"/>
  <c r="FC127" i="3"/>
  <c r="FB127" i="3"/>
  <c r="FA127" i="3"/>
  <c r="EZ127" i="3"/>
  <c r="EY127" i="3"/>
  <c r="EX127" i="3"/>
  <c r="EW127" i="3"/>
  <c r="EV127" i="3"/>
  <c r="EU127" i="3"/>
  <c r="ET127" i="3"/>
  <c r="ES127" i="3"/>
  <c r="ER127" i="3"/>
  <c r="EQ127" i="3"/>
  <c r="EP127" i="3"/>
  <c r="EO127" i="3"/>
  <c r="EN127" i="3"/>
  <c r="EM127" i="3"/>
  <c r="EL127" i="3"/>
  <c r="EK127" i="3"/>
  <c r="EJ127" i="3"/>
  <c r="EI127" i="3"/>
  <c r="EH127" i="3"/>
  <c r="EG127" i="3"/>
  <c r="EF127" i="3"/>
  <c r="EE127" i="3"/>
  <c r="ED127" i="3"/>
  <c r="EC127" i="3"/>
  <c r="EB127" i="3"/>
  <c r="EA127" i="3"/>
  <c r="DZ127" i="3"/>
  <c r="DY127" i="3"/>
  <c r="DX127" i="3"/>
  <c r="DW127" i="3"/>
  <c r="DV127" i="3"/>
  <c r="DU127" i="3"/>
  <c r="DT127" i="3"/>
  <c r="DS127" i="3"/>
  <c r="DR127" i="3"/>
  <c r="DQ127" i="3"/>
  <c r="DP127" i="3"/>
  <c r="DO127" i="3"/>
  <c r="DN127" i="3"/>
  <c r="DM127" i="3"/>
  <c r="DL127" i="3"/>
  <c r="DK127" i="3"/>
  <c r="DJ127" i="3"/>
  <c r="DI127" i="3"/>
  <c r="DH127" i="3"/>
  <c r="DG127" i="3"/>
  <c r="DF127" i="3"/>
  <c r="DE127" i="3"/>
  <c r="DD127" i="3"/>
  <c r="DC127" i="3"/>
  <c r="DB127" i="3"/>
  <c r="DA127" i="3"/>
  <c r="CZ127" i="3"/>
  <c r="CY127" i="3"/>
  <c r="CX127" i="3"/>
  <c r="CW127" i="3"/>
  <c r="CV127" i="3"/>
  <c r="CU127" i="3"/>
  <c r="CT127" i="3"/>
  <c r="CS127" i="3"/>
  <c r="CR127" i="3"/>
  <c r="CQ127" i="3"/>
  <c r="CP127" i="3"/>
  <c r="CO127" i="3"/>
  <c r="CN127" i="3"/>
  <c r="CM127" i="3"/>
  <c r="CL127" i="3"/>
  <c r="CK127" i="3"/>
  <c r="CJ127" i="3"/>
  <c r="CI127" i="3"/>
  <c r="CH127" i="3"/>
  <c r="CG127" i="3"/>
  <c r="CF127" i="3"/>
  <c r="CE127" i="3"/>
  <c r="CD127" i="3"/>
  <c r="CC127" i="3"/>
  <c r="CB127" i="3"/>
  <c r="CA127" i="3"/>
  <c r="BZ127" i="3"/>
  <c r="BY127" i="3"/>
  <c r="BX127" i="3"/>
  <c r="BW127" i="3"/>
  <c r="BV127" i="3"/>
  <c r="BU127" i="3"/>
  <c r="BT127" i="3"/>
  <c r="BS127" i="3"/>
  <c r="BR127" i="3"/>
  <c r="BQ127" i="3"/>
  <c r="BP127" i="3"/>
  <c r="BO127" i="3"/>
  <c r="BN127" i="3"/>
  <c r="BM127" i="3"/>
  <c r="BL127" i="3"/>
  <c r="BK127" i="3"/>
  <c r="BJ127" i="3"/>
  <c r="BI127" i="3"/>
  <c r="BF127" i="3"/>
  <c r="BD127" i="3"/>
  <c r="BB127" i="3"/>
  <c r="AZ127" i="3"/>
  <c r="AX127" i="3"/>
  <c r="AV127" i="3"/>
  <c r="AT127" i="3"/>
  <c r="AR127" i="3"/>
  <c r="AN127" i="3"/>
  <c r="AH127" i="3"/>
  <c r="AG127" i="3"/>
  <c r="K4" i="4"/>
  <c r="I24" i="2" s="1"/>
  <c r="AD127" i="3"/>
  <c r="AP127" i="3"/>
  <c r="AJ127" i="3"/>
  <c r="AF127" i="3"/>
  <c r="AK127" i="3"/>
  <c r="AM127" i="3"/>
  <c r="AO127" i="3"/>
  <c r="AQ127" i="3"/>
  <c r="AS127" i="3"/>
  <c r="AU127" i="3"/>
  <c r="AL127" i="3"/>
  <c r="AE127" i="3"/>
  <c r="AI127" i="3"/>
  <c r="AW127" i="3"/>
  <c r="AY127" i="3"/>
  <c r="BA127" i="3"/>
  <c r="BC127" i="3"/>
  <c r="BE127" i="3"/>
  <c r="BH127" i="3"/>
  <c r="BG127" i="3"/>
  <c r="FW127" i="3"/>
  <c r="FY127" i="3"/>
  <c r="GA127" i="3"/>
  <c r="GC127" i="3"/>
  <c r="GE127" i="3"/>
  <c r="GG127" i="3"/>
  <c r="GI127" i="3"/>
  <c r="GK127" i="3"/>
  <c r="GM127" i="3"/>
  <c r="GO127" i="3"/>
  <c r="GQ127" i="3"/>
  <c r="GS127" i="3"/>
  <c r="GU127" i="3"/>
  <c r="GW127" i="3"/>
  <c r="GY127" i="3"/>
  <c r="HA127" i="3"/>
  <c r="HC127" i="3"/>
  <c r="HE127" i="3"/>
  <c r="HG127" i="3"/>
  <c r="HI127" i="3"/>
  <c r="HK127" i="3"/>
  <c r="HM127" i="3"/>
  <c r="HO127" i="3"/>
  <c r="HQ127" i="3"/>
  <c r="HS127" i="3"/>
  <c r="HU127" i="3"/>
  <c r="HW127" i="3"/>
  <c r="HY127" i="3"/>
  <c r="IA127" i="3"/>
  <c r="IC127" i="3"/>
  <c r="IE127" i="3"/>
  <c r="IG127" i="3"/>
  <c r="II127" i="3"/>
  <c r="IK127" i="3"/>
  <c r="IM127" i="3"/>
  <c r="IO127" i="3"/>
  <c r="IQ127" i="3"/>
  <c r="IS127" i="3"/>
  <c r="IU127" i="3"/>
  <c r="IW127" i="3"/>
  <c r="IY127" i="3"/>
  <c r="JA127" i="3"/>
  <c r="JC127" i="3"/>
  <c r="JE127" i="3"/>
  <c r="JG127" i="3"/>
  <c r="JI127" i="3"/>
  <c r="JH128" i="3"/>
  <c r="JF128" i="3"/>
  <c r="JD128" i="3"/>
  <c r="JB128" i="3"/>
  <c r="IZ128" i="3"/>
  <c r="IX128" i="3"/>
  <c r="IV128" i="3"/>
  <c r="IT128" i="3"/>
  <c r="IR128" i="3"/>
  <c r="IP128" i="3"/>
  <c r="IN128" i="3"/>
  <c r="IL128" i="3"/>
  <c r="IJ128" i="3"/>
  <c r="IH128" i="3"/>
  <c r="IF128" i="3"/>
  <c r="ID128" i="3"/>
  <c r="IB128" i="3"/>
  <c r="HZ128" i="3"/>
  <c r="HX128" i="3"/>
  <c r="HV128" i="3"/>
  <c r="HT128" i="3"/>
  <c r="HR128" i="3"/>
  <c r="HP128" i="3"/>
  <c r="HN128" i="3"/>
  <c r="HL128" i="3"/>
  <c r="HJ128" i="3"/>
  <c r="HH128" i="3"/>
  <c r="HF128" i="3"/>
  <c r="HD128" i="3"/>
  <c r="HB128" i="3"/>
  <c r="GZ128" i="3"/>
  <c r="GX128" i="3"/>
  <c r="GV128" i="3"/>
  <c r="GT128" i="3"/>
  <c r="GR128" i="3"/>
  <c r="GP128" i="3"/>
  <c r="GN128" i="3"/>
  <c r="GL128" i="3"/>
  <c r="GJ128" i="3"/>
  <c r="GH128" i="3"/>
  <c r="GF128" i="3"/>
  <c r="GD128" i="3"/>
  <c r="GB128" i="3"/>
  <c r="FZ128" i="3"/>
  <c r="FX128" i="3"/>
  <c r="FV128" i="3"/>
  <c r="FU128" i="3"/>
  <c r="FT128" i="3"/>
  <c r="FS128" i="3"/>
  <c r="FR128" i="3"/>
  <c r="FQ128" i="3"/>
  <c r="FP128" i="3"/>
  <c r="FO128" i="3"/>
  <c r="FN128" i="3"/>
  <c r="FM128" i="3"/>
  <c r="FL128" i="3"/>
  <c r="FK128" i="3"/>
  <c r="FJ128" i="3"/>
  <c r="FI128" i="3"/>
  <c r="FH128" i="3"/>
  <c r="FG128" i="3"/>
  <c r="FF128" i="3"/>
  <c r="FE128" i="3"/>
  <c r="FD128" i="3"/>
  <c r="FC128" i="3"/>
  <c r="FB128" i="3"/>
  <c r="FA128" i="3"/>
  <c r="EZ128" i="3"/>
  <c r="EY128" i="3"/>
  <c r="EX128" i="3"/>
  <c r="EW128" i="3"/>
  <c r="EV128" i="3"/>
  <c r="EU128" i="3"/>
  <c r="ET128" i="3"/>
  <c r="ES128" i="3"/>
  <c r="ER128" i="3"/>
  <c r="EQ128" i="3"/>
  <c r="EP128" i="3"/>
  <c r="EO128" i="3"/>
  <c r="EN128" i="3"/>
  <c r="EM128" i="3"/>
  <c r="EL128" i="3"/>
  <c r="EK128" i="3"/>
  <c r="EJ128" i="3"/>
  <c r="EI128" i="3"/>
  <c r="EH128" i="3"/>
  <c r="EG128" i="3"/>
  <c r="EF128" i="3"/>
  <c r="EE128" i="3"/>
  <c r="ED128" i="3"/>
  <c r="EC128" i="3"/>
  <c r="EB128" i="3"/>
  <c r="EA128" i="3"/>
  <c r="DZ128" i="3"/>
  <c r="DY128" i="3"/>
  <c r="DX128" i="3"/>
  <c r="DW128" i="3"/>
  <c r="DV128" i="3"/>
  <c r="DU128" i="3"/>
  <c r="DT128" i="3"/>
  <c r="DS128" i="3"/>
  <c r="DR128" i="3"/>
  <c r="DQ128" i="3"/>
  <c r="DP128" i="3"/>
  <c r="DO128" i="3"/>
  <c r="DN128" i="3"/>
  <c r="DM128" i="3"/>
  <c r="DL128" i="3"/>
  <c r="DK128" i="3"/>
  <c r="DJ128" i="3"/>
  <c r="DI128" i="3"/>
  <c r="DH128" i="3"/>
  <c r="DG128" i="3"/>
  <c r="DF128" i="3"/>
  <c r="DE128" i="3"/>
  <c r="DD128" i="3"/>
  <c r="DC128" i="3"/>
  <c r="DB128" i="3"/>
  <c r="DA128" i="3"/>
  <c r="CZ128" i="3"/>
  <c r="CY128" i="3"/>
  <c r="CX128" i="3"/>
  <c r="CW128" i="3"/>
  <c r="CV128" i="3"/>
  <c r="CU128" i="3"/>
  <c r="CT128" i="3"/>
  <c r="CS128" i="3"/>
  <c r="CR128" i="3"/>
  <c r="CQ128" i="3"/>
  <c r="CP128" i="3"/>
  <c r="CO128" i="3"/>
  <c r="CN128" i="3"/>
  <c r="CM128" i="3"/>
  <c r="CL128" i="3"/>
  <c r="CK128" i="3"/>
  <c r="CJ128" i="3"/>
  <c r="CI128" i="3"/>
  <c r="CH128" i="3"/>
  <c r="CG128" i="3"/>
  <c r="CF128" i="3"/>
  <c r="CE128" i="3"/>
  <c r="CD128" i="3"/>
  <c r="CC128" i="3"/>
  <c r="CB128" i="3"/>
  <c r="CA128" i="3"/>
  <c r="BZ128" i="3"/>
  <c r="BY128" i="3"/>
  <c r="BX128" i="3"/>
  <c r="BW128" i="3"/>
  <c r="BV128" i="3"/>
  <c r="BU128" i="3"/>
  <c r="BT128" i="3"/>
  <c r="BS128" i="3"/>
  <c r="BR128" i="3"/>
  <c r="BQ128" i="3"/>
  <c r="BP128" i="3"/>
  <c r="BO128" i="3"/>
  <c r="BN128" i="3"/>
  <c r="BM128" i="3"/>
  <c r="BL128" i="3"/>
  <c r="BK128" i="3"/>
  <c r="BJ128" i="3"/>
  <c r="BI128" i="3"/>
  <c r="BF128" i="3"/>
  <c r="BD128" i="3"/>
  <c r="BB128" i="3"/>
  <c r="AZ128" i="3"/>
  <c r="AX128" i="3"/>
  <c r="AT128" i="3"/>
  <c r="AP128" i="3"/>
  <c r="AL128" i="3"/>
  <c r="AJ128" i="3"/>
  <c r="AH128" i="3"/>
  <c r="AV128" i="3"/>
  <c r="AR128" i="3"/>
  <c r="AN128" i="3"/>
  <c r="AE128" i="3"/>
  <c r="L4" i="4"/>
  <c r="I45" i="2" s="1"/>
  <c r="AD128" i="3"/>
  <c r="AF128" i="3"/>
  <c r="AG128" i="3"/>
  <c r="AI128" i="3"/>
  <c r="AK128" i="3"/>
  <c r="AM128" i="3"/>
  <c r="BH128" i="3"/>
  <c r="AO128" i="3"/>
  <c r="AQ128" i="3"/>
  <c r="AS128" i="3"/>
  <c r="AU128" i="3"/>
  <c r="AW128" i="3"/>
  <c r="AY128" i="3"/>
  <c r="BA128" i="3"/>
  <c r="BC128" i="3"/>
  <c r="BE128" i="3"/>
  <c r="BG128" i="3"/>
  <c r="FW128" i="3"/>
  <c r="FY128" i="3"/>
  <c r="GA128" i="3"/>
  <c r="GC128" i="3"/>
  <c r="GE128" i="3"/>
  <c r="GG128" i="3"/>
  <c r="GI128" i="3"/>
  <c r="GK128" i="3"/>
  <c r="GM128" i="3"/>
  <c r="GO128" i="3"/>
  <c r="GQ128" i="3"/>
  <c r="GS128" i="3"/>
  <c r="GU128" i="3"/>
  <c r="GW128" i="3"/>
  <c r="GY128" i="3"/>
  <c r="HA128" i="3"/>
  <c r="HC128" i="3"/>
  <c r="HE128" i="3"/>
  <c r="HG128" i="3"/>
  <c r="HI128" i="3"/>
  <c r="HK128" i="3"/>
  <c r="HM128" i="3"/>
  <c r="HO128" i="3"/>
  <c r="HQ128" i="3"/>
  <c r="HS128" i="3"/>
  <c r="HU128" i="3"/>
  <c r="HW128" i="3"/>
  <c r="HY128" i="3"/>
  <c r="IA128" i="3"/>
  <c r="IC128" i="3"/>
  <c r="IE128" i="3"/>
  <c r="IG128" i="3"/>
  <c r="II128" i="3"/>
  <c r="IK128" i="3"/>
  <c r="IM128" i="3"/>
  <c r="IO128" i="3"/>
  <c r="IQ128" i="3"/>
  <c r="IS128" i="3"/>
  <c r="IU128" i="3"/>
  <c r="IW128" i="3"/>
  <c r="IY128" i="3"/>
  <c r="JA128" i="3"/>
  <c r="JC128" i="3"/>
  <c r="JE128" i="3"/>
  <c r="JG128" i="3"/>
  <c r="JI128" i="3"/>
</calcChain>
</file>

<file path=xl/sharedStrings.xml><?xml version="1.0" encoding="utf-8"?>
<sst xmlns="http://schemas.openxmlformats.org/spreadsheetml/2006/main" count="168" uniqueCount="91">
  <si>
    <t>表示開始日</t>
  </si>
  <si>
    <t>← B1の日付を変えると表示がずれる</t>
  </si>
  <si>
    <t>今日</t>
  </si>
  <si>
    <t>作業待ち判定1</t>
  </si>
  <si>
    <t>作業待ち判定2</t>
  </si>
  <si>
    <t>作業待ち判定3</t>
  </si>
  <si>
    <t>【使い方】</t>
  </si>
  <si>
    <t>1. 新しいアセット: 担当する作業者のセクションの先頭の空き枠(見出しのすぐ下の4行)の一番上の行(total)にアセット名を入れる。total / low / high / fac の4行が出る。</t>
  </si>
  <si>
    <t xml:space="preserve">   枠を使い切ったら: そのセクションの一番上の枠(4行)を選んでコピー → 見出しのすぐ下の行を右クリック → 「コピーしたセルの挿入」 → 新しい枠のアセット名・工数・FIX・日付を消す。新しいアセットが上に並ぶ。</t>
  </si>
  <si>
    <t>2. 工数: 使うフェーズの「工数」(予算の人日)だけ入れる。total の行は、アセット全体の合計が自動で出る。使わないフェーズは空のままでよい。</t>
  </si>
  <si>
    <t>3. 作業者が作業を始めた日を「開始」、手を止めた日(提出した日など)を「中断」に入れる。再開したら次の回の「開始」に日付を入れる。</t>
  </si>
  <si>
    <t>4. 自動で出るもの: 使用(開始から中断までの平日(祝日を除く)の日数。中断が空の回は今日まで)、残、消化率、状況、待ち日数(中断からの経過日数)。</t>
  </si>
  <si>
    <t xml:space="preserve">   状況 = 未着手 / 作業中 / 中断。フェーズが完了したら FIX 欄に○を入れる(状況が FIX になり、見出し行の集計から外れる)。</t>
  </si>
  <si>
    <t>5. 担当の変更: 担当はセクション(見出し)で決まる。変える時は、4行の枠ごと別の作業者のセクションへ切り取り→「切り取ったセルの挿入」で移す。</t>
  </si>
  <si>
    <t>6. 作業者ごとの状況: 各作業者の見出し行に、作業中・中断の件数、工数(担当の全フェーズの合計)、使用(同)、残(FIX以外の残の合計)、状況が出る。作業者の名前は見出し行のA列に直接入力する。</t>
  </si>
  <si>
    <t>7. 注意: 1フェーズにつき12回目まで入力できる。土日と「祝日」シートの日付は数えない。薄い灰色の行は、まだ工数が入っていない行。</t>
  </si>
  <si>
    <t>8. 祝日: 「祝日」シートに日付を入れると、使用工数の日数から除かれる(2026〜2027年の祝日と年末年始(12/29〜1/4)は入力済み。会社の休業日なども追加できる)。</t>
  </si>
  <si>
    <t>9. 日付のチェック(色): 赤=入力の矛盾(中断が開始より前 / 開始か中断が抜けている / 前の回の中断より前に次の開始がある)、オレンジ=同じ作業者の別の枠と期間が重なっている(境界の日が同じだけの場合や、同じ日だけの作業は対象外)。</t>
  </si>
  <si>
    <t>10. 消化率: total行は「未着手」と「作業中」のフェーズを除いた各フェーズの消化率の平均。作業者の見出し行は、FIX のフェーズだけの消化率の平均。</t>
  </si>
  <si>
    <t>11. 作業者の見出し行の day: その作業者が作業した期間の合間のうち、どのアセットも作業していない平日(祝日を除く)の日数。集計は「祝日」シートのH〜L列のカレンダー(2026/6/1から300日分)で行っている。</t>
  </si>
  <si>
    <t>12. Gantt: 工数管理に入力した開始・中断の日付をもとに、横に日付が並ぶ工程表を自動で作る(入力は不要)。土日祝の列は省いて左詰めで並ぶ。青=開始〜中断の期間、緑=作業中(中断が空の回、今日まで)、薄い黄=その作業者が何の作業もしていない期間(作業待ち。最初の作業日〜最後の作業日の間で、どのアセットも作業していない平日)、薄い橙=今日。B1の日付を変えると表示期間がずれる。日付が入っているフェーズ行だけが並ぶ。 作業者ごとに濃い色の帯の見出し行が入り、その下に担当のアセットが並ぶ。 黄色は作業者ごとの見出し行(濃い帯)には付けず、その下のアセットの行だけに付ける。</t>
  </si>
  <si>
    <t>assetID</t>
  </si>
  <si>
    <t>task</t>
  </si>
  <si>
    <t>assign</t>
  </si>
  <si>
    <t>工数</t>
  </si>
  <si>
    <t>使用</t>
  </si>
  <si>
    <t>残</t>
  </si>
  <si>
    <t>消化率</t>
  </si>
  <si>
    <t>status</t>
  </si>
  <si>
    <t>day</t>
  </si>
  <si>
    <t>FIX</t>
  </si>
  <si>
    <t>開始</t>
  </si>
  <si>
    <t>中断</t>
  </si>
  <si>
    <t>CH01</t>
  </si>
  <si>
    <t>chHondawaraA</t>
  </si>
  <si>
    <t>chHijikiA</t>
  </si>
  <si>
    <t>chBuChildA</t>
  </si>
  <si>
    <t>○</t>
  </si>
  <si>
    <t>chGkChildA</t>
  </si>
  <si>
    <t>CH02</t>
  </si>
  <si>
    <t>chMobSaiyanG</t>
  </si>
  <si>
    <t>chMobSaiyanC</t>
  </si>
  <si>
    <t>chMobAlienA</t>
  </si>
  <si>
    <t>chMobSaiyanA</t>
  </si>
  <si>
    <t>CH03</t>
  </si>
  <si>
    <t>chMobSaiyanH</t>
  </si>
  <si>
    <t>chMobSaiyanD</t>
  </si>
  <si>
    <t>chMobSaiyanF</t>
  </si>
  <si>
    <t>chMobSaiyanB</t>
  </si>
  <si>
    <t>chMobSaiyanE</t>
  </si>
  <si>
    <t>未割当</t>
  </si>
  <si>
    <t>-</t>
  </si>
  <si>
    <t>chAosaA</t>
  </si>
  <si>
    <t>chMozukuA</t>
  </si>
  <si>
    <t>chMobSaiyanL</t>
  </si>
  <si>
    <t>chMobSaiyanK</t>
  </si>
  <si>
    <t>chMobSaiyanJ</t>
  </si>
  <si>
    <t>chMobSaiyanI</t>
  </si>
  <si>
    <t>日付</t>
  </si>
  <si>
    <t>名称</t>
  </si>
  <si>
    <t>ここに入れた日付は、使用工数の日数から除く(土日は自動で除く)。会社の休業日なども追加できる。</t>
  </si>
  <si>
    <t>日付(集計用)</t>
  </si>
  <si>
    <t>稼働日</t>
  </si>
  <si>
    <t>元日</t>
  </si>
  <si>
    <t>最初の稼働日</t>
  </si>
  <si>
    <t>年末年始休業</t>
  </si>
  <si>
    <t>最後の稼働日</t>
  </si>
  <si>
    <t>空き日数</t>
  </si>
  <si>
    <t>↓カレンダー(先頭の日付は変更可)</t>
  </si>
  <si>
    <t>成人の日</t>
  </si>
  <si>
    <t>建国記念の日</t>
  </si>
  <si>
    <t>天皇誕生日</t>
  </si>
  <si>
    <t>春分の日</t>
  </si>
  <si>
    <t>昭和の日</t>
  </si>
  <si>
    <t>憲法記念日</t>
  </si>
  <si>
    <t>みどりの日</t>
  </si>
  <si>
    <t>こどもの日</t>
  </si>
  <si>
    <t>振替休日</t>
  </si>
  <si>
    <t>海の日</t>
  </si>
  <si>
    <t>山の日</t>
  </si>
  <si>
    <t>会社指定休</t>
  </si>
  <si>
    <t>敬老の日</t>
  </si>
  <si>
    <t>国民の休日</t>
  </si>
  <si>
    <t>秋分の日</t>
  </si>
  <si>
    <t>スポーツの日</t>
  </si>
  <si>
    <t>文化の日</t>
  </si>
  <si>
    <t>勤労感謝の日</t>
  </si>
  <si>
    <t>task</t>
    <phoneticPr fontId="4"/>
  </si>
  <si>
    <t>status</t>
    <phoneticPr fontId="4"/>
  </si>
  <si>
    <t>assetID</t>
    <phoneticPr fontId="4"/>
  </si>
  <si>
    <t>assign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</si>
</sst>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0.0"/>
    <numFmt numFmtId="178" formatCode="m/d"/>
    <numFmt numFmtId="179" formatCode="d"/>
  </numFmts>
  <fonts count="19" x14ac:knownFonts="1">
    <font>
      <sz val="11"/>
      <color theme="1"/>
      <name val="ＭＳ Ｐゴシック"/>
      <family val="2"/>
      <scheme val="minor"/>
    </font>
    <font>
      <sz val="11"/>
      <name val="ＭＳ ゴシック"/>
      <family val="3"/>
      <charset val="128"/>
    </font>
    <font>
      <b/>
      <sz val="9"/>
      <name val="ＭＳ ゴシック"/>
      <family val="3"/>
      <charset val="128"/>
    </font>
    <font>
      <b/>
      <sz val="13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rgb="FFFFFFFF"/>
      <name val="ＭＳ ゴシック"/>
      <family val="3"/>
      <charset val="128"/>
    </font>
    <font>
      <sz val="11"/>
      <color rgb="FFC00000"/>
      <name val="ＭＳ ゴシック"/>
      <family val="3"/>
      <charset val="128"/>
    </font>
    <font>
      <b/>
      <sz val="11"/>
      <color rgb="FFFFFFFF"/>
      <name val="ＭＳ ゴシック"/>
      <family val="3"/>
      <charset val="128"/>
    </font>
    <font>
      <b/>
      <sz val="9"/>
      <color rgb="FFFFFFFF"/>
      <name val="ＭＳ ゴシック"/>
      <family val="3"/>
      <charset val="128"/>
    </font>
    <font>
      <b/>
      <sz val="12"/>
      <color rgb="FFFFFFFF"/>
      <name val="ＭＳ ゴシック"/>
      <family val="3"/>
      <charset val="128"/>
    </font>
    <font>
      <b/>
      <sz val="11"/>
      <color rgb="FF1F3864"/>
      <name val="ＭＳ ゴシック"/>
      <family val="3"/>
      <charset val="128"/>
    </font>
    <font>
      <sz val="11"/>
      <color rgb="FF808080"/>
      <name val="ＭＳ ゴシック"/>
      <family val="3"/>
      <charset val="128"/>
    </font>
    <font>
      <b/>
      <sz val="11"/>
      <color rgb="FFFFFFFF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1"/>
      <color rgb="FFC00000"/>
      <name val="ＭＳ ゴシック"/>
      <family val="3"/>
      <charset val="128"/>
    </font>
    <font>
      <b/>
      <sz val="11"/>
      <color rgb="FFC00000"/>
      <name val="ＭＳ ゴシック"/>
      <family val="3"/>
      <charset val="128"/>
    </font>
    <font>
      <sz val="9"/>
      <color rgb="FFC00000"/>
      <name val="ＭＳ ゴシック"/>
      <family val="3"/>
      <charset val="128"/>
    </font>
    <font>
      <b/>
      <sz val="8"/>
      <color rgb="FFFFFFFF"/>
      <name val="ＭＳ ゴシック"/>
      <family val="3"/>
      <charset val="128"/>
    </font>
    <font>
      <sz val="9"/>
      <name val="ＭＳ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203864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rgb="FFD9D9D9"/>
      </left>
      <right style="hair">
        <color rgb="FFD9D9D9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/>
    <xf numFmtId="0" fontId="1" fillId="0" borderId="0" xfId="0" applyFont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176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/>
    <xf numFmtId="177" fontId="7" fillId="6" borderId="2" xfId="0" applyNumberFormat="1" applyFont="1" applyFill="1" applyBorder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left"/>
    </xf>
    <xf numFmtId="0" fontId="10" fillId="7" borderId="6" xfId="0" applyFont="1" applyFill="1" applyBorder="1"/>
    <xf numFmtId="0" fontId="10" fillId="7" borderId="5" xfId="0" applyFont="1" applyFill="1" applyBorder="1" applyAlignment="1">
      <alignment horizontal="center"/>
    </xf>
    <xf numFmtId="177" fontId="10" fillId="7" borderId="5" xfId="0" applyNumberFormat="1" applyFont="1" applyFill="1" applyBorder="1" applyAlignment="1">
      <alignment horizontal="center"/>
    </xf>
    <xf numFmtId="9" fontId="10" fillId="7" borderId="5" xfId="0" applyNumberFormat="1" applyFont="1" applyFill="1" applyBorder="1" applyAlignment="1">
      <alignment horizontal="center"/>
    </xf>
    <xf numFmtId="178" fontId="2" fillId="0" borderId="5" xfId="0" applyNumberFormat="1" applyFont="1" applyBorder="1" applyAlignment="1">
      <alignment horizontal="center"/>
    </xf>
    <xf numFmtId="0" fontId="11" fillId="0" borderId="7" xfId="0" applyFont="1" applyBorder="1" applyAlignment="1">
      <alignment horizontal="right" indent="1"/>
    </xf>
    <xf numFmtId="0" fontId="1" fillId="0" borderId="2" xfId="0" applyFont="1" applyBorder="1" applyAlignment="1">
      <alignment horizontal="center"/>
    </xf>
    <xf numFmtId="177" fontId="1" fillId="0" borderId="2" xfId="0" applyNumberFormat="1" applyFont="1" applyBorder="1" applyAlignment="1">
      <alignment horizontal="center"/>
    </xf>
    <xf numFmtId="177" fontId="1" fillId="8" borderId="2" xfId="0" applyNumberFormat="1" applyFont="1" applyFill="1" applyBorder="1" applyAlignment="1">
      <alignment horizontal="center"/>
    </xf>
    <xf numFmtId="9" fontId="1" fillId="8" borderId="2" xfId="0" applyNumberFormat="1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78" fontId="2" fillId="0" borderId="2" xfId="0" applyNumberFormat="1" applyFont="1" applyBorder="1" applyAlignment="1">
      <alignment horizontal="center"/>
    </xf>
    <xf numFmtId="0" fontId="11" fillId="0" borderId="8" xfId="0" applyFont="1" applyBorder="1" applyAlignment="1">
      <alignment horizontal="right" indent="1"/>
    </xf>
    <xf numFmtId="0" fontId="1" fillId="0" borderId="9" xfId="0" applyFont="1" applyBorder="1" applyAlignment="1">
      <alignment horizontal="center"/>
    </xf>
    <xf numFmtId="177" fontId="1" fillId="0" borderId="9" xfId="0" applyNumberFormat="1" applyFont="1" applyBorder="1" applyAlignment="1">
      <alignment horizontal="center"/>
    </xf>
    <xf numFmtId="177" fontId="1" fillId="8" borderId="9" xfId="0" applyNumberFormat="1" applyFont="1" applyFill="1" applyBorder="1" applyAlignment="1">
      <alignment horizontal="center"/>
    </xf>
    <xf numFmtId="9" fontId="1" fillId="8" borderId="9" xfId="0" applyNumberFormat="1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178" fontId="2" fillId="0" borderId="9" xfId="0" applyNumberFormat="1" applyFont="1" applyBorder="1" applyAlignment="1">
      <alignment horizontal="center"/>
    </xf>
    <xf numFmtId="1" fontId="7" fillId="6" borderId="2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1" fontId="12" fillId="6" borderId="2" xfId="0" applyNumberFormat="1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13" fillId="0" borderId="10" xfId="0" applyFont="1" applyBorder="1"/>
    <xf numFmtId="0" fontId="0" fillId="0" borderId="10" xfId="0" applyBorder="1"/>
    <xf numFmtId="176" fontId="13" fillId="0" borderId="10" xfId="0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0" fontId="14" fillId="0" borderId="0" xfId="0" applyFont="1"/>
    <xf numFmtId="176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76" fontId="15" fillId="0" borderId="10" xfId="0" applyNumberFormat="1" applyFont="1" applyBorder="1" applyAlignment="1">
      <alignment horizontal="center" vertical="center"/>
    </xf>
    <xf numFmtId="0" fontId="16" fillId="0" borderId="0" xfId="0" applyFont="1"/>
    <xf numFmtId="0" fontId="17" fillId="10" borderId="10" xfId="0" applyFont="1" applyFill="1" applyBorder="1" applyAlignment="1">
      <alignment horizontal="left" vertical="center"/>
    </xf>
    <xf numFmtId="176" fontId="13" fillId="0" borderId="10" xfId="0" applyNumberFormat="1" applyFont="1" applyBorder="1" applyAlignment="1">
      <alignment horizontal="center" vertical="center"/>
    </xf>
    <xf numFmtId="179" fontId="17" fillId="9" borderId="10" xfId="0" applyNumberFormat="1" applyFont="1" applyFill="1" applyBorder="1" applyAlignment="1">
      <alignment horizontal="center" vertical="center"/>
    </xf>
    <xf numFmtId="0" fontId="17" fillId="9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0" fillId="0" borderId="11" xfId="0" applyBorder="1"/>
    <xf numFmtId="0" fontId="1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0" fillId="0" borderId="3" xfId="0" applyBorder="1"/>
    <xf numFmtId="0" fontId="7" fillId="5" borderId="10" xfId="0" applyFont="1" applyFill="1" applyBorder="1" applyAlignment="1">
      <alignment horizontal="center" vertical="center" wrapText="1"/>
    </xf>
    <xf numFmtId="0" fontId="0" fillId="0" borderId="4" xfId="0" applyBorder="1"/>
    <xf numFmtId="0" fontId="7" fillId="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/>
    </xf>
  </cellXfs>
  <cellStyles count="1">
    <cellStyle name="標準" xfId="0" builtinId="0"/>
  </cellStyles>
  <dxfs count="31">
    <dxf>
      <font>
        <b/>
        <color rgb="FFFFFFFF"/>
      </font>
      <fill>
        <patternFill patternType="solid">
          <fgColor rgb="FF203864"/>
          <bgColor rgb="FF203864"/>
        </patternFill>
      </fill>
    </dxf>
    <dxf>
      <fill>
        <patternFill patternType="solid">
          <fgColor rgb="FFFFF4B3"/>
          <bgColor rgb="FFFFF4B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2E75B6"/>
          <bgColor rgb="FF2E75B6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ont>
        <b/>
        <color rgb="FFFFFFFF"/>
      </font>
      <fill>
        <patternFill patternType="solid">
          <fgColor rgb="FF203864"/>
          <bgColor rgb="FF203864"/>
        </patternFill>
      </fill>
    </dxf>
    <dxf>
      <border>
        <top style="medium">
          <color rgb="FF1F3864"/>
        </top>
      </border>
    </dxf>
    <dxf>
      <font>
        <color rgb="FFBFBFBF"/>
      </font>
    </dxf>
    <dxf>
      <font>
        <b/>
        <color rgb="FF833C0B"/>
      </font>
      <fill>
        <patternFill patternType="solid">
          <fgColor rgb="FFF4B084"/>
          <bgColor rgb="FFF4B08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833C0B"/>
      </font>
      <fill>
        <patternFill patternType="solid">
          <fgColor rgb="FFF4B084"/>
          <bgColor rgb="FFF4B08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833C0B"/>
      </font>
      <fill>
        <patternFill patternType="solid">
          <fgColor rgb="FFF4B084"/>
          <bgColor rgb="FFF4B084"/>
        </patternFill>
      </fill>
    </dxf>
    <dxf>
      <fill>
        <patternFill patternType="solid">
          <fgColor rgb="FFFFE699"/>
          <bgColor rgb="FFFFE699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BFBFBF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98"/>
  <sheetViews>
    <sheetView showGridLines="0" tabSelected="1" workbookViewId="0">
      <pane xSplit="3" ySplit="2" topLeftCell="D3" activePane="bottomRight" state="frozen"/>
      <selection pane="topRight"/>
      <selection pane="bottomLeft"/>
      <selection pane="bottomRight" activeCell="N9" sqref="N9"/>
    </sheetView>
  </sheetViews>
  <sheetFormatPr defaultRowHeight="13.5" x14ac:dyDescent="0.15"/>
  <cols>
    <col min="1" max="1" width="18" customWidth="1"/>
    <col min="2" max="2" width="8" customWidth="1"/>
    <col min="3" max="3" width="9" hidden="1" customWidth="1"/>
    <col min="4" max="6" width="7" customWidth="1"/>
    <col min="7" max="7" width="8" customWidth="1"/>
    <col min="8" max="8" width="11" customWidth="1"/>
    <col min="9" max="9" width="4.5" customWidth="1"/>
    <col min="10" max="10" width="4.25" customWidth="1"/>
    <col min="11" max="34" width="5.125" customWidth="1"/>
    <col min="35" max="41" width="5" hidden="1" customWidth="1"/>
    <col min="43" max="68" width="5" hidden="1" customWidth="1"/>
  </cols>
  <sheetData>
    <row r="1" spans="1:68" ht="21.95" customHeight="1" x14ac:dyDescent="0.15">
      <c r="A1" s="56" t="s">
        <v>21</v>
      </c>
      <c r="B1" s="56" t="s">
        <v>22</v>
      </c>
      <c r="C1" s="56" t="s">
        <v>23</v>
      </c>
      <c r="D1" s="56" t="s">
        <v>24</v>
      </c>
      <c r="E1" s="56" t="s">
        <v>25</v>
      </c>
      <c r="F1" s="56" t="s">
        <v>26</v>
      </c>
      <c r="G1" s="56" t="s">
        <v>27</v>
      </c>
      <c r="H1" s="56" t="s">
        <v>28</v>
      </c>
      <c r="I1" s="56" t="s">
        <v>29</v>
      </c>
      <c r="J1" s="56" t="s">
        <v>30</v>
      </c>
      <c r="K1" s="60">
        <v>1</v>
      </c>
      <c r="L1" s="59"/>
      <c r="M1" s="58">
        <v>2</v>
      </c>
      <c r="N1" s="59"/>
      <c r="O1" s="60">
        <v>3</v>
      </c>
      <c r="P1" s="59"/>
      <c r="Q1" s="58">
        <v>4</v>
      </c>
      <c r="R1" s="59"/>
      <c r="S1" s="60">
        <v>5</v>
      </c>
      <c r="T1" s="59"/>
      <c r="U1" s="58">
        <v>6</v>
      </c>
      <c r="V1" s="59"/>
      <c r="W1" s="60">
        <v>7</v>
      </c>
      <c r="X1" s="59"/>
      <c r="Y1" s="58">
        <v>8</v>
      </c>
      <c r="Z1" s="59"/>
      <c r="AA1" s="60">
        <v>9</v>
      </c>
      <c r="AB1" s="59"/>
      <c r="AC1" s="58">
        <v>10</v>
      </c>
      <c r="AD1" s="59"/>
      <c r="AE1" s="60">
        <v>11</v>
      </c>
      <c r="AF1" s="59"/>
      <c r="AG1" s="58">
        <v>12</v>
      </c>
      <c r="AH1" s="59"/>
      <c r="AI1">
        <f ca="1">TODAY()</f>
        <v>46302</v>
      </c>
    </row>
    <row r="2" spans="1:68" x14ac:dyDescent="0.15">
      <c r="A2" s="57"/>
      <c r="B2" s="57"/>
      <c r="C2" s="57"/>
      <c r="D2" s="57"/>
      <c r="E2" s="57"/>
      <c r="F2" s="57"/>
      <c r="G2" s="57"/>
      <c r="H2" s="57"/>
      <c r="I2" s="57"/>
      <c r="J2" s="57"/>
      <c r="K2" s="7" t="s">
        <v>31</v>
      </c>
      <c r="L2" s="7" t="s">
        <v>32</v>
      </c>
      <c r="M2" s="8" t="s">
        <v>31</v>
      </c>
      <c r="N2" s="8" t="s">
        <v>32</v>
      </c>
      <c r="O2" s="7" t="s">
        <v>31</v>
      </c>
      <c r="P2" s="7" t="s">
        <v>32</v>
      </c>
      <c r="Q2" s="8" t="s">
        <v>31</v>
      </c>
      <c r="R2" s="8" t="s">
        <v>32</v>
      </c>
      <c r="S2" s="7" t="s">
        <v>31</v>
      </c>
      <c r="T2" s="7" t="s">
        <v>32</v>
      </c>
      <c r="U2" s="8" t="s">
        <v>31</v>
      </c>
      <c r="V2" s="8" t="s">
        <v>32</v>
      </c>
      <c r="W2" s="7" t="s">
        <v>31</v>
      </c>
      <c r="X2" s="7" t="s">
        <v>32</v>
      </c>
      <c r="Y2" s="8" t="s">
        <v>31</v>
      </c>
      <c r="Z2" s="8" t="s">
        <v>32</v>
      </c>
      <c r="AA2" s="7" t="s">
        <v>31</v>
      </c>
      <c r="AB2" s="7" t="s">
        <v>32</v>
      </c>
      <c r="AC2" s="8" t="s">
        <v>31</v>
      </c>
      <c r="AD2" s="8" t="s">
        <v>32</v>
      </c>
      <c r="AE2" s="7" t="s">
        <v>31</v>
      </c>
      <c r="AF2" s="7" t="s">
        <v>32</v>
      </c>
      <c r="AG2" s="8" t="s">
        <v>31</v>
      </c>
      <c r="AH2" s="8" t="s">
        <v>32</v>
      </c>
    </row>
    <row r="3" spans="1:68" ht="14.25" customHeight="1" x14ac:dyDescent="0.15">
      <c r="A3" s="9" t="s">
        <v>33</v>
      </c>
      <c r="B3" s="32">
        <f>IF($A3="","",COUNTIFS($AK$3:$AK$98,$A3,$AL$3:$AL$98,"作業中"))</f>
        <v>1</v>
      </c>
      <c r="C3" s="33"/>
      <c r="D3" s="10">
        <f>IF($A3="","",SUMIFS($AM$3:$AM$98,$AK$3:$AK$98,$A3))</f>
        <v>120</v>
      </c>
      <c r="E3" s="10">
        <f ca="1">IF($A3="","",SUMIFS($AN$3:$AN$98,$AK$3:$AK$98,$A3))</f>
        <v>68</v>
      </c>
      <c r="F3" s="10">
        <f ca="1">IF($A3="","",SUMIFS($AO$3:$AO$98,$AK$3:$AK$98,$A3,$AL$3:$AL$98,"&lt;&gt;FIX"))</f>
        <v>52</v>
      </c>
      <c r="G3" s="11">
        <f>IF($A3="","",IFERROR(AVERAGEIFS($BO$3:$BO$98,$AK$3:$AK$98,$A3,$AL$3:$AL$98,"FIX"),""))</f>
        <v>1</v>
      </c>
      <c r="H3" s="12" t="str">
        <f ca="1">IF($A3="","",IF(COUNTIFS($AK$3:$AK$98,$A3,$AL$3:$AL$98,"作業中")&gt;0,IF(SUMIFS($AO$3:$AO$98,$AK$3:$AK$98,$A3,$AL$3:$AL$98,"作業中")&lt;=0,"工数超過","作業中"),IF(COUNTIFS($AK$3:$AK$98,$A3,$AL$3:$AL$98,"中断")&gt;0,"作業待ち",IF(COUNTIFS($AK$3:$AK$98,$A3,$AL$3:$AL$98,"未着手")&gt;0,"着手待ち","空き"))))</f>
        <v>作業中</v>
      </c>
      <c r="I3" s="34">
        <f ca="1">IF($A3="","",祝日!J4)</f>
        <v>17</v>
      </c>
      <c r="J3" s="9"/>
      <c r="AJ3" t="str">
        <f>IF($A3="","-",$A3)</f>
        <v>CH01</v>
      </c>
      <c r="BP3">
        <f>ROW()</f>
        <v>3</v>
      </c>
    </row>
    <row r="4" spans="1:68" x14ac:dyDescent="0.15">
      <c r="A4" s="13"/>
      <c r="B4" s="14" t="str">
        <f>IF($A4="","","total")</f>
        <v/>
      </c>
      <c r="C4" s="14"/>
      <c r="D4" s="15" t="str">
        <f>IF($A4="","",SUM(D5:D7))</f>
        <v/>
      </c>
      <c r="E4" s="15" t="str">
        <f>IF($A4="","",SUM(E5:E7))</f>
        <v/>
      </c>
      <c r="F4" s="15" t="str">
        <f>IF($A4="","",D4-E4)</f>
        <v/>
      </c>
      <c r="G4" s="16" t="str">
        <f>IF($A4="","",IFERROR(AVERAGEIFS(G5:G7,H5:H7,"&lt;&gt;未着手",H5:H7,"&lt;&gt;作業中"),""))</f>
        <v/>
      </c>
      <c r="H4" s="14"/>
      <c r="I4" s="14"/>
      <c r="J4" s="14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spans="1:68" x14ac:dyDescent="0.15">
      <c r="A5" s="18" t="str">
        <f>IF($A4="","",$A4)</f>
        <v/>
      </c>
      <c r="B5" s="19" t="str">
        <f>IF($A4="","","low")</f>
        <v/>
      </c>
      <c r="C5" s="19"/>
      <c r="D5" s="20"/>
      <c r="E5" s="21" t="str">
        <f>IF(AND($D5="",COUNT($K5:$AH5)=0),"",IF(K5="",0,MAX(0,NETWORKDAYS(K5,IF(L5&lt;&gt;"",L5,IF($J5&lt;&gt;"",K5,$AI$1)),祝日!$A$2:$A$200)))+IF(M5="",0,MAX(0,NETWORKDAYS(M5,IF(N5&lt;&gt;"",N5,IF($J5&lt;&gt;"",M5,$AI$1)),祝日!$A$2:$A$200)))+IF(O5="",0,MAX(0,NETWORKDAYS(O5,IF(P5&lt;&gt;"",P5,IF($J5&lt;&gt;"",O5,$AI$1)),祝日!$A$2:$A$200)))+IF(Q5="",0,MAX(0,NETWORKDAYS(Q5,IF(R5&lt;&gt;"",R5,IF($J5&lt;&gt;"",Q5,$AI$1)),祝日!$A$2:$A$200)))+IF(S5="",0,MAX(0,NETWORKDAYS(S5,IF(T5&lt;&gt;"",T5,IF($J5&lt;&gt;"",S5,$AI$1)),祝日!$A$2:$A$200)))+IF(U5="",0,MAX(0,NETWORKDAYS(U5,IF(V5&lt;&gt;"",V5,IF($J5&lt;&gt;"",U5,$AI$1)),祝日!$A$2:$A$200)))+IF(W5="",0,MAX(0,NETWORKDAYS(W5,IF(X5&lt;&gt;"",X5,IF($J5&lt;&gt;"",W5,$AI$1)),祝日!$A$2:$A$200)))+IF(Y5="",0,MAX(0,NETWORKDAYS(Y5,IF(Z5&lt;&gt;"",Z5,IF($J5&lt;&gt;"",Y5,$AI$1)),祝日!$A$2:$A$200)))+IF(AA5="",0,MAX(0,NETWORKDAYS(AA5,IF(AB5&lt;&gt;"",AB5,IF($J5&lt;&gt;"",AA5,$AI$1)),祝日!$A$2:$A$200)))+IF(AC5="",0,MAX(0,NETWORKDAYS(AC5,IF(AD5&lt;&gt;"",AD5,IF($J5&lt;&gt;"",AC5,$AI$1)),祝日!$A$2:$A$200)))+IF(AE5="",0,MAX(0,NETWORKDAYS(AE5,IF(AF5&lt;&gt;"",AF5,IF($J5&lt;&gt;"",AE5,$AI$1)),祝日!$A$2:$A$200)))+IF(AG5="",0,MAX(0,NETWORKDAYS(AG5,IF(AH5&lt;&gt;"",AH5,IF($J5&lt;&gt;"",AG5,$AI$1)),祝日!$A$2:$A$200))))</f>
        <v/>
      </c>
      <c r="F5" s="21" t="str">
        <f>IF($D5="","",$D5-$E5)</f>
        <v/>
      </c>
      <c r="G5" s="22" t="str">
        <f>IF(OR($D5="",$D5=0),"",$E5/$D5)</f>
        <v/>
      </c>
      <c r="H5" s="23" t="str">
        <f>IF($D5="","",IF($J5&lt;&gt;"","FIX",IF(AND(SUMPRODUCT((MOD(COLUMN($K5:$AH5)-COLUMN($K5),2)=0)*($K5:$AH5&lt;&gt;""))=0,SUMPRODUCT((MOD(COLUMN($K5:$AH5)-COLUMN($K5),2)=1)*($K5:$AH5&lt;&gt;""))=0),"未着手",IF(SUMPRODUCT((MOD(COLUMN($K5:$AH5)-COLUMN($K5),2)=0)*($K5:$AH5&lt;&gt;""))&gt;SUMPRODUCT((MOD(COLUMN($K5:$AH5)-COLUMN($K5),2)=1)*($K5:$AH5&lt;&gt;"")),"作業中","中断"))))</f>
        <v/>
      </c>
      <c r="I5" s="23" t="str">
        <f>IF($H5="中断",MAX(0,$AI$1-MAX(L5,N5,P5,R5,T5,V5,X5,Z5,AB5,AD5,AF5,AH5)),"")</f>
        <v/>
      </c>
      <c r="J5" s="19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K5" t="str">
        <f>IF($A4="","",IF(LOOKUP(2,1/($AJ$3:$AJ5&lt;&gt;""),$AJ$3:$AJ5)="-","",LOOKUP(2,1/($AJ$3:$AJ5&lt;&gt;""),$AJ$3:$AJ5)))</f>
        <v/>
      </c>
      <c r="AL5" t="str">
        <f>$H5</f>
        <v/>
      </c>
      <c r="AM5">
        <f>IF(ISNUMBER($D5),$D5,0)</f>
        <v>0</v>
      </c>
      <c r="AN5">
        <f>IF(ISNUMBER($E5),$E5,0)</f>
        <v>0</v>
      </c>
      <c r="AO5">
        <f>IF(ISNUMBER($F5),$F5,0)</f>
        <v>0</v>
      </c>
      <c r="AQ5">
        <f>IF(OR($AK5="",K5="",L5=""),0,COUNTIFS($AK$3:$AK$98,$AK5,K$3:K$98,"&lt;"&amp;L5,L$3:L$98,"&gt;"&amp;K5)+COUNTIFS($AK$3:$AK$98,$AK5,M$3:M$98,"&lt;"&amp;L5,N$3:N$98,"&gt;"&amp;K5)+COUNTIFS($AK$3:$AK$98,$AK5,O$3:O$98,"&lt;"&amp;L5,P$3:P$98,"&gt;"&amp;K5)+COUNTIFS($AK$3:$AK$98,$AK5,Q$3:Q$98,"&lt;"&amp;L5,R$3:R$98,"&gt;"&amp;K5)+COUNTIFS($AK$3:$AK$98,$AK5,S$3:S$98,"&lt;"&amp;L5,T$3:T$98,"&gt;"&amp;K5)+COUNTIFS($AK$3:$AK$98,$AK5,U$3:U$98,"&lt;"&amp;L5,V$3:V$98,"&gt;"&amp;K5)+COUNTIFS($AK$3:$AK$98,$AK5,W$3:W$98,"&lt;"&amp;L5,X$3:X$98,"&gt;"&amp;K5)+COUNTIFS($AK$3:$AK$98,$AK5,Y$3:Y$98,"&lt;"&amp;L5,Z$3:Z$98,"&gt;"&amp;K5)+COUNTIFS($AK$3:$AK$98,$AK5,AA$3:AA$98,"&lt;"&amp;L5,AB$3:AB$98,"&gt;"&amp;K5)+COUNTIFS($AK$3:$AK$98,$AK5,AC$3:AC$98,"&lt;"&amp;L5,AD$3:AD$98,"&gt;"&amp;K5)+COUNTIFS($AK$3:$AK$98,$AK5,AE$3:AE$98,"&lt;"&amp;L5,AF$3:AF$98,"&gt;"&amp;K5)+COUNTIFS($AK$3:$AK$98,$AK5,AG$3:AG$98,"&lt;"&amp;L5,AH$3:AH$98,"&gt;"&amp;K5)-(K5&lt;L5))</f>
        <v>0</v>
      </c>
      <c r="AR5">
        <f>AQ5</f>
        <v>0</v>
      </c>
      <c r="AS5">
        <f>IF(OR($AK5="",M5="",N5=""),0,COUNTIFS($AK$3:$AK$98,$AK5,K$3:K$98,"&lt;"&amp;N5,L$3:L$98,"&gt;"&amp;M5)+COUNTIFS($AK$3:$AK$98,$AK5,M$3:M$98,"&lt;"&amp;N5,N$3:N$98,"&gt;"&amp;M5)+COUNTIFS($AK$3:$AK$98,$AK5,O$3:O$98,"&lt;"&amp;N5,P$3:P$98,"&gt;"&amp;M5)+COUNTIFS($AK$3:$AK$98,$AK5,Q$3:Q$98,"&lt;"&amp;N5,R$3:R$98,"&gt;"&amp;M5)+COUNTIFS($AK$3:$AK$98,$AK5,S$3:S$98,"&lt;"&amp;N5,T$3:T$98,"&gt;"&amp;M5)+COUNTIFS($AK$3:$AK$98,$AK5,U$3:U$98,"&lt;"&amp;N5,V$3:V$98,"&gt;"&amp;M5)+COUNTIFS($AK$3:$AK$98,$AK5,W$3:W$98,"&lt;"&amp;N5,X$3:X$98,"&gt;"&amp;M5)+COUNTIFS($AK$3:$AK$98,$AK5,Y$3:Y$98,"&lt;"&amp;N5,Z$3:Z$98,"&gt;"&amp;M5)+COUNTIFS($AK$3:$AK$98,$AK5,AA$3:AA$98,"&lt;"&amp;N5,AB$3:AB$98,"&gt;"&amp;M5)+COUNTIFS($AK$3:$AK$98,$AK5,AC$3:AC$98,"&lt;"&amp;N5,AD$3:AD$98,"&gt;"&amp;M5)+COUNTIFS($AK$3:$AK$98,$AK5,AE$3:AE$98,"&lt;"&amp;N5,AF$3:AF$98,"&gt;"&amp;M5)+COUNTIFS($AK$3:$AK$98,$AK5,AG$3:AG$98,"&lt;"&amp;N5,AH$3:AH$98,"&gt;"&amp;M5)-(M5&lt;N5))</f>
        <v>0</v>
      </c>
      <c r="AT5">
        <f>AS5</f>
        <v>0</v>
      </c>
      <c r="AU5">
        <f>IF(OR($AK5="",O5="",P5=""),0,COUNTIFS($AK$3:$AK$98,$AK5,K$3:K$98,"&lt;"&amp;P5,L$3:L$98,"&gt;"&amp;O5)+COUNTIFS($AK$3:$AK$98,$AK5,M$3:M$98,"&lt;"&amp;P5,N$3:N$98,"&gt;"&amp;O5)+COUNTIFS($AK$3:$AK$98,$AK5,O$3:O$98,"&lt;"&amp;P5,P$3:P$98,"&gt;"&amp;O5)+COUNTIFS($AK$3:$AK$98,$AK5,Q$3:Q$98,"&lt;"&amp;P5,R$3:R$98,"&gt;"&amp;O5)+COUNTIFS($AK$3:$AK$98,$AK5,S$3:S$98,"&lt;"&amp;P5,T$3:T$98,"&gt;"&amp;O5)+COUNTIFS($AK$3:$AK$98,$AK5,U$3:U$98,"&lt;"&amp;P5,V$3:V$98,"&gt;"&amp;O5)+COUNTIFS($AK$3:$AK$98,$AK5,W$3:W$98,"&lt;"&amp;P5,X$3:X$98,"&gt;"&amp;O5)+COUNTIFS($AK$3:$AK$98,$AK5,Y$3:Y$98,"&lt;"&amp;P5,Z$3:Z$98,"&gt;"&amp;O5)+COUNTIFS($AK$3:$AK$98,$AK5,AA$3:AA$98,"&lt;"&amp;P5,AB$3:AB$98,"&gt;"&amp;O5)+COUNTIFS($AK$3:$AK$98,$AK5,AC$3:AC$98,"&lt;"&amp;P5,AD$3:AD$98,"&gt;"&amp;O5)+COUNTIFS($AK$3:$AK$98,$AK5,AE$3:AE$98,"&lt;"&amp;P5,AF$3:AF$98,"&gt;"&amp;O5)+COUNTIFS($AK$3:$AK$98,$AK5,AG$3:AG$98,"&lt;"&amp;P5,AH$3:AH$98,"&gt;"&amp;O5)-(O5&lt;P5))</f>
        <v>0</v>
      </c>
      <c r="AV5">
        <f>AU5</f>
        <v>0</v>
      </c>
      <c r="AW5">
        <f>IF(OR($AK5="",Q5="",R5=""),0,COUNTIFS($AK$3:$AK$98,$AK5,K$3:K$98,"&lt;"&amp;R5,L$3:L$98,"&gt;"&amp;Q5)+COUNTIFS($AK$3:$AK$98,$AK5,M$3:M$98,"&lt;"&amp;R5,N$3:N$98,"&gt;"&amp;Q5)+COUNTIFS($AK$3:$AK$98,$AK5,O$3:O$98,"&lt;"&amp;R5,P$3:P$98,"&gt;"&amp;Q5)+COUNTIFS($AK$3:$AK$98,$AK5,Q$3:Q$98,"&lt;"&amp;R5,R$3:R$98,"&gt;"&amp;Q5)+COUNTIFS($AK$3:$AK$98,$AK5,S$3:S$98,"&lt;"&amp;R5,T$3:T$98,"&gt;"&amp;Q5)+COUNTIFS($AK$3:$AK$98,$AK5,U$3:U$98,"&lt;"&amp;R5,V$3:V$98,"&gt;"&amp;Q5)+COUNTIFS($AK$3:$AK$98,$AK5,W$3:W$98,"&lt;"&amp;R5,X$3:X$98,"&gt;"&amp;Q5)+COUNTIFS($AK$3:$AK$98,$AK5,Y$3:Y$98,"&lt;"&amp;R5,Z$3:Z$98,"&gt;"&amp;Q5)+COUNTIFS($AK$3:$AK$98,$AK5,AA$3:AA$98,"&lt;"&amp;R5,AB$3:AB$98,"&gt;"&amp;Q5)+COUNTIFS($AK$3:$AK$98,$AK5,AC$3:AC$98,"&lt;"&amp;R5,AD$3:AD$98,"&gt;"&amp;Q5)+COUNTIFS($AK$3:$AK$98,$AK5,AE$3:AE$98,"&lt;"&amp;R5,AF$3:AF$98,"&gt;"&amp;Q5)+COUNTIFS($AK$3:$AK$98,$AK5,AG$3:AG$98,"&lt;"&amp;R5,AH$3:AH$98,"&gt;"&amp;Q5)-(Q5&lt;R5))</f>
        <v>0</v>
      </c>
      <c r="AX5">
        <f>AW5</f>
        <v>0</v>
      </c>
      <c r="AY5">
        <f>IF(OR($AK5="",S5="",T5=""),0,COUNTIFS($AK$3:$AK$98,$AK5,K$3:K$98,"&lt;"&amp;T5,L$3:L$98,"&gt;"&amp;S5)+COUNTIFS($AK$3:$AK$98,$AK5,M$3:M$98,"&lt;"&amp;T5,N$3:N$98,"&gt;"&amp;S5)+COUNTIFS($AK$3:$AK$98,$AK5,O$3:O$98,"&lt;"&amp;T5,P$3:P$98,"&gt;"&amp;S5)+COUNTIFS($AK$3:$AK$98,$AK5,Q$3:Q$98,"&lt;"&amp;T5,R$3:R$98,"&gt;"&amp;S5)+COUNTIFS($AK$3:$AK$98,$AK5,S$3:S$98,"&lt;"&amp;T5,T$3:T$98,"&gt;"&amp;S5)+COUNTIFS($AK$3:$AK$98,$AK5,U$3:U$98,"&lt;"&amp;T5,V$3:V$98,"&gt;"&amp;S5)+COUNTIFS($AK$3:$AK$98,$AK5,W$3:W$98,"&lt;"&amp;T5,X$3:X$98,"&gt;"&amp;S5)+COUNTIFS($AK$3:$AK$98,$AK5,Y$3:Y$98,"&lt;"&amp;T5,Z$3:Z$98,"&gt;"&amp;S5)+COUNTIFS($AK$3:$AK$98,$AK5,AA$3:AA$98,"&lt;"&amp;T5,AB$3:AB$98,"&gt;"&amp;S5)+COUNTIFS($AK$3:$AK$98,$AK5,AC$3:AC$98,"&lt;"&amp;T5,AD$3:AD$98,"&gt;"&amp;S5)+COUNTIFS($AK$3:$AK$98,$AK5,AE$3:AE$98,"&lt;"&amp;T5,AF$3:AF$98,"&gt;"&amp;S5)+COUNTIFS($AK$3:$AK$98,$AK5,AG$3:AG$98,"&lt;"&amp;T5,AH$3:AH$98,"&gt;"&amp;S5)-(S5&lt;T5))</f>
        <v>0</v>
      </c>
      <c r="AZ5">
        <f>AY5</f>
        <v>0</v>
      </c>
      <c r="BA5">
        <f>IF(OR($AK5="",U5="",V5=""),0,COUNTIFS($AK$3:$AK$98,$AK5,K$3:K$98,"&lt;"&amp;V5,L$3:L$98,"&gt;"&amp;U5)+COUNTIFS($AK$3:$AK$98,$AK5,M$3:M$98,"&lt;"&amp;V5,N$3:N$98,"&gt;"&amp;U5)+COUNTIFS($AK$3:$AK$98,$AK5,O$3:O$98,"&lt;"&amp;V5,P$3:P$98,"&gt;"&amp;U5)+COUNTIFS($AK$3:$AK$98,$AK5,Q$3:Q$98,"&lt;"&amp;V5,R$3:R$98,"&gt;"&amp;U5)+COUNTIFS($AK$3:$AK$98,$AK5,S$3:S$98,"&lt;"&amp;V5,T$3:T$98,"&gt;"&amp;U5)+COUNTIFS($AK$3:$AK$98,$AK5,U$3:U$98,"&lt;"&amp;V5,V$3:V$98,"&gt;"&amp;U5)+COUNTIFS($AK$3:$AK$98,$AK5,W$3:W$98,"&lt;"&amp;V5,X$3:X$98,"&gt;"&amp;U5)+COUNTIFS($AK$3:$AK$98,$AK5,Y$3:Y$98,"&lt;"&amp;V5,Z$3:Z$98,"&gt;"&amp;U5)+COUNTIFS($AK$3:$AK$98,$AK5,AA$3:AA$98,"&lt;"&amp;V5,AB$3:AB$98,"&gt;"&amp;U5)+COUNTIFS($AK$3:$AK$98,$AK5,AC$3:AC$98,"&lt;"&amp;V5,AD$3:AD$98,"&gt;"&amp;U5)+COUNTIFS($AK$3:$AK$98,$AK5,AE$3:AE$98,"&lt;"&amp;V5,AF$3:AF$98,"&gt;"&amp;U5)+COUNTIFS($AK$3:$AK$98,$AK5,AG$3:AG$98,"&lt;"&amp;V5,AH$3:AH$98,"&gt;"&amp;U5)-(U5&lt;V5))</f>
        <v>0</v>
      </c>
      <c r="BB5">
        <f>BA5</f>
        <v>0</v>
      </c>
      <c r="BC5">
        <f>IF(OR($AK5="",W5="",X5=""),0,COUNTIFS($AK$3:$AK$98,$AK5,K$3:K$98,"&lt;"&amp;X5,L$3:L$98,"&gt;"&amp;W5)+COUNTIFS($AK$3:$AK$98,$AK5,M$3:M$98,"&lt;"&amp;X5,N$3:N$98,"&gt;"&amp;W5)+COUNTIFS($AK$3:$AK$98,$AK5,O$3:O$98,"&lt;"&amp;X5,P$3:P$98,"&gt;"&amp;W5)+COUNTIFS($AK$3:$AK$98,$AK5,Q$3:Q$98,"&lt;"&amp;X5,R$3:R$98,"&gt;"&amp;W5)+COUNTIFS($AK$3:$AK$98,$AK5,S$3:S$98,"&lt;"&amp;X5,T$3:T$98,"&gt;"&amp;W5)+COUNTIFS($AK$3:$AK$98,$AK5,U$3:U$98,"&lt;"&amp;X5,V$3:V$98,"&gt;"&amp;W5)+COUNTIFS($AK$3:$AK$98,$AK5,W$3:W$98,"&lt;"&amp;X5,X$3:X$98,"&gt;"&amp;W5)+COUNTIFS($AK$3:$AK$98,$AK5,Y$3:Y$98,"&lt;"&amp;X5,Z$3:Z$98,"&gt;"&amp;W5)+COUNTIFS($AK$3:$AK$98,$AK5,AA$3:AA$98,"&lt;"&amp;X5,AB$3:AB$98,"&gt;"&amp;W5)+COUNTIFS($AK$3:$AK$98,$AK5,AC$3:AC$98,"&lt;"&amp;X5,AD$3:AD$98,"&gt;"&amp;W5)+COUNTIFS($AK$3:$AK$98,$AK5,AE$3:AE$98,"&lt;"&amp;X5,AF$3:AF$98,"&gt;"&amp;W5)+COUNTIFS($AK$3:$AK$98,$AK5,AG$3:AG$98,"&lt;"&amp;X5,AH$3:AH$98,"&gt;"&amp;W5)-(W5&lt;X5))</f>
        <v>0</v>
      </c>
      <c r="BD5">
        <f>BC5</f>
        <v>0</v>
      </c>
      <c r="BE5">
        <f>IF(OR($AK5="",Y5="",Z5=""),0,COUNTIFS($AK$3:$AK$98,$AK5,K$3:K$98,"&lt;"&amp;Z5,L$3:L$98,"&gt;"&amp;Y5)+COUNTIFS($AK$3:$AK$98,$AK5,M$3:M$98,"&lt;"&amp;Z5,N$3:N$98,"&gt;"&amp;Y5)+COUNTIFS($AK$3:$AK$98,$AK5,O$3:O$98,"&lt;"&amp;Z5,P$3:P$98,"&gt;"&amp;Y5)+COUNTIFS($AK$3:$AK$98,$AK5,Q$3:Q$98,"&lt;"&amp;Z5,R$3:R$98,"&gt;"&amp;Y5)+COUNTIFS($AK$3:$AK$98,$AK5,S$3:S$98,"&lt;"&amp;Z5,T$3:T$98,"&gt;"&amp;Y5)+COUNTIFS($AK$3:$AK$98,$AK5,U$3:U$98,"&lt;"&amp;Z5,V$3:V$98,"&gt;"&amp;Y5)+COUNTIFS($AK$3:$AK$98,$AK5,W$3:W$98,"&lt;"&amp;Z5,X$3:X$98,"&gt;"&amp;Y5)+COUNTIFS($AK$3:$AK$98,$AK5,Y$3:Y$98,"&lt;"&amp;Z5,Z$3:Z$98,"&gt;"&amp;Y5)+COUNTIFS($AK$3:$AK$98,$AK5,AA$3:AA$98,"&lt;"&amp;Z5,AB$3:AB$98,"&gt;"&amp;Y5)+COUNTIFS($AK$3:$AK$98,$AK5,AC$3:AC$98,"&lt;"&amp;Z5,AD$3:AD$98,"&gt;"&amp;Y5)+COUNTIFS($AK$3:$AK$98,$AK5,AE$3:AE$98,"&lt;"&amp;Z5,AF$3:AF$98,"&gt;"&amp;Y5)+COUNTIFS($AK$3:$AK$98,$AK5,AG$3:AG$98,"&lt;"&amp;Z5,AH$3:AH$98,"&gt;"&amp;Y5)-(Y5&lt;Z5))</f>
        <v>0</v>
      </c>
      <c r="BF5">
        <f>BE5</f>
        <v>0</v>
      </c>
      <c r="BG5">
        <f>IF(OR($AK5="",AA5="",AB5=""),0,COUNTIFS($AK$3:$AK$98,$AK5,K$3:K$98,"&lt;"&amp;AB5,L$3:L$98,"&gt;"&amp;AA5)+COUNTIFS($AK$3:$AK$98,$AK5,M$3:M$98,"&lt;"&amp;AB5,N$3:N$98,"&gt;"&amp;AA5)+COUNTIFS($AK$3:$AK$98,$AK5,O$3:O$98,"&lt;"&amp;AB5,P$3:P$98,"&gt;"&amp;AA5)+COUNTIFS($AK$3:$AK$98,$AK5,Q$3:Q$98,"&lt;"&amp;AB5,R$3:R$98,"&gt;"&amp;AA5)+COUNTIFS($AK$3:$AK$98,$AK5,S$3:S$98,"&lt;"&amp;AB5,T$3:T$98,"&gt;"&amp;AA5)+COUNTIFS($AK$3:$AK$98,$AK5,U$3:U$98,"&lt;"&amp;AB5,V$3:V$98,"&gt;"&amp;AA5)+COUNTIFS($AK$3:$AK$98,$AK5,W$3:W$98,"&lt;"&amp;AB5,X$3:X$98,"&gt;"&amp;AA5)+COUNTIFS($AK$3:$AK$98,$AK5,Y$3:Y$98,"&lt;"&amp;AB5,Z$3:Z$98,"&gt;"&amp;AA5)+COUNTIFS($AK$3:$AK$98,$AK5,AA$3:AA$98,"&lt;"&amp;AB5,AB$3:AB$98,"&gt;"&amp;AA5)+COUNTIFS($AK$3:$AK$98,$AK5,AC$3:AC$98,"&lt;"&amp;AB5,AD$3:AD$98,"&gt;"&amp;AA5)+COUNTIFS($AK$3:$AK$98,$AK5,AE$3:AE$98,"&lt;"&amp;AB5,AF$3:AF$98,"&gt;"&amp;AA5)+COUNTIFS($AK$3:$AK$98,$AK5,AG$3:AG$98,"&lt;"&amp;AB5,AH$3:AH$98,"&gt;"&amp;AA5)-(AA5&lt;AB5))</f>
        <v>0</v>
      </c>
      <c r="BH5">
        <f>BG5</f>
        <v>0</v>
      </c>
      <c r="BI5">
        <f>IF(OR($AK5="",AC5="",AD5=""),0,COUNTIFS($AK$3:$AK$98,$AK5,K$3:K$98,"&lt;"&amp;AD5,L$3:L$98,"&gt;"&amp;AC5)+COUNTIFS($AK$3:$AK$98,$AK5,M$3:M$98,"&lt;"&amp;AD5,N$3:N$98,"&gt;"&amp;AC5)+COUNTIFS($AK$3:$AK$98,$AK5,O$3:O$98,"&lt;"&amp;AD5,P$3:P$98,"&gt;"&amp;AC5)+COUNTIFS($AK$3:$AK$98,$AK5,Q$3:Q$98,"&lt;"&amp;AD5,R$3:R$98,"&gt;"&amp;AC5)+COUNTIFS($AK$3:$AK$98,$AK5,S$3:S$98,"&lt;"&amp;AD5,T$3:T$98,"&gt;"&amp;AC5)+COUNTIFS($AK$3:$AK$98,$AK5,U$3:U$98,"&lt;"&amp;AD5,V$3:V$98,"&gt;"&amp;AC5)+COUNTIFS($AK$3:$AK$98,$AK5,W$3:W$98,"&lt;"&amp;AD5,X$3:X$98,"&gt;"&amp;AC5)+COUNTIFS($AK$3:$AK$98,$AK5,Y$3:Y$98,"&lt;"&amp;AD5,Z$3:Z$98,"&gt;"&amp;AC5)+COUNTIFS($AK$3:$AK$98,$AK5,AA$3:AA$98,"&lt;"&amp;AD5,AB$3:AB$98,"&gt;"&amp;AC5)+COUNTIFS($AK$3:$AK$98,$AK5,AC$3:AC$98,"&lt;"&amp;AD5,AD$3:AD$98,"&gt;"&amp;AC5)+COUNTIFS($AK$3:$AK$98,$AK5,AE$3:AE$98,"&lt;"&amp;AD5,AF$3:AF$98,"&gt;"&amp;AC5)+COUNTIFS($AK$3:$AK$98,$AK5,AG$3:AG$98,"&lt;"&amp;AD5,AH$3:AH$98,"&gt;"&amp;AC5)-(AC5&lt;AD5))</f>
        <v>0</v>
      </c>
      <c r="BJ5">
        <f>BI5</f>
        <v>0</v>
      </c>
      <c r="BK5">
        <f>IF(OR($AK5="",AE5="",AF5=""),0,COUNTIFS($AK$3:$AK$98,$AK5,K$3:K$98,"&lt;"&amp;AF5,L$3:L$98,"&gt;"&amp;AE5)+COUNTIFS($AK$3:$AK$98,$AK5,M$3:M$98,"&lt;"&amp;AF5,N$3:N$98,"&gt;"&amp;AE5)+COUNTIFS($AK$3:$AK$98,$AK5,O$3:O$98,"&lt;"&amp;AF5,P$3:P$98,"&gt;"&amp;AE5)+COUNTIFS($AK$3:$AK$98,$AK5,Q$3:Q$98,"&lt;"&amp;AF5,R$3:R$98,"&gt;"&amp;AE5)+COUNTIFS($AK$3:$AK$98,$AK5,S$3:S$98,"&lt;"&amp;AF5,T$3:T$98,"&gt;"&amp;AE5)+COUNTIFS($AK$3:$AK$98,$AK5,U$3:U$98,"&lt;"&amp;AF5,V$3:V$98,"&gt;"&amp;AE5)+COUNTIFS($AK$3:$AK$98,$AK5,W$3:W$98,"&lt;"&amp;AF5,X$3:X$98,"&gt;"&amp;AE5)+COUNTIFS($AK$3:$AK$98,$AK5,Y$3:Y$98,"&lt;"&amp;AF5,Z$3:Z$98,"&gt;"&amp;AE5)+COUNTIFS($AK$3:$AK$98,$AK5,AA$3:AA$98,"&lt;"&amp;AF5,AB$3:AB$98,"&gt;"&amp;AE5)+COUNTIFS($AK$3:$AK$98,$AK5,AC$3:AC$98,"&lt;"&amp;AF5,AD$3:AD$98,"&gt;"&amp;AE5)+COUNTIFS($AK$3:$AK$98,$AK5,AE$3:AE$98,"&lt;"&amp;AF5,AF$3:AF$98,"&gt;"&amp;AE5)+COUNTIFS($AK$3:$AK$98,$AK5,AG$3:AG$98,"&lt;"&amp;AF5,AH$3:AH$98,"&gt;"&amp;AE5)-(AE5&lt;AF5))</f>
        <v>0</v>
      </c>
      <c r="BL5">
        <f>BK5</f>
        <v>0</v>
      </c>
      <c r="BM5">
        <f>IF(OR($AK5="",AG5="",AH5=""),0,COUNTIFS($AK$3:$AK$98,$AK5,K$3:K$98,"&lt;"&amp;AH5,L$3:L$98,"&gt;"&amp;AG5)+COUNTIFS($AK$3:$AK$98,$AK5,M$3:M$98,"&lt;"&amp;AH5,N$3:N$98,"&gt;"&amp;AG5)+COUNTIFS($AK$3:$AK$98,$AK5,O$3:O$98,"&lt;"&amp;AH5,P$3:P$98,"&gt;"&amp;AG5)+COUNTIFS($AK$3:$AK$98,$AK5,Q$3:Q$98,"&lt;"&amp;AH5,R$3:R$98,"&gt;"&amp;AG5)+COUNTIFS($AK$3:$AK$98,$AK5,S$3:S$98,"&lt;"&amp;AH5,T$3:T$98,"&gt;"&amp;AG5)+COUNTIFS($AK$3:$AK$98,$AK5,U$3:U$98,"&lt;"&amp;AH5,V$3:V$98,"&gt;"&amp;AG5)+COUNTIFS($AK$3:$AK$98,$AK5,W$3:W$98,"&lt;"&amp;AH5,X$3:X$98,"&gt;"&amp;AG5)+COUNTIFS($AK$3:$AK$98,$AK5,Y$3:Y$98,"&lt;"&amp;AH5,Z$3:Z$98,"&gt;"&amp;AG5)+COUNTIFS($AK$3:$AK$98,$AK5,AA$3:AA$98,"&lt;"&amp;AH5,AB$3:AB$98,"&gt;"&amp;AG5)+COUNTIFS($AK$3:$AK$98,$AK5,AC$3:AC$98,"&lt;"&amp;AH5,AD$3:AD$98,"&gt;"&amp;AG5)+COUNTIFS($AK$3:$AK$98,$AK5,AE$3:AE$98,"&lt;"&amp;AH5,AF$3:AF$98,"&gt;"&amp;AG5)+COUNTIFS($AK$3:$AK$98,$AK5,AG$3:AG$98,"&lt;"&amp;AH5,AH$3:AH$98,"&gt;"&amp;AG5)-(AG5&lt;AH5))</f>
        <v>0</v>
      </c>
      <c r="BN5">
        <f>BM5</f>
        <v>0</v>
      </c>
      <c r="BO5" t="str">
        <f>IF(ISNUMBER($G5),$G5,"")</f>
        <v/>
      </c>
      <c r="BP5" t="str">
        <f>IF(AND($A5&lt;&gt;"",COUNT($K5:$AH5)&gt;0),ROW(),"")</f>
        <v/>
      </c>
    </row>
    <row r="6" spans="1:68" x14ac:dyDescent="0.15">
      <c r="A6" s="18" t="str">
        <f>IF($A4="","",$A4)</f>
        <v/>
      </c>
      <c r="B6" s="19" t="str">
        <f>IF($A4="","","high")</f>
        <v/>
      </c>
      <c r="C6" s="19"/>
      <c r="D6" s="20"/>
      <c r="E6" s="21" t="str">
        <f>IF(AND($D6="",COUNT($K6:$AH6)=0),"",IF(K6="",0,MAX(0,NETWORKDAYS(K6,IF(L6&lt;&gt;"",L6,IF($J6&lt;&gt;"",K6,$AI$1)),祝日!$A$2:$A$200)))+IF(M6="",0,MAX(0,NETWORKDAYS(M6,IF(N6&lt;&gt;"",N6,IF($J6&lt;&gt;"",M6,$AI$1)),祝日!$A$2:$A$200)))+IF(O6="",0,MAX(0,NETWORKDAYS(O6,IF(P6&lt;&gt;"",P6,IF($J6&lt;&gt;"",O6,$AI$1)),祝日!$A$2:$A$200)))+IF(Q6="",0,MAX(0,NETWORKDAYS(Q6,IF(R6&lt;&gt;"",R6,IF($J6&lt;&gt;"",Q6,$AI$1)),祝日!$A$2:$A$200)))+IF(S6="",0,MAX(0,NETWORKDAYS(S6,IF(T6&lt;&gt;"",T6,IF($J6&lt;&gt;"",S6,$AI$1)),祝日!$A$2:$A$200)))+IF(U6="",0,MAX(0,NETWORKDAYS(U6,IF(V6&lt;&gt;"",V6,IF($J6&lt;&gt;"",U6,$AI$1)),祝日!$A$2:$A$200)))+IF(W6="",0,MAX(0,NETWORKDAYS(W6,IF(X6&lt;&gt;"",X6,IF($J6&lt;&gt;"",W6,$AI$1)),祝日!$A$2:$A$200)))+IF(Y6="",0,MAX(0,NETWORKDAYS(Y6,IF(Z6&lt;&gt;"",Z6,IF($J6&lt;&gt;"",Y6,$AI$1)),祝日!$A$2:$A$200)))+IF(AA6="",0,MAX(0,NETWORKDAYS(AA6,IF(AB6&lt;&gt;"",AB6,IF($J6&lt;&gt;"",AA6,$AI$1)),祝日!$A$2:$A$200)))+IF(AC6="",0,MAX(0,NETWORKDAYS(AC6,IF(AD6&lt;&gt;"",AD6,IF($J6&lt;&gt;"",AC6,$AI$1)),祝日!$A$2:$A$200)))+IF(AE6="",0,MAX(0,NETWORKDAYS(AE6,IF(AF6&lt;&gt;"",AF6,IF($J6&lt;&gt;"",AE6,$AI$1)),祝日!$A$2:$A$200)))+IF(AG6="",0,MAX(0,NETWORKDAYS(AG6,IF(AH6&lt;&gt;"",AH6,IF($J6&lt;&gt;"",AG6,$AI$1)),祝日!$A$2:$A$200))))</f>
        <v/>
      </c>
      <c r="F6" s="21" t="str">
        <f>IF($D6="","",$D6-$E6)</f>
        <v/>
      </c>
      <c r="G6" s="22" t="str">
        <f>IF(OR($D6="",$D6=0),"",$E6/$D6)</f>
        <v/>
      </c>
      <c r="H6" s="23" t="str">
        <f>IF($D6="","",IF($J6&lt;&gt;"","FIX",IF(AND(SUMPRODUCT((MOD(COLUMN($K6:$AH6)-COLUMN($K6),2)=0)*($K6:$AH6&lt;&gt;""))=0,SUMPRODUCT((MOD(COLUMN($K6:$AH6)-COLUMN($K6),2)=1)*($K6:$AH6&lt;&gt;""))=0),"未着手",IF(SUMPRODUCT((MOD(COLUMN($K6:$AH6)-COLUMN($K6),2)=0)*($K6:$AH6&lt;&gt;""))&gt;SUMPRODUCT((MOD(COLUMN($K6:$AH6)-COLUMN($K6),2)=1)*($K6:$AH6&lt;&gt;"")),"作業中","中断"))))</f>
        <v/>
      </c>
      <c r="I6" s="23" t="str">
        <f>IF($H6="中断",MAX(0,$AI$1-MAX(L6,N6,P6,R6,T6,V6,X6,Z6,AB6,AD6,AF6,AH6)),"")</f>
        <v/>
      </c>
      <c r="J6" s="19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K6" t="str">
        <f>IF($A4="","",IF(LOOKUP(2,1/($AJ$3:$AJ6&lt;&gt;""),$AJ$3:$AJ6)="-","",LOOKUP(2,1/($AJ$3:$AJ6&lt;&gt;""),$AJ$3:$AJ6)))</f>
        <v/>
      </c>
      <c r="AL6" t="str">
        <f>$H6</f>
        <v/>
      </c>
      <c r="AM6">
        <f>IF(ISNUMBER($D6),$D6,0)</f>
        <v>0</v>
      </c>
      <c r="AN6">
        <f>IF(ISNUMBER($E6),$E6,0)</f>
        <v>0</v>
      </c>
      <c r="AO6">
        <f>IF(ISNUMBER($F6),$F6,0)</f>
        <v>0</v>
      </c>
      <c r="AQ6">
        <f>IF(OR($AK6="",K6="",L6=""),0,COUNTIFS($AK$3:$AK$98,$AK6,K$3:K$98,"&lt;"&amp;L6,L$3:L$98,"&gt;"&amp;K6)+COUNTIFS($AK$3:$AK$98,$AK6,M$3:M$98,"&lt;"&amp;L6,N$3:N$98,"&gt;"&amp;K6)+COUNTIFS($AK$3:$AK$98,$AK6,O$3:O$98,"&lt;"&amp;L6,P$3:P$98,"&gt;"&amp;K6)+COUNTIFS($AK$3:$AK$98,$AK6,Q$3:Q$98,"&lt;"&amp;L6,R$3:R$98,"&gt;"&amp;K6)+COUNTIFS($AK$3:$AK$98,$AK6,S$3:S$98,"&lt;"&amp;L6,T$3:T$98,"&gt;"&amp;K6)+COUNTIFS($AK$3:$AK$98,$AK6,U$3:U$98,"&lt;"&amp;L6,V$3:V$98,"&gt;"&amp;K6)+COUNTIFS($AK$3:$AK$98,$AK6,W$3:W$98,"&lt;"&amp;L6,X$3:X$98,"&gt;"&amp;K6)+COUNTIFS($AK$3:$AK$98,$AK6,Y$3:Y$98,"&lt;"&amp;L6,Z$3:Z$98,"&gt;"&amp;K6)+COUNTIFS($AK$3:$AK$98,$AK6,AA$3:AA$98,"&lt;"&amp;L6,AB$3:AB$98,"&gt;"&amp;K6)+COUNTIFS($AK$3:$AK$98,$AK6,AC$3:AC$98,"&lt;"&amp;L6,AD$3:AD$98,"&gt;"&amp;K6)+COUNTIFS($AK$3:$AK$98,$AK6,AE$3:AE$98,"&lt;"&amp;L6,AF$3:AF$98,"&gt;"&amp;K6)+COUNTIFS($AK$3:$AK$98,$AK6,AG$3:AG$98,"&lt;"&amp;L6,AH$3:AH$98,"&gt;"&amp;K6)-(K6&lt;L6))</f>
        <v>0</v>
      </c>
      <c r="AR6">
        <f>AQ6</f>
        <v>0</v>
      </c>
      <c r="AS6">
        <f>IF(OR($AK6="",M6="",N6=""),0,COUNTIFS($AK$3:$AK$98,$AK6,K$3:K$98,"&lt;"&amp;N6,L$3:L$98,"&gt;"&amp;M6)+COUNTIFS($AK$3:$AK$98,$AK6,M$3:M$98,"&lt;"&amp;N6,N$3:N$98,"&gt;"&amp;M6)+COUNTIFS($AK$3:$AK$98,$AK6,O$3:O$98,"&lt;"&amp;N6,P$3:P$98,"&gt;"&amp;M6)+COUNTIFS($AK$3:$AK$98,$AK6,Q$3:Q$98,"&lt;"&amp;N6,R$3:R$98,"&gt;"&amp;M6)+COUNTIFS($AK$3:$AK$98,$AK6,S$3:S$98,"&lt;"&amp;N6,T$3:T$98,"&gt;"&amp;M6)+COUNTIFS($AK$3:$AK$98,$AK6,U$3:U$98,"&lt;"&amp;N6,V$3:V$98,"&gt;"&amp;M6)+COUNTIFS($AK$3:$AK$98,$AK6,W$3:W$98,"&lt;"&amp;N6,X$3:X$98,"&gt;"&amp;M6)+COUNTIFS($AK$3:$AK$98,$AK6,Y$3:Y$98,"&lt;"&amp;N6,Z$3:Z$98,"&gt;"&amp;M6)+COUNTIFS($AK$3:$AK$98,$AK6,AA$3:AA$98,"&lt;"&amp;N6,AB$3:AB$98,"&gt;"&amp;M6)+COUNTIFS($AK$3:$AK$98,$AK6,AC$3:AC$98,"&lt;"&amp;N6,AD$3:AD$98,"&gt;"&amp;M6)+COUNTIFS($AK$3:$AK$98,$AK6,AE$3:AE$98,"&lt;"&amp;N6,AF$3:AF$98,"&gt;"&amp;M6)+COUNTIFS($AK$3:$AK$98,$AK6,AG$3:AG$98,"&lt;"&amp;N6,AH$3:AH$98,"&gt;"&amp;M6)-(M6&lt;N6))</f>
        <v>0</v>
      </c>
      <c r="AT6">
        <f>AS6</f>
        <v>0</v>
      </c>
      <c r="AU6">
        <f>IF(OR($AK6="",O6="",P6=""),0,COUNTIFS($AK$3:$AK$98,$AK6,K$3:K$98,"&lt;"&amp;P6,L$3:L$98,"&gt;"&amp;O6)+COUNTIFS($AK$3:$AK$98,$AK6,M$3:M$98,"&lt;"&amp;P6,N$3:N$98,"&gt;"&amp;O6)+COUNTIFS($AK$3:$AK$98,$AK6,O$3:O$98,"&lt;"&amp;P6,P$3:P$98,"&gt;"&amp;O6)+COUNTIFS($AK$3:$AK$98,$AK6,Q$3:Q$98,"&lt;"&amp;P6,R$3:R$98,"&gt;"&amp;O6)+COUNTIFS($AK$3:$AK$98,$AK6,S$3:S$98,"&lt;"&amp;P6,T$3:T$98,"&gt;"&amp;O6)+COUNTIFS($AK$3:$AK$98,$AK6,U$3:U$98,"&lt;"&amp;P6,V$3:V$98,"&gt;"&amp;O6)+COUNTIFS($AK$3:$AK$98,$AK6,W$3:W$98,"&lt;"&amp;P6,X$3:X$98,"&gt;"&amp;O6)+COUNTIFS($AK$3:$AK$98,$AK6,Y$3:Y$98,"&lt;"&amp;P6,Z$3:Z$98,"&gt;"&amp;O6)+COUNTIFS($AK$3:$AK$98,$AK6,AA$3:AA$98,"&lt;"&amp;P6,AB$3:AB$98,"&gt;"&amp;O6)+COUNTIFS($AK$3:$AK$98,$AK6,AC$3:AC$98,"&lt;"&amp;P6,AD$3:AD$98,"&gt;"&amp;O6)+COUNTIFS($AK$3:$AK$98,$AK6,AE$3:AE$98,"&lt;"&amp;P6,AF$3:AF$98,"&gt;"&amp;O6)+COUNTIFS($AK$3:$AK$98,$AK6,AG$3:AG$98,"&lt;"&amp;P6,AH$3:AH$98,"&gt;"&amp;O6)-(O6&lt;P6))</f>
        <v>0</v>
      </c>
      <c r="AV6">
        <f>AU6</f>
        <v>0</v>
      </c>
      <c r="AW6">
        <f>IF(OR($AK6="",Q6="",R6=""),0,COUNTIFS($AK$3:$AK$98,$AK6,K$3:K$98,"&lt;"&amp;R6,L$3:L$98,"&gt;"&amp;Q6)+COUNTIFS($AK$3:$AK$98,$AK6,M$3:M$98,"&lt;"&amp;R6,N$3:N$98,"&gt;"&amp;Q6)+COUNTIFS($AK$3:$AK$98,$AK6,O$3:O$98,"&lt;"&amp;R6,P$3:P$98,"&gt;"&amp;Q6)+COUNTIFS($AK$3:$AK$98,$AK6,Q$3:Q$98,"&lt;"&amp;R6,R$3:R$98,"&gt;"&amp;Q6)+COUNTIFS($AK$3:$AK$98,$AK6,S$3:S$98,"&lt;"&amp;R6,T$3:T$98,"&gt;"&amp;Q6)+COUNTIFS($AK$3:$AK$98,$AK6,U$3:U$98,"&lt;"&amp;R6,V$3:V$98,"&gt;"&amp;Q6)+COUNTIFS($AK$3:$AK$98,$AK6,W$3:W$98,"&lt;"&amp;R6,X$3:X$98,"&gt;"&amp;Q6)+COUNTIFS($AK$3:$AK$98,$AK6,Y$3:Y$98,"&lt;"&amp;R6,Z$3:Z$98,"&gt;"&amp;Q6)+COUNTIFS($AK$3:$AK$98,$AK6,AA$3:AA$98,"&lt;"&amp;R6,AB$3:AB$98,"&gt;"&amp;Q6)+COUNTIFS($AK$3:$AK$98,$AK6,AC$3:AC$98,"&lt;"&amp;R6,AD$3:AD$98,"&gt;"&amp;Q6)+COUNTIFS($AK$3:$AK$98,$AK6,AE$3:AE$98,"&lt;"&amp;R6,AF$3:AF$98,"&gt;"&amp;Q6)+COUNTIFS($AK$3:$AK$98,$AK6,AG$3:AG$98,"&lt;"&amp;R6,AH$3:AH$98,"&gt;"&amp;Q6)-(Q6&lt;R6))</f>
        <v>0</v>
      </c>
      <c r="AX6">
        <f>AW6</f>
        <v>0</v>
      </c>
      <c r="AY6">
        <f>IF(OR($AK6="",S6="",T6=""),0,COUNTIFS($AK$3:$AK$98,$AK6,K$3:K$98,"&lt;"&amp;T6,L$3:L$98,"&gt;"&amp;S6)+COUNTIFS($AK$3:$AK$98,$AK6,M$3:M$98,"&lt;"&amp;T6,N$3:N$98,"&gt;"&amp;S6)+COUNTIFS($AK$3:$AK$98,$AK6,O$3:O$98,"&lt;"&amp;T6,P$3:P$98,"&gt;"&amp;S6)+COUNTIFS($AK$3:$AK$98,$AK6,Q$3:Q$98,"&lt;"&amp;T6,R$3:R$98,"&gt;"&amp;S6)+COUNTIFS($AK$3:$AK$98,$AK6,S$3:S$98,"&lt;"&amp;T6,T$3:T$98,"&gt;"&amp;S6)+COUNTIFS($AK$3:$AK$98,$AK6,U$3:U$98,"&lt;"&amp;T6,V$3:V$98,"&gt;"&amp;S6)+COUNTIFS($AK$3:$AK$98,$AK6,W$3:W$98,"&lt;"&amp;T6,X$3:X$98,"&gt;"&amp;S6)+COUNTIFS($AK$3:$AK$98,$AK6,Y$3:Y$98,"&lt;"&amp;T6,Z$3:Z$98,"&gt;"&amp;S6)+COUNTIFS($AK$3:$AK$98,$AK6,AA$3:AA$98,"&lt;"&amp;T6,AB$3:AB$98,"&gt;"&amp;S6)+COUNTIFS($AK$3:$AK$98,$AK6,AC$3:AC$98,"&lt;"&amp;T6,AD$3:AD$98,"&gt;"&amp;S6)+COUNTIFS($AK$3:$AK$98,$AK6,AE$3:AE$98,"&lt;"&amp;T6,AF$3:AF$98,"&gt;"&amp;S6)+COUNTIFS($AK$3:$AK$98,$AK6,AG$3:AG$98,"&lt;"&amp;T6,AH$3:AH$98,"&gt;"&amp;S6)-(S6&lt;T6))</f>
        <v>0</v>
      </c>
      <c r="AZ6">
        <f>AY6</f>
        <v>0</v>
      </c>
      <c r="BA6">
        <f>IF(OR($AK6="",U6="",V6=""),0,COUNTIFS($AK$3:$AK$98,$AK6,K$3:K$98,"&lt;"&amp;V6,L$3:L$98,"&gt;"&amp;U6)+COUNTIFS($AK$3:$AK$98,$AK6,M$3:M$98,"&lt;"&amp;V6,N$3:N$98,"&gt;"&amp;U6)+COUNTIFS($AK$3:$AK$98,$AK6,O$3:O$98,"&lt;"&amp;V6,P$3:P$98,"&gt;"&amp;U6)+COUNTIFS($AK$3:$AK$98,$AK6,Q$3:Q$98,"&lt;"&amp;V6,R$3:R$98,"&gt;"&amp;U6)+COUNTIFS($AK$3:$AK$98,$AK6,S$3:S$98,"&lt;"&amp;V6,T$3:T$98,"&gt;"&amp;U6)+COUNTIFS($AK$3:$AK$98,$AK6,U$3:U$98,"&lt;"&amp;V6,V$3:V$98,"&gt;"&amp;U6)+COUNTIFS($AK$3:$AK$98,$AK6,W$3:W$98,"&lt;"&amp;V6,X$3:X$98,"&gt;"&amp;U6)+COUNTIFS($AK$3:$AK$98,$AK6,Y$3:Y$98,"&lt;"&amp;V6,Z$3:Z$98,"&gt;"&amp;U6)+COUNTIFS($AK$3:$AK$98,$AK6,AA$3:AA$98,"&lt;"&amp;V6,AB$3:AB$98,"&gt;"&amp;U6)+COUNTIFS($AK$3:$AK$98,$AK6,AC$3:AC$98,"&lt;"&amp;V6,AD$3:AD$98,"&gt;"&amp;U6)+COUNTIFS($AK$3:$AK$98,$AK6,AE$3:AE$98,"&lt;"&amp;V6,AF$3:AF$98,"&gt;"&amp;U6)+COUNTIFS($AK$3:$AK$98,$AK6,AG$3:AG$98,"&lt;"&amp;V6,AH$3:AH$98,"&gt;"&amp;U6)-(U6&lt;V6))</f>
        <v>0</v>
      </c>
      <c r="BB6">
        <f>BA6</f>
        <v>0</v>
      </c>
      <c r="BC6">
        <f>IF(OR($AK6="",W6="",X6=""),0,COUNTIFS($AK$3:$AK$98,$AK6,K$3:K$98,"&lt;"&amp;X6,L$3:L$98,"&gt;"&amp;W6)+COUNTIFS($AK$3:$AK$98,$AK6,M$3:M$98,"&lt;"&amp;X6,N$3:N$98,"&gt;"&amp;W6)+COUNTIFS($AK$3:$AK$98,$AK6,O$3:O$98,"&lt;"&amp;X6,P$3:P$98,"&gt;"&amp;W6)+COUNTIFS($AK$3:$AK$98,$AK6,Q$3:Q$98,"&lt;"&amp;X6,R$3:R$98,"&gt;"&amp;W6)+COUNTIFS($AK$3:$AK$98,$AK6,S$3:S$98,"&lt;"&amp;X6,T$3:T$98,"&gt;"&amp;W6)+COUNTIFS($AK$3:$AK$98,$AK6,U$3:U$98,"&lt;"&amp;X6,V$3:V$98,"&gt;"&amp;W6)+COUNTIFS($AK$3:$AK$98,$AK6,W$3:W$98,"&lt;"&amp;X6,X$3:X$98,"&gt;"&amp;W6)+COUNTIFS($AK$3:$AK$98,$AK6,Y$3:Y$98,"&lt;"&amp;X6,Z$3:Z$98,"&gt;"&amp;W6)+COUNTIFS($AK$3:$AK$98,$AK6,AA$3:AA$98,"&lt;"&amp;X6,AB$3:AB$98,"&gt;"&amp;W6)+COUNTIFS($AK$3:$AK$98,$AK6,AC$3:AC$98,"&lt;"&amp;X6,AD$3:AD$98,"&gt;"&amp;W6)+COUNTIFS($AK$3:$AK$98,$AK6,AE$3:AE$98,"&lt;"&amp;X6,AF$3:AF$98,"&gt;"&amp;W6)+COUNTIFS($AK$3:$AK$98,$AK6,AG$3:AG$98,"&lt;"&amp;X6,AH$3:AH$98,"&gt;"&amp;W6)-(W6&lt;X6))</f>
        <v>0</v>
      </c>
      <c r="BD6">
        <f>BC6</f>
        <v>0</v>
      </c>
      <c r="BE6">
        <f>IF(OR($AK6="",Y6="",Z6=""),0,COUNTIFS($AK$3:$AK$98,$AK6,K$3:K$98,"&lt;"&amp;Z6,L$3:L$98,"&gt;"&amp;Y6)+COUNTIFS($AK$3:$AK$98,$AK6,M$3:M$98,"&lt;"&amp;Z6,N$3:N$98,"&gt;"&amp;Y6)+COUNTIFS($AK$3:$AK$98,$AK6,O$3:O$98,"&lt;"&amp;Z6,P$3:P$98,"&gt;"&amp;Y6)+COUNTIFS($AK$3:$AK$98,$AK6,Q$3:Q$98,"&lt;"&amp;Z6,R$3:R$98,"&gt;"&amp;Y6)+COUNTIFS($AK$3:$AK$98,$AK6,S$3:S$98,"&lt;"&amp;Z6,T$3:T$98,"&gt;"&amp;Y6)+COUNTIFS($AK$3:$AK$98,$AK6,U$3:U$98,"&lt;"&amp;Z6,V$3:V$98,"&gt;"&amp;Y6)+COUNTIFS($AK$3:$AK$98,$AK6,W$3:W$98,"&lt;"&amp;Z6,X$3:X$98,"&gt;"&amp;Y6)+COUNTIFS($AK$3:$AK$98,$AK6,Y$3:Y$98,"&lt;"&amp;Z6,Z$3:Z$98,"&gt;"&amp;Y6)+COUNTIFS($AK$3:$AK$98,$AK6,AA$3:AA$98,"&lt;"&amp;Z6,AB$3:AB$98,"&gt;"&amp;Y6)+COUNTIFS($AK$3:$AK$98,$AK6,AC$3:AC$98,"&lt;"&amp;Z6,AD$3:AD$98,"&gt;"&amp;Y6)+COUNTIFS($AK$3:$AK$98,$AK6,AE$3:AE$98,"&lt;"&amp;Z6,AF$3:AF$98,"&gt;"&amp;Y6)+COUNTIFS($AK$3:$AK$98,$AK6,AG$3:AG$98,"&lt;"&amp;Z6,AH$3:AH$98,"&gt;"&amp;Y6)-(Y6&lt;Z6))</f>
        <v>0</v>
      </c>
      <c r="BF6">
        <f>BE6</f>
        <v>0</v>
      </c>
      <c r="BG6">
        <f>IF(OR($AK6="",AA6="",AB6=""),0,COUNTIFS($AK$3:$AK$98,$AK6,K$3:K$98,"&lt;"&amp;AB6,L$3:L$98,"&gt;"&amp;AA6)+COUNTIFS($AK$3:$AK$98,$AK6,M$3:M$98,"&lt;"&amp;AB6,N$3:N$98,"&gt;"&amp;AA6)+COUNTIFS($AK$3:$AK$98,$AK6,O$3:O$98,"&lt;"&amp;AB6,P$3:P$98,"&gt;"&amp;AA6)+COUNTIFS($AK$3:$AK$98,$AK6,Q$3:Q$98,"&lt;"&amp;AB6,R$3:R$98,"&gt;"&amp;AA6)+COUNTIFS($AK$3:$AK$98,$AK6,S$3:S$98,"&lt;"&amp;AB6,T$3:T$98,"&gt;"&amp;AA6)+COUNTIFS($AK$3:$AK$98,$AK6,U$3:U$98,"&lt;"&amp;AB6,V$3:V$98,"&gt;"&amp;AA6)+COUNTIFS($AK$3:$AK$98,$AK6,W$3:W$98,"&lt;"&amp;AB6,X$3:X$98,"&gt;"&amp;AA6)+COUNTIFS($AK$3:$AK$98,$AK6,Y$3:Y$98,"&lt;"&amp;AB6,Z$3:Z$98,"&gt;"&amp;AA6)+COUNTIFS($AK$3:$AK$98,$AK6,AA$3:AA$98,"&lt;"&amp;AB6,AB$3:AB$98,"&gt;"&amp;AA6)+COUNTIFS($AK$3:$AK$98,$AK6,AC$3:AC$98,"&lt;"&amp;AB6,AD$3:AD$98,"&gt;"&amp;AA6)+COUNTIFS($AK$3:$AK$98,$AK6,AE$3:AE$98,"&lt;"&amp;AB6,AF$3:AF$98,"&gt;"&amp;AA6)+COUNTIFS($AK$3:$AK$98,$AK6,AG$3:AG$98,"&lt;"&amp;AB6,AH$3:AH$98,"&gt;"&amp;AA6)-(AA6&lt;AB6))</f>
        <v>0</v>
      </c>
      <c r="BH6">
        <f>BG6</f>
        <v>0</v>
      </c>
      <c r="BI6">
        <f>IF(OR($AK6="",AC6="",AD6=""),0,COUNTIFS($AK$3:$AK$98,$AK6,K$3:K$98,"&lt;"&amp;AD6,L$3:L$98,"&gt;"&amp;AC6)+COUNTIFS($AK$3:$AK$98,$AK6,M$3:M$98,"&lt;"&amp;AD6,N$3:N$98,"&gt;"&amp;AC6)+COUNTIFS($AK$3:$AK$98,$AK6,O$3:O$98,"&lt;"&amp;AD6,P$3:P$98,"&gt;"&amp;AC6)+COUNTIFS($AK$3:$AK$98,$AK6,Q$3:Q$98,"&lt;"&amp;AD6,R$3:R$98,"&gt;"&amp;AC6)+COUNTIFS($AK$3:$AK$98,$AK6,S$3:S$98,"&lt;"&amp;AD6,T$3:T$98,"&gt;"&amp;AC6)+COUNTIFS($AK$3:$AK$98,$AK6,U$3:U$98,"&lt;"&amp;AD6,V$3:V$98,"&gt;"&amp;AC6)+COUNTIFS($AK$3:$AK$98,$AK6,W$3:W$98,"&lt;"&amp;AD6,X$3:X$98,"&gt;"&amp;AC6)+COUNTIFS($AK$3:$AK$98,$AK6,Y$3:Y$98,"&lt;"&amp;AD6,Z$3:Z$98,"&gt;"&amp;AC6)+COUNTIFS($AK$3:$AK$98,$AK6,AA$3:AA$98,"&lt;"&amp;AD6,AB$3:AB$98,"&gt;"&amp;AC6)+COUNTIFS($AK$3:$AK$98,$AK6,AC$3:AC$98,"&lt;"&amp;AD6,AD$3:AD$98,"&gt;"&amp;AC6)+COUNTIFS($AK$3:$AK$98,$AK6,AE$3:AE$98,"&lt;"&amp;AD6,AF$3:AF$98,"&gt;"&amp;AC6)+COUNTIFS($AK$3:$AK$98,$AK6,AG$3:AG$98,"&lt;"&amp;AD6,AH$3:AH$98,"&gt;"&amp;AC6)-(AC6&lt;AD6))</f>
        <v>0</v>
      </c>
      <c r="BJ6">
        <f>BI6</f>
        <v>0</v>
      </c>
      <c r="BK6">
        <f>IF(OR($AK6="",AE6="",AF6=""),0,COUNTIFS($AK$3:$AK$98,$AK6,K$3:K$98,"&lt;"&amp;AF6,L$3:L$98,"&gt;"&amp;AE6)+COUNTIFS($AK$3:$AK$98,$AK6,M$3:M$98,"&lt;"&amp;AF6,N$3:N$98,"&gt;"&amp;AE6)+COUNTIFS($AK$3:$AK$98,$AK6,O$3:O$98,"&lt;"&amp;AF6,P$3:P$98,"&gt;"&amp;AE6)+COUNTIFS($AK$3:$AK$98,$AK6,Q$3:Q$98,"&lt;"&amp;AF6,R$3:R$98,"&gt;"&amp;AE6)+COUNTIFS($AK$3:$AK$98,$AK6,S$3:S$98,"&lt;"&amp;AF6,T$3:T$98,"&gt;"&amp;AE6)+COUNTIFS($AK$3:$AK$98,$AK6,U$3:U$98,"&lt;"&amp;AF6,V$3:V$98,"&gt;"&amp;AE6)+COUNTIFS($AK$3:$AK$98,$AK6,W$3:W$98,"&lt;"&amp;AF6,X$3:X$98,"&gt;"&amp;AE6)+COUNTIFS($AK$3:$AK$98,$AK6,Y$3:Y$98,"&lt;"&amp;AF6,Z$3:Z$98,"&gt;"&amp;AE6)+COUNTIFS($AK$3:$AK$98,$AK6,AA$3:AA$98,"&lt;"&amp;AF6,AB$3:AB$98,"&gt;"&amp;AE6)+COUNTIFS($AK$3:$AK$98,$AK6,AC$3:AC$98,"&lt;"&amp;AF6,AD$3:AD$98,"&gt;"&amp;AE6)+COUNTIFS($AK$3:$AK$98,$AK6,AE$3:AE$98,"&lt;"&amp;AF6,AF$3:AF$98,"&gt;"&amp;AE6)+COUNTIFS($AK$3:$AK$98,$AK6,AG$3:AG$98,"&lt;"&amp;AF6,AH$3:AH$98,"&gt;"&amp;AE6)-(AE6&lt;AF6))</f>
        <v>0</v>
      </c>
      <c r="BL6">
        <f>BK6</f>
        <v>0</v>
      </c>
      <c r="BM6">
        <f>IF(OR($AK6="",AG6="",AH6=""),0,COUNTIFS($AK$3:$AK$98,$AK6,K$3:K$98,"&lt;"&amp;AH6,L$3:L$98,"&gt;"&amp;AG6)+COUNTIFS($AK$3:$AK$98,$AK6,M$3:M$98,"&lt;"&amp;AH6,N$3:N$98,"&gt;"&amp;AG6)+COUNTIFS($AK$3:$AK$98,$AK6,O$3:O$98,"&lt;"&amp;AH6,P$3:P$98,"&gt;"&amp;AG6)+COUNTIFS($AK$3:$AK$98,$AK6,Q$3:Q$98,"&lt;"&amp;AH6,R$3:R$98,"&gt;"&amp;AG6)+COUNTIFS($AK$3:$AK$98,$AK6,S$3:S$98,"&lt;"&amp;AH6,T$3:T$98,"&gt;"&amp;AG6)+COUNTIFS($AK$3:$AK$98,$AK6,U$3:U$98,"&lt;"&amp;AH6,V$3:V$98,"&gt;"&amp;AG6)+COUNTIFS($AK$3:$AK$98,$AK6,W$3:W$98,"&lt;"&amp;AH6,X$3:X$98,"&gt;"&amp;AG6)+COUNTIFS($AK$3:$AK$98,$AK6,Y$3:Y$98,"&lt;"&amp;AH6,Z$3:Z$98,"&gt;"&amp;AG6)+COUNTIFS($AK$3:$AK$98,$AK6,AA$3:AA$98,"&lt;"&amp;AH6,AB$3:AB$98,"&gt;"&amp;AG6)+COUNTIFS($AK$3:$AK$98,$AK6,AC$3:AC$98,"&lt;"&amp;AH6,AD$3:AD$98,"&gt;"&amp;AG6)+COUNTIFS($AK$3:$AK$98,$AK6,AE$3:AE$98,"&lt;"&amp;AH6,AF$3:AF$98,"&gt;"&amp;AG6)+COUNTIFS($AK$3:$AK$98,$AK6,AG$3:AG$98,"&lt;"&amp;AH6,AH$3:AH$98,"&gt;"&amp;AG6)-(AG6&lt;AH6))</f>
        <v>0</v>
      </c>
      <c r="BN6">
        <f>BM6</f>
        <v>0</v>
      </c>
      <c r="BO6" t="str">
        <f>IF(ISNUMBER($G6),$G6,"")</f>
        <v/>
      </c>
      <c r="BP6" t="str">
        <f>IF(AND($A6&lt;&gt;"",COUNT($K6:$AH6)&gt;0),ROW(),"")</f>
        <v/>
      </c>
    </row>
    <row r="7" spans="1:68" ht="14.25" customHeight="1" thickBot="1" x14ac:dyDescent="0.2">
      <c r="A7" s="25" t="str">
        <f>IF($A4="","",$A4)</f>
        <v/>
      </c>
      <c r="B7" s="26" t="str">
        <f>IF($A4="","","fac")</f>
        <v/>
      </c>
      <c r="C7" s="26"/>
      <c r="D7" s="27"/>
      <c r="E7" s="28" t="str">
        <f>IF(AND($D7="",COUNT($K7:$AH7)=0),"",IF(K7="",0,MAX(0,NETWORKDAYS(K7,IF(L7&lt;&gt;"",L7,IF($J7&lt;&gt;"",K7,$AI$1)),祝日!$A$2:$A$200)))+IF(M7="",0,MAX(0,NETWORKDAYS(M7,IF(N7&lt;&gt;"",N7,IF($J7&lt;&gt;"",M7,$AI$1)),祝日!$A$2:$A$200)))+IF(O7="",0,MAX(0,NETWORKDAYS(O7,IF(P7&lt;&gt;"",P7,IF($J7&lt;&gt;"",O7,$AI$1)),祝日!$A$2:$A$200)))+IF(Q7="",0,MAX(0,NETWORKDAYS(Q7,IF(R7&lt;&gt;"",R7,IF($J7&lt;&gt;"",Q7,$AI$1)),祝日!$A$2:$A$200)))+IF(S7="",0,MAX(0,NETWORKDAYS(S7,IF(T7&lt;&gt;"",T7,IF($J7&lt;&gt;"",S7,$AI$1)),祝日!$A$2:$A$200)))+IF(U7="",0,MAX(0,NETWORKDAYS(U7,IF(V7&lt;&gt;"",V7,IF($J7&lt;&gt;"",U7,$AI$1)),祝日!$A$2:$A$200)))+IF(W7="",0,MAX(0,NETWORKDAYS(W7,IF(X7&lt;&gt;"",X7,IF($J7&lt;&gt;"",W7,$AI$1)),祝日!$A$2:$A$200)))+IF(Y7="",0,MAX(0,NETWORKDAYS(Y7,IF(Z7&lt;&gt;"",Z7,IF($J7&lt;&gt;"",Y7,$AI$1)),祝日!$A$2:$A$200)))+IF(AA7="",0,MAX(0,NETWORKDAYS(AA7,IF(AB7&lt;&gt;"",AB7,IF($J7&lt;&gt;"",AA7,$AI$1)),祝日!$A$2:$A$200)))+IF(AC7="",0,MAX(0,NETWORKDAYS(AC7,IF(AD7&lt;&gt;"",AD7,IF($J7&lt;&gt;"",AC7,$AI$1)),祝日!$A$2:$A$200)))+IF(AE7="",0,MAX(0,NETWORKDAYS(AE7,IF(AF7&lt;&gt;"",AF7,IF($J7&lt;&gt;"",AE7,$AI$1)),祝日!$A$2:$A$200)))+IF(AG7="",0,MAX(0,NETWORKDAYS(AG7,IF(AH7&lt;&gt;"",AH7,IF($J7&lt;&gt;"",AG7,$AI$1)),祝日!$A$2:$A$200))))</f>
        <v/>
      </c>
      <c r="F7" s="28" t="str">
        <f>IF($D7="","",$D7-$E7)</f>
        <v/>
      </c>
      <c r="G7" s="29" t="str">
        <f>IF(OR($D7="",$D7=0),"",$E7/$D7)</f>
        <v/>
      </c>
      <c r="H7" s="30" t="str">
        <f>IF($D7="","",IF($J7&lt;&gt;"","FIX",IF(AND(SUMPRODUCT((MOD(COLUMN($K7:$AH7)-COLUMN($K7),2)=0)*($K7:$AH7&lt;&gt;""))=0,SUMPRODUCT((MOD(COLUMN($K7:$AH7)-COLUMN($K7),2)=1)*($K7:$AH7&lt;&gt;""))=0),"未着手",IF(SUMPRODUCT((MOD(COLUMN($K7:$AH7)-COLUMN($K7),2)=0)*($K7:$AH7&lt;&gt;""))&gt;SUMPRODUCT((MOD(COLUMN($K7:$AH7)-COLUMN($K7),2)=1)*($K7:$AH7&lt;&gt;"")),"作業中","中断"))))</f>
        <v/>
      </c>
      <c r="I7" s="30" t="str">
        <f>IF($H7="中断",MAX(0,$AI$1-MAX(L7,N7,P7,R7,T7,V7,X7,Z7,AB7,AD7,AF7,AH7)),"")</f>
        <v/>
      </c>
      <c r="J7" s="26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K7" t="str">
        <f>IF($A4="","",IF(LOOKUP(2,1/($AJ$3:$AJ7&lt;&gt;""),$AJ$3:$AJ7)="-","",LOOKUP(2,1/($AJ$3:$AJ7&lt;&gt;""),$AJ$3:$AJ7)))</f>
        <v/>
      </c>
      <c r="AL7" t="str">
        <f>$H7</f>
        <v/>
      </c>
      <c r="AM7">
        <f>IF(ISNUMBER($D7),$D7,0)</f>
        <v>0</v>
      </c>
      <c r="AN7">
        <f>IF(ISNUMBER($E7),$E7,0)</f>
        <v>0</v>
      </c>
      <c r="AO7">
        <f>IF(ISNUMBER($F7),$F7,0)</f>
        <v>0</v>
      </c>
      <c r="AQ7">
        <f>IF(OR($AK7="",K7="",L7=""),0,COUNTIFS($AK$3:$AK$98,$AK7,K$3:K$98,"&lt;"&amp;L7,L$3:L$98,"&gt;"&amp;K7)+COUNTIFS($AK$3:$AK$98,$AK7,M$3:M$98,"&lt;"&amp;L7,N$3:N$98,"&gt;"&amp;K7)+COUNTIFS($AK$3:$AK$98,$AK7,O$3:O$98,"&lt;"&amp;L7,P$3:P$98,"&gt;"&amp;K7)+COUNTIFS($AK$3:$AK$98,$AK7,Q$3:Q$98,"&lt;"&amp;L7,R$3:R$98,"&gt;"&amp;K7)+COUNTIFS($AK$3:$AK$98,$AK7,S$3:S$98,"&lt;"&amp;L7,T$3:T$98,"&gt;"&amp;K7)+COUNTIFS($AK$3:$AK$98,$AK7,U$3:U$98,"&lt;"&amp;L7,V$3:V$98,"&gt;"&amp;K7)+COUNTIFS($AK$3:$AK$98,$AK7,W$3:W$98,"&lt;"&amp;L7,X$3:X$98,"&gt;"&amp;K7)+COUNTIFS($AK$3:$AK$98,$AK7,Y$3:Y$98,"&lt;"&amp;L7,Z$3:Z$98,"&gt;"&amp;K7)+COUNTIFS($AK$3:$AK$98,$AK7,AA$3:AA$98,"&lt;"&amp;L7,AB$3:AB$98,"&gt;"&amp;K7)+COUNTIFS($AK$3:$AK$98,$AK7,AC$3:AC$98,"&lt;"&amp;L7,AD$3:AD$98,"&gt;"&amp;K7)+COUNTIFS($AK$3:$AK$98,$AK7,AE$3:AE$98,"&lt;"&amp;L7,AF$3:AF$98,"&gt;"&amp;K7)+COUNTIFS($AK$3:$AK$98,$AK7,AG$3:AG$98,"&lt;"&amp;L7,AH$3:AH$98,"&gt;"&amp;K7)-(K7&lt;L7))</f>
        <v>0</v>
      </c>
      <c r="AR7">
        <f>AQ7</f>
        <v>0</v>
      </c>
      <c r="AS7">
        <f>IF(OR($AK7="",M7="",N7=""),0,COUNTIFS($AK$3:$AK$98,$AK7,K$3:K$98,"&lt;"&amp;N7,L$3:L$98,"&gt;"&amp;M7)+COUNTIFS($AK$3:$AK$98,$AK7,M$3:M$98,"&lt;"&amp;N7,N$3:N$98,"&gt;"&amp;M7)+COUNTIFS($AK$3:$AK$98,$AK7,O$3:O$98,"&lt;"&amp;N7,P$3:P$98,"&gt;"&amp;M7)+COUNTIFS($AK$3:$AK$98,$AK7,Q$3:Q$98,"&lt;"&amp;N7,R$3:R$98,"&gt;"&amp;M7)+COUNTIFS($AK$3:$AK$98,$AK7,S$3:S$98,"&lt;"&amp;N7,T$3:T$98,"&gt;"&amp;M7)+COUNTIFS($AK$3:$AK$98,$AK7,U$3:U$98,"&lt;"&amp;N7,V$3:V$98,"&gt;"&amp;M7)+COUNTIFS($AK$3:$AK$98,$AK7,W$3:W$98,"&lt;"&amp;N7,X$3:X$98,"&gt;"&amp;M7)+COUNTIFS($AK$3:$AK$98,$AK7,Y$3:Y$98,"&lt;"&amp;N7,Z$3:Z$98,"&gt;"&amp;M7)+COUNTIFS($AK$3:$AK$98,$AK7,AA$3:AA$98,"&lt;"&amp;N7,AB$3:AB$98,"&gt;"&amp;M7)+COUNTIFS($AK$3:$AK$98,$AK7,AC$3:AC$98,"&lt;"&amp;N7,AD$3:AD$98,"&gt;"&amp;M7)+COUNTIFS($AK$3:$AK$98,$AK7,AE$3:AE$98,"&lt;"&amp;N7,AF$3:AF$98,"&gt;"&amp;M7)+COUNTIFS($AK$3:$AK$98,$AK7,AG$3:AG$98,"&lt;"&amp;N7,AH$3:AH$98,"&gt;"&amp;M7)-(M7&lt;N7))</f>
        <v>0</v>
      </c>
      <c r="AT7">
        <f>AS7</f>
        <v>0</v>
      </c>
      <c r="AU7">
        <f>IF(OR($AK7="",O7="",P7=""),0,COUNTIFS($AK$3:$AK$98,$AK7,K$3:K$98,"&lt;"&amp;P7,L$3:L$98,"&gt;"&amp;O7)+COUNTIFS($AK$3:$AK$98,$AK7,M$3:M$98,"&lt;"&amp;P7,N$3:N$98,"&gt;"&amp;O7)+COUNTIFS($AK$3:$AK$98,$AK7,O$3:O$98,"&lt;"&amp;P7,P$3:P$98,"&gt;"&amp;O7)+COUNTIFS($AK$3:$AK$98,$AK7,Q$3:Q$98,"&lt;"&amp;P7,R$3:R$98,"&gt;"&amp;O7)+COUNTIFS($AK$3:$AK$98,$AK7,S$3:S$98,"&lt;"&amp;P7,T$3:T$98,"&gt;"&amp;O7)+COUNTIFS($AK$3:$AK$98,$AK7,U$3:U$98,"&lt;"&amp;P7,V$3:V$98,"&gt;"&amp;O7)+COUNTIFS($AK$3:$AK$98,$AK7,W$3:W$98,"&lt;"&amp;P7,X$3:X$98,"&gt;"&amp;O7)+COUNTIFS($AK$3:$AK$98,$AK7,Y$3:Y$98,"&lt;"&amp;P7,Z$3:Z$98,"&gt;"&amp;O7)+COUNTIFS($AK$3:$AK$98,$AK7,AA$3:AA$98,"&lt;"&amp;P7,AB$3:AB$98,"&gt;"&amp;O7)+COUNTIFS($AK$3:$AK$98,$AK7,AC$3:AC$98,"&lt;"&amp;P7,AD$3:AD$98,"&gt;"&amp;O7)+COUNTIFS($AK$3:$AK$98,$AK7,AE$3:AE$98,"&lt;"&amp;P7,AF$3:AF$98,"&gt;"&amp;O7)+COUNTIFS($AK$3:$AK$98,$AK7,AG$3:AG$98,"&lt;"&amp;P7,AH$3:AH$98,"&gt;"&amp;O7)-(O7&lt;P7))</f>
        <v>0</v>
      </c>
      <c r="AV7">
        <f>AU7</f>
        <v>0</v>
      </c>
      <c r="AW7">
        <f>IF(OR($AK7="",Q7="",R7=""),0,COUNTIFS($AK$3:$AK$98,$AK7,K$3:K$98,"&lt;"&amp;R7,L$3:L$98,"&gt;"&amp;Q7)+COUNTIFS($AK$3:$AK$98,$AK7,M$3:M$98,"&lt;"&amp;R7,N$3:N$98,"&gt;"&amp;Q7)+COUNTIFS($AK$3:$AK$98,$AK7,O$3:O$98,"&lt;"&amp;R7,P$3:P$98,"&gt;"&amp;Q7)+COUNTIFS($AK$3:$AK$98,$AK7,Q$3:Q$98,"&lt;"&amp;R7,R$3:R$98,"&gt;"&amp;Q7)+COUNTIFS($AK$3:$AK$98,$AK7,S$3:S$98,"&lt;"&amp;R7,T$3:T$98,"&gt;"&amp;Q7)+COUNTIFS($AK$3:$AK$98,$AK7,U$3:U$98,"&lt;"&amp;R7,V$3:V$98,"&gt;"&amp;Q7)+COUNTIFS($AK$3:$AK$98,$AK7,W$3:W$98,"&lt;"&amp;R7,X$3:X$98,"&gt;"&amp;Q7)+COUNTIFS($AK$3:$AK$98,$AK7,Y$3:Y$98,"&lt;"&amp;R7,Z$3:Z$98,"&gt;"&amp;Q7)+COUNTIFS($AK$3:$AK$98,$AK7,AA$3:AA$98,"&lt;"&amp;R7,AB$3:AB$98,"&gt;"&amp;Q7)+COUNTIFS($AK$3:$AK$98,$AK7,AC$3:AC$98,"&lt;"&amp;R7,AD$3:AD$98,"&gt;"&amp;Q7)+COUNTIFS($AK$3:$AK$98,$AK7,AE$3:AE$98,"&lt;"&amp;R7,AF$3:AF$98,"&gt;"&amp;Q7)+COUNTIFS($AK$3:$AK$98,$AK7,AG$3:AG$98,"&lt;"&amp;R7,AH$3:AH$98,"&gt;"&amp;Q7)-(Q7&lt;R7))</f>
        <v>0</v>
      </c>
      <c r="AX7">
        <f>AW7</f>
        <v>0</v>
      </c>
      <c r="AY7">
        <f>IF(OR($AK7="",S7="",T7=""),0,COUNTIFS($AK$3:$AK$98,$AK7,K$3:K$98,"&lt;"&amp;T7,L$3:L$98,"&gt;"&amp;S7)+COUNTIFS($AK$3:$AK$98,$AK7,M$3:M$98,"&lt;"&amp;T7,N$3:N$98,"&gt;"&amp;S7)+COUNTIFS($AK$3:$AK$98,$AK7,O$3:O$98,"&lt;"&amp;T7,P$3:P$98,"&gt;"&amp;S7)+COUNTIFS($AK$3:$AK$98,$AK7,Q$3:Q$98,"&lt;"&amp;T7,R$3:R$98,"&gt;"&amp;S7)+COUNTIFS($AK$3:$AK$98,$AK7,S$3:S$98,"&lt;"&amp;T7,T$3:T$98,"&gt;"&amp;S7)+COUNTIFS($AK$3:$AK$98,$AK7,U$3:U$98,"&lt;"&amp;T7,V$3:V$98,"&gt;"&amp;S7)+COUNTIFS($AK$3:$AK$98,$AK7,W$3:W$98,"&lt;"&amp;T7,X$3:X$98,"&gt;"&amp;S7)+COUNTIFS($AK$3:$AK$98,$AK7,Y$3:Y$98,"&lt;"&amp;T7,Z$3:Z$98,"&gt;"&amp;S7)+COUNTIFS($AK$3:$AK$98,$AK7,AA$3:AA$98,"&lt;"&amp;T7,AB$3:AB$98,"&gt;"&amp;S7)+COUNTIFS($AK$3:$AK$98,$AK7,AC$3:AC$98,"&lt;"&amp;T7,AD$3:AD$98,"&gt;"&amp;S7)+COUNTIFS($AK$3:$AK$98,$AK7,AE$3:AE$98,"&lt;"&amp;T7,AF$3:AF$98,"&gt;"&amp;S7)+COUNTIFS($AK$3:$AK$98,$AK7,AG$3:AG$98,"&lt;"&amp;T7,AH$3:AH$98,"&gt;"&amp;S7)-(S7&lt;T7))</f>
        <v>0</v>
      </c>
      <c r="AZ7">
        <f>AY7</f>
        <v>0</v>
      </c>
      <c r="BA7">
        <f>IF(OR($AK7="",U7="",V7=""),0,COUNTIFS($AK$3:$AK$98,$AK7,K$3:K$98,"&lt;"&amp;V7,L$3:L$98,"&gt;"&amp;U7)+COUNTIFS($AK$3:$AK$98,$AK7,M$3:M$98,"&lt;"&amp;V7,N$3:N$98,"&gt;"&amp;U7)+COUNTIFS($AK$3:$AK$98,$AK7,O$3:O$98,"&lt;"&amp;V7,P$3:P$98,"&gt;"&amp;U7)+COUNTIFS($AK$3:$AK$98,$AK7,Q$3:Q$98,"&lt;"&amp;V7,R$3:R$98,"&gt;"&amp;U7)+COUNTIFS($AK$3:$AK$98,$AK7,S$3:S$98,"&lt;"&amp;V7,T$3:T$98,"&gt;"&amp;U7)+COUNTIFS($AK$3:$AK$98,$AK7,U$3:U$98,"&lt;"&amp;V7,V$3:V$98,"&gt;"&amp;U7)+COUNTIFS($AK$3:$AK$98,$AK7,W$3:W$98,"&lt;"&amp;V7,X$3:X$98,"&gt;"&amp;U7)+COUNTIFS($AK$3:$AK$98,$AK7,Y$3:Y$98,"&lt;"&amp;V7,Z$3:Z$98,"&gt;"&amp;U7)+COUNTIFS($AK$3:$AK$98,$AK7,AA$3:AA$98,"&lt;"&amp;V7,AB$3:AB$98,"&gt;"&amp;U7)+COUNTIFS($AK$3:$AK$98,$AK7,AC$3:AC$98,"&lt;"&amp;V7,AD$3:AD$98,"&gt;"&amp;U7)+COUNTIFS($AK$3:$AK$98,$AK7,AE$3:AE$98,"&lt;"&amp;V7,AF$3:AF$98,"&gt;"&amp;U7)+COUNTIFS($AK$3:$AK$98,$AK7,AG$3:AG$98,"&lt;"&amp;V7,AH$3:AH$98,"&gt;"&amp;U7)-(U7&lt;V7))</f>
        <v>0</v>
      </c>
      <c r="BB7">
        <f>BA7</f>
        <v>0</v>
      </c>
      <c r="BC7">
        <f>IF(OR($AK7="",W7="",X7=""),0,COUNTIFS($AK$3:$AK$98,$AK7,K$3:K$98,"&lt;"&amp;X7,L$3:L$98,"&gt;"&amp;W7)+COUNTIFS($AK$3:$AK$98,$AK7,M$3:M$98,"&lt;"&amp;X7,N$3:N$98,"&gt;"&amp;W7)+COUNTIFS($AK$3:$AK$98,$AK7,O$3:O$98,"&lt;"&amp;X7,P$3:P$98,"&gt;"&amp;W7)+COUNTIFS($AK$3:$AK$98,$AK7,Q$3:Q$98,"&lt;"&amp;X7,R$3:R$98,"&gt;"&amp;W7)+COUNTIFS($AK$3:$AK$98,$AK7,S$3:S$98,"&lt;"&amp;X7,T$3:T$98,"&gt;"&amp;W7)+COUNTIFS($AK$3:$AK$98,$AK7,U$3:U$98,"&lt;"&amp;X7,V$3:V$98,"&gt;"&amp;W7)+COUNTIFS($AK$3:$AK$98,$AK7,W$3:W$98,"&lt;"&amp;X7,X$3:X$98,"&gt;"&amp;W7)+COUNTIFS($AK$3:$AK$98,$AK7,Y$3:Y$98,"&lt;"&amp;X7,Z$3:Z$98,"&gt;"&amp;W7)+COUNTIFS($AK$3:$AK$98,$AK7,AA$3:AA$98,"&lt;"&amp;X7,AB$3:AB$98,"&gt;"&amp;W7)+COUNTIFS($AK$3:$AK$98,$AK7,AC$3:AC$98,"&lt;"&amp;X7,AD$3:AD$98,"&gt;"&amp;W7)+COUNTIFS($AK$3:$AK$98,$AK7,AE$3:AE$98,"&lt;"&amp;X7,AF$3:AF$98,"&gt;"&amp;W7)+COUNTIFS($AK$3:$AK$98,$AK7,AG$3:AG$98,"&lt;"&amp;X7,AH$3:AH$98,"&gt;"&amp;W7)-(W7&lt;X7))</f>
        <v>0</v>
      </c>
      <c r="BD7">
        <f>BC7</f>
        <v>0</v>
      </c>
      <c r="BE7">
        <f>IF(OR($AK7="",Y7="",Z7=""),0,COUNTIFS($AK$3:$AK$98,$AK7,K$3:K$98,"&lt;"&amp;Z7,L$3:L$98,"&gt;"&amp;Y7)+COUNTIFS($AK$3:$AK$98,$AK7,M$3:M$98,"&lt;"&amp;Z7,N$3:N$98,"&gt;"&amp;Y7)+COUNTIFS($AK$3:$AK$98,$AK7,O$3:O$98,"&lt;"&amp;Z7,P$3:P$98,"&gt;"&amp;Y7)+COUNTIFS($AK$3:$AK$98,$AK7,Q$3:Q$98,"&lt;"&amp;Z7,R$3:R$98,"&gt;"&amp;Y7)+COUNTIFS($AK$3:$AK$98,$AK7,S$3:S$98,"&lt;"&amp;Z7,T$3:T$98,"&gt;"&amp;Y7)+COUNTIFS($AK$3:$AK$98,$AK7,U$3:U$98,"&lt;"&amp;Z7,V$3:V$98,"&gt;"&amp;Y7)+COUNTIFS($AK$3:$AK$98,$AK7,W$3:W$98,"&lt;"&amp;Z7,X$3:X$98,"&gt;"&amp;Y7)+COUNTIFS($AK$3:$AK$98,$AK7,Y$3:Y$98,"&lt;"&amp;Z7,Z$3:Z$98,"&gt;"&amp;Y7)+COUNTIFS($AK$3:$AK$98,$AK7,AA$3:AA$98,"&lt;"&amp;Z7,AB$3:AB$98,"&gt;"&amp;Y7)+COUNTIFS($AK$3:$AK$98,$AK7,AC$3:AC$98,"&lt;"&amp;Z7,AD$3:AD$98,"&gt;"&amp;Y7)+COUNTIFS($AK$3:$AK$98,$AK7,AE$3:AE$98,"&lt;"&amp;Z7,AF$3:AF$98,"&gt;"&amp;Y7)+COUNTIFS($AK$3:$AK$98,$AK7,AG$3:AG$98,"&lt;"&amp;Z7,AH$3:AH$98,"&gt;"&amp;Y7)-(Y7&lt;Z7))</f>
        <v>0</v>
      </c>
      <c r="BF7">
        <f>BE7</f>
        <v>0</v>
      </c>
      <c r="BG7">
        <f>IF(OR($AK7="",AA7="",AB7=""),0,COUNTIFS($AK$3:$AK$98,$AK7,K$3:K$98,"&lt;"&amp;AB7,L$3:L$98,"&gt;"&amp;AA7)+COUNTIFS($AK$3:$AK$98,$AK7,M$3:M$98,"&lt;"&amp;AB7,N$3:N$98,"&gt;"&amp;AA7)+COUNTIFS($AK$3:$AK$98,$AK7,O$3:O$98,"&lt;"&amp;AB7,P$3:P$98,"&gt;"&amp;AA7)+COUNTIFS($AK$3:$AK$98,$AK7,Q$3:Q$98,"&lt;"&amp;AB7,R$3:R$98,"&gt;"&amp;AA7)+COUNTIFS($AK$3:$AK$98,$AK7,S$3:S$98,"&lt;"&amp;AB7,T$3:T$98,"&gt;"&amp;AA7)+COUNTIFS($AK$3:$AK$98,$AK7,U$3:U$98,"&lt;"&amp;AB7,V$3:V$98,"&gt;"&amp;AA7)+COUNTIFS($AK$3:$AK$98,$AK7,W$3:W$98,"&lt;"&amp;AB7,X$3:X$98,"&gt;"&amp;AA7)+COUNTIFS($AK$3:$AK$98,$AK7,Y$3:Y$98,"&lt;"&amp;AB7,Z$3:Z$98,"&gt;"&amp;AA7)+COUNTIFS($AK$3:$AK$98,$AK7,AA$3:AA$98,"&lt;"&amp;AB7,AB$3:AB$98,"&gt;"&amp;AA7)+COUNTIFS($AK$3:$AK$98,$AK7,AC$3:AC$98,"&lt;"&amp;AB7,AD$3:AD$98,"&gt;"&amp;AA7)+COUNTIFS($AK$3:$AK$98,$AK7,AE$3:AE$98,"&lt;"&amp;AB7,AF$3:AF$98,"&gt;"&amp;AA7)+COUNTIFS($AK$3:$AK$98,$AK7,AG$3:AG$98,"&lt;"&amp;AB7,AH$3:AH$98,"&gt;"&amp;AA7)-(AA7&lt;AB7))</f>
        <v>0</v>
      </c>
      <c r="BH7">
        <f>BG7</f>
        <v>0</v>
      </c>
      <c r="BI7">
        <f>IF(OR($AK7="",AC7="",AD7=""),0,COUNTIFS($AK$3:$AK$98,$AK7,K$3:K$98,"&lt;"&amp;AD7,L$3:L$98,"&gt;"&amp;AC7)+COUNTIFS($AK$3:$AK$98,$AK7,M$3:M$98,"&lt;"&amp;AD7,N$3:N$98,"&gt;"&amp;AC7)+COUNTIFS($AK$3:$AK$98,$AK7,O$3:O$98,"&lt;"&amp;AD7,P$3:P$98,"&gt;"&amp;AC7)+COUNTIFS($AK$3:$AK$98,$AK7,Q$3:Q$98,"&lt;"&amp;AD7,R$3:R$98,"&gt;"&amp;AC7)+COUNTIFS($AK$3:$AK$98,$AK7,S$3:S$98,"&lt;"&amp;AD7,T$3:T$98,"&gt;"&amp;AC7)+COUNTIFS($AK$3:$AK$98,$AK7,U$3:U$98,"&lt;"&amp;AD7,V$3:V$98,"&gt;"&amp;AC7)+COUNTIFS($AK$3:$AK$98,$AK7,W$3:W$98,"&lt;"&amp;AD7,X$3:X$98,"&gt;"&amp;AC7)+COUNTIFS($AK$3:$AK$98,$AK7,Y$3:Y$98,"&lt;"&amp;AD7,Z$3:Z$98,"&gt;"&amp;AC7)+COUNTIFS($AK$3:$AK$98,$AK7,AA$3:AA$98,"&lt;"&amp;AD7,AB$3:AB$98,"&gt;"&amp;AC7)+COUNTIFS($AK$3:$AK$98,$AK7,AC$3:AC$98,"&lt;"&amp;AD7,AD$3:AD$98,"&gt;"&amp;AC7)+COUNTIFS($AK$3:$AK$98,$AK7,AE$3:AE$98,"&lt;"&amp;AD7,AF$3:AF$98,"&gt;"&amp;AC7)+COUNTIFS($AK$3:$AK$98,$AK7,AG$3:AG$98,"&lt;"&amp;AD7,AH$3:AH$98,"&gt;"&amp;AC7)-(AC7&lt;AD7))</f>
        <v>0</v>
      </c>
      <c r="BJ7">
        <f>BI7</f>
        <v>0</v>
      </c>
      <c r="BK7">
        <f>IF(OR($AK7="",AE7="",AF7=""),0,COUNTIFS($AK$3:$AK$98,$AK7,K$3:K$98,"&lt;"&amp;AF7,L$3:L$98,"&gt;"&amp;AE7)+COUNTIFS($AK$3:$AK$98,$AK7,M$3:M$98,"&lt;"&amp;AF7,N$3:N$98,"&gt;"&amp;AE7)+COUNTIFS($AK$3:$AK$98,$AK7,O$3:O$98,"&lt;"&amp;AF7,P$3:P$98,"&gt;"&amp;AE7)+COUNTIFS($AK$3:$AK$98,$AK7,Q$3:Q$98,"&lt;"&amp;AF7,R$3:R$98,"&gt;"&amp;AE7)+COUNTIFS($AK$3:$AK$98,$AK7,S$3:S$98,"&lt;"&amp;AF7,T$3:T$98,"&gt;"&amp;AE7)+COUNTIFS($AK$3:$AK$98,$AK7,U$3:U$98,"&lt;"&amp;AF7,V$3:V$98,"&gt;"&amp;AE7)+COUNTIFS($AK$3:$AK$98,$AK7,W$3:W$98,"&lt;"&amp;AF7,X$3:X$98,"&gt;"&amp;AE7)+COUNTIFS($AK$3:$AK$98,$AK7,Y$3:Y$98,"&lt;"&amp;AF7,Z$3:Z$98,"&gt;"&amp;AE7)+COUNTIFS($AK$3:$AK$98,$AK7,AA$3:AA$98,"&lt;"&amp;AF7,AB$3:AB$98,"&gt;"&amp;AE7)+COUNTIFS($AK$3:$AK$98,$AK7,AC$3:AC$98,"&lt;"&amp;AF7,AD$3:AD$98,"&gt;"&amp;AE7)+COUNTIFS($AK$3:$AK$98,$AK7,AE$3:AE$98,"&lt;"&amp;AF7,AF$3:AF$98,"&gt;"&amp;AE7)+COUNTIFS($AK$3:$AK$98,$AK7,AG$3:AG$98,"&lt;"&amp;AF7,AH$3:AH$98,"&gt;"&amp;AE7)-(AE7&lt;AF7))</f>
        <v>0</v>
      </c>
      <c r="BL7">
        <f>BK7</f>
        <v>0</v>
      </c>
      <c r="BM7">
        <f>IF(OR($AK7="",AG7="",AH7=""),0,COUNTIFS($AK$3:$AK$98,$AK7,K$3:K$98,"&lt;"&amp;AH7,L$3:L$98,"&gt;"&amp;AG7)+COUNTIFS($AK$3:$AK$98,$AK7,M$3:M$98,"&lt;"&amp;AH7,N$3:N$98,"&gt;"&amp;AG7)+COUNTIFS($AK$3:$AK$98,$AK7,O$3:O$98,"&lt;"&amp;AH7,P$3:P$98,"&gt;"&amp;AG7)+COUNTIFS($AK$3:$AK$98,$AK7,Q$3:Q$98,"&lt;"&amp;AH7,R$3:R$98,"&gt;"&amp;AG7)+COUNTIFS($AK$3:$AK$98,$AK7,S$3:S$98,"&lt;"&amp;AH7,T$3:T$98,"&gt;"&amp;AG7)+COUNTIFS($AK$3:$AK$98,$AK7,U$3:U$98,"&lt;"&amp;AH7,V$3:V$98,"&gt;"&amp;AG7)+COUNTIFS($AK$3:$AK$98,$AK7,W$3:W$98,"&lt;"&amp;AH7,X$3:X$98,"&gt;"&amp;AG7)+COUNTIFS($AK$3:$AK$98,$AK7,Y$3:Y$98,"&lt;"&amp;AH7,Z$3:Z$98,"&gt;"&amp;AG7)+COUNTIFS($AK$3:$AK$98,$AK7,AA$3:AA$98,"&lt;"&amp;AH7,AB$3:AB$98,"&gt;"&amp;AG7)+COUNTIFS($AK$3:$AK$98,$AK7,AC$3:AC$98,"&lt;"&amp;AH7,AD$3:AD$98,"&gt;"&amp;AG7)+COUNTIFS($AK$3:$AK$98,$AK7,AE$3:AE$98,"&lt;"&amp;AH7,AF$3:AF$98,"&gt;"&amp;AG7)+COUNTIFS($AK$3:$AK$98,$AK7,AG$3:AG$98,"&lt;"&amp;AH7,AH$3:AH$98,"&gt;"&amp;AG7)-(AG7&lt;AH7))</f>
        <v>0</v>
      </c>
      <c r="BN7">
        <f>BM7</f>
        <v>0</v>
      </c>
      <c r="BO7" t="str">
        <f>IF(ISNUMBER($G7),$G7,"")</f>
        <v/>
      </c>
      <c r="BP7" t="str">
        <f>IF(AND($A7&lt;&gt;"",COUNT($K7:$AH7)&gt;0),ROW(),"")</f>
        <v/>
      </c>
    </row>
    <row r="8" spans="1:68" x14ac:dyDescent="0.15">
      <c r="A8" s="13" t="s">
        <v>34</v>
      </c>
      <c r="B8" s="14" t="str">
        <f>IF($A8="","","total")</f>
        <v>total</v>
      </c>
      <c r="C8" s="14"/>
      <c r="D8" s="15">
        <f>IF($A8="","",SUM(D9:D11))</f>
        <v>35</v>
      </c>
      <c r="E8" s="15">
        <f ca="1">IF($A8="","",SUM(E9:E11))</f>
        <v>6</v>
      </c>
      <c r="F8" s="15">
        <f ca="1">IF($A8="","",D8-E8)</f>
        <v>29</v>
      </c>
      <c r="G8" s="16">
        <f ca="1">IF($A8="","",IFERROR(AVERAGEIFS(G9:G11,H9:H11,"&lt;&gt;未着手",H9:H11,"&lt;&gt;作業中"),""))</f>
        <v>0.4</v>
      </c>
      <c r="H8" s="14"/>
      <c r="I8" s="14"/>
      <c r="J8" s="14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68" x14ac:dyDescent="0.15">
      <c r="A9" s="18" t="str">
        <f>IF($A8="","",$A8)</f>
        <v>chHondawaraA</v>
      </c>
      <c r="B9" s="19" t="str">
        <f>IF($A8="","","low")</f>
        <v>low</v>
      </c>
      <c r="C9" s="19"/>
      <c r="D9" s="20">
        <v>15</v>
      </c>
      <c r="E9" s="21">
        <f ca="1">IF(AND($D9="",COUNT($K9:$AH9)=0),"",IF(K9="",0,MAX(0,NETWORKDAYS(K9,IF(L9&lt;&gt;"",L9,IF($J9&lt;&gt;"",K9,$AI$1)),祝日!$A$2:$A$200)))+IF(M9="",0,MAX(0,NETWORKDAYS(M9,IF(N9&lt;&gt;"",N9,IF($J9&lt;&gt;"",M9,$AI$1)),祝日!$A$2:$A$200)))+IF(O9="",0,MAX(0,NETWORKDAYS(O9,IF(P9&lt;&gt;"",P9,IF($J9&lt;&gt;"",O9,$AI$1)),祝日!$A$2:$A$200)))+IF(Q9="",0,MAX(0,NETWORKDAYS(Q9,IF(R9&lt;&gt;"",R9,IF($J9&lt;&gt;"",Q9,$AI$1)),祝日!$A$2:$A$200)))+IF(S9="",0,MAX(0,NETWORKDAYS(S9,IF(T9&lt;&gt;"",T9,IF($J9&lt;&gt;"",S9,$AI$1)),祝日!$A$2:$A$200)))+IF(U9="",0,MAX(0,NETWORKDAYS(U9,IF(V9&lt;&gt;"",V9,IF($J9&lt;&gt;"",U9,$AI$1)),祝日!$A$2:$A$200)))+IF(W9="",0,MAX(0,NETWORKDAYS(W9,IF(X9&lt;&gt;"",X9,IF($J9&lt;&gt;"",W9,$AI$1)),祝日!$A$2:$A$200)))+IF(Y9="",0,MAX(0,NETWORKDAYS(Y9,IF(Z9&lt;&gt;"",Z9,IF($J9&lt;&gt;"",Y9,$AI$1)),祝日!$A$2:$A$200)))+IF(AA9="",0,MAX(0,NETWORKDAYS(AA9,IF(AB9&lt;&gt;"",AB9,IF($J9&lt;&gt;"",AA9,$AI$1)),祝日!$A$2:$A$200)))+IF(AC9="",0,MAX(0,NETWORKDAYS(AC9,IF(AD9&lt;&gt;"",AD9,IF($J9&lt;&gt;"",AC9,$AI$1)),祝日!$A$2:$A$200)))+IF(AE9="",0,MAX(0,NETWORKDAYS(AE9,IF(AF9&lt;&gt;"",AF9,IF($J9&lt;&gt;"",AE9,$AI$1)),祝日!$A$2:$A$200)))+IF(AG9="",0,MAX(0,NETWORKDAYS(AG9,IF(AH9&lt;&gt;"",AH9,IF($J9&lt;&gt;"",AG9,$AI$1)),祝日!$A$2:$A$200))))</f>
        <v>6</v>
      </c>
      <c r="F9" s="21">
        <f ca="1">IF($D9="","",$D9-$E9)</f>
        <v>9</v>
      </c>
      <c r="G9" s="22">
        <f ca="1">IF(OR($D9="",$D9=0),"",$E9/$D9)</f>
        <v>0.4</v>
      </c>
      <c r="H9" s="23" t="str">
        <f>IF($D9="","",IF($J9&lt;&gt;"","FIX",IF(AND(SUMPRODUCT((MOD(COLUMN($K9:$AH9)-COLUMN($K9),2)=0)*($K9:$AH9&lt;&gt;""))=0,SUMPRODUCT((MOD(COLUMN($K9:$AH9)-COLUMN($K9),2)=1)*($K9:$AH9&lt;&gt;""))=0),"未着手",IF(SUMPRODUCT((MOD(COLUMN($K9:$AH9)-COLUMN($K9),2)=0)*($K9:$AH9&lt;&gt;""))&gt;SUMPRODUCT((MOD(COLUMN($K9:$AH9)-COLUMN($K9),2)=1)*($K9:$AH9&lt;&gt;"")),"作業中","中断"))))</f>
        <v>作業中</v>
      </c>
      <c r="I9" s="23" t="str">
        <f>IF($H9="中断",MAX(0,$AI$1-MAX(L9,N9,P9,R9,T9,V9,X9,Z9,AB9,AD9,AF9,AH9)),"")</f>
        <v/>
      </c>
      <c r="J9" s="19"/>
      <c r="K9" s="24">
        <v>46283</v>
      </c>
      <c r="L9" s="24">
        <v>46294</v>
      </c>
      <c r="M9" s="24">
        <v>46302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K9" t="str">
        <f>IF($A8="","",IF(LOOKUP(2,1/($AJ$3:$AJ9&lt;&gt;""),$AJ$3:$AJ9)="-","",LOOKUP(2,1/($AJ$3:$AJ9&lt;&gt;""),$AJ$3:$AJ9)))</f>
        <v>CH01</v>
      </c>
      <c r="AL9" t="str">
        <f>$H9</f>
        <v>作業中</v>
      </c>
      <c r="AM9">
        <f>IF(ISNUMBER($D9),$D9,0)</f>
        <v>15</v>
      </c>
      <c r="AN9">
        <f ca="1">IF(ISNUMBER($E9),$E9,0)</f>
        <v>6</v>
      </c>
      <c r="AO9">
        <f ca="1">IF(ISNUMBER($F9),$F9,0)</f>
        <v>9</v>
      </c>
      <c r="AQ9">
        <f>IF(OR($AK9="",K9="",L9=""),0,COUNTIFS($AK$3:$AK$98,$AK9,K$3:K$98,"&lt;"&amp;L9,L$3:L$98,"&gt;"&amp;K9)+COUNTIFS($AK$3:$AK$98,$AK9,M$3:M$98,"&lt;"&amp;L9,N$3:N$98,"&gt;"&amp;K9)+COUNTIFS($AK$3:$AK$98,$AK9,O$3:O$98,"&lt;"&amp;L9,P$3:P$98,"&gt;"&amp;K9)+COUNTIFS($AK$3:$AK$98,$AK9,Q$3:Q$98,"&lt;"&amp;L9,R$3:R$98,"&gt;"&amp;K9)+COUNTIFS($AK$3:$AK$98,$AK9,S$3:S$98,"&lt;"&amp;L9,T$3:T$98,"&gt;"&amp;K9)+COUNTIFS($AK$3:$AK$98,$AK9,U$3:U$98,"&lt;"&amp;L9,V$3:V$98,"&gt;"&amp;K9)+COUNTIFS($AK$3:$AK$98,$AK9,W$3:W$98,"&lt;"&amp;L9,X$3:X$98,"&gt;"&amp;K9)+COUNTIFS($AK$3:$AK$98,$AK9,Y$3:Y$98,"&lt;"&amp;L9,Z$3:Z$98,"&gt;"&amp;K9)+COUNTIFS($AK$3:$AK$98,$AK9,AA$3:AA$98,"&lt;"&amp;L9,AB$3:AB$98,"&gt;"&amp;K9)+COUNTIFS($AK$3:$AK$98,$AK9,AC$3:AC$98,"&lt;"&amp;L9,AD$3:AD$98,"&gt;"&amp;K9)+COUNTIFS($AK$3:$AK$98,$AK9,AE$3:AE$98,"&lt;"&amp;L9,AF$3:AF$98,"&gt;"&amp;K9)+COUNTIFS($AK$3:$AK$98,$AK9,AG$3:AG$98,"&lt;"&amp;L9,AH$3:AH$98,"&gt;"&amp;K9)-(K9&lt;L9))</f>
        <v>0</v>
      </c>
      <c r="AR9">
        <f>AQ9</f>
        <v>0</v>
      </c>
      <c r="AS9">
        <f>IF(OR($AK9="",M9="",N9=""),0,COUNTIFS($AK$3:$AK$98,$AK9,K$3:K$98,"&lt;"&amp;N9,L$3:L$98,"&gt;"&amp;M9)+COUNTIFS($AK$3:$AK$98,$AK9,M$3:M$98,"&lt;"&amp;N9,N$3:N$98,"&gt;"&amp;M9)+COUNTIFS($AK$3:$AK$98,$AK9,O$3:O$98,"&lt;"&amp;N9,P$3:P$98,"&gt;"&amp;M9)+COUNTIFS($AK$3:$AK$98,$AK9,Q$3:Q$98,"&lt;"&amp;N9,R$3:R$98,"&gt;"&amp;M9)+COUNTIFS($AK$3:$AK$98,$AK9,S$3:S$98,"&lt;"&amp;N9,T$3:T$98,"&gt;"&amp;M9)+COUNTIFS($AK$3:$AK$98,$AK9,U$3:U$98,"&lt;"&amp;N9,V$3:V$98,"&gt;"&amp;M9)+COUNTIFS($AK$3:$AK$98,$AK9,W$3:W$98,"&lt;"&amp;N9,X$3:X$98,"&gt;"&amp;M9)+COUNTIFS($AK$3:$AK$98,$AK9,Y$3:Y$98,"&lt;"&amp;N9,Z$3:Z$98,"&gt;"&amp;M9)+COUNTIFS($AK$3:$AK$98,$AK9,AA$3:AA$98,"&lt;"&amp;N9,AB$3:AB$98,"&gt;"&amp;M9)+COUNTIFS($AK$3:$AK$98,$AK9,AC$3:AC$98,"&lt;"&amp;N9,AD$3:AD$98,"&gt;"&amp;M9)+COUNTIFS($AK$3:$AK$98,$AK9,AE$3:AE$98,"&lt;"&amp;N9,AF$3:AF$98,"&gt;"&amp;M9)+COUNTIFS($AK$3:$AK$98,$AK9,AG$3:AG$98,"&lt;"&amp;N9,AH$3:AH$98,"&gt;"&amp;M9)-(M9&lt;N9))</f>
        <v>0</v>
      </c>
      <c r="AT9">
        <f>AS9</f>
        <v>0</v>
      </c>
      <c r="AU9">
        <f>IF(OR($AK9="",O9="",P9=""),0,COUNTIFS($AK$3:$AK$98,$AK9,K$3:K$98,"&lt;"&amp;P9,L$3:L$98,"&gt;"&amp;O9)+COUNTIFS($AK$3:$AK$98,$AK9,M$3:M$98,"&lt;"&amp;P9,N$3:N$98,"&gt;"&amp;O9)+COUNTIFS($AK$3:$AK$98,$AK9,O$3:O$98,"&lt;"&amp;P9,P$3:P$98,"&gt;"&amp;O9)+COUNTIFS($AK$3:$AK$98,$AK9,Q$3:Q$98,"&lt;"&amp;P9,R$3:R$98,"&gt;"&amp;O9)+COUNTIFS($AK$3:$AK$98,$AK9,S$3:S$98,"&lt;"&amp;P9,T$3:T$98,"&gt;"&amp;O9)+COUNTIFS($AK$3:$AK$98,$AK9,U$3:U$98,"&lt;"&amp;P9,V$3:V$98,"&gt;"&amp;O9)+COUNTIFS($AK$3:$AK$98,$AK9,W$3:W$98,"&lt;"&amp;P9,X$3:X$98,"&gt;"&amp;O9)+COUNTIFS($AK$3:$AK$98,$AK9,Y$3:Y$98,"&lt;"&amp;P9,Z$3:Z$98,"&gt;"&amp;O9)+COUNTIFS($AK$3:$AK$98,$AK9,AA$3:AA$98,"&lt;"&amp;P9,AB$3:AB$98,"&gt;"&amp;O9)+COUNTIFS($AK$3:$AK$98,$AK9,AC$3:AC$98,"&lt;"&amp;P9,AD$3:AD$98,"&gt;"&amp;O9)+COUNTIFS($AK$3:$AK$98,$AK9,AE$3:AE$98,"&lt;"&amp;P9,AF$3:AF$98,"&gt;"&amp;O9)+COUNTIFS($AK$3:$AK$98,$AK9,AG$3:AG$98,"&lt;"&amp;P9,AH$3:AH$98,"&gt;"&amp;O9)-(O9&lt;P9))</f>
        <v>0</v>
      </c>
      <c r="AV9">
        <f>AU9</f>
        <v>0</v>
      </c>
      <c r="AW9">
        <f>IF(OR($AK9="",Q9="",R9=""),0,COUNTIFS($AK$3:$AK$98,$AK9,K$3:K$98,"&lt;"&amp;R9,L$3:L$98,"&gt;"&amp;Q9)+COUNTIFS($AK$3:$AK$98,$AK9,M$3:M$98,"&lt;"&amp;R9,N$3:N$98,"&gt;"&amp;Q9)+COUNTIFS($AK$3:$AK$98,$AK9,O$3:O$98,"&lt;"&amp;R9,P$3:P$98,"&gt;"&amp;Q9)+COUNTIFS($AK$3:$AK$98,$AK9,Q$3:Q$98,"&lt;"&amp;R9,R$3:R$98,"&gt;"&amp;Q9)+COUNTIFS($AK$3:$AK$98,$AK9,S$3:S$98,"&lt;"&amp;R9,T$3:T$98,"&gt;"&amp;Q9)+COUNTIFS($AK$3:$AK$98,$AK9,U$3:U$98,"&lt;"&amp;R9,V$3:V$98,"&gt;"&amp;Q9)+COUNTIFS($AK$3:$AK$98,$AK9,W$3:W$98,"&lt;"&amp;R9,X$3:X$98,"&gt;"&amp;Q9)+COUNTIFS($AK$3:$AK$98,$AK9,Y$3:Y$98,"&lt;"&amp;R9,Z$3:Z$98,"&gt;"&amp;Q9)+COUNTIFS($AK$3:$AK$98,$AK9,AA$3:AA$98,"&lt;"&amp;R9,AB$3:AB$98,"&gt;"&amp;Q9)+COUNTIFS($AK$3:$AK$98,$AK9,AC$3:AC$98,"&lt;"&amp;R9,AD$3:AD$98,"&gt;"&amp;Q9)+COUNTIFS($AK$3:$AK$98,$AK9,AE$3:AE$98,"&lt;"&amp;R9,AF$3:AF$98,"&gt;"&amp;Q9)+COUNTIFS($AK$3:$AK$98,$AK9,AG$3:AG$98,"&lt;"&amp;R9,AH$3:AH$98,"&gt;"&amp;Q9)-(Q9&lt;R9))</f>
        <v>0</v>
      </c>
      <c r="AX9">
        <f>AW9</f>
        <v>0</v>
      </c>
      <c r="AY9">
        <f>IF(OR($AK9="",S9="",T9=""),0,COUNTIFS($AK$3:$AK$98,$AK9,K$3:K$98,"&lt;"&amp;T9,L$3:L$98,"&gt;"&amp;S9)+COUNTIFS($AK$3:$AK$98,$AK9,M$3:M$98,"&lt;"&amp;T9,N$3:N$98,"&gt;"&amp;S9)+COUNTIFS($AK$3:$AK$98,$AK9,O$3:O$98,"&lt;"&amp;T9,P$3:P$98,"&gt;"&amp;S9)+COUNTIFS($AK$3:$AK$98,$AK9,Q$3:Q$98,"&lt;"&amp;T9,R$3:R$98,"&gt;"&amp;S9)+COUNTIFS($AK$3:$AK$98,$AK9,S$3:S$98,"&lt;"&amp;T9,T$3:T$98,"&gt;"&amp;S9)+COUNTIFS($AK$3:$AK$98,$AK9,U$3:U$98,"&lt;"&amp;T9,V$3:V$98,"&gt;"&amp;S9)+COUNTIFS($AK$3:$AK$98,$AK9,W$3:W$98,"&lt;"&amp;T9,X$3:X$98,"&gt;"&amp;S9)+COUNTIFS($AK$3:$AK$98,$AK9,Y$3:Y$98,"&lt;"&amp;T9,Z$3:Z$98,"&gt;"&amp;S9)+COUNTIFS($AK$3:$AK$98,$AK9,AA$3:AA$98,"&lt;"&amp;T9,AB$3:AB$98,"&gt;"&amp;S9)+COUNTIFS($AK$3:$AK$98,$AK9,AC$3:AC$98,"&lt;"&amp;T9,AD$3:AD$98,"&gt;"&amp;S9)+COUNTIFS($AK$3:$AK$98,$AK9,AE$3:AE$98,"&lt;"&amp;T9,AF$3:AF$98,"&gt;"&amp;S9)+COUNTIFS($AK$3:$AK$98,$AK9,AG$3:AG$98,"&lt;"&amp;T9,AH$3:AH$98,"&gt;"&amp;S9)-(S9&lt;T9))</f>
        <v>0</v>
      </c>
      <c r="AZ9">
        <f>AY9</f>
        <v>0</v>
      </c>
      <c r="BA9">
        <f>IF(OR($AK9="",U9="",V9=""),0,COUNTIFS($AK$3:$AK$98,$AK9,K$3:K$98,"&lt;"&amp;V9,L$3:L$98,"&gt;"&amp;U9)+COUNTIFS($AK$3:$AK$98,$AK9,M$3:M$98,"&lt;"&amp;V9,N$3:N$98,"&gt;"&amp;U9)+COUNTIFS($AK$3:$AK$98,$AK9,O$3:O$98,"&lt;"&amp;V9,P$3:P$98,"&gt;"&amp;U9)+COUNTIFS($AK$3:$AK$98,$AK9,Q$3:Q$98,"&lt;"&amp;V9,R$3:R$98,"&gt;"&amp;U9)+COUNTIFS($AK$3:$AK$98,$AK9,S$3:S$98,"&lt;"&amp;V9,T$3:T$98,"&gt;"&amp;U9)+COUNTIFS($AK$3:$AK$98,$AK9,U$3:U$98,"&lt;"&amp;V9,V$3:V$98,"&gt;"&amp;U9)+COUNTIFS($AK$3:$AK$98,$AK9,W$3:W$98,"&lt;"&amp;V9,X$3:X$98,"&gt;"&amp;U9)+COUNTIFS($AK$3:$AK$98,$AK9,Y$3:Y$98,"&lt;"&amp;V9,Z$3:Z$98,"&gt;"&amp;U9)+COUNTIFS($AK$3:$AK$98,$AK9,AA$3:AA$98,"&lt;"&amp;V9,AB$3:AB$98,"&gt;"&amp;U9)+COUNTIFS($AK$3:$AK$98,$AK9,AC$3:AC$98,"&lt;"&amp;V9,AD$3:AD$98,"&gt;"&amp;U9)+COUNTIFS($AK$3:$AK$98,$AK9,AE$3:AE$98,"&lt;"&amp;V9,AF$3:AF$98,"&gt;"&amp;U9)+COUNTIFS($AK$3:$AK$98,$AK9,AG$3:AG$98,"&lt;"&amp;V9,AH$3:AH$98,"&gt;"&amp;U9)-(U9&lt;V9))</f>
        <v>0</v>
      </c>
      <c r="BB9">
        <f>BA9</f>
        <v>0</v>
      </c>
      <c r="BC9">
        <f>IF(OR($AK9="",W9="",X9=""),0,COUNTIFS($AK$3:$AK$98,$AK9,K$3:K$98,"&lt;"&amp;X9,L$3:L$98,"&gt;"&amp;W9)+COUNTIFS($AK$3:$AK$98,$AK9,M$3:M$98,"&lt;"&amp;X9,N$3:N$98,"&gt;"&amp;W9)+COUNTIFS($AK$3:$AK$98,$AK9,O$3:O$98,"&lt;"&amp;X9,P$3:P$98,"&gt;"&amp;W9)+COUNTIFS($AK$3:$AK$98,$AK9,Q$3:Q$98,"&lt;"&amp;X9,R$3:R$98,"&gt;"&amp;W9)+COUNTIFS($AK$3:$AK$98,$AK9,S$3:S$98,"&lt;"&amp;X9,T$3:T$98,"&gt;"&amp;W9)+COUNTIFS($AK$3:$AK$98,$AK9,U$3:U$98,"&lt;"&amp;X9,V$3:V$98,"&gt;"&amp;W9)+COUNTIFS($AK$3:$AK$98,$AK9,W$3:W$98,"&lt;"&amp;X9,X$3:X$98,"&gt;"&amp;W9)+COUNTIFS($AK$3:$AK$98,$AK9,Y$3:Y$98,"&lt;"&amp;X9,Z$3:Z$98,"&gt;"&amp;W9)+COUNTIFS($AK$3:$AK$98,$AK9,AA$3:AA$98,"&lt;"&amp;X9,AB$3:AB$98,"&gt;"&amp;W9)+COUNTIFS($AK$3:$AK$98,$AK9,AC$3:AC$98,"&lt;"&amp;X9,AD$3:AD$98,"&gt;"&amp;W9)+COUNTIFS($AK$3:$AK$98,$AK9,AE$3:AE$98,"&lt;"&amp;X9,AF$3:AF$98,"&gt;"&amp;W9)+COUNTIFS($AK$3:$AK$98,$AK9,AG$3:AG$98,"&lt;"&amp;X9,AH$3:AH$98,"&gt;"&amp;W9)-(W9&lt;X9))</f>
        <v>0</v>
      </c>
      <c r="BD9">
        <f>BC9</f>
        <v>0</v>
      </c>
      <c r="BE9">
        <f>IF(OR($AK9="",Y9="",Z9=""),0,COUNTIFS($AK$3:$AK$98,$AK9,K$3:K$98,"&lt;"&amp;Z9,L$3:L$98,"&gt;"&amp;Y9)+COUNTIFS($AK$3:$AK$98,$AK9,M$3:M$98,"&lt;"&amp;Z9,N$3:N$98,"&gt;"&amp;Y9)+COUNTIFS($AK$3:$AK$98,$AK9,O$3:O$98,"&lt;"&amp;Z9,P$3:P$98,"&gt;"&amp;Y9)+COUNTIFS($AK$3:$AK$98,$AK9,Q$3:Q$98,"&lt;"&amp;Z9,R$3:R$98,"&gt;"&amp;Y9)+COUNTIFS($AK$3:$AK$98,$AK9,S$3:S$98,"&lt;"&amp;Z9,T$3:T$98,"&gt;"&amp;Y9)+COUNTIFS($AK$3:$AK$98,$AK9,U$3:U$98,"&lt;"&amp;Z9,V$3:V$98,"&gt;"&amp;Y9)+COUNTIFS($AK$3:$AK$98,$AK9,W$3:W$98,"&lt;"&amp;Z9,X$3:X$98,"&gt;"&amp;Y9)+COUNTIFS($AK$3:$AK$98,$AK9,Y$3:Y$98,"&lt;"&amp;Z9,Z$3:Z$98,"&gt;"&amp;Y9)+COUNTIFS($AK$3:$AK$98,$AK9,AA$3:AA$98,"&lt;"&amp;Z9,AB$3:AB$98,"&gt;"&amp;Y9)+COUNTIFS($AK$3:$AK$98,$AK9,AC$3:AC$98,"&lt;"&amp;Z9,AD$3:AD$98,"&gt;"&amp;Y9)+COUNTIFS($AK$3:$AK$98,$AK9,AE$3:AE$98,"&lt;"&amp;Z9,AF$3:AF$98,"&gt;"&amp;Y9)+COUNTIFS($AK$3:$AK$98,$AK9,AG$3:AG$98,"&lt;"&amp;Z9,AH$3:AH$98,"&gt;"&amp;Y9)-(Y9&lt;Z9))</f>
        <v>0</v>
      </c>
      <c r="BF9">
        <f>BE9</f>
        <v>0</v>
      </c>
      <c r="BG9">
        <f>IF(OR($AK9="",AA9="",AB9=""),0,COUNTIFS($AK$3:$AK$98,$AK9,K$3:K$98,"&lt;"&amp;AB9,L$3:L$98,"&gt;"&amp;AA9)+COUNTIFS($AK$3:$AK$98,$AK9,M$3:M$98,"&lt;"&amp;AB9,N$3:N$98,"&gt;"&amp;AA9)+COUNTIFS($AK$3:$AK$98,$AK9,O$3:O$98,"&lt;"&amp;AB9,P$3:P$98,"&gt;"&amp;AA9)+COUNTIFS($AK$3:$AK$98,$AK9,Q$3:Q$98,"&lt;"&amp;AB9,R$3:R$98,"&gt;"&amp;AA9)+COUNTIFS($AK$3:$AK$98,$AK9,S$3:S$98,"&lt;"&amp;AB9,T$3:T$98,"&gt;"&amp;AA9)+COUNTIFS($AK$3:$AK$98,$AK9,U$3:U$98,"&lt;"&amp;AB9,V$3:V$98,"&gt;"&amp;AA9)+COUNTIFS($AK$3:$AK$98,$AK9,W$3:W$98,"&lt;"&amp;AB9,X$3:X$98,"&gt;"&amp;AA9)+COUNTIFS($AK$3:$AK$98,$AK9,Y$3:Y$98,"&lt;"&amp;AB9,Z$3:Z$98,"&gt;"&amp;AA9)+COUNTIFS($AK$3:$AK$98,$AK9,AA$3:AA$98,"&lt;"&amp;AB9,AB$3:AB$98,"&gt;"&amp;AA9)+COUNTIFS($AK$3:$AK$98,$AK9,AC$3:AC$98,"&lt;"&amp;AB9,AD$3:AD$98,"&gt;"&amp;AA9)+COUNTIFS($AK$3:$AK$98,$AK9,AE$3:AE$98,"&lt;"&amp;AB9,AF$3:AF$98,"&gt;"&amp;AA9)+COUNTIFS($AK$3:$AK$98,$AK9,AG$3:AG$98,"&lt;"&amp;AB9,AH$3:AH$98,"&gt;"&amp;AA9)-(AA9&lt;AB9))</f>
        <v>0</v>
      </c>
      <c r="BH9">
        <f>BG9</f>
        <v>0</v>
      </c>
      <c r="BI9">
        <f>IF(OR($AK9="",AC9="",AD9=""),0,COUNTIFS($AK$3:$AK$98,$AK9,K$3:K$98,"&lt;"&amp;AD9,L$3:L$98,"&gt;"&amp;AC9)+COUNTIFS($AK$3:$AK$98,$AK9,M$3:M$98,"&lt;"&amp;AD9,N$3:N$98,"&gt;"&amp;AC9)+COUNTIFS($AK$3:$AK$98,$AK9,O$3:O$98,"&lt;"&amp;AD9,P$3:P$98,"&gt;"&amp;AC9)+COUNTIFS($AK$3:$AK$98,$AK9,Q$3:Q$98,"&lt;"&amp;AD9,R$3:R$98,"&gt;"&amp;AC9)+COUNTIFS($AK$3:$AK$98,$AK9,S$3:S$98,"&lt;"&amp;AD9,T$3:T$98,"&gt;"&amp;AC9)+COUNTIFS($AK$3:$AK$98,$AK9,U$3:U$98,"&lt;"&amp;AD9,V$3:V$98,"&gt;"&amp;AC9)+COUNTIFS($AK$3:$AK$98,$AK9,W$3:W$98,"&lt;"&amp;AD9,X$3:X$98,"&gt;"&amp;AC9)+COUNTIFS($AK$3:$AK$98,$AK9,Y$3:Y$98,"&lt;"&amp;AD9,Z$3:Z$98,"&gt;"&amp;AC9)+COUNTIFS($AK$3:$AK$98,$AK9,AA$3:AA$98,"&lt;"&amp;AD9,AB$3:AB$98,"&gt;"&amp;AC9)+COUNTIFS($AK$3:$AK$98,$AK9,AC$3:AC$98,"&lt;"&amp;AD9,AD$3:AD$98,"&gt;"&amp;AC9)+COUNTIFS($AK$3:$AK$98,$AK9,AE$3:AE$98,"&lt;"&amp;AD9,AF$3:AF$98,"&gt;"&amp;AC9)+COUNTIFS($AK$3:$AK$98,$AK9,AG$3:AG$98,"&lt;"&amp;AD9,AH$3:AH$98,"&gt;"&amp;AC9)-(AC9&lt;AD9))</f>
        <v>0</v>
      </c>
      <c r="BJ9">
        <f>BI9</f>
        <v>0</v>
      </c>
      <c r="BK9">
        <f>IF(OR($AK9="",AE9="",AF9=""),0,COUNTIFS($AK$3:$AK$98,$AK9,K$3:K$98,"&lt;"&amp;AF9,L$3:L$98,"&gt;"&amp;AE9)+COUNTIFS($AK$3:$AK$98,$AK9,M$3:M$98,"&lt;"&amp;AF9,N$3:N$98,"&gt;"&amp;AE9)+COUNTIFS($AK$3:$AK$98,$AK9,O$3:O$98,"&lt;"&amp;AF9,P$3:P$98,"&gt;"&amp;AE9)+COUNTIFS($AK$3:$AK$98,$AK9,Q$3:Q$98,"&lt;"&amp;AF9,R$3:R$98,"&gt;"&amp;AE9)+COUNTIFS($AK$3:$AK$98,$AK9,S$3:S$98,"&lt;"&amp;AF9,T$3:T$98,"&gt;"&amp;AE9)+COUNTIFS($AK$3:$AK$98,$AK9,U$3:U$98,"&lt;"&amp;AF9,V$3:V$98,"&gt;"&amp;AE9)+COUNTIFS($AK$3:$AK$98,$AK9,W$3:W$98,"&lt;"&amp;AF9,X$3:X$98,"&gt;"&amp;AE9)+COUNTIFS($AK$3:$AK$98,$AK9,Y$3:Y$98,"&lt;"&amp;AF9,Z$3:Z$98,"&gt;"&amp;AE9)+COUNTIFS($AK$3:$AK$98,$AK9,AA$3:AA$98,"&lt;"&amp;AF9,AB$3:AB$98,"&gt;"&amp;AE9)+COUNTIFS($AK$3:$AK$98,$AK9,AC$3:AC$98,"&lt;"&amp;AF9,AD$3:AD$98,"&gt;"&amp;AE9)+COUNTIFS($AK$3:$AK$98,$AK9,AE$3:AE$98,"&lt;"&amp;AF9,AF$3:AF$98,"&gt;"&amp;AE9)+COUNTIFS($AK$3:$AK$98,$AK9,AG$3:AG$98,"&lt;"&amp;AF9,AH$3:AH$98,"&gt;"&amp;AE9)-(AE9&lt;AF9))</f>
        <v>0</v>
      </c>
      <c r="BL9">
        <f>BK9</f>
        <v>0</v>
      </c>
      <c r="BM9">
        <f>IF(OR($AK9="",AG9="",AH9=""),0,COUNTIFS($AK$3:$AK$98,$AK9,K$3:K$98,"&lt;"&amp;AH9,L$3:L$98,"&gt;"&amp;AG9)+COUNTIFS($AK$3:$AK$98,$AK9,M$3:M$98,"&lt;"&amp;AH9,N$3:N$98,"&gt;"&amp;AG9)+COUNTIFS($AK$3:$AK$98,$AK9,O$3:O$98,"&lt;"&amp;AH9,P$3:P$98,"&gt;"&amp;AG9)+COUNTIFS($AK$3:$AK$98,$AK9,Q$3:Q$98,"&lt;"&amp;AH9,R$3:R$98,"&gt;"&amp;AG9)+COUNTIFS($AK$3:$AK$98,$AK9,S$3:S$98,"&lt;"&amp;AH9,T$3:T$98,"&gt;"&amp;AG9)+COUNTIFS($AK$3:$AK$98,$AK9,U$3:U$98,"&lt;"&amp;AH9,V$3:V$98,"&gt;"&amp;AG9)+COUNTIFS($AK$3:$AK$98,$AK9,W$3:W$98,"&lt;"&amp;AH9,X$3:X$98,"&gt;"&amp;AG9)+COUNTIFS($AK$3:$AK$98,$AK9,Y$3:Y$98,"&lt;"&amp;AH9,Z$3:Z$98,"&gt;"&amp;AG9)+COUNTIFS($AK$3:$AK$98,$AK9,AA$3:AA$98,"&lt;"&amp;AH9,AB$3:AB$98,"&gt;"&amp;AG9)+COUNTIFS($AK$3:$AK$98,$AK9,AC$3:AC$98,"&lt;"&amp;AH9,AD$3:AD$98,"&gt;"&amp;AG9)+COUNTIFS($AK$3:$AK$98,$AK9,AE$3:AE$98,"&lt;"&amp;AH9,AF$3:AF$98,"&gt;"&amp;AG9)+COUNTIFS($AK$3:$AK$98,$AK9,AG$3:AG$98,"&lt;"&amp;AH9,AH$3:AH$98,"&gt;"&amp;AG9)-(AG9&lt;AH9))</f>
        <v>0</v>
      </c>
      <c r="BN9">
        <f>BM9</f>
        <v>0</v>
      </c>
      <c r="BO9">
        <f ca="1">IF(ISNUMBER($G9),$G9,"")</f>
        <v>0.4</v>
      </c>
      <c r="BP9">
        <f>IF(AND($A9&lt;&gt;"",COUNT($K9:$AH9)&gt;0),ROW(),"")</f>
        <v>9</v>
      </c>
    </row>
    <row r="10" spans="1:68" x14ac:dyDescent="0.15">
      <c r="A10" s="18" t="str">
        <f>IF($A8="","",$A8)</f>
        <v>chHondawaraA</v>
      </c>
      <c r="B10" s="19" t="str">
        <f>IF($A8="","","high")</f>
        <v>high</v>
      </c>
      <c r="C10" s="19"/>
      <c r="D10" s="20">
        <v>12</v>
      </c>
      <c r="E10" s="21">
        <f>IF(AND($D10="",COUNT($K10:$AH10)=0),"",IF(K10="",0,MAX(0,NETWORKDAYS(K10,IF(L10&lt;&gt;"",L10,IF($J10&lt;&gt;"",K10,$AI$1)),祝日!$A$2:$A$200)))+IF(M10="",0,MAX(0,NETWORKDAYS(M10,IF(N10&lt;&gt;"",N10,IF($J10&lt;&gt;"",M10,$AI$1)),祝日!$A$2:$A$200)))+IF(O10="",0,MAX(0,NETWORKDAYS(O10,IF(P10&lt;&gt;"",P10,IF($J10&lt;&gt;"",O10,$AI$1)),祝日!$A$2:$A$200)))+IF(Q10="",0,MAX(0,NETWORKDAYS(Q10,IF(R10&lt;&gt;"",R10,IF($J10&lt;&gt;"",Q10,$AI$1)),祝日!$A$2:$A$200)))+IF(S10="",0,MAX(0,NETWORKDAYS(S10,IF(T10&lt;&gt;"",T10,IF($J10&lt;&gt;"",S10,$AI$1)),祝日!$A$2:$A$200)))+IF(U10="",0,MAX(0,NETWORKDAYS(U10,IF(V10&lt;&gt;"",V10,IF($J10&lt;&gt;"",U10,$AI$1)),祝日!$A$2:$A$200)))+IF(W10="",0,MAX(0,NETWORKDAYS(W10,IF(X10&lt;&gt;"",X10,IF($J10&lt;&gt;"",W10,$AI$1)),祝日!$A$2:$A$200)))+IF(Y10="",0,MAX(0,NETWORKDAYS(Y10,IF(Z10&lt;&gt;"",Z10,IF($J10&lt;&gt;"",Y10,$AI$1)),祝日!$A$2:$A$200)))+IF(AA10="",0,MAX(0,NETWORKDAYS(AA10,IF(AB10&lt;&gt;"",AB10,IF($J10&lt;&gt;"",AA10,$AI$1)),祝日!$A$2:$A$200)))+IF(AC10="",0,MAX(0,NETWORKDAYS(AC10,IF(AD10&lt;&gt;"",AD10,IF($J10&lt;&gt;"",AC10,$AI$1)),祝日!$A$2:$A$200)))+IF(AE10="",0,MAX(0,NETWORKDAYS(AE10,IF(AF10&lt;&gt;"",AF10,IF($J10&lt;&gt;"",AE10,$AI$1)),祝日!$A$2:$A$200)))+IF(AG10="",0,MAX(0,NETWORKDAYS(AG10,IF(AH10&lt;&gt;"",AH10,IF($J10&lt;&gt;"",AG10,$AI$1)),祝日!$A$2:$A$200))))</f>
        <v>0</v>
      </c>
      <c r="F10" s="21">
        <f>IF($D10="","",$D10-$E10)</f>
        <v>12</v>
      </c>
      <c r="G10" s="22">
        <f>IF(OR($D10="",$D10=0),"",$E10/$D10)</f>
        <v>0</v>
      </c>
      <c r="H10" s="23" t="str">
        <f>IF($D10="","",IF($J10&lt;&gt;"","FIX",IF(AND(SUMPRODUCT((MOD(COLUMN($K10:$AH10)-COLUMN($K10),2)=0)*($K10:$AH10&lt;&gt;""))=0,SUMPRODUCT((MOD(COLUMN($K10:$AH10)-COLUMN($K10),2)=1)*($K10:$AH10&lt;&gt;""))=0),"未着手",IF(SUMPRODUCT((MOD(COLUMN($K10:$AH10)-COLUMN($K10),2)=0)*($K10:$AH10&lt;&gt;""))&gt;SUMPRODUCT((MOD(COLUMN($K10:$AH10)-COLUMN($K10),2)=1)*($K10:$AH10&lt;&gt;"")),"作業中","中断"))))</f>
        <v>未着手</v>
      </c>
      <c r="I10" s="23" t="str">
        <f>IF($H10="中断",MAX(0,$AI$1-MAX(L10,N10,P10,R10,T10,V10,X10,Z10,AB10,AD10,AF10,AH10)),"")</f>
        <v/>
      </c>
      <c r="J10" s="19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K10" t="str">
        <f>IF($A8="","",IF(LOOKUP(2,1/($AJ$3:$AJ10&lt;&gt;""),$AJ$3:$AJ10)="-","",LOOKUP(2,1/($AJ$3:$AJ10&lt;&gt;""),$AJ$3:$AJ10)))</f>
        <v>CH01</v>
      </c>
      <c r="AL10" t="str">
        <f>$H10</f>
        <v>未着手</v>
      </c>
      <c r="AM10">
        <f>IF(ISNUMBER($D10),$D10,0)</f>
        <v>12</v>
      </c>
      <c r="AN10">
        <f>IF(ISNUMBER($E10),$E10,0)</f>
        <v>0</v>
      </c>
      <c r="AO10">
        <f>IF(ISNUMBER($F10),$F10,0)</f>
        <v>12</v>
      </c>
      <c r="AQ10">
        <f>IF(OR($AK10="",K10="",L10=""),0,COUNTIFS($AK$3:$AK$98,$AK10,K$3:K$98,"&lt;"&amp;L10,L$3:L$98,"&gt;"&amp;K10)+COUNTIFS($AK$3:$AK$98,$AK10,M$3:M$98,"&lt;"&amp;L10,N$3:N$98,"&gt;"&amp;K10)+COUNTIFS($AK$3:$AK$98,$AK10,O$3:O$98,"&lt;"&amp;L10,P$3:P$98,"&gt;"&amp;K10)+COUNTIFS($AK$3:$AK$98,$AK10,Q$3:Q$98,"&lt;"&amp;L10,R$3:R$98,"&gt;"&amp;K10)+COUNTIFS($AK$3:$AK$98,$AK10,S$3:S$98,"&lt;"&amp;L10,T$3:T$98,"&gt;"&amp;K10)+COUNTIFS($AK$3:$AK$98,$AK10,U$3:U$98,"&lt;"&amp;L10,V$3:V$98,"&gt;"&amp;K10)+COUNTIFS($AK$3:$AK$98,$AK10,W$3:W$98,"&lt;"&amp;L10,X$3:X$98,"&gt;"&amp;K10)+COUNTIFS($AK$3:$AK$98,$AK10,Y$3:Y$98,"&lt;"&amp;L10,Z$3:Z$98,"&gt;"&amp;K10)+COUNTIFS($AK$3:$AK$98,$AK10,AA$3:AA$98,"&lt;"&amp;L10,AB$3:AB$98,"&gt;"&amp;K10)+COUNTIFS($AK$3:$AK$98,$AK10,AC$3:AC$98,"&lt;"&amp;L10,AD$3:AD$98,"&gt;"&amp;K10)+COUNTIFS($AK$3:$AK$98,$AK10,AE$3:AE$98,"&lt;"&amp;L10,AF$3:AF$98,"&gt;"&amp;K10)+COUNTIFS($AK$3:$AK$98,$AK10,AG$3:AG$98,"&lt;"&amp;L10,AH$3:AH$98,"&gt;"&amp;K10)-(K10&lt;L10))</f>
        <v>0</v>
      </c>
      <c r="AR10">
        <f>AQ10</f>
        <v>0</v>
      </c>
      <c r="AS10">
        <f>IF(OR($AK10="",M10="",N10=""),0,COUNTIFS($AK$3:$AK$98,$AK10,K$3:K$98,"&lt;"&amp;N10,L$3:L$98,"&gt;"&amp;M10)+COUNTIFS($AK$3:$AK$98,$AK10,M$3:M$98,"&lt;"&amp;N10,N$3:N$98,"&gt;"&amp;M10)+COUNTIFS($AK$3:$AK$98,$AK10,O$3:O$98,"&lt;"&amp;N10,P$3:P$98,"&gt;"&amp;M10)+COUNTIFS($AK$3:$AK$98,$AK10,Q$3:Q$98,"&lt;"&amp;N10,R$3:R$98,"&gt;"&amp;M10)+COUNTIFS($AK$3:$AK$98,$AK10,S$3:S$98,"&lt;"&amp;N10,T$3:T$98,"&gt;"&amp;M10)+COUNTIFS($AK$3:$AK$98,$AK10,U$3:U$98,"&lt;"&amp;N10,V$3:V$98,"&gt;"&amp;M10)+COUNTIFS($AK$3:$AK$98,$AK10,W$3:W$98,"&lt;"&amp;N10,X$3:X$98,"&gt;"&amp;M10)+COUNTIFS($AK$3:$AK$98,$AK10,Y$3:Y$98,"&lt;"&amp;N10,Z$3:Z$98,"&gt;"&amp;M10)+COUNTIFS($AK$3:$AK$98,$AK10,AA$3:AA$98,"&lt;"&amp;N10,AB$3:AB$98,"&gt;"&amp;M10)+COUNTIFS($AK$3:$AK$98,$AK10,AC$3:AC$98,"&lt;"&amp;N10,AD$3:AD$98,"&gt;"&amp;M10)+COUNTIFS($AK$3:$AK$98,$AK10,AE$3:AE$98,"&lt;"&amp;N10,AF$3:AF$98,"&gt;"&amp;M10)+COUNTIFS($AK$3:$AK$98,$AK10,AG$3:AG$98,"&lt;"&amp;N10,AH$3:AH$98,"&gt;"&amp;M10)-(M10&lt;N10))</f>
        <v>0</v>
      </c>
      <c r="AT10">
        <f>AS10</f>
        <v>0</v>
      </c>
      <c r="AU10">
        <f>IF(OR($AK10="",O10="",P10=""),0,COUNTIFS($AK$3:$AK$98,$AK10,K$3:K$98,"&lt;"&amp;P10,L$3:L$98,"&gt;"&amp;O10)+COUNTIFS($AK$3:$AK$98,$AK10,M$3:M$98,"&lt;"&amp;P10,N$3:N$98,"&gt;"&amp;O10)+COUNTIFS($AK$3:$AK$98,$AK10,O$3:O$98,"&lt;"&amp;P10,P$3:P$98,"&gt;"&amp;O10)+COUNTIFS($AK$3:$AK$98,$AK10,Q$3:Q$98,"&lt;"&amp;P10,R$3:R$98,"&gt;"&amp;O10)+COUNTIFS($AK$3:$AK$98,$AK10,S$3:S$98,"&lt;"&amp;P10,T$3:T$98,"&gt;"&amp;O10)+COUNTIFS($AK$3:$AK$98,$AK10,U$3:U$98,"&lt;"&amp;P10,V$3:V$98,"&gt;"&amp;O10)+COUNTIFS($AK$3:$AK$98,$AK10,W$3:W$98,"&lt;"&amp;P10,X$3:X$98,"&gt;"&amp;O10)+COUNTIFS($AK$3:$AK$98,$AK10,Y$3:Y$98,"&lt;"&amp;P10,Z$3:Z$98,"&gt;"&amp;O10)+COUNTIFS($AK$3:$AK$98,$AK10,AA$3:AA$98,"&lt;"&amp;P10,AB$3:AB$98,"&gt;"&amp;O10)+COUNTIFS($AK$3:$AK$98,$AK10,AC$3:AC$98,"&lt;"&amp;P10,AD$3:AD$98,"&gt;"&amp;O10)+COUNTIFS($AK$3:$AK$98,$AK10,AE$3:AE$98,"&lt;"&amp;P10,AF$3:AF$98,"&gt;"&amp;O10)+COUNTIFS($AK$3:$AK$98,$AK10,AG$3:AG$98,"&lt;"&amp;P10,AH$3:AH$98,"&gt;"&amp;O10)-(O10&lt;P10))</f>
        <v>0</v>
      </c>
      <c r="AV10">
        <f>AU10</f>
        <v>0</v>
      </c>
      <c r="AW10">
        <f>IF(OR($AK10="",Q10="",R10=""),0,COUNTIFS($AK$3:$AK$98,$AK10,K$3:K$98,"&lt;"&amp;R10,L$3:L$98,"&gt;"&amp;Q10)+COUNTIFS($AK$3:$AK$98,$AK10,M$3:M$98,"&lt;"&amp;R10,N$3:N$98,"&gt;"&amp;Q10)+COUNTIFS($AK$3:$AK$98,$AK10,O$3:O$98,"&lt;"&amp;R10,P$3:P$98,"&gt;"&amp;Q10)+COUNTIFS($AK$3:$AK$98,$AK10,Q$3:Q$98,"&lt;"&amp;R10,R$3:R$98,"&gt;"&amp;Q10)+COUNTIFS($AK$3:$AK$98,$AK10,S$3:S$98,"&lt;"&amp;R10,T$3:T$98,"&gt;"&amp;Q10)+COUNTIFS($AK$3:$AK$98,$AK10,U$3:U$98,"&lt;"&amp;R10,V$3:V$98,"&gt;"&amp;Q10)+COUNTIFS($AK$3:$AK$98,$AK10,W$3:W$98,"&lt;"&amp;R10,X$3:X$98,"&gt;"&amp;Q10)+COUNTIFS($AK$3:$AK$98,$AK10,Y$3:Y$98,"&lt;"&amp;R10,Z$3:Z$98,"&gt;"&amp;Q10)+COUNTIFS($AK$3:$AK$98,$AK10,AA$3:AA$98,"&lt;"&amp;R10,AB$3:AB$98,"&gt;"&amp;Q10)+COUNTIFS($AK$3:$AK$98,$AK10,AC$3:AC$98,"&lt;"&amp;R10,AD$3:AD$98,"&gt;"&amp;Q10)+COUNTIFS($AK$3:$AK$98,$AK10,AE$3:AE$98,"&lt;"&amp;R10,AF$3:AF$98,"&gt;"&amp;Q10)+COUNTIFS($AK$3:$AK$98,$AK10,AG$3:AG$98,"&lt;"&amp;R10,AH$3:AH$98,"&gt;"&amp;Q10)-(Q10&lt;R10))</f>
        <v>0</v>
      </c>
      <c r="AX10">
        <f>AW10</f>
        <v>0</v>
      </c>
      <c r="AY10">
        <f>IF(OR($AK10="",S10="",T10=""),0,COUNTIFS($AK$3:$AK$98,$AK10,K$3:K$98,"&lt;"&amp;T10,L$3:L$98,"&gt;"&amp;S10)+COUNTIFS($AK$3:$AK$98,$AK10,M$3:M$98,"&lt;"&amp;T10,N$3:N$98,"&gt;"&amp;S10)+COUNTIFS($AK$3:$AK$98,$AK10,O$3:O$98,"&lt;"&amp;T10,P$3:P$98,"&gt;"&amp;S10)+COUNTIFS($AK$3:$AK$98,$AK10,Q$3:Q$98,"&lt;"&amp;T10,R$3:R$98,"&gt;"&amp;S10)+COUNTIFS($AK$3:$AK$98,$AK10,S$3:S$98,"&lt;"&amp;T10,T$3:T$98,"&gt;"&amp;S10)+COUNTIFS($AK$3:$AK$98,$AK10,U$3:U$98,"&lt;"&amp;T10,V$3:V$98,"&gt;"&amp;S10)+COUNTIFS($AK$3:$AK$98,$AK10,W$3:W$98,"&lt;"&amp;T10,X$3:X$98,"&gt;"&amp;S10)+COUNTIFS($AK$3:$AK$98,$AK10,Y$3:Y$98,"&lt;"&amp;T10,Z$3:Z$98,"&gt;"&amp;S10)+COUNTIFS($AK$3:$AK$98,$AK10,AA$3:AA$98,"&lt;"&amp;T10,AB$3:AB$98,"&gt;"&amp;S10)+COUNTIFS($AK$3:$AK$98,$AK10,AC$3:AC$98,"&lt;"&amp;T10,AD$3:AD$98,"&gt;"&amp;S10)+COUNTIFS($AK$3:$AK$98,$AK10,AE$3:AE$98,"&lt;"&amp;T10,AF$3:AF$98,"&gt;"&amp;S10)+COUNTIFS($AK$3:$AK$98,$AK10,AG$3:AG$98,"&lt;"&amp;T10,AH$3:AH$98,"&gt;"&amp;S10)-(S10&lt;T10))</f>
        <v>0</v>
      </c>
      <c r="AZ10">
        <f>AY10</f>
        <v>0</v>
      </c>
      <c r="BA10">
        <f>IF(OR($AK10="",U10="",V10=""),0,COUNTIFS($AK$3:$AK$98,$AK10,K$3:K$98,"&lt;"&amp;V10,L$3:L$98,"&gt;"&amp;U10)+COUNTIFS($AK$3:$AK$98,$AK10,M$3:M$98,"&lt;"&amp;V10,N$3:N$98,"&gt;"&amp;U10)+COUNTIFS($AK$3:$AK$98,$AK10,O$3:O$98,"&lt;"&amp;V10,P$3:P$98,"&gt;"&amp;U10)+COUNTIFS($AK$3:$AK$98,$AK10,Q$3:Q$98,"&lt;"&amp;V10,R$3:R$98,"&gt;"&amp;U10)+COUNTIFS($AK$3:$AK$98,$AK10,S$3:S$98,"&lt;"&amp;V10,T$3:T$98,"&gt;"&amp;U10)+COUNTIFS($AK$3:$AK$98,$AK10,U$3:U$98,"&lt;"&amp;V10,V$3:V$98,"&gt;"&amp;U10)+COUNTIFS($AK$3:$AK$98,$AK10,W$3:W$98,"&lt;"&amp;V10,X$3:X$98,"&gt;"&amp;U10)+COUNTIFS($AK$3:$AK$98,$AK10,Y$3:Y$98,"&lt;"&amp;V10,Z$3:Z$98,"&gt;"&amp;U10)+COUNTIFS($AK$3:$AK$98,$AK10,AA$3:AA$98,"&lt;"&amp;V10,AB$3:AB$98,"&gt;"&amp;U10)+COUNTIFS($AK$3:$AK$98,$AK10,AC$3:AC$98,"&lt;"&amp;V10,AD$3:AD$98,"&gt;"&amp;U10)+COUNTIFS($AK$3:$AK$98,$AK10,AE$3:AE$98,"&lt;"&amp;V10,AF$3:AF$98,"&gt;"&amp;U10)+COUNTIFS($AK$3:$AK$98,$AK10,AG$3:AG$98,"&lt;"&amp;V10,AH$3:AH$98,"&gt;"&amp;U10)-(U10&lt;V10))</f>
        <v>0</v>
      </c>
      <c r="BB10">
        <f>BA10</f>
        <v>0</v>
      </c>
      <c r="BC10">
        <f>IF(OR($AK10="",W10="",X10=""),0,COUNTIFS($AK$3:$AK$98,$AK10,K$3:K$98,"&lt;"&amp;X10,L$3:L$98,"&gt;"&amp;W10)+COUNTIFS($AK$3:$AK$98,$AK10,M$3:M$98,"&lt;"&amp;X10,N$3:N$98,"&gt;"&amp;W10)+COUNTIFS($AK$3:$AK$98,$AK10,O$3:O$98,"&lt;"&amp;X10,P$3:P$98,"&gt;"&amp;W10)+COUNTIFS($AK$3:$AK$98,$AK10,Q$3:Q$98,"&lt;"&amp;X10,R$3:R$98,"&gt;"&amp;W10)+COUNTIFS($AK$3:$AK$98,$AK10,S$3:S$98,"&lt;"&amp;X10,T$3:T$98,"&gt;"&amp;W10)+COUNTIFS($AK$3:$AK$98,$AK10,U$3:U$98,"&lt;"&amp;X10,V$3:V$98,"&gt;"&amp;W10)+COUNTIFS($AK$3:$AK$98,$AK10,W$3:W$98,"&lt;"&amp;X10,X$3:X$98,"&gt;"&amp;W10)+COUNTIFS($AK$3:$AK$98,$AK10,Y$3:Y$98,"&lt;"&amp;X10,Z$3:Z$98,"&gt;"&amp;W10)+COUNTIFS($AK$3:$AK$98,$AK10,AA$3:AA$98,"&lt;"&amp;X10,AB$3:AB$98,"&gt;"&amp;W10)+COUNTIFS($AK$3:$AK$98,$AK10,AC$3:AC$98,"&lt;"&amp;X10,AD$3:AD$98,"&gt;"&amp;W10)+COUNTIFS($AK$3:$AK$98,$AK10,AE$3:AE$98,"&lt;"&amp;X10,AF$3:AF$98,"&gt;"&amp;W10)+COUNTIFS($AK$3:$AK$98,$AK10,AG$3:AG$98,"&lt;"&amp;X10,AH$3:AH$98,"&gt;"&amp;W10)-(W10&lt;X10))</f>
        <v>0</v>
      </c>
      <c r="BD10">
        <f>BC10</f>
        <v>0</v>
      </c>
      <c r="BE10">
        <f>IF(OR($AK10="",Y10="",Z10=""),0,COUNTIFS($AK$3:$AK$98,$AK10,K$3:K$98,"&lt;"&amp;Z10,L$3:L$98,"&gt;"&amp;Y10)+COUNTIFS($AK$3:$AK$98,$AK10,M$3:M$98,"&lt;"&amp;Z10,N$3:N$98,"&gt;"&amp;Y10)+COUNTIFS($AK$3:$AK$98,$AK10,O$3:O$98,"&lt;"&amp;Z10,P$3:P$98,"&gt;"&amp;Y10)+COUNTIFS($AK$3:$AK$98,$AK10,Q$3:Q$98,"&lt;"&amp;Z10,R$3:R$98,"&gt;"&amp;Y10)+COUNTIFS($AK$3:$AK$98,$AK10,S$3:S$98,"&lt;"&amp;Z10,T$3:T$98,"&gt;"&amp;Y10)+COUNTIFS($AK$3:$AK$98,$AK10,U$3:U$98,"&lt;"&amp;Z10,V$3:V$98,"&gt;"&amp;Y10)+COUNTIFS($AK$3:$AK$98,$AK10,W$3:W$98,"&lt;"&amp;Z10,X$3:X$98,"&gt;"&amp;Y10)+COUNTIFS($AK$3:$AK$98,$AK10,Y$3:Y$98,"&lt;"&amp;Z10,Z$3:Z$98,"&gt;"&amp;Y10)+COUNTIFS($AK$3:$AK$98,$AK10,AA$3:AA$98,"&lt;"&amp;Z10,AB$3:AB$98,"&gt;"&amp;Y10)+COUNTIFS($AK$3:$AK$98,$AK10,AC$3:AC$98,"&lt;"&amp;Z10,AD$3:AD$98,"&gt;"&amp;Y10)+COUNTIFS($AK$3:$AK$98,$AK10,AE$3:AE$98,"&lt;"&amp;Z10,AF$3:AF$98,"&gt;"&amp;Y10)+COUNTIFS($AK$3:$AK$98,$AK10,AG$3:AG$98,"&lt;"&amp;Z10,AH$3:AH$98,"&gt;"&amp;Y10)-(Y10&lt;Z10))</f>
        <v>0</v>
      </c>
      <c r="BF10">
        <f>BE10</f>
        <v>0</v>
      </c>
      <c r="BG10">
        <f>IF(OR($AK10="",AA10="",AB10=""),0,COUNTIFS($AK$3:$AK$98,$AK10,K$3:K$98,"&lt;"&amp;AB10,L$3:L$98,"&gt;"&amp;AA10)+COUNTIFS($AK$3:$AK$98,$AK10,M$3:M$98,"&lt;"&amp;AB10,N$3:N$98,"&gt;"&amp;AA10)+COUNTIFS($AK$3:$AK$98,$AK10,O$3:O$98,"&lt;"&amp;AB10,P$3:P$98,"&gt;"&amp;AA10)+COUNTIFS($AK$3:$AK$98,$AK10,Q$3:Q$98,"&lt;"&amp;AB10,R$3:R$98,"&gt;"&amp;AA10)+COUNTIFS($AK$3:$AK$98,$AK10,S$3:S$98,"&lt;"&amp;AB10,T$3:T$98,"&gt;"&amp;AA10)+COUNTIFS($AK$3:$AK$98,$AK10,U$3:U$98,"&lt;"&amp;AB10,V$3:V$98,"&gt;"&amp;AA10)+COUNTIFS($AK$3:$AK$98,$AK10,W$3:W$98,"&lt;"&amp;AB10,X$3:X$98,"&gt;"&amp;AA10)+COUNTIFS($AK$3:$AK$98,$AK10,Y$3:Y$98,"&lt;"&amp;AB10,Z$3:Z$98,"&gt;"&amp;AA10)+COUNTIFS($AK$3:$AK$98,$AK10,AA$3:AA$98,"&lt;"&amp;AB10,AB$3:AB$98,"&gt;"&amp;AA10)+COUNTIFS($AK$3:$AK$98,$AK10,AC$3:AC$98,"&lt;"&amp;AB10,AD$3:AD$98,"&gt;"&amp;AA10)+COUNTIFS($AK$3:$AK$98,$AK10,AE$3:AE$98,"&lt;"&amp;AB10,AF$3:AF$98,"&gt;"&amp;AA10)+COUNTIFS($AK$3:$AK$98,$AK10,AG$3:AG$98,"&lt;"&amp;AB10,AH$3:AH$98,"&gt;"&amp;AA10)-(AA10&lt;AB10))</f>
        <v>0</v>
      </c>
      <c r="BH10">
        <f>BG10</f>
        <v>0</v>
      </c>
      <c r="BI10">
        <f>IF(OR($AK10="",AC10="",AD10=""),0,COUNTIFS($AK$3:$AK$98,$AK10,K$3:K$98,"&lt;"&amp;AD10,L$3:L$98,"&gt;"&amp;AC10)+COUNTIFS($AK$3:$AK$98,$AK10,M$3:M$98,"&lt;"&amp;AD10,N$3:N$98,"&gt;"&amp;AC10)+COUNTIFS($AK$3:$AK$98,$AK10,O$3:O$98,"&lt;"&amp;AD10,P$3:P$98,"&gt;"&amp;AC10)+COUNTIFS($AK$3:$AK$98,$AK10,Q$3:Q$98,"&lt;"&amp;AD10,R$3:R$98,"&gt;"&amp;AC10)+COUNTIFS($AK$3:$AK$98,$AK10,S$3:S$98,"&lt;"&amp;AD10,T$3:T$98,"&gt;"&amp;AC10)+COUNTIFS($AK$3:$AK$98,$AK10,U$3:U$98,"&lt;"&amp;AD10,V$3:V$98,"&gt;"&amp;AC10)+COUNTIFS($AK$3:$AK$98,$AK10,W$3:W$98,"&lt;"&amp;AD10,X$3:X$98,"&gt;"&amp;AC10)+COUNTIFS($AK$3:$AK$98,$AK10,Y$3:Y$98,"&lt;"&amp;AD10,Z$3:Z$98,"&gt;"&amp;AC10)+COUNTIFS($AK$3:$AK$98,$AK10,AA$3:AA$98,"&lt;"&amp;AD10,AB$3:AB$98,"&gt;"&amp;AC10)+COUNTIFS($AK$3:$AK$98,$AK10,AC$3:AC$98,"&lt;"&amp;AD10,AD$3:AD$98,"&gt;"&amp;AC10)+COUNTIFS($AK$3:$AK$98,$AK10,AE$3:AE$98,"&lt;"&amp;AD10,AF$3:AF$98,"&gt;"&amp;AC10)+COUNTIFS($AK$3:$AK$98,$AK10,AG$3:AG$98,"&lt;"&amp;AD10,AH$3:AH$98,"&gt;"&amp;AC10)-(AC10&lt;AD10))</f>
        <v>0</v>
      </c>
      <c r="BJ10">
        <f>BI10</f>
        <v>0</v>
      </c>
      <c r="BK10">
        <f>IF(OR($AK10="",AE10="",AF10=""),0,COUNTIFS($AK$3:$AK$98,$AK10,K$3:K$98,"&lt;"&amp;AF10,L$3:L$98,"&gt;"&amp;AE10)+COUNTIFS($AK$3:$AK$98,$AK10,M$3:M$98,"&lt;"&amp;AF10,N$3:N$98,"&gt;"&amp;AE10)+COUNTIFS($AK$3:$AK$98,$AK10,O$3:O$98,"&lt;"&amp;AF10,P$3:P$98,"&gt;"&amp;AE10)+COUNTIFS($AK$3:$AK$98,$AK10,Q$3:Q$98,"&lt;"&amp;AF10,R$3:R$98,"&gt;"&amp;AE10)+COUNTIFS($AK$3:$AK$98,$AK10,S$3:S$98,"&lt;"&amp;AF10,T$3:T$98,"&gt;"&amp;AE10)+COUNTIFS($AK$3:$AK$98,$AK10,U$3:U$98,"&lt;"&amp;AF10,V$3:V$98,"&gt;"&amp;AE10)+COUNTIFS($AK$3:$AK$98,$AK10,W$3:W$98,"&lt;"&amp;AF10,X$3:X$98,"&gt;"&amp;AE10)+COUNTIFS($AK$3:$AK$98,$AK10,Y$3:Y$98,"&lt;"&amp;AF10,Z$3:Z$98,"&gt;"&amp;AE10)+COUNTIFS($AK$3:$AK$98,$AK10,AA$3:AA$98,"&lt;"&amp;AF10,AB$3:AB$98,"&gt;"&amp;AE10)+COUNTIFS($AK$3:$AK$98,$AK10,AC$3:AC$98,"&lt;"&amp;AF10,AD$3:AD$98,"&gt;"&amp;AE10)+COUNTIFS($AK$3:$AK$98,$AK10,AE$3:AE$98,"&lt;"&amp;AF10,AF$3:AF$98,"&gt;"&amp;AE10)+COUNTIFS($AK$3:$AK$98,$AK10,AG$3:AG$98,"&lt;"&amp;AF10,AH$3:AH$98,"&gt;"&amp;AE10)-(AE10&lt;AF10))</f>
        <v>0</v>
      </c>
      <c r="BL10">
        <f>BK10</f>
        <v>0</v>
      </c>
      <c r="BM10">
        <f>IF(OR($AK10="",AG10="",AH10=""),0,COUNTIFS($AK$3:$AK$98,$AK10,K$3:K$98,"&lt;"&amp;AH10,L$3:L$98,"&gt;"&amp;AG10)+COUNTIFS($AK$3:$AK$98,$AK10,M$3:M$98,"&lt;"&amp;AH10,N$3:N$98,"&gt;"&amp;AG10)+COUNTIFS($AK$3:$AK$98,$AK10,O$3:O$98,"&lt;"&amp;AH10,P$3:P$98,"&gt;"&amp;AG10)+COUNTIFS($AK$3:$AK$98,$AK10,Q$3:Q$98,"&lt;"&amp;AH10,R$3:R$98,"&gt;"&amp;AG10)+COUNTIFS($AK$3:$AK$98,$AK10,S$3:S$98,"&lt;"&amp;AH10,T$3:T$98,"&gt;"&amp;AG10)+COUNTIFS($AK$3:$AK$98,$AK10,U$3:U$98,"&lt;"&amp;AH10,V$3:V$98,"&gt;"&amp;AG10)+COUNTIFS($AK$3:$AK$98,$AK10,W$3:W$98,"&lt;"&amp;AH10,X$3:X$98,"&gt;"&amp;AG10)+COUNTIFS($AK$3:$AK$98,$AK10,Y$3:Y$98,"&lt;"&amp;AH10,Z$3:Z$98,"&gt;"&amp;AG10)+COUNTIFS($AK$3:$AK$98,$AK10,AA$3:AA$98,"&lt;"&amp;AH10,AB$3:AB$98,"&gt;"&amp;AG10)+COUNTIFS($AK$3:$AK$98,$AK10,AC$3:AC$98,"&lt;"&amp;AH10,AD$3:AD$98,"&gt;"&amp;AG10)+COUNTIFS($AK$3:$AK$98,$AK10,AE$3:AE$98,"&lt;"&amp;AH10,AF$3:AF$98,"&gt;"&amp;AG10)+COUNTIFS($AK$3:$AK$98,$AK10,AG$3:AG$98,"&lt;"&amp;AH10,AH$3:AH$98,"&gt;"&amp;AG10)-(AG10&lt;AH10))</f>
        <v>0</v>
      </c>
      <c r="BN10">
        <f>BM10</f>
        <v>0</v>
      </c>
      <c r="BO10">
        <f>IF(ISNUMBER($G10),$G10,"")</f>
        <v>0</v>
      </c>
      <c r="BP10" t="str">
        <f>IF(AND($A10&lt;&gt;"",COUNT($K10:$AH10)&gt;0),ROW(),"")</f>
        <v/>
      </c>
    </row>
    <row r="11" spans="1:68" ht="14.25" customHeight="1" thickBot="1" x14ac:dyDescent="0.2">
      <c r="A11" s="25" t="str">
        <f>IF($A8="","",$A8)</f>
        <v>chHondawaraA</v>
      </c>
      <c r="B11" s="26" t="str">
        <f>IF($A8="","","fac")</f>
        <v>fac</v>
      </c>
      <c r="C11" s="26"/>
      <c r="D11" s="27">
        <v>8</v>
      </c>
      <c r="E11" s="28">
        <f>IF(AND($D11="",COUNT($K11:$AH11)=0),"",IF(K11="",0,MAX(0,NETWORKDAYS(K11,IF(L11&lt;&gt;"",L11,IF($J11&lt;&gt;"",K11,$AI$1)),祝日!$A$2:$A$200)))+IF(M11="",0,MAX(0,NETWORKDAYS(M11,IF(N11&lt;&gt;"",N11,IF($J11&lt;&gt;"",M11,$AI$1)),祝日!$A$2:$A$200)))+IF(O11="",0,MAX(0,NETWORKDAYS(O11,IF(P11&lt;&gt;"",P11,IF($J11&lt;&gt;"",O11,$AI$1)),祝日!$A$2:$A$200)))+IF(Q11="",0,MAX(0,NETWORKDAYS(Q11,IF(R11&lt;&gt;"",R11,IF($J11&lt;&gt;"",Q11,$AI$1)),祝日!$A$2:$A$200)))+IF(S11="",0,MAX(0,NETWORKDAYS(S11,IF(T11&lt;&gt;"",T11,IF($J11&lt;&gt;"",S11,$AI$1)),祝日!$A$2:$A$200)))+IF(U11="",0,MAX(0,NETWORKDAYS(U11,IF(V11&lt;&gt;"",V11,IF($J11&lt;&gt;"",U11,$AI$1)),祝日!$A$2:$A$200)))+IF(W11="",0,MAX(0,NETWORKDAYS(W11,IF(X11&lt;&gt;"",X11,IF($J11&lt;&gt;"",W11,$AI$1)),祝日!$A$2:$A$200)))+IF(Y11="",0,MAX(0,NETWORKDAYS(Y11,IF(Z11&lt;&gt;"",Z11,IF($J11&lt;&gt;"",Y11,$AI$1)),祝日!$A$2:$A$200)))+IF(AA11="",0,MAX(0,NETWORKDAYS(AA11,IF(AB11&lt;&gt;"",AB11,IF($J11&lt;&gt;"",AA11,$AI$1)),祝日!$A$2:$A$200)))+IF(AC11="",0,MAX(0,NETWORKDAYS(AC11,IF(AD11&lt;&gt;"",AD11,IF($J11&lt;&gt;"",AC11,$AI$1)),祝日!$A$2:$A$200)))+IF(AE11="",0,MAX(0,NETWORKDAYS(AE11,IF(AF11&lt;&gt;"",AF11,IF($J11&lt;&gt;"",AE11,$AI$1)),祝日!$A$2:$A$200)))+IF(AG11="",0,MAX(0,NETWORKDAYS(AG11,IF(AH11&lt;&gt;"",AH11,IF($J11&lt;&gt;"",AG11,$AI$1)),祝日!$A$2:$A$200))))</f>
        <v>0</v>
      </c>
      <c r="F11" s="28">
        <f>IF($D11="","",$D11-$E11)</f>
        <v>8</v>
      </c>
      <c r="G11" s="29">
        <f>IF(OR($D11="",$D11=0),"",$E11/$D11)</f>
        <v>0</v>
      </c>
      <c r="H11" s="30" t="str">
        <f>IF($D11="","",IF($J11&lt;&gt;"","FIX",IF(AND(SUMPRODUCT((MOD(COLUMN($K11:$AH11)-COLUMN($K11),2)=0)*($K11:$AH11&lt;&gt;""))=0,SUMPRODUCT((MOD(COLUMN($K11:$AH11)-COLUMN($K11),2)=1)*($K11:$AH11&lt;&gt;""))=0),"未着手",IF(SUMPRODUCT((MOD(COLUMN($K11:$AH11)-COLUMN($K11),2)=0)*($K11:$AH11&lt;&gt;""))&gt;SUMPRODUCT((MOD(COLUMN($K11:$AH11)-COLUMN($K11),2)=1)*($K11:$AH11&lt;&gt;"")),"作業中","中断"))))</f>
        <v>未着手</v>
      </c>
      <c r="I11" s="30" t="str">
        <f>IF($H11="中断",MAX(0,$AI$1-MAX(L11,N11,P11,R11,T11,V11,X11,Z11,AB11,AD11,AF11,AH11)),"")</f>
        <v/>
      </c>
      <c r="J11" s="26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K11" t="str">
        <f>IF($A8="","",IF(LOOKUP(2,1/($AJ$3:$AJ82&lt;&gt;""),$AJ$3:$AJ82)="-","",LOOKUP(2,1/($AJ$3:$AJ82&lt;&gt;""),$AJ$3:$AJ82)))</f>
        <v/>
      </c>
      <c r="AL11" t="str">
        <f>$H11</f>
        <v>未着手</v>
      </c>
      <c r="AM11">
        <f>IF(ISNUMBER($D11),$D11,0)</f>
        <v>8</v>
      </c>
      <c r="AN11">
        <f>IF(ISNUMBER($E11),$E11,0)</f>
        <v>0</v>
      </c>
      <c r="AO11">
        <f>IF(ISNUMBER($F11),$F11,0)</f>
        <v>8</v>
      </c>
      <c r="AQ11">
        <f>IF(OR($AK11="",K11="",L11=""),0,COUNTIFS($AK$3:$AK$98,$AK11,K$3:K$98,"&lt;"&amp;L11,L$3:L$98,"&gt;"&amp;K11)+COUNTIFS($AK$3:$AK$98,$AK11,M$3:M$98,"&lt;"&amp;L11,N$3:N$98,"&gt;"&amp;K11)+COUNTIFS($AK$3:$AK$98,$AK11,O$3:O$98,"&lt;"&amp;L11,P$3:P$98,"&gt;"&amp;K11)+COUNTIFS($AK$3:$AK$98,$AK11,Q$3:Q$98,"&lt;"&amp;L11,R$3:R$98,"&gt;"&amp;K11)+COUNTIFS($AK$3:$AK$98,$AK11,S$3:S$98,"&lt;"&amp;L11,T$3:T$98,"&gt;"&amp;K11)+COUNTIFS($AK$3:$AK$98,$AK11,U$3:U$98,"&lt;"&amp;L11,V$3:V$98,"&gt;"&amp;K11)+COUNTIFS($AK$3:$AK$98,$AK11,W$3:W$98,"&lt;"&amp;L11,X$3:X$98,"&gt;"&amp;K11)+COUNTIFS($AK$3:$AK$98,$AK11,Y$3:Y$98,"&lt;"&amp;L11,Z$3:Z$98,"&gt;"&amp;K11)+COUNTIFS($AK$3:$AK$98,$AK11,AA$3:AA$98,"&lt;"&amp;L11,AB$3:AB$98,"&gt;"&amp;K11)+COUNTIFS($AK$3:$AK$98,$AK11,AC$3:AC$98,"&lt;"&amp;L11,AD$3:AD$98,"&gt;"&amp;K11)+COUNTIFS($AK$3:$AK$98,$AK11,AE$3:AE$98,"&lt;"&amp;L11,AF$3:AF$98,"&gt;"&amp;K11)+COUNTIFS($AK$3:$AK$98,$AK11,AG$3:AG$98,"&lt;"&amp;L11,AH$3:AH$98,"&gt;"&amp;K11)-(K11&lt;L11))</f>
        <v>0</v>
      </c>
      <c r="AR11">
        <f>AQ11</f>
        <v>0</v>
      </c>
      <c r="AS11">
        <f>IF(OR($AK11="",M11="",N11=""),0,COUNTIFS($AK$3:$AK$98,$AK11,K$3:K$98,"&lt;"&amp;N11,L$3:L$98,"&gt;"&amp;M11)+COUNTIFS($AK$3:$AK$98,$AK11,M$3:M$98,"&lt;"&amp;N11,N$3:N$98,"&gt;"&amp;M11)+COUNTIFS($AK$3:$AK$98,$AK11,O$3:O$98,"&lt;"&amp;N11,P$3:P$98,"&gt;"&amp;M11)+COUNTIFS($AK$3:$AK$98,$AK11,Q$3:Q$98,"&lt;"&amp;N11,R$3:R$98,"&gt;"&amp;M11)+COUNTIFS($AK$3:$AK$98,$AK11,S$3:S$98,"&lt;"&amp;N11,T$3:T$98,"&gt;"&amp;M11)+COUNTIFS($AK$3:$AK$98,$AK11,U$3:U$98,"&lt;"&amp;N11,V$3:V$98,"&gt;"&amp;M11)+COUNTIFS($AK$3:$AK$98,$AK11,W$3:W$98,"&lt;"&amp;N11,X$3:X$98,"&gt;"&amp;M11)+COUNTIFS($AK$3:$AK$98,$AK11,Y$3:Y$98,"&lt;"&amp;N11,Z$3:Z$98,"&gt;"&amp;M11)+COUNTIFS($AK$3:$AK$98,$AK11,AA$3:AA$98,"&lt;"&amp;N11,AB$3:AB$98,"&gt;"&amp;M11)+COUNTIFS($AK$3:$AK$98,$AK11,AC$3:AC$98,"&lt;"&amp;N11,AD$3:AD$98,"&gt;"&amp;M11)+COUNTIFS($AK$3:$AK$98,$AK11,AE$3:AE$98,"&lt;"&amp;N11,AF$3:AF$98,"&gt;"&amp;M11)+COUNTIFS($AK$3:$AK$98,$AK11,AG$3:AG$98,"&lt;"&amp;N11,AH$3:AH$98,"&gt;"&amp;M11)-(M11&lt;N11))</f>
        <v>0</v>
      </c>
      <c r="AT11">
        <f>AS11</f>
        <v>0</v>
      </c>
      <c r="AU11">
        <f>IF(OR($AK11="",O11="",P11=""),0,COUNTIFS($AK$3:$AK$98,$AK11,K$3:K$98,"&lt;"&amp;P11,L$3:L$98,"&gt;"&amp;O11)+COUNTIFS($AK$3:$AK$98,$AK11,M$3:M$98,"&lt;"&amp;P11,N$3:N$98,"&gt;"&amp;O11)+COUNTIFS($AK$3:$AK$98,$AK11,O$3:O$98,"&lt;"&amp;P11,P$3:P$98,"&gt;"&amp;O11)+COUNTIFS($AK$3:$AK$98,$AK11,Q$3:Q$98,"&lt;"&amp;P11,R$3:R$98,"&gt;"&amp;O11)+COUNTIFS($AK$3:$AK$98,$AK11,S$3:S$98,"&lt;"&amp;P11,T$3:T$98,"&gt;"&amp;O11)+COUNTIFS($AK$3:$AK$98,$AK11,U$3:U$98,"&lt;"&amp;P11,V$3:V$98,"&gt;"&amp;O11)+COUNTIFS($AK$3:$AK$98,$AK11,W$3:W$98,"&lt;"&amp;P11,X$3:X$98,"&gt;"&amp;O11)+COUNTIFS($AK$3:$AK$98,$AK11,Y$3:Y$98,"&lt;"&amp;P11,Z$3:Z$98,"&gt;"&amp;O11)+COUNTIFS($AK$3:$AK$98,$AK11,AA$3:AA$98,"&lt;"&amp;P11,AB$3:AB$98,"&gt;"&amp;O11)+COUNTIFS($AK$3:$AK$98,$AK11,AC$3:AC$98,"&lt;"&amp;P11,AD$3:AD$98,"&gt;"&amp;O11)+COUNTIFS($AK$3:$AK$98,$AK11,AE$3:AE$98,"&lt;"&amp;P11,AF$3:AF$98,"&gt;"&amp;O11)+COUNTIFS($AK$3:$AK$98,$AK11,AG$3:AG$98,"&lt;"&amp;P11,AH$3:AH$98,"&gt;"&amp;O11)-(O11&lt;P11))</f>
        <v>0</v>
      </c>
      <c r="AV11">
        <f>AU11</f>
        <v>0</v>
      </c>
      <c r="AW11">
        <f>IF(OR($AK11="",Q11="",R11=""),0,COUNTIFS($AK$3:$AK$98,$AK11,K$3:K$98,"&lt;"&amp;R11,L$3:L$98,"&gt;"&amp;Q11)+COUNTIFS($AK$3:$AK$98,$AK11,M$3:M$98,"&lt;"&amp;R11,N$3:N$98,"&gt;"&amp;Q11)+COUNTIFS($AK$3:$AK$98,$AK11,O$3:O$98,"&lt;"&amp;R11,P$3:P$98,"&gt;"&amp;Q11)+COUNTIFS($AK$3:$AK$98,$AK11,Q$3:Q$98,"&lt;"&amp;R11,R$3:R$98,"&gt;"&amp;Q11)+COUNTIFS($AK$3:$AK$98,$AK11,S$3:S$98,"&lt;"&amp;R11,T$3:T$98,"&gt;"&amp;Q11)+COUNTIFS($AK$3:$AK$98,$AK11,U$3:U$98,"&lt;"&amp;R11,V$3:V$98,"&gt;"&amp;Q11)+COUNTIFS($AK$3:$AK$98,$AK11,W$3:W$98,"&lt;"&amp;R11,X$3:X$98,"&gt;"&amp;Q11)+COUNTIFS($AK$3:$AK$98,$AK11,Y$3:Y$98,"&lt;"&amp;R11,Z$3:Z$98,"&gt;"&amp;Q11)+COUNTIFS($AK$3:$AK$98,$AK11,AA$3:AA$98,"&lt;"&amp;R11,AB$3:AB$98,"&gt;"&amp;Q11)+COUNTIFS($AK$3:$AK$98,$AK11,AC$3:AC$98,"&lt;"&amp;R11,AD$3:AD$98,"&gt;"&amp;Q11)+COUNTIFS($AK$3:$AK$98,$AK11,AE$3:AE$98,"&lt;"&amp;R11,AF$3:AF$98,"&gt;"&amp;Q11)+COUNTIFS($AK$3:$AK$98,$AK11,AG$3:AG$98,"&lt;"&amp;R11,AH$3:AH$98,"&gt;"&amp;Q11)-(Q11&lt;R11))</f>
        <v>0</v>
      </c>
      <c r="AX11">
        <f>AW11</f>
        <v>0</v>
      </c>
      <c r="AY11">
        <f>IF(OR($AK11="",S11="",T11=""),0,COUNTIFS($AK$3:$AK$98,$AK11,K$3:K$98,"&lt;"&amp;T11,L$3:L$98,"&gt;"&amp;S11)+COUNTIFS($AK$3:$AK$98,$AK11,M$3:M$98,"&lt;"&amp;T11,N$3:N$98,"&gt;"&amp;S11)+COUNTIFS($AK$3:$AK$98,$AK11,O$3:O$98,"&lt;"&amp;T11,P$3:P$98,"&gt;"&amp;S11)+COUNTIFS($AK$3:$AK$98,$AK11,Q$3:Q$98,"&lt;"&amp;T11,R$3:R$98,"&gt;"&amp;S11)+COUNTIFS($AK$3:$AK$98,$AK11,S$3:S$98,"&lt;"&amp;T11,T$3:T$98,"&gt;"&amp;S11)+COUNTIFS($AK$3:$AK$98,$AK11,U$3:U$98,"&lt;"&amp;T11,V$3:V$98,"&gt;"&amp;S11)+COUNTIFS($AK$3:$AK$98,$AK11,W$3:W$98,"&lt;"&amp;T11,X$3:X$98,"&gt;"&amp;S11)+COUNTIFS($AK$3:$AK$98,$AK11,Y$3:Y$98,"&lt;"&amp;T11,Z$3:Z$98,"&gt;"&amp;S11)+COUNTIFS($AK$3:$AK$98,$AK11,AA$3:AA$98,"&lt;"&amp;T11,AB$3:AB$98,"&gt;"&amp;S11)+COUNTIFS($AK$3:$AK$98,$AK11,AC$3:AC$98,"&lt;"&amp;T11,AD$3:AD$98,"&gt;"&amp;S11)+COUNTIFS($AK$3:$AK$98,$AK11,AE$3:AE$98,"&lt;"&amp;T11,AF$3:AF$98,"&gt;"&amp;S11)+COUNTIFS($AK$3:$AK$98,$AK11,AG$3:AG$98,"&lt;"&amp;T11,AH$3:AH$98,"&gt;"&amp;S11)-(S11&lt;T11))</f>
        <v>0</v>
      </c>
      <c r="AZ11">
        <f>AY11</f>
        <v>0</v>
      </c>
      <c r="BA11">
        <f>IF(OR($AK11="",U11="",V11=""),0,COUNTIFS($AK$3:$AK$98,$AK11,K$3:K$98,"&lt;"&amp;V11,L$3:L$98,"&gt;"&amp;U11)+COUNTIFS($AK$3:$AK$98,$AK11,M$3:M$98,"&lt;"&amp;V11,N$3:N$98,"&gt;"&amp;U11)+COUNTIFS($AK$3:$AK$98,$AK11,O$3:O$98,"&lt;"&amp;V11,P$3:P$98,"&gt;"&amp;U11)+COUNTIFS($AK$3:$AK$98,$AK11,Q$3:Q$98,"&lt;"&amp;V11,R$3:R$98,"&gt;"&amp;U11)+COUNTIFS($AK$3:$AK$98,$AK11,S$3:S$98,"&lt;"&amp;V11,T$3:T$98,"&gt;"&amp;U11)+COUNTIFS($AK$3:$AK$98,$AK11,U$3:U$98,"&lt;"&amp;V11,V$3:V$98,"&gt;"&amp;U11)+COUNTIFS($AK$3:$AK$98,$AK11,W$3:W$98,"&lt;"&amp;V11,X$3:X$98,"&gt;"&amp;U11)+COUNTIFS($AK$3:$AK$98,$AK11,Y$3:Y$98,"&lt;"&amp;V11,Z$3:Z$98,"&gt;"&amp;U11)+COUNTIFS($AK$3:$AK$98,$AK11,AA$3:AA$98,"&lt;"&amp;V11,AB$3:AB$98,"&gt;"&amp;U11)+COUNTIFS($AK$3:$AK$98,$AK11,AC$3:AC$98,"&lt;"&amp;V11,AD$3:AD$98,"&gt;"&amp;U11)+COUNTIFS($AK$3:$AK$98,$AK11,AE$3:AE$98,"&lt;"&amp;V11,AF$3:AF$98,"&gt;"&amp;U11)+COUNTIFS($AK$3:$AK$98,$AK11,AG$3:AG$98,"&lt;"&amp;V11,AH$3:AH$98,"&gt;"&amp;U11)-(U11&lt;V11))</f>
        <v>0</v>
      </c>
      <c r="BB11">
        <f>BA11</f>
        <v>0</v>
      </c>
      <c r="BC11">
        <f>IF(OR($AK11="",W11="",X11=""),0,COUNTIFS($AK$3:$AK$98,$AK11,K$3:K$98,"&lt;"&amp;X11,L$3:L$98,"&gt;"&amp;W11)+COUNTIFS($AK$3:$AK$98,$AK11,M$3:M$98,"&lt;"&amp;X11,N$3:N$98,"&gt;"&amp;W11)+COUNTIFS($AK$3:$AK$98,$AK11,O$3:O$98,"&lt;"&amp;X11,P$3:P$98,"&gt;"&amp;W11)+COUNTIFS($AK$3:$AK$98,$AK11,Q$3:Q$98,"&lt;"&amp;X11,R$3:R$98,"&gt;"&amp;W11)+COUNTIFS($AK$3:$AK$98,$AK11,S$3:S$98,"&lt;"&amp;X11,T$3:T$98,"&gt;"&amp;W11)+COUNTIFS($AK$3:$AK$98,$AK11,U$3:U$98,"&lt;"&amp;X11,V$3:V$98,"&gt;"&amp;W11)+COUNTIFS($AK$3:$AK$98,$AK11,W$3:W$98,"&lt;"&amp;X11,X$3:X$98,"&gt;"&amp;W11)+COUNTIFS($AK$3:$AK$98,$AK11,Y$3:Y$98,"&lt;"&amp;X11,Z$3:Z$98,"&gt;"&amp;W11)+COUNTIFS($AK$3:$AK$98,$AK11,AA$3:AA$98,"&lt;"&amp;X11,AB$3:AB$98,"&gt;"&amp;W11)+COUNTIFS($AK$3:$AK$98,$AK11,AC$3:AC$98,"&lt;"&amp;X11,AD$3:AD$98,"&gt;"&amp;W11)+COUNTIFS($AK$3:$AK$98,$AK11,AE$3:AE$98,"&lt;"&amp;X11,AF$3:AF$98,"&gt;"&amp;W11)+COUNTIFS($AK$3:$AK$98,$AK11,AG$3:AG$98,"&lt;"&amp;X11,AH$3:AH$98,"&gt;"&amp;W11)-(W11&lt;X11))</f>
        <v>0</v>
      </c>
      <c r="BD11">
        <f>BC11</f>
        <v>0</v>
      </c>
      <c r="BE11">
        <f>IF(OR($AK11="",Y11="",Z11=""),0,COUNTIFS($AK$3:$AK$98,$AK11,K$3:K$98,"&lt;"&amp;Z11,L$3:L$98,"&gt;"&amp;Y11)+COUNTIFS($AK$3:$AK$98,$AK11,M$3:M$98,"&lt;"&amp;Z11,N$3:N$98,"&gt;"&amp;Y11)+COUNTIFS($AK$3:$AK$98,$AK11,O$3:O$98,"&lt;"&amp;Z11,P$3:P$98,"&gt;"&amp;Y11)+COUNTIFS($AK$3:$AK$98,$AK11,Q$3:Q$98,"&lt;"&amp;Z11,R$3:R$98,"&gt;"&amp;Y11)+COUNTIFS($AK$3:$AK$98,$AK11,S$3:S$98,"&lt;"&amp;Z11,T$3:T$98,"&gt;"&amp;Y11)+COUNTIFS($AK$3:$AK$98,$AK11,U$3:U$98,"&lt;"&amp;Z11,V$3:V$98,"&gt;"&amp;Y11)+COUNTIFS($AK$3:$AK$98,$AK11,W$3:W$98,"&lt;"&amp;Z11,X$3:X$98,"&gt;"&amp;Y11)+COUNTIFS($AK$3:$AK$98,$AK11,Y$3:Y$98,"&lt;"&amp;Z11,Z$3:Z$98,"&gt;"&amp;Y11)+COUNTIFS($AK$3:$AK$98,$AK11,AA$3:AA$98,"&lt;"&amp;Z11,AB$3:AB$98,"&gt;"&amp;Y11)+COUNTIFS($AK$3:$AK$98,$AK11,AC$3:AC$98,"&lt;"&amp;Z11,AD$3:AD$98,"&gt;"&amp;Y11)+COUNTIFS($AK$3:$AK$98,$AK11,AE$3:AE$98,"&lt;"&amp;Z11,AF$3:AF$98,"&gt;"&amp;Y11)+COUNTIFS($AK$3:$AK$98,$AK11,AG$3:AG$98,"&lt;"&amp;Z11,AH$3:AH$98,"&gt;"&amp;Y11)-(Y11&lt;Z11))</f>
        <v>0</v>
      </c>
      <c r="BF11">
        <f>BE11</f>
        <v>0</v>
      </c>
      <c r="BG11">
        <f>IF(OR($AK11="",AA11="",AB11=""),0,COUNTIFS($AK$3:$AK$98,$AK11,K$3:K$98,"&lt;"&amp;AB11,L$3:L$98,"&gt;"&amp;AA11)+COUNTIFS($AK$3:$AK$98,$AK11,M$3:M$98,"&lt;"&amp;AB11,N$3:N$98,"&gt;"&amp;AA11)+COUNTIFS($AK$3:$AK$98,$AK11,O$3:O$98,"&lt;"&amp;AB11,P$3:P$98,"&gt;"&amp;AA11)+COUNTIFS($AK$3:$AK$98,$AK11,Q$3:Q$98,"&lt;"&amp;AB11,R$3:R$98,"&gt;"&amp;AA11)+COUNTIFS($AK$3:$AK$98,$AK11,S$3:S$98,"&lt;"&amp;AB11,T$3:T$98,"&gt;"&amp;AA11)+COUNTIFS($AK$3:$AK$98,$AK11,U$3:U$98,"&lt;"&amp;AB11,V$3:V$98,"&gt;"&amp;AA11)+COUNTIFS($AK$3:$AK$98,$AK11,W$3:W$98,"&lt;"&amp;AB11,X$3:X$98,"&gt;"&amp;AA11)+COUNTIFS($AK$3:$AK$98,$AK11,Y$3:Y$98,"&lt;"&amp;AB11,Z$3:Z$98,"&gt;"&amp;AA11)+COUNTIFS($AK$3:$AK$98,$AK11,AA$3:AA$98,"&lt;"&amp;AB11,AB$3:AB$98,"&gt;"&amp;AA11)+COUNTIFS($AK$3:$AK$98,$AK11,AC$3:AC$98,"&lt;"&amp;AB11,AD$3:AD$98,"&gt;"&amp;AA11)+COUNTIFS($AK$3:$AK$98,$AK11,AE$3:AE$98,"&lt;"&amp;AB11,AF$3:AF$98,"&gt;"&amp;AA11)+COUNTIFS($AK$3:$AK$98,$AK11,AG$3:AG$98,"&lt;"&amp;AB11,AH$3:AH$98,"&gt;"&amp;AA11)-(AA11&lt;AB11))</f>
        <v>0</v>
      </c>
      <c r="BH11">
        <f>BG11</f>
        <v>0</v>
      </c>
      <c r="BI11">
        <f>IF(OR($AK11="",AC11="",AD11=""),0,COUNTIFS($AK$3:$AK$98,$AK11,K$3:K$98,"&lt;"&amp;AD11,L$3:L$98,"&gt;"&amp;AC11)+COUNTIFS($AK$3:$AK$98,$AK11,M$3:M$98,"&lt;"&amp;AD11,N$3:N$98,"&gt;"&amp;AC11)+COUNTIFS($AK$3:$AK$98,$AK11,O$3:O$98,"&lt;"&amp;AD11,P$3:P$98,"&gt;"&amp;AC11)+COUNTIFS($AK$3:$AK$98,$AK11,Q$3:Q$98,"&lt;"&amp;AD11,R$3:R$98,"&gt;"&amp;AC11)+COUNTIFS($AK$3:$AK$98,$AK11,S$3:S$98,"&lt;"&amp;AD11,T$3:T$98,"&gt;"&amp;AC11)+COUNTIFS($AK$3:$AK$98,$AK11,U$3:U$98,"&lt;"&amp;AD11,V$3:V$98,"&gt;"&amp;AC11)+COUNTIFS($AK$3:$AK$98,$AK11,W$3:W$98,"&lt;"&amp;AD11,X$3:X$98,"&gt;"&amp;AC11)+COUNTIFS($AK$3:$AK$98,$AK11,Y$3:Y$98,"&lt;"&amp;AD11,Z$3:Z$98,"&gt;"&amp;AC11)+COUNTIFS($AK$3:$AK$98,$AK11,AA$3:AA$98,"&lt;"&amp;AD11,AB$3:AB$98,"&gt;"&amp;AC11)+COUNTIFS($AK$3:$AK$98,$AK11,AC$3:AC$98,"&lt;"&amp;AD11,AD$3:AD$98,"&gt;"&amp;AC11)+COUNTIFS($AK$3:$AK$98,$AK11,AE$3:AE$98,"&lt;"&amp;AD11,AF$3:AF$98,"&gt;"&amp;AC11)+COUNTIFS($AK$3:$AK$98,$AK11,AG$3:AG$98,"&lt;"&amp;AD11,AH$3:AH$98,"&gt;"&amp;AC11)-(AC11&lt;AD11))</f>
        <v>0</v>
      </c>
      <c r="BJ11">
        <f>BI11</f>
        <v>0</v>
      </c>
      <c r="BK11">
        <f>IF(OR($AK11="",AE11="",AF11=""),0,COUNTIFS($AK$3:$AK$98,$AK11,K$3:K$98,"&lt;"&amp;AF11,L$3:L$98,"&gt;"&amp;AE11)+COUNTIFS($AK$3:$AK$98,$AK11,M$3:M$98,"&lt;"&amp;AF11,N$3:N$98,"&gt;"&amp;AE11)+COUNTIFS($AK$3:$AK$98,$AK11,O$3:O$98,"&lt;"&amp;AF11,P$3:P$98,"&gt;"&amp;AE11)+COUNTIFS($AK$3:$AK$98,$AK11,Q$3:Q$98,"&lt;"&amp;AF11,R$3:R$98,"&gt;"&amp;AE11)+COUNTIFS($AK$3:$AK$98,$AK11,S$3:S$98,"&lt;"&amp;AF11,T$3:T$98,"&gt;"&amp;AE11)+COUNTIFS($AK$3:$AK$98,$AK11,U$3:U$98,"&lt;"&amp;AF11,V$3:V$98,"&gt;"&amp;AE11)+COUNTIFS($AK$3:$AK$98,$AK11,W$3:W$98,"&lt;"&amp;AF11,X$3:X$98,"&gt;"&amp;AE11)+COUNTIFS($AK$3:$AK$98,$AK11,Y$3:Y$98,"&lt;"&amp;AF11,Z$3:Z$98,"&gt;"&amp;AE11)+COUNTIFS($AK$3:$AK$98,$AK11,AA$3:AA$98,"&lt;"&amp;AF11,AB$3:AB$98,"&gt;"&amp;AE11)+COUNTIFS($AK$3:$AK$98,$AK11,AC$3:AC$98,"&lt;"&amp;AF11,AD$3:AD$98,"&gt;"&amp;AE11)+COUNTIFS($AK$3:$AK$98,$AK11,AE$3:AE$98,"&lt;"&amp;AF11,AF$3:AF$98,"&gt;"&amp;AE11)+COUNTIFS($AK$3:$AK$98,$AK11,AG$3:AG$98,"&lt;"&amp;AF11,AH$3:AH$98,"&gt;"&amp;AE11)-(AE11&lt;AF11))</f>
        <v>0</v>
      </c>
      <c r="BL11">
        <f>BK11</f>
        <v>0</v>
      </c>
      <c r="BM11">
        <f>IF(OR($AK11="",AG11="",AH11=""),0,COUNTIFS($AK$3:$AK$98,$AK11,K$3:K$98,"&lt;"&amp;AH11,L$3:L$98,"&gt;"&amp;AG11)+COUNTIFS($AK$3:$AK$98,$AK11,M$3:M$98,"&lt;"&amp;AH11,N$3:N$98,"&gt;"&amp;AG11)+COUNTIFS($AK$3:$AK$98,$AK11,O$3:O$98,"&lt;"&amp;AH11,P$3:P$98,"&gt;"&amp;AG11)+COUNTIFS($AK$3:$AK$98,$AK11,Q$3:Q$98,"&lt;"&amp;AH11,R$3:R$98,"&gt;"&amp;AG11)+COUNTIFS($AK$3:$AK$98,$AK11,S$3:S$98,"&lt;"&amp;AH11,T$3:T$98,"&gt;"&amp;AG11)+COUNTIFS($AK$3:$AK$98,$AK11,U$3:U$98,"&lt;"&amp;AH11,V$3:V$98,"&gt;"&amp;AG11)+COUNTIFS($AK$3:$AK$98,$AK11,W$3:W$98,"&lt;"&amp;AH11,X$3:X$98,"&gt;"&amp;AG11)+COUNTIFS($AK$3:$AK$98,$AK11,Y$3:Y$98,"&lt;"&amp;AH11,Z$3:Z$98,"&gt;"&amp;AG11)+COUNTIFS($AK$3:$AK$98,$AK11,AA$3:AA$98,"&lt;"&amp;AH11,AB$3:AB$98,"&gt;"&amp;AG11)+COUNTIFS($AK$3:$AK$98,$AK11,AC$3:AC$98,"&lt;"&amp;AH11,AD$3:AD$98,"&gt;"&amp;AG11)+COUNTIFS($AK$3:$AK$98,$AK11,AE$3:AE$98,"&lt;"&amp;AH11,AF$3:AF$98,"&gt;"&amp;AG11)+COUNTIFS($AK$3:$AK$98,$AK11,AG$3:AG$98,"&lt;"&amp;AH11,AH$3:AH$98,"&gt;"&amp;AG11)-(AG11&lt;AH11))</f>
        <v>0</v>
      </c>
      <c r="BN11">
        <f>BM11</f>
        <v>0</v>
      </c>
      <c r="BO11">
        <f>IF(ISNUMBER($G11),$G11,"")</f>
        <v>0</v>
      </c>
      <c r="BP11" t="str">
        <f>IF(AND($A11&lt;&gt;"",COUNT($K11:$AH11)&gt;0),ROW(),"")</f>
        <v/>
      </c>
    </row>
    <row r="12" spans="1:68" x14ac:dyDescent="0.15">
      <c r="A12" s="13" t="s">
        <v>35</v>
      </c>
      <c r="B12" s="14" t="str">
        <f>IF($A12="","","total")</f>
        <v>total</v>
      </c>
      <c r="C12" s="14"/>
      <c r="D12" s="15">
        <f>IF($A12="","",SUM(D13:D15))</f>
        <v>36</v>
      </c>
      <c r="E12" s="15">
        <f>IF($A12="","",SUM(E13:E15))</f>
        <v>5</v>
      </c>
      <c r="F12" s="15">
        <f>IF($A12="","",D12-E12)</f>
        <v>31</v>
      </c>
      <c r="G12" s="16">
        <f>IF($A12="","",IFERROR(AVERAGEIFS(G13:G15,H13:H15,"&lt;&gt;未着手",H13:H15,"&lt;&gt;作業中"),""))</f>
        <v>0.3125</v>
      </c>
      <c r="H12" s="14"/>
      <c r="I12" s="14"/>
      <c r="J12" s="14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spans="1:68" x14ac:dyDescent="0.15">
      <c r="A13" s="18" t="str">
        <f>IF($A12="","",$A12)</f>
        <v>chHijikiA</v>
      </c>
      <c r="B13" s="19" t="str">
        <f>IF($A12="","","low")</f>
        <v>low</v>
      </c>
      <c r="C13" s="19"/>
      <c r="D13" s="20">
        <v>16</v>
      </c>
      <c r="E13" s="21">
        <f>IF(AND($D13="",COUNT($K13:$AH13)=0),"",IF(K13="",0,MAX(0,NETWORKDAYS(K13,IF(L13&lt;&gt;"",L13,IF($J13&lt;&gt;"",K13,$AI$1)),祝日!$A$2:$A$200)))+IF(M13="",0,MAX(0,NETWORKDAYS(M13,IF(N13&lt;&gt;"",N13,IF($J13&lt;&gt;"",M13,$AI$1)),祝日!$A$2:$A$200)))+IF(O13="",0,MAX(0,NETWORKDAYS(O13,IF(P13&lt;&gt;"",P13,IF($J13&lt;&gt;"",O13,$AI$1)),祝日!$A$2:$A$200)))+IF(Q13="",0,MAX(0,NETWORKDAYS(Q13,IF(R13&lt;&gt;"",R13,IF($J13&lt;&gt;"",Q13,$AI$1)),祝日!$A$2:$A$200)))+IF(S13="",0,MAX(0,NETWORKDAYS(S13,IF(T13&lt;&gt;"",T13,IF($J13&lt;&gt;"",S13,$AI$1)),祝日!$A$2:$A$200)))+IF(U13="",0,MAX(0,NETWORKDAYS(U13,IF(V13&lt;&gt;"",V13,IF($J13&lt;&gt;"",U13,$AI$1)),祝日!$A$2:$A$200)))+IF(W13="",0,MAX(0,NETWORKDAYS(W13,IF(X13&lt;&gt;"",X13,IF($J13&lt;&gt;"",W13,$AI$1)),祝日!$A$2:$A$200)))+IF(Y13="",0,MAX(0,NETWORKDAYS(Y13,IF(Z13&lt;&gt;"",Z13,IF($J13&lt;&gt;"",Y13,$AI$1)),祝日!$A$2:$A$200)))+IF(AA13="",0,MAX(0,NETWORKDAYS(AA13,IF(AB13&lt;&gt;"",AB13,IF($J13&lt;&gt;"",AA13,$AI$1)),祝日!$A$2:$A$200)))+IF(AC13="",0,MAX(0,NETWORKDAYS(AC13,IF(AD13&lt;&gt;"",AD13,IF($J13&lt;&gt;"",AC13,$AI$1)),祝日!$A$2:$A$200)))+IF(AE13="",0,MAX(0,NETWORKDAYS(AE13,IF(AF13&lt;&gt;"",AF13,IF($J13&lt;&gt;"",AE13,$AI$1)),祝日!$A$2:$A$200)))+IF(AG13="",0,MAX(0,NETWORKDAYS(AG13,IF(AH13&lt;&gt;"",AH13,IF($J13&lt;&gt;"",AG13,$AI$1)),祝日!$A$2:$A$200))))</f>
        <v>5</v>
      </c>
      <c r="F13" s="21">
        <f>IF($D13="","",$D13-$E13)</f>
        <v>11</v>
      </c>
      <c r="G13" s="22">
        <f>IF(OR($D13="",$D13=0),"",$E13/$D13)</f>
        <v>0.3125</v>
      </c>
      <c r="H13" s="23" t="str">
        <f>IF($D13="","",IF($J13&lt;&gt;"","FIX",IF(AND(SUMPRODUCT((MOD(COLUMN($K13:$AH13)-COLUMN($K13),2)=0)*($K13:$AH13&lt;&gt;""))=0,SUMPRODUCT((MOD(COLUMN($K13:$AH13)-COLUMN($K13),2)=1)*($K13:$AH13&lt;&gt;""))=0),"未着手",IF(SUMPRODUCT((MOD(COLUMN($K13:$AH13)-COLUMN($K13),2)=0)*($K13:$AH13&lt;&gt;""))&gt;SUMPRODUCT((MOD(COLUMN($K13:$AH13)-COLUMN($K13),2)=1)*($K13:$AH13&lt;&gt;"")),"作業中","中断"))))</f>
        <v>中断</v>
      </c>
      <c r="I13" s="23">
        <f ca="1">IF($H13="中断",MAX(0,$AI$1-MAX(L13,N13,P13,R13,T13,V13,X13,Z13,AB13,AD13,AF13,AH13)),"")</f>
        <v>1</v>
      </c>
      <c r="J13" s="19"/>
      <c r="K13" s="24">
        <v>46295</v>
      </c>
      <c r="L13" s="24">
        <v>46301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K13" t="str">
        <f>IF($A12="","",IF(LOOKUP(2,1/($AJ$3:$AJ13&lt;&gt;""),$AJ$3:$AJ13)="-","",LOOKUP(2,1/($AJ$3:$AJ13&lt;&gt;""),$AJ$3:$AJ13)))</f>
        <v>CH01</v>
      </c>
      <c r="AL13" t="str">
        <f>$H13</f>
        <v>中断</v>
      </c>
      <c r="AM13">
        <f>IF(ISNUMBER($D13),$D13,0)</f>
        <v>16</v>
      </c>
      <c r="AN13">
        <f>IF(ISNUMBER($E13),$E13,0)</f>
        <v>5</v>
      </c>
      <c r="AO13">
        <f>IF(ISNUMBER($F13),$F13,0)</f>
        <v>11</v>
      </c>
      <c r="AQ13">
        <f>IF(OR($AK13="",K13="",L13=""),0,COUNTIFS($AK$3:$AK$98,$AK13,K$3:K$98,"&lt;"&amp;L13,L$3:L$98,"&gt;"&amp;K13)+COUNTIFS($AK$3:$AK$98,$AK13,M$3:M$98,"&lt;"&amp;L13,N$3:N$98,"&gt;"&amp;K13)+COUNTIFS($AK$3:$AK$98,$AK13,O$3:O$98,"&lt;"&amp;L13,P$3:P$98,"&gt;"&amp;K13)+COUNTIFS($AK$3:$AK$98,$AK13,Q$3:Q$98,"&lt;"&amp;L13,R$3:R$98,"&gt;"&amp;K13)+COUNTIFS($AK$3:$AK$98,$AK13,S$3:S$98,"&lt;"&amp;L13,T$3:T$98,"&gt;"&amp;K13)+COUNTIFS($AK$3:$AK$98,$AK13,U$3:U$98,"&lt;"&amp;L13,V$3:V$98,"&gt;"&amp;K13)+COUNTIFS($AK$3:$AK$98,$AK13,W$3:W$98,"&lt;"&amp;L13,X$3:X$98,"&gt;"&amp;K13)+COUNTIFS($AK$3:$AK$98,$AK13,Y$3:Y$98,"&lt;"&amp;L13,Z$3:Z$98,"&gt;"&amp;K13)+COUNTIFS($AK$3:$AK$98,$AK13,AA$3:AA$98,"&lt;"&amp;L13,AB$3:AB$98,"&gt;"&amp;K13)+COUNTIFS($AK$3:$AK$98,$AK13,AC$3:AC$98,"&lt;"&amp;L13,AD$3:AD$98,"&gt;"&amp;K13)+COUNTIFS($AK$3:$AK$98,$AK13,AE$3:AE$98,"&lt;"&amp;L13,AF$3:AF$98,"&gt;"&amp;K13)+COUNTIFS($AK$3:$AK$98,$AK13,AG$3:AG$98,"&lt;"&amp;L13,AH$3:AH$98,"&gt;"&amp;K13)-(K13&lt;L13))</f>
        <v>0</v>
      </c>
      <c r="AR13">
        <f>AQ13</f>
        <v>0</v>
      </c>
      <c r="AS13">
        <f>IF(OR($AK13="",M13="",N13=""),0,COUNTIFS($AK$3:$AK$98,$AK13,K$3:K$98,"&lt;"&amp;N13,L$3:L$98,"&gt;"&amp;M13)+COUNTIFS($AK$3:$AK$98,$AK13,M$3:M$98,"&lt;"&amp;N13,N$3:N$98,"&gt;"&amp;M13)+COUNTIFS($AK$3:$AK$98,$AK13,O$3:O$98,"&lt;"&amp;N13,P$3:P$98,"&gt;"&amp;M13)+COUNTIFS($AK$3:$AK$98,$AK13,Q$3:Q$98,"&lt;"&amp;N13,R$3:R$98,"&gt;"&amp;M13)+COUNTIFS($AK$3:$AK$98,$AK13,S$3:S$98,"&lt;"&amp;N13,T$3:T$98,"&gt;"&amp;M13)+COUNTIFS($AK$3:$AK$98,$AK13,U$3:U$98,"&lt;"&amp;N13,V$3:V$98,"&gt;"&amp;M13)+COUNTIFS($AK$3:$AK$98,$AK13,W$3:W$98,"&lt;"&amp;N13,X$3:X$98,"&gt;"&amp;M13)+COUNTIFS($AK$3:$AK$98,$AK13,Y$3:Y$98,"&lt;"&amp;N13,Z$3:Z$98,"&gt;"&amp;M13)+COUNTIFS($AK$3:$AK$98,$AK13,AA$3:AA$98,"&lt;"&amp;N13,AB$3:AB$98,"&gt;"&amp;M13)+COUNTIFS($AK$3:$AK$98,$AK13,AC$3:AC$98,"&lt;"&amp;N13,AD$3:AD$98,"&gt;"&amp;M13)+COUNTIFS($AK$3:$AK$98,$AK13,AE$3:AE$98,"&lt;"&amp;N13,AF$3:AF$98,"&gt;"&amp;M13)+COUNTIFS($AK$3:$AK$98,$AK13,AG$3:AG$98,"&lt;"&amp;N13,AH$3:AH$98,"&gt;"&amp;M13)-(M13&lt;N13))</f>
        <v>0</v>
      </c>
      <c r="AT13">
        <f>AS13</f>
        <v>0</v>
      </c>
      <c r="AU13">
        <f>IF(OR($AK13="",O13="",P13=""),0,COUNTIFS($AK$3:$AK$98,$AK13,K$3:K$98,"&lt;"&amp;P13,L$3:L$98,"&gt;"&amp;O13)+COUNTIFS($AK$3:$AK$98,$AK13,M$3:M$98,"&lt;"&amp;P13,N$3:N$98,"&gt;"&amp;O13)+COUNTIFS($AK$3:$AK$98,$AK13,O$3:O$98,"&lt;"&amp;P13,P$3:P$98,"&gt;"&amp;O13)+COUNTIFS($AK$3:$AK$98,$AK13,Q$3:Q$98,"&lt;"&amp;P13,R$3:R$98,"&gt;"&amp;O13)+COUNTIFS($AK$3:$AK$98,$AK13,S$3:S$98,"&lt;"&amp;P13,T$3:T$98,"&gt;"&amp;O13)+COUNTIFS($AK$3:$AK$98,$AK13,U$3:U$98,"&lt;"&amp;P13,V$3:V$98,"&gt;"&amp;O13)+COUNTIFS($AK$3:$AK$98,$AK13,W$3:W$98,"&lt;"&amp;P13,X$3:X$98,"&gt;"&amp;O13)+COUNTIFS($AK$3:$AK$98,$AK13,Y$3:Y$98,"&lt;"&amp;P13,Z$3:Z$98,"&gt;"&amp;O13)+COUNTIFS($AK$3:$AK$98,$AK13,AA$3:AA$98,"&lt;"&amp;P13,AB$3:AB$98,"&gt;"&amp;O13)+COUNTIFS($AK$3:$AK$98,$AK13,AC$3:AC$98,"&lt;"&amp;P13,AD$3:AD$98,"&gt;"&amp;O13)+COUNTIFS($AK$3:$AK$98,$AK13,AE$3:AE$98,"&lt;"&amp;P13,AF$3:AF$98,"&gt;"&amp;O13)+COUNTIFS($AK$3:$AK$98,$AK13,AG$3:AG$98,"&lt;"&amp;P13,AH$3:AH$98,"&gt;"&amp;O13)-(O13&lt;P13))</f>
        <v>0</v>
      </c>
      <c r="AV13">
        <f>AU13</f>
        <v>0</v>
      </c>
      <c r="AW13">
        <f>IF(OR($AK13="",Q13="",R13=""),0,COUNTIFS($AK$3:$AK$98,$AK13,K$3:K$98,"&lt;"&amp;R13,L$3:L$98,"&gt;"&amp;Q13)+COUNTIFS($AK$3:$AK$98,$AK13,M$3:M$98,"&lt;"&amp;R13,N$3:N$98,"&gt;"&amp;Q13)+COUNTIFS($AK$3:$AK$98,$AK13,O$3:O$98,"&lt;"&amp;R13,P$3:P$98,"&gt;"&amp;Q13)+COUNTIFS($AK$3:$AK$98,$AK13,Q$3:Q$98,"&lt;"&amp;R13,R$3:R$98,"&gt;"&amp;Q13)+COUNTIFS($AK$3:$AK$98,$AK13,S$3:S$98,"&lt;"&amp;R13,T$3:T$98,"&gt;"&amp;Q13)+COUNTIFS($AK$3:$AK$98,$AK13,U$3:U$98,"&lt;"&amp;R13,V$3:V$98,"&gt;"&amp;Q13)+COUNTIFS($AK$3:$AK$98,$AK13,W$3:W$98,"&lt;"&amp;R13,X$3:X$98,"&gt;"&amp;Q13)+COUNTIFS($AK$3:$AK$98,$AK13,Y$3:Y$98,"&lt;"&amp;R13,Z$3:Z$98,"&gt;"&amp;Q13)+COUNTIFS($AK$3:$AK$98,$AK13,AA$3:AA$98,"&lt;"&amp;R13,AB$3:AB$98,"&gt;"&amp;Q13)+COUNTIFS($AK$3:$AK$98,$AK13,AC$3:AC$98,"&lt;"&amp;R13,AD$3:AD$98,"&gt;"&amp;Q13)+COUNTIFS($AK$3:$AK$98,$AK13,AE$3:AE$98,"&lt;"&amp;R13,AF$3:AF$98,"&gt;"&amp;Q13)+COUNTIFS($AK$3:$AK$98,$AK13,AG$3:AG$98,"&lt;"&amp;R13,AH$3:AH$98,"&gt;"&amp;Q13)-(Q13&lt;R13))</f>
        <v>0</v>
      </c>
      <c r="AX13">
        <f>AW13</f>
        <v>0</v>
      </c>
      <c r="AY13">
        <f>IF(OR($AK13="",S13="",T13=""),0,COUNTIFS($AK$3:$AK$98,$AK13,K$3:K$98,"&lt;"&amp;T13,L$3:L$98,"&gt;"&amp;S13)+COUNTIFS($AK$3:$AK$98,$AK13,M$3:M$98,"&lt;"&amp;T13,N$3:N$98,"&gt;"&amp;S13)+COUNTIFS($AK$3:$AK$98,$AK13,O$3:O$98,"&lt;"&amp;T13,P$3:P$98,"&gt;"&amp;S13)+COUNTIFS($AK$3:$AK$98,$AK13,Q$3:Q$98,"&lt;"&amp;T13,R$3:R$98,"&gt;"&amp;S13)+COUNTIFS($AK$3:$AK$98,$AK13,S$3:S$98,"&lt;"&amp;T13,T$3:T$98,"&gt;"&amp;S13)+COUNTIFS($AK$3:$AK$98,$AK13,U$3:U$98,"&lt;"&amp;T13,V$3:V$98,"&gt;"&amp;S13)+COUNTIFS($AK$3:$AK$98,$AK13,W$3:W$98,"&lt;"&amp;T13,X$3:X$98,"&gt;"&amp;S13)+COUNTIFS($AK$3:$AK$98,$AK13,Y$3:Y$98,"&lt;"&amp;T13,Z$3:Z$98,"&gt;"&amp;S13)+COUNTIFS($AK$3:$AK$98,$AK13,AA$3:AA$98,"&lt;"&amp;T13,AB$3:AB$98,"&gt;"&amp;S13)+COUNTIFS($AK$3:$AK$98,$AK13,AC$3:AC$98,"&lt;"&amp;T13,AD$3:AD$98,"&gt;"&amp;S13)+COUNTIFS($AK$3:$AK$98,$AK13,AE$3:AE$98,"&lt;"&amp;T13,AF$3:AF$98,"&gt;"&amp;S13)+COUNTIFS($AK$3:$AK$98,$AK13,AG$3:AG$98,"&lt;"&amp;T13,AH$3:AH$98,"&gt;"&amp;S13)-(S13&lt;T13))</f>
        <v>0</v>
      </c>
      <c r="AZ13">
        <f>AY13</f>
        <v>0</v>
      </c>
      <c r="BA13">
        <f>IF(OR($AK13="",U13="",V13=""),0,COUNTIFS($AK$3:$AK$98,$AK13,K$3:K$98,"&lt;"&amp;V13,L$3:L$98,"&gt;"&amp;U13)+COUNTIFS($AK$3:$AK$98,$AK13,M$3:M$98,"&lt;"&amp;V13,N$3:N$98,"&gt;"&amp;U13)+COUNTIFS($AK$3:$AK$98,$AK13,O$3:O$98,"&lt;"&amp;V13,P$3:P$98,"&gt;"&amp;U13)+COUNTIFS($AK$3:$AK$98,$AK13,Q$3:Q$98,"&lt;"&amp;V13,R$3:R$98,"&gt;"&amp;U13)+COUNTIFS($AK$3:$AK$98,$AK13,S$3:S$98,"&lt;"&amp;V13,T$3:T$98,"&gt;"&amp;U13)+COUNTIFS($AK$3:$AK$98,$AK13,U$3:U$98,"&lt;"&amp;V13,V$3:V$98,"&gt;"&amp;U13)+COUNTIFS($AK$3:$AK$98,$AK13,W$3:W$98,"&lt;"&amp;V13,X$3:X$98,"&gt;"&amp;U13)+COUNTIFS($AK$3:$AK$98,$AK13,Y$3:Y$98,"&lt;"&amp;V13,Z$3:Z$98,"&gt;"&amp;U13)+COUNTIFS($AK$3:$AK$98,$AK13,AA$3:AA$98,"&lt;"&amp;V13,AB$3:AB$98,"&gt;"&amp;U13)+COUNTIFS($AK$3:$AK$98,$AK13,AC$3:AC$98,"&lt;"&amp;V13,AD$3:AD$98,"&gt;"&amp;U13)+COUNTIFS($AK$3:$AK$98,$AK13,AE$3:AE$98,"&lt;"&amp;V13,AF$3:AF$98,"&gt;"&amp;U13)+COUNTIFS($AK$3:$AK$98,$AK13,AG$3:AG$98,"&lt;"&amp;V13,AH$3:AH$98,"&gt;"&amp;U13)-(U13&lt;V13))</f>
        <v>0</v>
      </c>
      <c r="BB13">
        <f>BA13</f>
        <v>0</v>
      </c>
      <c r="BC13">
        <f>IF(OR($AK13="",W13="",X13=""),0,COUNTIFS($AK$3:$AK$98,$AK13,K$3:K$98,"&lt;"&amp;X13,L$3:L$98,"&gt;"&amp;W13)+COUNTIFS($AK$3:$AK$98,$AK13,M$3:M$98,"&lt;"&amp;X13,N$3:N$98,"&gt;"&amp;W13)+COUNTIFS($AK$3:$AK$98,$AK13,O$3:O$98,"&lt;"&amp;X13,P$3:P$98,"&gt;"&amp;W13)+COUNTIFS($AK$3:$AK$98,$AK13,Q$3:Q$98,"&lt;"&amp;X13,R$3:R$98,"&gt;"&amp;W13)+COUNTIFS($AK$3:$AK$98,$AK13,S$3:S$98,"&lt;"&amp;X13,T$3:T$98,"&gt;"&amp;W13)+COUNTIFS($AK$3:$AK$98,$AK13,U$3:U$98,"&lt;"&amp;X13,V$3:V$98,"&gt;"&amp;W13)+COUNTIFS($AK$3:$AK$98,$AK13,W$3:W$98,"&lt;"&amp;X13,X$3:X$98,"&gt;"&amp;W13)+COUNTIFS($AK$3:$AK$98,$AK13,Y$3:Y$98,"&lt;"&amp;X13,Z$3:Z$98,"&gt;"&amp;W13)+COUNTIFS($AK$3:$AK$98,$AK13,AA$3:AA$98,"&lt;"&amp;X13,AB$3:AB$98,"&gt;"&amp;W13)+COUNTIFS($AK$3:$AK$98,$AK13,AC$3:AC$98,"&lt;"&amp;X13,AD$3:AD$98,"&gt;"&amp;W13)+COUNTIFS($AK$3:$AK$98,$AK13,AE$3:AE$98,"&lt;"&amp;X13,AF$3:AF$98,"&gt;"&amp;W13)+COUNTIFS($AK$3:$AK$98,$AK13,AG$3:AG$98,"&lt;"&amp;X13,AH$3:AH$98,"&gt;"&amp;W13)-(W13&lt;X13))</f>
        <v>0</v>
      </c>
      <c r="BD13">
        <f>BC13</f>
        <v>0</v>
      </c>
      <c r="BE13">
        <f>IF(OR($AK13="",Y13="",Z13=""),0,COUNTIFS($AK$3:$AK$98,$AK13,K$3:K$98,"&lt;"&amp;Z13,L$3:L$98,"&gt;"&amp;Y13)+COUNTIFS($AK$3:$AK$98,$AK13,M$3:M$98,"&lt;"&amp;Z13,N$3:N$98,"&gt;"&amp;Y13)+COUNTIFS($AK$3:$AK$98,$AK13,O$3:O$98,"&lt;"&amp;Z13,P$3:P$98,"&gt;"&amp;Y13)+COUNTIFS($AK$3:$AK$98,$AK13,Q$3:Q$98,"&lt;"&amp;Z13,R$3:R$98,"&gt;"&amp;Y13)+COUNTIFS($AK$3:$AK$98,$AK13,S$3:S$98,"&lt;"&amp;Z13,T$3:T$98,"&gt;"&amp;Y13)+COUNTIFS($AK$3:$AK$98,$AK13,U$3:U$98,"&lt;"&amp;Z13,V$3:V$98,"&gt;"&amp;Y13)+COUNTIFS($AK$3:$AK$98,$AK13,W$3:W$98,"&lt;"&amp;Z13,X$3:X$98,"&gt;"&amp;Y13)+COUNTIFS($AK$3:$AK$98,$AK13,Y$3:Y$98,"&lt;"&amp;Z13,Z$3:Z$98,"&gt;"&amp;Y13)+COUNTIFS($AK$3:$AK$98,$AK13,AA$3:AA$98,"&lt;"&amp;Z13,AB$3:AB$98,"&gt;"&amp;Y13)+COUNTIFS($AK$3:$AK$98,$AK13,AC$3:AC$98,"&lt;"&amp;Z13,AD$3:AD$98,"&gt;"&amp;Y13)+COUNTIFS($AK$3:$AK$98,$AK13,AE$3:AE$98,"&lt;"&amp;Z13,AF$3:AF$98,"&gt;"&amp;Y13)+COUNTIFS($AK$3:$AK$98,$AK13,AG$3:AG$98,"&lt;"&amp;Z13,AH$3:AH$98,"&gt;"&amp;Y13)-(Y13&lt;Z13))</f>
        <v>0</v>
      </c>
      <c r="BF13">
        <f>BE13</f>
        <v>0</v>
      </c>
      <c r="BG13">
        <f>IF(OR($AK13="",AA13="",AB13=""),0,COUNTIFS($AK$3:$AK$98,$AK13,K$3:K$98,"&lt;"&amp;AB13,L$3:L$98,"&gt;"&amp;AA13)+COUNTIFS($AK$3:$AK$98,$AK13,M$3:M$98,"&lt;"&amp;AB13,N$3:N$98,"&gt;"&amp;AA13)+COUNTIFS($AK$3:$AK$98,$AK13,O$3:O$98,"&lt;"&amp;AB13,P$3:P$98,"&gt;"&amp;AA13)+COUNTIFS($AK$3:$AK$98,$AK13,Q$3:Q$98,"&lt;"&amp;AB13,R$3:R$98,"&gt;"&amp;AA13)+COUNTIFS($AK$3:$AK$98,$AK13,S$3:S$98,"&lt;"&amp;AB13,T$3:T$98,"&gt;"&amp;AA13)+COUNTIFS($AK$3:$AK$98,$AK13,U$3:U$98,"&lt;"&amp;AB13,V$3:V$98,"&gt;"&amp;AA13)+COUNTIFS($AK$3:$AK$98,$AK13,W$3:W$98,"&lt;"&amp;AB13,X$3:X$98,"&gt;"&amp;AA13)+COUNTIFS($AK$3:$AK$98,$AK13,Y$3:Y$98,"&lt;"&amp;AB13,Z$3:Z$98,"&gt;"&amp;AA13)+COUNTIFS($AK$3:$AK$98,$AK13,AA$3:AA$98,"&lt;"&amp;AB13,AB$3:AB$98,"&gt;"&amp;AA13)+COUNTIFS($AK$3:$AK$98,$AK13,AC$3:AC$98,"&lt;"&amp;AB13,AD$3:AD$98,"&gt;"&amp;AA13)+COUNTIFS($AK$3:$AK$98,$AK13,AE$3:AE$98,"&lt;"&amp;AB13,AF$3:AF$98,"&gt;"&amp;AA13)+COUNTIFS($AK$3:$AK$98,$AK13,AG$3:AG$98,"&lt;"&amp;AB13,AH$3:AH$98,"&gt;"&amp;AA13)-(AA13&lt;AB13))</f>
        <v>0</v>
      </c>
      <c r="BH13">
        <f>BG13</f>
        <v>0</v>
      </c>
      <c r="BI13">
        <f>IF(OR($AK13="",AC13="",AD13=""),0,COUNTIFS($AK$3:$AK$98,$AK13,K$3:K$98,"&lt;"&amp;AD13,L$3:L$98,"&gt;"&amp;AC13)+COUNTIFS($AK$3:$AK$98,$AK13,M$3:M$98,"&lt;"&amp;AD13,N$3:N$98,"&gt;"&amp;AC13)+COUNTIFS($AK$3:$AK$98,$AK13,O$3:O$98,"&lt;"&amp;AD13,P$3:P$98,"&gt;"&amp;AC13)+COUNTIFS($AK$3:$AK$98,$AK13,Q$3:Q$98,"&lt;"&amp;AD13,R$3:R$98,"&gt;"&amp;AC13)+COUNTIFS($AK$3:$AK$98,$AK13,S$3:S$98,"&lt;"&amp;AD13,T$3:T$98,"&gt;"&amp;AC13)+COUNTIFS($AK$3:$AK$98,$AK13,U$3:U$98,"&lt;"&amp;AD13,V$3:V$98,"&gt;"&amp;AC13)+COUNTIFS($AK$3:$AK$98,$AK13,W$3:W$98,"&lt;"&amp;AD13,X$3:X$98,"&gt;"&amp;AC13)+COUNTIFS($AK$3:$AK$98,$AK13,Y$3:Y$98,"&lt;"&amp;AD13,Z$3:Z$98,"&gt;"&amp;AC13)+COUNTIFS($AK$3:$AK$98,$AK13,AA$3:AA$98,"&lt;"&amp;AD13,AB$3:AB$98,"&gt;"&amp;AC13)+COUNTIFS($AK$3:$AK$98,$AK13,AC$3:AC$98,"&lt;"&amp;AD13,AD$3:AD$98,"&gt;"&amp;AC13)+COUNTIFS($AK$3:$AK$98,$AK13,AE$3:AE$98,"&lt;"&amp;AD13,AF$3:AF$98,"&gt;"&amp;AC13)+COUNTIFS($AK$3:$AK$98,$AK13,AG$3:AG$98,"&lt;"&amp;AD13,AH$3:AH$98,"&gt;"&amp;AC13)-(AC13&lt;AD13))</f>
        <v>0</v>
      </c>
      <c r="BJ13">
        <f>BI13</f>
        <v>0</v>
      </c>
      <c r="BK13">
        <f>IF(OR($AK13="",AE13="",AF13=""),0,COUNTIFS($AK$3:$AK$98,$AK13,K$3:K$98,"&lt;"&amp;AF13,L$3:L$98,"&gt;"&amp;AE13)+COUNTIFS($AK$3:$AK$98,$AK13,M$3:M$98,"&lt;"&amp;AF13,N$3:N$98,"&gt;"&amp;AE13)+COUNTIFS($AK$3:$AK$98,$AK13,O$3:O$98,"&lt;"&amp;AF13,P$3:P$98,"&gt;"&amp;AE13)+COUNTIFS($AK$3:$AK$98,$AK13,Q$3:Q$98,"&lt;"&amp;AF13,R$3:R$98,"&gt;"&amp;AE13)+COUNTIFS($AK$3:$AK$98,$AK13,S$3:S$98,"&lt;"&amp;AF13,T$3:T$98,"&gt;"&amp;AE13)+COUNTIFS($AK$3:$AK$98,$AK13,U$3:U$98,"&lt;"&amp;AF13,V$3:V$98,"&gt;"&amp;AE13)+COUNTIFS($AK$3:$AK$98,$AK13,W$3:W$98,"&lt;"&amp;AF13,X$3:X$98,"&gt;"&amp;AE13)+COUNTIFS($AK$3:$AK$98,$AK13,Y$3:Y$98,"&lt;"&amp;AF13,Z$3:Z$98,"&gt;"&amp;AE13)+COUNTIFS($AK$3:$AK$98,$AK13,AA$3:AA$98,"&lt;"&amp;AF13,AB$3:AB$98,"&gt;"&amp;AE13)+COUNTIFS($AK$3:$AK$98,$AK13,AC$3:AC$98,"&lt;"&amp;AF13,AD$3:AD$98,"&gt;"&amp;AE13)+COUNTIFS($AK$3:$AK$98,$AK13,AE$3:AE$98,"&lt;"&amp;AF13,AF$3:AF$98,"&gt;"&amp;AE13)+COUNTIFS($AK$3:$AK$98,$AK13,AG$3:AG$98,"&lt;"&amp;AF13,AH$3:AH$98,"&gt;"&amp;AE13)-(AE13&lt;AF13))</f>
        <v>0</v>
      </c>
      <c r="BL13">
        <f>BK13</f>
        <v>0</v>
      </c>
      <c r="BM13">
        <f>IF(OR($AK13="",AG13="",AH13=""),0,COUNTIFS($AK$3:$AK$98,$AK13,K$3:K$98,"&lt;"&amp;AH13,L$3:L$98,"&gt;"&amp;AG13)+COUNTIFS($AK$3:$AK$98,$AK13,M$3:M$98,"&lt;"&amp;AH13,N$3:N$98,"&gt;"&amp;AG13)+COUNTIFS($AK$3:$AK$98,$AK13,O$3:O$98,"&lt;"&amp;AH13,P$3:P$98,"&gt;"&amp;AG13)+COUNTIFS($AK$3:$AK$98,$AK13,Q$3:Q$98,"&lt;"&amp;AH13,R$3:R$98,"&gt;"&amp;AG13)+COUNTIFS($AK$3:$AK$98,$AK13,S$3:S$98,"&lt;"&amp;AH13,T$3:T$98,"&gt;"&amp;AG13)+COUNTIFS($AK$3:$AK$98,$AK13,U$3:U$98,"&lt;"&amp;AH13,V$3:V$98,"&gt;"&amp;AG13)+COUNTIFS($AK$3:$AK$98,$AK13,W$3:W$98,"&lt;"&amp;AH13,X$3:X$98,"&gt;"&amp;AG13)+COUNTIFS($AK$3:$AK$98,$AK13,Y$3:Y$98,"&lt;"&amp;AH13,Z$3:Z$98,"&gt;"&amp;AG13)+COUNTIFS($AK$3:$AK$98,$AK13,AA$3:AA$98,"&lt;"&amp;AH13,AB$3:AB$98,"&gt;"&amp;AG13)+COUNTIFS($AK$3:$AK$98,$AK13,AC$3:AC$98,"&lt;"&amp;AH13,AD$3:AD$98,"&gt;"&amp;AG13)+COUNTIFS($AK$3:$AK$98,$AK13,AE$3:AE$98,"&lt;"&amp;AH13,AF$3:AF$98,"&gt;"&amp;AG13)+COUNTIFS($AK$3:$AK$98,$AK13,AG$3:AG$98,"&lt;"&amp;AH13,AH$3:AH$98,"&gt;"&amp;AG13)-(AG13&lt;AH13))</f>
        <v>0</v>
      </c>
      <c r="BN13">
        <f>BM13</f>
        <v>0</v>
      </c>
      <c r="BO13">
        <f>IF(ISNUMBER($G13),$G13,"")</f>
        <v>0.3125</v>
      </c>
      <c r="BP13">
        <f>IF(AND($A13&lt;&gt;"",COUNT($K13:$AH13)&gt;0),ROW(),"")</f>
        <v>13</v>
      </c>
    </row>
    <row r="14" spans="1:68" x14ac:dyDescent="0.15">
      <c r="A14" s="18" t="str">
        <f>IF($A12="","",$A12)</f>
        <v>chHijikiA</v>
      </c>
      <c r="B14" s="19" t="str">
        <f>IF($A12="","","high")</f>
        <v>high</v>
      </c>
      <c r="C14" s="19"/>
      <c r="D14" s="20">
        <v>10</v>
      </c>
      <c r="E14" s="21">
        <f>IF(AND($D14="",COUNT($K14:$AH14)=0),"",IF(K14="",0,MAX(0,NETWORKDAYS(K14,IF(L14&lt;&gt;"",L14,IF($J14&lt;&gt;"",K14,$AI$1)),祝日!$A$2:$A$200)))+IF(M14="",0,MAX(0,NETWORKDAYS(M14,IF(N14&lt;&gt;"",N14,IF($J14&lt;&gt;"",M14,$AI$1)),祝日!$A$2:$A$200)))+IF(O14="",0,MAX(0,NETWORKDAYS(O14,IF(P14&lt;&gt;"",P14,IF($J14&lt;&gt;"",O14,$AI$1)),祝日!$A$2:$A$200)))+IF(Q14="",0,MAX(0,NETWORKDAYS(Q14,IF(R14&lt;&gt;"",R14,IF($J14&lt;&gt;"",Q14,$AI$1)),祝日!$A$2:$A$200)))+IF(S14="",0,MAX(0,NETWORKDAYS(S14,IF(T14&lt;&gt;"",T14,IF($J14&lt;&gt;"",S14,$AI$1)),祝日!$A$2:$A$200)))+IF(U14="",0,MAX(0,NETWORKDAYS(U14,IF(V14&lt;&gt;"",V14,IF($J14&lt;&gt;"",U14,$AI$1)),祝日!$A$2:$A$200)))+IF(W14="",0,MAX(0,NETWORKDAYS(W14,IF(X14&lt;&gt;"",X14,IF($J14&lt;&gt;"",W14,$AI$1)),祝日!$A$2:$A$200)))+IF(Y14="",0,MAX(0,NETWORKDAYS(Y14,IF(Z14&lt;&gt;"",Z14,IF($J14&lt;&gt;"",Y14,$AI$1)),祝日!$A$2:$A$200)))+IF(AA14="",0,MAX(0,NETWORKDAYS(AA14,IF(AB14&lt;&gt;"",AB14,IF($J14&lt;&gt;"",AA14,$AI$1)),祝日!$A$2:$A$200)))+IF(AC14="",0,MAX(0,NETWORKDAYS(AC14,IF(AD14&lt;&gt;"",AD14,IF($J14&lt;&gt;"",AC14,$AI$1)),祝日!$A$2:$A$200)))+IF(AE14="",0,MAX(0,NETWORKDAYS(AE14,IF(AF14&lt;&gt;"",AF14,IF($J14&lt;&gt;"",AE14,$AI$1)),祝日!$A$2:$A$200)))+IF(AG14="",0,MAX(0,NETWORKDAYS(AG14,IF(AH14&lt;&gt;"",AH14,IF($J14&lt;&gt;"",AG14,$AI$1)),祝日!$A$2:$A$200))))</f>
        <v>0</v>
      </c>
      <c r="F14" s="21">
        <f>IF($D14="","",$D14-$E14)</f>
        <v>10</v>
      </c>
      <c r="G14" s="22">
        <f>IF(OR($D14="",$D14=0),"",$E14/$D14)</f>
        <v>0</v>
      </c>
      <c r="H14" s="23" t="str">
        <f>IF($D14="","",IF($J14&lt;&gt;"","FIX",IF(AND(SUMPRODUCT((MOD(COLUMN($K14:$AH14)-COLUMN($K14),2)=0)*($K14:$AH14&lt;&gt;""))=0,SUMPRODUCT((MOD(COLUMN($K14:$AH14)-COLUMN($K14),2)=1)*($K14:$AH14&lt;&gt;""))=0),"未着手",IF(SUMPRODUCT((MOD(COLUMN($K14:$AH14)-COLUMN($K14),2)=0)*($K14:$AH14&lt;&gt;""))&gt;SUMPRODUCT((MOD(COLUMN($K14:$AH14)-COLUMN($K14),2)=1)*($K14:$AH14&lt;&gt;"")),"作業中","中断"))))</f>
        <v>未着手</v>
      </c>
      <c r="I14" s="23" t="str">
        <f>IF($H14="中断",MAX(0,$AI$1-MAX(L14,N14,P14,R14,T14,V14,X14,Z14,AB14,AD14,AF14,AH14)),"")</f>
        <v/>
      </c>
      <c r="J14" s="19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K14" t="str">
        <f>IF($A12="","",IF(LOOKUP(2,1/($AJ$3:$AJ14&lt;&gt;""),$AJ$3:$AJ14)="-","",LOOKUP(2,1/($AJ$3:$AJ14&lt;&gt;""),$AJ$3:$AJ14)))</f>
        <v>CH01</v>
      </c>
      <c r="AL14" t="str">
        <f>$H14</f>
        <v>未着手</v>
      </c>
      <c r="AM14">
        <f>IF(ISNUMBER($D14),$D14,0)</f>
        <v>10</v>
      </c>
      <c r="AN14">
        <f>IF(ISNUMBER($E14),$E14,0)</f>
        <v>0</v>
      </c>
      <c r="AO14">
        <f>IF(ISNUMBER($F14),$F14,0)</f>
        <v>10</v>
      </c>
      <c r="AQ14">
        <f>IF(OR($AK14="",K14="",L14=""),0,COUNTIFS($AK$3:$AK$98,$AK14,K$3:K$98,"&lt;"&amp;L14,L$3:L$98,"&gt;"&amp;K14)+COUNTIFS($AK$3:$AK$98,$AK14,M$3:M$98,"&lt;"&amp;L14,N$3:N$98,"&gt;"&amp;K14)+COUNTIFS($AK$3:$AK$98,$AK14,O$3:O$98,"&lt;"&amp;L14,P$3:P$98,"&gt;"&amp;K14)+COUNTIFS($AK$3:$AK$98,$AK14,Q$3:Q$98,"&lt;"&amp;L14,R$3:R$98,"&gt;"&amp;K14)+COUNTIFS($AK$3:$AK$98,$AK14,S$3:S$98,"&lt;"&amp;L14,T$3:T$98,"&gt;"&amp;K14)+COUNTIFS($AK$3:$AK$98,$AK14,U$3:U$98,"&lt;"&amp;L14,V$3:V$98,"&gt;"&amp;K14)+COUNTIFS($AK$3:$AK$98,$AK14,W$3:W$98,"&lt;"&amp;L14,X$3:X$98,"&gt;"&amp;K14)+COUNTIFS($AK$3:$AK$98,$AK14,Y$3:Y$98,"&lt;"&amp;L14,Z$3:Z$98,"&gt;"&amp;K14)+COUNTIFS($AK$3:$AK$98,$AK14,AA$3:AA$98,"&lt;"&amp;L14,AB$3:AB$98,"&gt;"&amp;K14)+COUNTIFS($AK$3:$AK$98,$AK14,AC$3:AC$98,"&lt;"&amp;L14,AD$3:AD$98,"&gt;"&amp;K14)+COUNTIFS($AK$3:$AK$98,$AK14,AE$3:AE$98,"&lt;"&amp;L14,AF$3:AF$98,"&gt;"&amp;K14)+COUNTIFS($AK$3:$AK$98,$AK14,AG$3:AG$98,"&lt;"&amp;L14,AH$3:AH$98,"&gt;"&amp;K14)-(K14&lt;L14))</f>
        <v>0</v>
      </c>
      <c r="AR14">
        <f>AQ14</f>
        <v>0</v>
      </c>
      <c r="AS14">
        <f>IF(OR($AK14="",M14="",N14=""),0,COUNTIFS($AK$3:$AK$98,$AK14,K$3:K$98,"&lt;"&amp;N14,L$3:L$98,"&gt;"&amp;M14)+COUNTIFS($AK$3:$AK$98,$AK14,M$3:M$98,"&lt;"&amp;N14,N$3:N$98,"&gt;"&amp;M14)+COUNTIFS($AK$3:$AK$98,$AK14,O$3:O$98,"&lt;"&amp;N14,P$3:P$98,"&gt;"&amp;M14)+COUNTIFS($AK$3:$AK$98,$AK14,Q$3:Q$98,"&lt;"&amp;N14,R$3:R$98,"&gt;"&amp;M14)+COUNTIFS($AK$3:$AK$98,$AK14,S$3:S$98,"&lt;"&amp;N14,T$3:T$98,"&gt;"&amp;M14)+COUNTIFS($AK$3:$AK$98,$AK14,U$3:U$98,"&lt;"&amp;N14,V$3:V$98,"&gt;"&amp;M14)+COUNTIFS($AK$3:$AK$98,$AK14,W$3:W$98,"&lt;"&amp;N14,X$3:X$98,"&gt;"&amp;M14)+COUNTIFS($AK$3:$AK$98,$AK14,Y$3:Y$98,"&lt;"&amp;N14,Z$3:Z$98,"&gt;"&amp;M14)+COUNTIFS($AK$3:$AK$98,$AK14,AA$3:AA$98,"&lt;"&amp;N14,AB$3:AB$98,"&gt;"&amp;M14)+COUNTIFS($AK$3:$AK$98,$AK14,AC$3:AC$98,"&lt;"&amp;N14,AD$3:AD$98,"&gt;"&amp;M14)+COUNTIFS($AK$3:$AK$98,$AK14,AE$3:AE$98,"&lt;"&amp;N14,AF$3:AF$98,"&gt;"&amp;M14)+COUNTIFS($AK$3:$AK$98,$AK14,AG$3:AG$98,"&lt;"&amp;N14,AH$3:AH$98,"&gt;"&amp;M14)-(M14&lt;N14))</f>
        <v>0</v>
      </c>
      <c r="AT14">
        <f>AS14</f>
        <v>0</v>
      </c>
      <c r="AU14">
        <f>IF(OR($AK14="",O14="",P14=""),0,COUNTIFS($AK$3:$AK$98,$AK14,K$3:K$98,"&lt;"&amp;P14,L$3:L$98,"&gt;"&amp;O14)+COUNTIFS($AK$3:$AK$98,$AK14,M$3:M$98,"&lt;"&amp;P14,N$3:N$98,"&gt;"&amp;O14)+COUNTIFS($AK$3:$AK$98,$AK14,O$3:O$98,"&lt;"&amp;P14,P$3:P$98,"&gt;"&amp;O14)+COUNTIFS($AK$3:$AK$98,$AK14,Q$3:Q$98,"&lt;"&amp;P14,R$3:R$98,"&gt;"&amp;O14)+COUNTIFS($AK$3:$AK$98,$AK14,S$3:S$98,"&lt;"&amp;P14,T$3:T$98,"&gt;"&amp;O14)+COUNTIFS($AK$3:$AK$98,$AK14,U$3:U$98,"&lt;"&amp;P14,V$3:V$98,"&gt;"&amp;O14)+COUNTIFS($AK$3:$AK$98,$AK14,W$3:W$98,"&lt;"&amp;P14,X$3:X$98,"&gt;"&amp;O14)+COUNTIFS($AK$3:$AK$98,$AK14,Y$3:Y$98,"&lt;"&amp;P14,Z$3:Z$98,"&gt;"&amp;O14)+COUNTIFS($AK$3:$AK$98,$AK14,AA$3:AA$98,"&lt;"&amp;P14,AB$3:AB$98,"&gt;"&amp;O14)+COUNTIFS($AK$3:$AK$98,$AK14,AC$3:AC$98,"&lt;"&amp;P14,AD$3:AD$98,"&gt;"&amp;O14)+COUNTIFS($AK$3:$AK$98,$AK14,AE$3:AE$98,"&lt;"&amp;P14,AF$3:AF$98,"&gt;"&amp;O14)+COUNTIFS($AK$3:$AK$98,$AK14,AG$3:AG$98,"&lt;"&amp;P14,AH$3:AH$98,"&gt;"&amp;O14)-(O14&lt;P14))</f>
        <v>0</v>
      </c>
      <c r="AV14">
        <f>AU14</f>
        <v>0</v>
      </c>
      <c r="AW14">
        <f>IF(OR($AK14="",Q14="",R14=""),0,COUNTIFS($AK$3:$AK$98,$AK14,K$3:K$98,"&lt;"&amp;R14,L$3:L$98,"&gt;"&amp;Q14)+COUNTIFS($AK$3:$AK$98,$AK14,M$3:M$98,"&lt;"&amp;R14,N$3:N$98,"&gt;"&amp;Q14)+COUNTIFS($AK$3:$AK$98,$AK14,O$3:O$98,"&lt;"&amp;R14,P$3:P$98,"&gt;"&amp;Q14)+COUNTIFS($AK$3:$AK$98,$AK14,Q$3:Q$98,"&lt;"&amp;R14,R$3:R$98,"&gt;"&amp;Q14)+COUNTIFS($AK$3:$AK$98,$AK14,S$3:S$98,"&lt;"&amp;R14,T$3:T$98,"&gt;"&amp;Q14)+COUNTIFS($AK$3:$AK$98,$AK14,U$3:U$98,"&lt;"&amp;R14,V$3:V$98,"&gt;"&amp;Q14)+COUNTIFS($AK$3:$AK$98,$AK14,W$3:W$98,"&lt;"&amp;R14,X$3:X$98,"&gt;"&amp;Q14)+COUNTIFS($AK$3:$AK$98,$AK14,Y$3:Y$98,"&lt;"&amp;R14,Z$3:Z$98,"&gt;"&amp;Q14)+COUNTIFS($AK$3:$AK$98,$AK14,AA$3:AA$98,"&lt;"&amp;R14,AB$3:AB$98,"&gt;"&amp;Q14)+COUNTIFS($AK$3:$AK$98,$AK14,AC$3:AC$98,"&lt;"&amp;R14,AD$3:AD$98,"&gt;"&amp;Q14)+COUNTIFS($AK$3:$AK$98,$AK14,AE$3:AE$98,"&lt;"&amp;R14,AF$3:AF$98,"&gt;"&amp;Q14)+COUNTIFS($AK$3:$AK$98,$AK14,AG$3:AG$98,"&lt;"&amp;R14,AH$3:AH$98,"&gt;"&amp;Q14)-(Q14&lt;R14))</f>
        <v>0</v>
      </c>
      <c r="AX14">
        <f>AW14</f>
        <v>0</v>
      </c>
      <c r="AY14">
        <f>IF(OR($AK14="",S14="",T14=""),0,COUNTIFS($AK$3:$AK$98,$AK14,K$3:K$98,"&lt;"&amp;T14,L$3:L$98,"&gt;"&amp;S14)+COUNTIFS($AK$3:$AK$98,$AK14,M$3:M$98,"&lt;"&amp;T14,N$3:N$98,"&gt;"&amp;S14)+COUNTIFS($AK$3:$AK$98,$AK14,O$3:O$98,"&lt;"&amp;T14,P$3:P$98,"&gt;"&amp;S14)+COUNTIFS($AK$3:$AK$98,$AK14,Q$3:Q$98,"&lt;"&amp;T14,R$3:R$98,"&gt;"&amp;S14)+COUNTIFS($AK$3:$AK$98,$AK14,S$3:S$98,"&lt;"&amp;T14,T$3:T$98,"&gt;"&amp;S14)+COUNTIFS($AK$3:$AK$98,$AK14,U$3:U$98,"&lt;"&amp;T14,V$3:V$98,"&gt;"&amp;S14)+COUNTIFS($AK$3:$AK$98,$AK14,W$3:W$98,"&lt;"&amp;T14,X$3:X$98,"&gt;"&amp;S14)+COUNTIFS($AK$3:$AK$98,$AK14,Y$3:Y$98,"&lt;"&amp;T14,Z$3:Z$98,"&gt;"&amp;S14)+COUNTIFS($AK$3:$AK$98,$AK14,AA$3:AA$98,"&lt;"&amp;T14,AB$3:AB$98,"&gt;"&amp;S14)+COUNTIFS($AK$3:$AK$98,$AK14,AC$3:AC$98,"&lt;"&amp;T14,AD$3:AD$98,"&gt;"&amp;S14)+COUNTIFS($AK$3:$AK$98,$AK14,AE$3:AE$98,"&lt;"&amp;T14,AF$3:AF$98,"&gt;"&amp;S14)+COUNTIFS($AK$3:$AK$98,$AK14,AG$3:AG$98,"&lt;"&amp;T14,AH$3:AH$98,"&gt;"&amp;S14)-(S14&lt;T14))</f>
        <v>0</v>
      </c>
      <c r="AZ14">
        <f>AY14</f>
        <v>0</v>
      </c>
      <c r="BA14">
        <f>IF(OR($AK14="",U14="",V14=""),0,COUNTIFS($AK$3:$AK$98,$AK14,K$3:K$98,"&lt;"&amp;V14,L$3:L$98,"&gt;"&amp;U14)+COUNTIFS($AK$3:$AK$98,$AK14,M$3:M$98,"&lt;"&amp;V14,N$3:N$98,"&gt;"&amp;U14)+COUNTIFS($AK$3:$AK$98,$AK14,O$3:O$98,"&lt;"&amp;V14,P$3:P$98,"&gt;"&amp;U14)+COUNTIFS($AK$3:$AK$98,$AK14,Q$3:Q$98,"&lt;"&amp;V14,R$3:R$98,"&gt;"&amp;U14)+COUNTIFS($AK$3:$AK$98,$AK14,S$3:S$98,"&lt;"&amp;V14,T$3:T$98,"&gt;"&amp;U14)+COUNTIFS($AK$3:$AK$98,$AK14,U$3:U$98,"&lt;"&amp;V14,V$3:V$98,"&gt;"&amp;U14)+COUNTIFS($AK$3:$AK$98,$AK14,W$3:W$98,"&lt;"&amp;V14,X$3:X$98,"&gt;"&amp;U14)+COUNTIFS($AK$3:$AK$98,$AK14,Y$3:Y$98,"&lt;"&amp;V14,Z$3:Z$98,"&gt;"&amp;U14)+COUNTIFS($AK$3:$AK$98,$AK14,AA$3:AA$98,"&lt;"&amp;V14,AB$3:AB$98,"&gt;"&amp;U14)+COUNTIFS($AK$3:$AK$98,$AK14,AC$3:AC$98,"&lt;"&amp;V14,AD$3:AD$98,"&gt;"&amp;U14)+COUNTIFS($AK$3:$AK$98,$AK14,AE$3:AE$98,"&lt;"&amp;V14,AF$3:AF$98,"&gt;"&amp;U14)+COUNTIFS($AK$3:$AK$98,$AK14,AG$3:AG$98,"&lt;"&amp;V14,AH$3:AH$98,"&gt;"&amp;U14)-(U14&lt;V14))</f>
        <v>0</v>
      </c>
      <c r="BB14">
        <f>BA14</f>
        <v>0</v>
      </c>
      <c r="BC14">
        <f>IF(OR($AK14="",W14="",X14=""),0,COUNTIFS($AK$3:$AK$98,$AK14,K$3:K$98,"&lt;"&amp;X14,L$3:L$98,"&gt;"&amp;W14)+COUNTIFS($AK$3:$AK$98,$AK14,M$3:M$98,"&lt;"&amp;X14,N$3:N$98,"&gt;"&amp;W14)+COUNTIFS($AK$3:$AK$98,$AK14,O$3:O$98,"&lt;"&amp;X14,P$3:P$98,"&gt;"&amp;W14)+COUNTIFS($AK$3:$AK$98,$AK14,Q$3:Q$98,"&lt;"&amp;X14,R$3:R$98,"&gt;"&amp;W14)+COUNTIFS($AK$3:$AK$98,$AK14,S$3:S$98,"&lt;"&amp;X14,T$3:T$98,"&gt;"&amp;W14)+COUNTIFS($AK$3:$AK$98,$AK14,U$3:U$98,"&lt;"&amp;X14,V$3:V$98,"&gt;"&amp;W14)+COUNTIFS($AK$3:$AK$98,$AK14,W$3:W$98,"&lt;"&amp;X14,X$3:X$98,"&gt;"&amp;W14)+COUNTIFS($AK$3:$AK$98,$AK14,Y$3:Y$98,"&lt;"&amp;X14,Z$3:Z$98,"&gt;"&amp;W14)+COUNTIFS($AK$3:$AK$98,$AK14,AA$3:AA$98,"&lt;"&amp;X14,AB$3:AB$98,"&gt;"&amp;W14)+COUNTIFS($AK$3:$AK$98,$AK14,AC$3:AC$98,"&lt;"&amp;X14,AD$3:AD$98,"&gt;"&amp;W14)+COUNTIFS($AK$3:$AK$98,$AK14,AE$3:AE$98,"&lt;"&amp;X14,AF$3:AF$98,"&gt;"&amp;W14)+COUNTIFS($AK$3:$AK$98,$AK14,AG$3:AG$98,"&lt;"&amp;X14,AH$3:AH$98,"&gt;"&amp;W14)-(W14&lt;X14))</f>
        <v>0</v>
      </c>
      <c r="BD14">
        <f>BC14</f>
        <v>0</v>
      </c>
      <c r="BE14">
        <f>IF(OR($AK14="",Y14="",Z14=""),0,COUNTIFS($AK$3:$AK$98,$AK14,K$3:K$98,"&lt;"&amp;Z14,L$3:L$98,"&gt;"&amp;Y14)+COUNTIFS($AK$3:$AK$98,$AK14,M$3:M$98,"&lt;"&amp;Z14,N$3:N$98,"&gt;"&amp;Y14)+COUNTIFS($AK$3:$AK$98,$AK14,O$3:O$98,"&lt;"&amp;Z14,P$3:P$98,"&gt;"&amp;Y14)+COUNTIFS($AK$3:$AK$98,$AK14,Q$3:Q$98,"&lt;"&amp;Z14,R$3:R$98,"&gt;"&amp;Y14)+COUNTIFS($AK$3:$AK$98,$AK14,S$3:S$98,"&lt;"&amp;Z14,T$3:T$98,"&gt;"&amp;Y14)+COUNTIFS($AK$3:$AK$98,$AK14,U$3:U$98,"&lt;"&amp;Z14,V$3:V$98,"&gt;"&amp;Y14)+COUNTIFS($AK$3:$AK$98,$AK14,W$3:W$98,"&lt;"&amp;Z14,X$3:X$98,"&gt;"&amp;Y14)+COUNTIFS($AK$3:$AK$98,$AK14,Y$3:Y$98,"&lt;"&amp;Z14,Z$3:Z$98,"&gt;"&amp;Y14)+COUNTIFS($AK$3:$AK$98,$AK14,AA$3:AA$98,"&lt;"&amp;Z14,AB$3:AB$98,"&gt;"&amp;Y14)+COUNTIFS($AK$3:$AK$98,$AK14,AC$3:AC$98,"&lt;"&amp;Z14,AD$3:AD$98,"&gt;"&amp;Y14)+COUNTIFS($AK$3:$AK$98,$AK14,AE$3:AE$98,"&lt;"&amp;Z14,AF$3:AF$98,"&gt;"&amp;Y14)+COUNTIFS($AK$3:$AK$98,$AK14,AG$3:AG$98,"&lt;"&amp;Z14,AH$3:AH$98,"&gt;"&amp;Y14)-(Y14&lt;Z14))</f>
        <v>0</v>
      </c>
      <c r="BF14">
        <f>BE14</f>
        <v>0</v>
      </c>
      <c r="BG14">
        <f>IF(OR($AK14="",AA14="",AB14=""),0,COUNTIFS($AK$3:$AK$98,$AK14,K$3:K$98,"&lt;"&amp;AB14,L$3:L$98,"&gt;"&amp;AA14)+COUNTIFS($AK$3:$AK$98,$AK14,M$3:M$98,"&lt;"&amp;AB14,N$3:N$98,"&gt;"&amp;AA14)+COUNTIFS($AK$3:$AK$98,$AK14,O$3:O$98,"&lt;"&amp;AB14,P$3:P$98,"&gt;"&amp;AA14)+COUNTIFS($AK$3:$AK$98,$AK14,Q$3:Q$98,"&lt;"&amp;AB14,R$3:R$98,"&gt;"&amp;AA14)+COUNTIFS($AK$3:$AK$98,$AK14,S$3:S$98,"&lt;"&amp;AB14,T$3:T$98,"&gt;"&amp;AA14)+COUNTIFS($AK$3:$AK$98,$AK14,U$3:U$98,"&lt;"&amp;AB14,V$3:V$98,"&gt;"&amp;AA14)+COUNTIFS($AK$3:$AK$98,$AK14,W$3:W$98,"&lt;"&amp;AB14,X$3:X$98,"&gt;"&amp;AA14)+COUNTIFS($AK$3:$AK$98,$AK14,Y$3:Y$98,"&lt;"&amp;AB14,Z$3:Z$98,"&gt;"&amp;AA14)+COUNTIFS($AK$3:$AK$98,$AK14,AA$3:AA$98,"&lt;"&amp;AB14,AB$3:AB$98,"&gt;"&amp;AA14)+COUNTIFS($AK$3:$AK$98,$AK14,AC$3:AC$98,"&lt;"&amp;AB14,AD$3:AD$98,"&gt;"&amp;AA14)+COUNTIFS($AK$3:$AK$98,$AK14,AE$3:AE$98,"&lt;"&amp;AB14,AF$3:AF$98,"&gt;"&amp;AA14)+COUNTIFS($AK$3:$AK$98,$AK14,AG$3:AG$98,"&lt;"&amp;AB14,AH$3:AH$98,"&gt;"&amp;AA14)-(AA14&lt;AB14))</f>
        <v>0</v>
      </c>
      <c r="BH14">
        <f>BG14</f>
        <v>0</v>
      </c>
      <c r="BI14">
        <f>IF(OR($AK14="",AC14="",AD14=""),0,COUNTIFS($AK$3:$AK$98,$AK14,K$3:K$98,"&lt;"&amp;AD14,L$3:L$98,"&gt;"&amp;AC14)+COUNTIFS($AK$3:$AK$98,$AK14,M$3:M$98,"&lt;"&amp;AD14,N$3:N$98,"&gt;"&amp;AC14)+COUNTIFS($AK$3:$AK$98,$AK14,O$3:O$98,"&lt;"&amp;AD14,P$3:P$98,"&gt;"&amp;AC14)+COUNTIFS($AK$3:$AK$98,$AK14,Q$3:Q$98,"&lt;"&amp;AD14,R$3:R$98,"&gt;"&amp;AC14)+COUNTIFS($AK$3:$AK$98,$AK14,S$3:S$98,"&lt;"&amp;AD14,T$3:T$98,"&gt;"&amp;AC14)+COUNTIFS($AK$3:$AK$98,$AK14,U$3:U$98,"&lt;"&amp;AD14,V$3:V$98,"&gt;"&amp;AC14)+COUNTIFS($AK$3:$AK$98,$AK14,W$3:W$98,"&lt;"&amp;AD14,X$3:X$98,"&gt;"&amp;AC14)+COUNTIFS($AK$3:$AK$98,$AK14,Y$3:Y$98,"&lt;"&amp;AD14,Z$3:Z$98,"&gt;"&amp;AC14)+COUNTIFS($AK$3:$AK$98,$AK14,AA$3:AA$98,"&lt;"&amp;AD14,AB$3:AB$98,"&gt;"&amp;AC14)+COUNTIFS($AK$3:$AK$98,$AK14,AC$3:AC$98,"&lt;"&amp;AD14,AD$3:AD$98,"&gt;"&amp;AC14)+COUNTIFS($AK$3:$AK$98,$AK14,AE$3:AE$98,"&lt;"&amp;AD14,AF$3:AF$98,"&gt;"&amp;AC14)+COUNTIFS($AK$3:$AK$98,$AK14,AG$3:AG$98,"&lt;"&amp;AD14,AH$3:AH$98,"&gt;"&amp;AC14)-(AC14&lt;AD14))</f>
        <v>0</v>
      </c>
      <c r="BJ14">
        <f>BI14</f>
        <v>0</v>
      </c>
      <c r="BK14">
        <f>IF(OR($AK14="",AE14="",AF14=""),0,COUNTIFS($AK$3:$AK$98,$AK14,K$3:K$98,"&lt;"&amp;AF14,L$3:L$98,"&gt;"&amp;AE14)+COUNTIFS($AK$3:$AK$98,$AK14,M$3:M$98,"&lt;"&amp;AF14,N$3:N$98,"&gt;"&amp;AE14)+COUNTIFS($AK$3:$AK$98,$AK14,O$3:O$98,"&lt;"&amp;AF14,P$3:P$98,"&gt;"&amp;AE14)+COUNTIFS($AK$3:$AK$98,$AK14,Q$3:Q$98,"&lt;"&amp;AF14,R$3:R$98,"&gt;"&amp;AE14)+COUNTIFS($AK$3:$AK$98,$AK14,S$3:S$98,"&lt;"&amp;AF14,T$3:T$98,"&gt;"&amp;AE14)+COUNTIFS($AK$3:$AK$98,$AK14,U$3:U$98,"&lt;"&amp;AF14,V$3:V$98,"&gt;"&amp;AE14)+COUNTIFS($AK$3:$AK$98,$AK14,W$3:W$98,"&lt;"&amp;AF14,X$3:X$98,"&gt;"&amp;AE14)+COUNTIFS($AK$3:$AK$98,$AK14,Y$3:Y$98,"&lt;"&amp;AF14,Z$3:Z$98,"&gt;"&amp;AE14)+COUNTIFS($AK$3:$AK$98,$AK14,AA$3:AA$98,"&lt;"&amp;AF14,AB$3:AB$98,"&gt;"&amp;AE14)+COUNTIFS($AK$3:$AK$98,$AK14,AC$3:AC$98,"&lt;"&amp;AF14,AD$3:AD$98,"&gt;"&amp;AE14)+COUNTIFS($AK$3:$AK$98,$AK14,AE$3:AE$98,"&lt;"&amp;AF14,AF$3:AF$98,"&gt;"&amp;AE14)+COUNTIFS($AK$3:$AK$98,$AK14,AG$3:AG$98,"&lt;"&amp;AF14,AH$3:AH$98,"&gt;"&amp;AE14)-(AE14&lt;AF14))</f>
        <v>0</v>
      </c>
      <c r="BL14">
        <f>BK14</f>
        <v>0</v>
      </c>
      <c r="BM14">
        <f>IF(OR($AK14="",AG14="",AH14=""),0,COUNTIFS($AK$3:$AK$98,$AK14,K$3:K$98,"&lt;"&amp;AH14,L$3:L$98,"&gt;"&amp;AG14)+COUNTIFS($AK$3:$AK$98,$AK14,M$3:M$98,"&lt;"&amp;AH14,N$3:N$98,"&gt;"&amp;AG14)+COUNTIFS($AK$3:$AK$98,$AK14,O$3:O$98,"&lt;"&amp;AH14,P$3:P$98,"&gt;"&amp;AG14)+COUNTIFS($AK$3:$AK$98,$AK14,Q$3:Q$98,"&lt;"&amp;AH14,R$3:R$98,"&gt;"&amp;AG14)+COUNTIFS($AK$3:$AK$98,$AK14,S$3:S$98,"&lt;"&amp;AH14,T$3:T$98,"&gt;"&amp;AG14)+COUNTIFS($AK$3:$AK$98,$AK14,U$3:U$98,"&lt;"&amp;AH14,V$3:V$98,"&gt;"&amp;AG14)+COUNTIFS($AK$3:$AK$98,$AK14,W$3:W$98,"&lt;"&amp;AH14,X$3:X$98,"&gt;"&amp;AG14)+COUNTIFS($AK$3:$AK$98,$AK14,Y$3:Y$98,"&lt;"&amp;AH14,Z$3:Z$98,"&gt;"&amp;AG14)+COUNTIFS($AK$3:$AK$98,$AK14,AA$3:AA$98,"&lt;"&amp;AH14,AB$3:AB$98,"&gt;"&amp;AG14)+COUNTIFS($AK$3:$AK$98,$AK14,AC$3:AC$98,"&lt;"&amp;AH14,AD$3:AD$98,"&gt;"&amp;AG14)+COUNTIFS($AK$3:$AK$98,$AK14,AE$3:AE$98,"&lt;"&amp;AH14,AF$3:AF$98,"&gt;"&amp;AG14)+COUNTIFS($AK$3:$AK$98,$AK14,AG$3:AG$98,"&lt;"&amp;AH14,AH$3:AH$98,"&gt;"&amp;AG14)-(AG14&lt;AH14))</f>
        <v>0</v>
      </c>
      <c r="BN14">
        <f>BM14</f>
        <v>0</v>
      </c>
      <c r="BO14">
        <f>IF(ISNUMBER($G14),$G14,"")</f>
        <v>0</v>
      </c>
      <c r="BP14" t="str">
        <f>IF(AND($A14&lt;&gt;"",COUNT($K14:$AH14)&gt;0),ROW(),"")</f>
        <v/>
      </c>
    </row>
    <row r="15" spans="1:68" ht="14.25" customHeight="1" thickBot="1" x14ac:dyDescent="0.2">
      <c r="A15" s="25" t="str">
        <f>IF($A12="","",$A12)</f>
        <v>chHijikiA</v>
      </c>
      <c r="B15" s="26" t="str">
        <f>IF($A12="","","fac")</f>
        <v>fac</v>
      </c>
      <c r="C15" s="26"/>
      <c r="D15" s="27">
        <v>10</v>
      </c>
      <c r="E15" s="28">
        <f>IF(AND($D15="",COUNT($K15:$AH15)=0),"",IF(K15="",0,MAX(0,NETWORKDAYS(K15,IF(L15&lt;&gt;"",L15,IF($J15&lt;&gt;"",K15,$AI$1)),祝日!$A$2:$A$200)))+IF(M15="",0,MAX(0,NETWORKDAYS(M15,IF(N15&lt;&gt;"",N15,IF($J15&lt;&gt;"",M15,$AI$1)),祝日!$A$2:$A$200)))+IF(O15="",0,MAX(0,NETWORKDAYS(O15,IF(P15&lt;&gt;"",P15,IF($J15&lt;&gt;"",O15,$AI$1)),祝日!$A$2:$A$200)))+IF(Q15="",0,MAX(0,NETWORKDAYS(Q15,IF(R15&lt;&gt;"",R15,IF($J15&lt;&gt;"",Q15,$AI$1)),祝日!$A$2:$A$200)))+IF(S15="",0,MAX(0,NETWORKDAYS(S15,IF(T15&lt;&gt;"",T15,IF($J15&lt;&gt;"",S15,$AI$1)),祝日!$A$2:$A$200)))+IF(U15="",0,MAX(0,NETWORKDAYS(U15,IF(V15&lt;&gt;"",V15,IF($J15&lt;&gt;"",U15,$AI$1)),祝日!$A$2:$A$200)))+IF(W15="",0,MAX(0,NETWORKDAYS(W15,IF(X15&lt;&gt;"",X15,IF($J15&lt;&gt;"",W15,$AI$1)),祝日!$A$2:$A$200)))+IF(Y15="",0,MAX(0,NETWORKDAYS(Y15,IF(Z15&lt;&gt;"",Z15,IF($J15&lt;&gt;"",Y15,$AI$1)),祝日!$A$2:$A$200)))+IF(AA15="",0,MAX(0,NETWORKDAYS(AA15,IF(AB15&lt;&gt;"",AB15,IF($J15&lt;&gt;"",AA15,$AI$1)),祝日!$A$2:$A$200)))+IF(AC15="",0,MAX(0,NETWORKDAYS(AC15,IF(AD15&lt;&gt;"",AD15,IF($J15&lt;&gt;"",AC15,$AI$1)),祝日!$A$2:$A$200)))+IF(AE15="",0,MAX(0,NETWORKDAYS(AE15,IF(AF15&lt;&gt;"",AF15,IF($J15&lt;&gt;"",AE15,$AI$1)),祝日!$A$2:$A$200)))+IF(AG15="",0,MAX(0,NETWORKDAYS(AG15,IF(AH15&lt;&gt;"",AH15,IF($J15&lt;&gt;"",AG15,$AI$1)),祝日!$A$2:$A$200))))</f>
        <v>0</v>
      </c>
      <c r="F15" s="28">
        <f>IF($D15="","",$D15-$E15)</f>
        <v>10</v>
      </c>
      <c r="G15" s="29">
        <f>IF(OR($D15="",$D15=0),"",$E15/$D15)</f>
        <v>0</v>
      </c>
      <c r="H15" s="30" t="str">
        <f>IF($D15="","",IF($J15&lt;&gt;"","FIX",IF(AND(SUMPRODUCT((MOD(COLUMN($K15:$AH15)-COLUMN($K15),2)=0)*($K15:$AH15&lt;&gt;""))=0,SUMPRODUCT((MOD(COLUMN($K15:$AH15)-COLUMN($K15),2)=1)*($K15:$AH15&lt;&gt;""))=0),"未着手",IF(SUMPRODUCT((MOD(COLUMN($K15:$AH15)-COLUMN($K15),2)=0)*($K15:$AH15&lt;&gt;""))&gt;SUMPRODUCT((MOD(COLUMN($K15:$AH15)-COLUMN($K15),2)=1)*($K15:$AH15&lt;&gt;"")),"作業中","中断"))))</f>
        <v>未着手</v>
      </c>
      <c r="I15" s="30" t="str">
        <f>IF($H15="中断",MAX(0,$AI$1-MAX(L15,N15,P15,R15,T15,V15,X15,Z15,AB15,AD15,AF15,AH15)),"")</f>
        <v/>
      </c>
      <c r="J15" s="26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K15" t="str">
        <f>IF($A12="","",IF(LOOKUP(2,1/($AJ$3:$AJ15&lt;&gt;""),$AJ$3:$AJ15)="-","",LOOKUP(2,1/($AJ$3:$AJ15&lt;&gt;""),$AJ$3:$AJ15)))</f>
        <v>CH01</v>
      </c>
      <c r="AL15" t="str">
        <f>$H15</f>
        <v>未着手</v>
      </c>
      <c r="AM15">
        <f>IF(ISNUMBER($D15),$D15,0)</f>
        <v>10</v>
      </c>
      <c r="AN15">
        <f>IF(ISNUMBER($E15),$E15,0)</f>
        <v>0</v>
      </c>
      <c r="AO15">
        <f>IF(ISNUMBER($F15),$F15,0)</f>
        <v>10</v>
      </c>
      <c r="AQ15">
        <f>IF(OR($AK15="",K15="",L15=""),0,COUNTIFS($AK$3:$AK$98,$AK15,K$3:K$98,"&lt;"&amp;L15,L$3:L$98,"&gt;"&amp;K15)+COUNTIFS($AK$3:$AK$98,$AK15,M$3:M$98,"&lt;"&amp;L15,N$3:N$98,"&gt;"&amp;K15)+COUNTIFS($AK$3:$AK$98,$AK15,O$3:O$98,"&lt;"&amp;L15,P$3:P$98,"&gt;"&amp;K15)+COUNTIFS($AK$3:$AK$98,$AK15,Q$3:Q$98,"&lt;"&amp;L15,R$3:R$98,"&gt;"&amp;K15)+COUNTIFS($AK$3:$AK$98,$AK15,S$3:S$98,"&lt;"&amp;L15,T$3:T$98,"&gt;"&amp;K15)+COUNTIFS($AK$3:$AK$98,$AK15,U$3:U$98,"&lt;"&amp;L15,V$3:V$98,"&gt;"&amp;K15)+COUNTIFS($AK$3:$AK$98,$AK15,W$3:W$98,"&lt;"&amp;L15,X$3:X$98,"&gt;"&amp;K15)+COUNTIFS($AK$3:$AK$98,$AK15,Y$3:Y$98,"&lt;"&amp;L15,Z$3:Z$98,"&gt;"&amp;K15)+COUNTIFS($AK$3:$AK$98,$AK15,AA$3:AA$98,"&lt;"&amp;L15,AB$3:AB$98,"&gt;"&amp;K15)+COUNTIFS($AK$3:$AK$98,$AK15,AC$3:AC$98,"&lt;"&amp;L15,AD$3:AD$98,"&gt;"&amp;K15)+COUNTIFS($AK$3:$AK$98,$AK15,AE$3:AE$98,"&lt;"&amp;L15,AF$3:AF$98,"&gt;"&amp;K15)+COUNTIFS($AK$3:$AK$98,$AK15,AG$3:AG$98,"&lt;"&amp;L15,AH$3:AH$98,"&gt;"&amp;K15)-(K15&lt;L15))</f>
        <v>0</v>
      </c>
      <c r="AR15">
        <f>AQ15</f>
        <v>0</v>
      </c>
      <c r="AS15">
        <f>IF(OR($AK15="",M15="",N15=""),0,COUNTIFS($AK$3:$AK$98,$AK15,K$3:K$98,"&lt;"&amp;N15,L$3:L$98,"&gt;"&amp;M15)+COUNTIFS($AK$3:$AK$98,$AK15,M$3:M$98,"&lt;"&amp;N15,N$3:N$98,"&gt;"&amp;M15)+COUNTIFS($AK$3:$AK$98,$AK15,O$3:O$98,"&lt;"&amp;N15,P$3:P$98,"&gt;"&amp;M15)+COUNTIFS($AK$3:$AK$98,$AK15,Q$3:Q$98,"&lt;"&amp;N15,R$3:R$98,"&gt;"&amp;M15)+COUNTIFS($AK$3:$AK$98,$AK15,S$3:S$98,"&lt;"&amp;N15,T$3:T$98,"&gt;"&amp;M15)+COUNTIFS($AK$3:$AK$98,$AK15,U$3:U$98,"&lt;"&amp;N15,V$3:V$98,"&gt;"&amp;M15)+COUNTIFS($AK$3:$AK$98,$AK15,W$3:W$98,"&lt;"&amp;N15,X$3:X$98,"&gt;"&amp;M15)+COUNTIFS($AK$3:$AK$98,$AK15,Y$3:Y$98,"&lt;"&amp;N15,Z$3:Z$98,"&gt;"&amp;M15)+COUNTIFS($AK$3:$AK$98,$AK15,AA$3:AA$98,"&lt;"&amp;N15,AB$3:AB$98,"&gt;"&amp;M15)+COUNTIFS($AK$3:$AK$98,$AK15,AC$3:AC$98,"&lt;"&amp;N15,AD$3:AD$98,"&gt;"&amp;M15)+COUNTIFS($AK$3:$AK$98,$AK15,AE$3:AE$98,"&lt;"&amp;N15,AF$3:AF$98,"&gt;"&amp;M15)+COUNTIFS($AK$3:$AK$98,$AK15,AG$3:AG$98,"&lt;"&amp;N15,AH$3:AH$98,"&gt;"&amp;M15)-(M15&lt;N15))</f>
        <v>0</v>
      </c>
      <c r="AT15">
        <f>AS15</f>
        <v>0</v>
      </c>
      <c r="AU15">
        <f>IF(OR($AK15="",O15="",P15=""),0,COUNTIFS($AK$3:$AK$98,$AK15,K$3:K$98,"&lt;"&amp;P15,L$3:L$98,"&gt;"&amp;O15)+COUNTIFS($AK$3:$AK$98,$AK15,M$3:M$98,"&lt;"&amp;P15,N$3:N$98,"&gt;"&amp;O15)+COUNTIFS($AK$3:$AK$98,$AK15,O$3:O$98,"&lt;"&amp;P15,P$3:P$98,"&gt;"&amp;O15)+COUNTIFS($AK$3:$AK$98,$AK15,Q$3:Q$98,"&lt;"&amp;P15,R$3:R$98,"&gt;"&amp;O15)+COUNTIFS($AK$3:$AK$98,$AK15,S$3:S$98,"&lt;"&amp;P15,T$3:T$98,"&gt;"&amp;O15)+COUNTIFS($AK$3:$AK$98,$AK15,U$3:U$98,"&lt;"&amp;P15,V$3:V$98,"&gt;"&amp;O15)+COUNTIFS($AK$3:$AK$98,$AK15,W$3:W$98,"&lt;"&amp;P15,X$3:X$98,"&gt;"&amp;O15)+COUNTIFS($AK$3:$AK$98,$AK15,Y$3:Y$98,"&lt;"&amp;P15,Z$3:Z$98,"&gt;"&amp;O15)+COUNTIFS($AK$3:$AK$98,$AK15,AA$3:AA$98,"&lt;"&amp;P15,AB$3:AB$98,"&gt;"&amp;O15)+COUNTIFS($AK$3:$AK$98,$AK15,AC$3:AC$98,"&lt;"&amp;P15,AD$3:AD$98,"&gt;"&amp;O15)+COUNTIFS($AK$3:$AK$98,$AK15,AE$3:AE$98,"&lt;"&amp;P15,AF$3:AF$98,"&gt;"&amp;O15)+COUNTIFS($AK$3:$AK$98,$AK15,AG$3:AG$98,"&lt;"&amp;P15,AH$3:AH$98,"&gt;"&amp;O15)-(O15&lt;P15))</f>
        <v>0</v>
      </c>
      <c r="AV15">
        <f>AU15</f>
        <v>0</v>
      </c>
      <c r="AW15">
        <f>IF(OR($AK15="",Q15="",R15=""),0,COUNTIFS($AK$3:$AK$98,$AK15,K$3:K$98,"&lt;"&amp;R15,L$3:L$98,"&gt;"&amp;Q15)+COUNTIFS($AK$3:$AK$98,$AK15,M$3:M$98,"&lt;"&amp;R15,N$3:N$98,"&gt;"&amp;Q15)+COUNTIFS($AK$3:$AK$98,$AK15,O$3:O$98,"&lt;"&amp;R15,P$3:P$98,"&gt;"&amp;Q15)+COUNTIFS($AK$3:$AK$98,$AK15,Q$3:Q$98,"&lt;"&amp;R15,R$3:R$98,"&gt;"&amp;Q15)+COUNTIFS($AK$3:$AK$98,$AK15,S$3:S$98,"&lt;"&amp;R15,T$3:T$98,"&gt;"&amp;Q15)+COUNTIFS($AK$3:$AK$98,$AK15,U$3:U$98,"&lt;"&amp;R15,V$3:V$98,"&gt;"&amp;Q15)+COUNTIFS($AK$3:$AK$98,$AK15,W$3:W$98,"&lt;"&amp;R15,X$3:X$98,"&gt;"&amp;Q15)+COUNTIFS($AK$3:$AK$98,$AK15,Y$3:Y$98,"&lt;"&amp;R15,Z$3:Z$98,"&gt;"&amp;Q15)+COUNTIFS($AK$3:$AK$98,$AK15,AA$3:AA$98,"&lt;"&amp;R15,AB$3:AB$98,"&gt;"&amp;Q15)+COUNTIFS($AK$3:$AK$98,$AK15,AC$3:AC$98,"&lt;"&amp;R15,AD$3:AD$98,"&gt;"&amp;Q15)+COUNTIFS($AK$3:$AK$98,$AK15,AE$3:AE$98,"&lt;"&amp;R15,AF$3:AF$98,"&gt;"&amp;Q15)+COUNTIFS($AK$3:$AK$98,$AK15,AG$3:AG$98,"&lt;"&amp;R15,AH$3:AH$98,"&gt;"&amp;Q15)-(Q15&lt;R15))</f>
        <v>0</v>
      </c>
      <c r="AX15">
        <f>AW15</f>
        <v>0</v>
      </c>
      <c r="AY15">
        <f>IF(OR($AK15="",S15="",T15=""),0,COUNTIFS($AK$3:$AK$98,$AK15,K$3:K$98,"&lt;"&amp;T15,L$3:L$98,"&gt;"&amp;S15)+COUNTIFS($AK$3:$AK$98,$AK15,M$3:M$98,"&lt;"&amp;T15,N$3:N$98,"&gt;"&amp;S15)+COUNTIFS($AK$3:$AK$98,$AK15,O$3:O$98,"&lt;"&amp;T15,P$3:P$98,"&gt;"&amp;S15)+COUNTIFS($AK$3:$AK$98,$AK15,Q$3:Q$98,"&lt;"&amp;T15,R$3:R$98,"&gt;"&amp;S15)+COUNTIFS($AK$3:$AK$98,$AK15,S$3:S$98,"&lt;"&amp;T15,T$3:T$98,"&gt;"&amp;S15)+COUNTIFS($AK$3:$AK$98,$AK15,U$3:U$98,"&lt;"&amp;T15,V$3:V$98,"&gt;"&amp;S15)+COUNTIFS($AK$3:$AK$98,$AK15,W$3:W$98,"&lt;"&amp;T15,X$3:X$98,"&gt;"&amp;S15)+COUNTIFS($AK$3:$AK$98,$AK15,Y$3:Y$98,"&lt;"&amp;T15,Z$3:Z$98,"&gt;"&amp;S15)+COUNTIFS($AK$3:$AK$98,$AK15,AA$3:AA$98,"&lt;"&amp;T15,AB$3:AB$98,"&gt;"&amp;S15)+COUNTIFS($AK$3:$AK$98,$AK15,AC$3:AC$98,"&lt;"&amp;T15,AD$3:AD$98,"&gt;"&amp;S15)+COUNTIFS($AK$3:$AK$98,$AK15,AE$3:AE$98,"&lt;"&amp;T15,AF$3:AF$98,"&gt;"&amp;S15)+COUNTIFS($AK$3:$AK$98,$AK15,AG$3:AG$98,"&lt;"&amp;T15,AH$3:AH$98,"&gt;"&amp;S15)-(S15&lt;T15))</f>
        <v>0</v>
      </c>
      <c r="AZ15">
        <f>AY15</f>
        <v>0</v>
      </c>
      <c r="BA15">
        <f>IF(OR($AK15="",U15="",V15=""),0,COUNTIFS($AK$3:$AK$98,$AK15,K$3:K$98,"&lt;"&amp;V15,L$3:L$98,"&gt;"&amp;U15)+COUNTIFS($AK$3:$AK$98,$AK15,M$3:M$98,"&lt;"&amp;V15,N$3:N$98,"&gt;"&amp;U15)+COUNTIFS($AK$3:$AK$98,$AK15,O$3:O$98,"&lt;"&amp;V15,P$3:P$98,"&gt;"&amp;U15)+COUNTIFS($AK$3:$AK$98,$AK15,Q$3:Q$98,"&lt;"&amp;V15,R$3:R$98,"&gt;"&amp;U15)+COUNTIFS($AK$3:$AK$98,$AK15,S$3:S$98,"&lt;"&amp;V15,T$3:T$98,"&gt;"&amp;U15)+COUNTIFS($AK$3:$AK$98,$AK15,U$3:U$98,"&lt;"&amp;V15,V$3:V$98,"&gt;"&amp;U15)+COUNTIFS($AK$3:$AK$98,$AK15,W$3:W$98,"&lt;"&amp;V15,X$3:X$98,"&gt;"&amp;U15)+COUNTIFS($AK$3:$AK$98,$AK15,Y$3:Y$98,"&lt;"&amp;V15,Z$3:Z$98,"&gt;"&amp;U15)+COUNTIFS($AK$3:$AK$98,$AK15,AA$3:AA$98,"&lt;"&amp;V15,AB$3:AB$98,"&gt;"&amp;U15)+COUNTIFS($AK$3:$AK$98,$AK15,AC$3:AC$98,"&lt;"&amp;V15,AD$3:AD$98,"&gt;"&amp;U15)+COUNTIFS($AK$3:$AK$98,$AK15,AE$3:AE$98,"&lt;"&amp;V15,AF$3:AF$98,"&gt;"&amp;U15)+COUNTIFS($AK$3:$AK$98,$AK15,AG$3:AG$98,"&lt;"&amp;V15,AH$3:AH$98,"&gt;"&amp;U15)-(U15&lt;V15))</f>
        <v>0</v>
      </c>
      <c r="BB15">
        <f>BA15</f>
        <v>0</v>
      </c>
      <c r="BC15">
        <f>IF(OR($AK15="",W15="",X15=""),0,COUNTIFS($AK$3:$AK$98,$AK15,K$3:K$98,"&lt;"&amp;X15,L$3:L$98,"&gt;"&amp;W15)+COUNTIFS($AK$3:$AK$98,$AK15,M$3:M$98,"&lt;"&amp;X15,N$3:N$98,"&gt;"&amp;W15)+COUNTIFS($AK$3:$AK$98,$AK15,O$3:O$98,"&lt;"&amp;X15,P$3:P$98,"&gt;"&amp;W15)+COUNTIFS($AK$3:$AK$98,$AK15,Q$3:Q$98,"&lt;"&amp;X15,R$3:R$98,"&gt;"&amp;W15)+COUNTIFS($AK$3:$AK$98,$AK15,S$3:S$98,"&lt;"&amp;X15,T$3:T$98,"&gt;"&amp;W15)+COUNTIFS($AK$3:$AK$98,$AK15,U$3:U$98,"&lt;"&amp;X15,V$3:V$98,"&gt;"&amp;W15)+COUNTIFS($AK$3:$AK$98,$AK15,W$3:W$98,"&lt;"&amp;X15,X$3:X$98,"&gt;"&amp;W15)+COUNTIFS($AK$3:$AK$98,$AK15,Y$3:Y$98,"&lt;"&amp;X15,Z$3:Z$98,"&gt;"&amp;W15)+COUNTIFS($AK$3:$AK$98,$AK15,AA$3:AA$98,"&lt;"&amp;X15,AB$3:AB$98,"&gt;"&amp;W15)+COUNTIFS($AK$3:$AK$98,$AK15,AC$3:AC$98,"&lt;"&amp;X15,AD$3:AD$98,"&gt;"&amp;W15)+COUNTIFS($AK$3:$AK$98,$AK15,AE$3:AE$98,"&lt;"&amp;X15,AF$3:AF$98,"&gt;"&amp;W15)+COUNTIFS($AK$3:$AK$98,$AK15,AG$3:AG$98,"&lt;"&amp;X15,AH$3:AH$98,"&gt;"&amp;W15)-(W15&lt;X15))</f>
        <v>0</v>
      </c>
      <c r="BD15">
        <f>BC15</f>
        <v>0</v>
      </c>
      <c r="BE15">
        <f>IF(OR($AK15="",Y15="",Z15=""),0,COUNTIFS($AK$3:$AK$98,$AK15,K$3:K$98,"&lt;"&amp;Z15,L$3:L$98,"&gt;"&amp;Y15)+COUNTIFS($AK$3:$AK$98,$AK15,M$3:M$98,"&lt;"&amp;Z15,N$3:N$98,"&gt;"&amp;Y15)+COUNTIFS($AK$3:$AK$98,$AK15,O$3:O$98,"&lt;"&amp;Z15,P$3:P$98,"&gt;"&amp;Y15)+COUNTIFS($AK$3:$AK$98,$AK15,Q$3:Q$98,"&lt;"&amp;Z15,R$3:R$98,"&gt;"&amp;Y15)+COUNTIFS($AK$3:$AK$98,$AK15,S$3:S$98,"&lt;"&amp;Z15,T$3:T$98,"&gt;"&amp;Y15)+COUNTIFS($AK$3:$AK$98,$AK15,U$3:U$98,"&lt;"&amp;Z15,V$3:V$98,"&gt;"&amp;Y15)+COUNTIFS($AK$3:$AK$98,$AK15,W$3:W$98,"&lt;"&amp;Z15,X$3:X$98,"&gt;"&amp;Y15)+COUNTIFS($AK$3:$AK$98,$AK15,Y$3:Y$98,"&lt;"&amp;Z15,Z$3:Z$98,"&gt;"&amp;Y15)+COUNTIFS($AK$3:$AK$98,$AK15,AA$3:AA$98,"&lt;"&amp;Z15,AB$3:AB$98,"&gt;"&amp;Y15)+COUNTIFS($AK$3:$AK$98,$AK15,AC$3:AC$98,"&lt;"&amp;Z15,AD$3:AD$98,"&gt;"&amp;Y15)+COUNTIFS($AK$3:$AK$98,$AK15,AE$3:AE$98,"&lt;"&amp;Z15,AF$3:AF$98,"&gt;"&amp;Y15)+COUNTIFS($AK$3:$AK$98,$AK15,AG$3:AG$98,"&lt;"&amp;Z15,AH$3:AH$98,"&gt;"&amp;Y15)-(Y15&lt;Z15))</f>
        <v>0</v>
      </c>
      <c r="BF15">
        <f>BE15</f>
        <v>0</v>
      </c>
      <c r="BG15">
        <f>IF(OR($AK15="",AA15="",AB15=""),0,COUNTIFS($AK$3:$AK$98,$AK15,K$3:K$98,"&lt;"&amp;AB15,L$3:L$98,"&gt;"&amp;AA15)+COUNTIFS($AK$3:$AK$98,$AK15,M$3:M$98,"&lt;"&amp;AB15,N$3:N$98,"&gt;"&amp;AA15)+COUNTIFS($AK$3:$AK$98,$AK15,O$3:O$98,"&lt;"&amp;AB15,P$3:P$98,"&gt;"&amp;AA15)+COUNTIFS($AK$3:$AK$98,$AK15,Q$3:Q$98,"&lt;"&amp;AB15,R$3:R$98,"&gt;"&amp;AA15)+COUNTIFS($AK$3:$AK$98,$AK15,S$3:S$98,"&lt;"&amp;AB15,T$3:T$98,"&gt;"&amp;AA15)+COUNTIFS($AK$3:$AK$98,$AK15,U$3:U$98,"&lt;"&amp;AB15,V$3:V$98,"&gt;"&amp;AA15)+COUNTIFS($AK$3:$AK$98,$AK15,W$3:W$98,"&lt;"&amp;AB15,X$3:X$98,"&gt;"&amp;AA15)+COUNTIFS($AK$3:$AK$98,$AK15,Y$3:Y$98,"&lt;"&amp;AB15,Z$3:Z$98,"&gt;"&amp;AA15)+COUNTIFS($AK$3:$AK$98,$AK15,AA$3:AA$98,"&lt;"&amp;AB15,AB$3:AB$98,"&gt;"&amp;AA15)+COUNTIFS($AK$3:$AK$98,$AK15,AC$3:AC$98,"&lt;"&amp;AB15,AD$3:AD$98,"&gt;"&amp;AA15)+COUNTIFS($AK$3:$AK$98,$AK15,AE$3:AE$98,"&lt;"&amp;AB15,AF$3:AF$98,"&gt;"&amp;AA15)+COUNTIFS($AK$3:$AK$98,$AK15,AG$3:AG$98,"&lt;"&amp;AB15,AH$3:AH$98,"&gt;"&amp;AA15)-(AA15&lt;AB15))</f>
        <v>0</v>
      </c>
      <c r="BH15">
        <f>BG15</f>
        <v>0</v>
      </c>
      <c r="BI15">
        <f>IF(OR($AK15="",AC15="",AD15=""),0,COUNTIFS($AK$3:$AK$98,$AK15,K$3:K$98,"&lt;"&amp;AD15,L$3:L$98,"&gt;"&amp;AC15)+COUNTIFS($AK$3:$AK$98,$AK15,M$3:M$98,"&lt;"&amp;AD15,N$3:N$98,"&gt;"&amp;AC15)+COUNTIFS($AK$3:$AK$98,$AK15,O$3:O$98,"&lt;"&amp;AD15,P$3:P$98,"&gt;"&amp;AC15)+COUNTIFS($AK$3:$AK$98,$AK15,Q$3:Q$98,"&lt;"&amp;AD15,R$3:R$98,"&gt;"&amp;AC15)+COUNTIFS($AK$3:$AK$98,$AK15,S$3:S$98,"&lt;"&amp;AD15,T$3:T$98,"&gt;"&amp;AC15)+COUNTIFS($AK$3:$AK$98,$AK15,U$3:U$98,"&lt;"&amp;AD15,V$3:V$98,"&gt;"&amp;AC15)+COUNTIFS($AK$3:$AK$98,$AK15,W$3:W$98,"&lt;"&amp;AD15,X$3:X$98,"&gt;"&amp;AC15)+COUNTIFS($AK$3:$AK$98,$AK15,Y$3:Y$98,"&lt;"&amp;AD15,Z$3:Z$98,"&gt;"&amp;AC15)+COUNTIFS($AK$3:$AK$98,$AK15,AA$3:AA$98,"&lt;"&amp;AD15,AB$3:AB$98,"&gt;"&amp;AC15)+COUNTIFS($AK$3:$AK$98,$AK15,AC$3:AC$98,"&lt;"&amp;AD15,AD$3:AD$98,"&gt;"&amp;AC15)+COUNTIFS($AK$3:$AK$98,$AK15,AE$3:AE$98,"&lt;"&amp;AD15,AF$3:AF$98,"&gt;"&amp;AC15)+COUNTIFS($AK$3:$AK$98,$AK15,AG$3:AG$98,"&lt;"&amp;AD15,AH$3:AH$98,"&gt;"&amp;AC15)-(AC15&lt;AD15))</f>
        <v>0</v>
      </c>
      <c r="BJ15">
        <f>BI15</f>
        <v>0</v>
      </c>
      <c r="BK15">
        <f>IF(OR($AK15="",AE15="",AF15=""),0,COUNTIFS($AK$3:$AK$98,$AK15,K$3:K$98,"&lt;"&amp;AF15,L$3:L$98,"&gt;"&amp;AE15)+COUNTIFS($AK$3:$AK$98,$AK15,M$3:M$98,"&lt;"&amp;AF15,N$3:N$98,"&gt;"&amp;AE15)+COUNTIFS($AK$3:$AK$98,$AK15,O$3:O$98,"&lt;"&amp;AF15,P$3:P$98,"&gt;"&amp;AE15)+COUNTIFS($AK$3:$AK$98,$AK15,Q$3:Q$98,"&lt;"&amp;AF15,R$3:R$98,"&gt;"&amp;AE15)+COUNTIFS($AK$3:$AK$98,$AK15,S$3:S$98,"&lt;"&amp;AF15,T$3:T$98,"&gt;"&amp;AE15)+COUNTIFS($AK$3:$AK$98,$AK15,U$3:U$98,"&lt;"&amp;AF15,V$3:V$98,"&gt;"&amp;AE15)+COUNTIFS($AK$3:$AK$98,$AK15,W$3:W$98,"&lt;"&amp;AF15,X$3:X$98,"&gt;"&amp;AE15)+COUNTIFS($AK$3:$AK$98,$AK15,Y$3:Y$98,"&lt;"&amp;AF15,Z$3:Z$98,"&gt;"&amp;AE15)+COUNTIFS($AK$3:$AK$98,$AK15,AA$3:AA$98,"&lt;"&amp;AF15,AB$3:AB$98,"&gt;"&amp;AE15)+COUNTIFS($AK$3:$AK$98,$AK15,AC$3:AC$98,"&lt;"&amp;AF15,AD$3:AD$98,"&gt;"&amp;AE15)+COUNTIFS($AK$3:$AK$98,$AK15,AE$3:AE$98,"&lt;"&amp;AF15,AF$3:AF$98,"&gt;"&amp;AE15)+COUNTIFS($AK$3:$AK$98,$AK15,AG$3:AG$98,"&lt;"&amp;AF15,AH$3:AH$98,"&gt;"&amp;AE15)-(AE15&lt;AF15))</f>
        <v>0</v>
      </c>
      <c r="BL15">
        <f>BK15</f>
        <v>0</v>
      </c>
      <c r="BM15">
        <f>IF(OR($AK15="",AG15="",AH15=""),0,COUNTIFS($AK$3:$AK$98,$AK15,K$3:K$98,"&lt;"&amp;AH15,L$3:L$98,"&gt;"&amp;AG15)+COUNTIFS($AK$3:$AK$98,$AK15,M$3:M$98,"&lt;"&amp;AH15,N$3:N$98,"&gt;"&amp;AG15)+COUNTIFS($AK$3:$AK$98,$AK15,O$3:O$98,"&lt;"&amp;AH15,P$3:P$98,"&gt;"&amp;AG15)+COUNTIFS($AK$3:$AK$98,$AK15,Q$3:Q$98,"&lt;"&amp;AH15,R$3:R$98,"&gt;"&amp;AG15)+COUNTIFS($AK$3:$AK$98,$AK15,S$3:S$98,"&lt;"&amp;AH15,T$3:T$98,"&gt;"&amp;AG15)+COUNTIFS($AK$3:$AK$98,$AK15,U$3:U$98,"&lt;"&amp;AH15,V$3:V$98,"&gt;"&amp;AG15)+COUNTIFS($AK$3:$AK$98,$AK15,W$3:W$98,"&lt;"&amp;AH15,X$3:X$98,"&gt;"&amp;AG15)+COUNTIFS($AK$3:$AK$98,$AK15,Y$3:Y$98,"&lt;"&amp;AH15,Z$3:Z$98,"&gt;"&amp;AG15)+COUNTIFS($AK$3:$AK$98,$AK15,AA$3:AA$98,"&lt;"&amp;AH15,AB$3:AB$98,"&gt;"&amp;AG15)+COUNTIFS($AK$3:$AK$98,$AK15,AC$3:AC$98,"&lt;"&amp;AH15,AD$3:AD$98,"&gt;"&amp;AG15)+COUNTIFS($AK$3:$AK$98,$AK15,AE$3:AE$98,"&lt;"&amp;AH15,AF$3:AF$98,"&gt;"&amp;AG15)+COUNTIFS($AK$3:$AK$98,$AK15,AG$3:AG$98,"&lt;"&amp;AH15,AH$3:AH$98,"&gt;"&amp;AG15)-(AG15&lt;AH15))</f>
        <v>0</v>
      </c>
      <c r="BN15">
        <f>BM15</f>
        <v>0</v>
      </c>
      <c r="BO15">
        <f>IF(ISNUMBER($G15),$G15,"")</f>
        <v>0</v>
      </c>
      <c r="BP15" t="str">
        <f>IF(AND($A15&lt;&gt;"",COUNT($K15:$AH15)&gt;0),ROW(),"")</f>
        <v/>
      </c>
    </row>
    <row r="16" spans="1:68" x14ac:dyDescent="0.15">
      <c r="A16" s="13" t="s">
        <v>36</v>
      </c>
      <c r="B16" s="14" t="str">
        <f>IF($A16="","","total")</f>
        <v>total</v>
      </c>
      <c r="C16" s="14"/>
      <c r="D16" s="15">
        <f>IF($A16="","",SUM(D17:D19))</f>
        <v>33</v>
      </c>
      <c r="E16" s="15">
        <f>IF($A16="","",SUM(E17:E19))</f>
        <v>33</v>
      </c>
      <c r="F16" s="15">
        <f>IF($A16="","",D16-E16)</f>
        <v>0</v>
      </c>
      <c r="G16" s="16">
        <f>IF($A16="","",IFERROR(AVERAGEIFS(G17:G19,H17:H19,"&lt;&gt;未着手",H17:H19,"&lt;&gt;作業中"),""))</f>
        <v>1</v>
      </c>
      <c r="H16" s="14"/>
      <c r="I16" s="14"/>
      <c r="J16" s="14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68" x14ac:dyDescent="0.15">
      <c r="A17" s="18" t="str">
        <f>IF($A16="","",$A16)</f>
        <v>chBuChildA</v>
      </c>
      <c r="B17" s="19" t="str">
        <f>IF($A16="","","low")</f>
        <v>low</v>
      </c>
      <c r="C17" s="19"/>
      <c r="D17" s="20">
        <v>13</v>
      </c>
      <c r="E17" s="21">
        <f>IF(AND($D17="",COUNT($K17:$AH17)=0),"",IF(K17="",0,MAX(0,NETWORKDAYS(K17,IF(L17&lt;&gt;"",L17,IF($J17&lt;&gt;"",K17,$AI$1)),祝日!$A$2:$A$200)))+IF(M17="",0,MAX(0,NETWORKDAYS(M17,IF(N17&lt;&gt;"",N17,IF($J17&lt;&gt;"",M17,$AI$1)),祝日!$A$2:$A$200)))+IF(O17="",0,MAX(0,NETWORKDAYS(O17,IF(P17&lt;&gt;"",P17,IF($J17&lt;&gt;"",O17,$AI$1)),祝日!$A$2:$A$200)))+IF(Q17="",0,MAX(0,NETWORKDAYS(Q17,IF(R17&lt;&gt;"",R17,IF($J17&lt;&gt;"",Q17,$AI$1)),祝日!$A$2:$A$200)))+IF(S17="",0,MAX(0,NETWORKDAYS(S17,IF(T17&lt;&gt;"",T17,IF($J17&lt;&gt;"",S17,$AI$1)),祝日!$A$2:$A$200)))+IF(U17="",0,MAX(0,NETWORKDAYS(U17,IF(V17&lt;&gt;"",V17,IF($J17&lt;&gt;"",U17,$AI$1)),祝日!$A$2:$A$200)))+IF(W17="",0,MAX(0,NETWORKDAYS(W17,IF(X17&lt;&gt;"",X17,IF($J17&lt;&gt;"",W17,$AI$1)),祝日!$A$2:$A$200)))+IF(Y17="",0,MAX(0,NETWORKDAYS(Y17,IF(Z17&lt;&gt;"",Z17,IF($J17&lt;&gt;"",Y17,$AI$1)),祝日!$A$2:$A$200)))+IF(AA17="",0,MAX(0,NETWORKDAYS(AA17,IF(AB17&lt;&gt;"",AB17,IF($J17&lt;&gt;"",AA17,$AI$1)),祝日!$A$2:$A$200)))+IF(AC17="",0,MAX(0,NETWORKDAYS(AC17,IF(AD17&lt;&gt;"",AD17,IF($J17&lt;&gt;"",AC17,$AI$1)),祝日!$A$2:$A$200)))+IF(AE17="",0,MAX(0,NETWORKDAYS(AE17,IF(AF17&lt;&gt;"",AF17,IF($J17&lt;&gt;"",AE17,$AI$1)),祝日!$A$2:$A$200)))+IF(AG17="",0,MAX(0,NETWORKDAYS(AG17,IF(AH17&lt;&gt;"",AH17,IF($J17&lt;&gt;"",AG17,$AI$1)),祝日!$A$2:$A$200))))</f>
        <v>13</v>
      </c>
      <c r="F17" s="21">
        <f>IF($D17="","",$D17-$E17)</f>
        <v>0</v>
      </c>
      <c r="G17" s="22">
        <f>IF(OR($D17="",$D17=0),"",$E17/$D17)</f>
        <v>1</v>
      </c>
      <c r="H17" s="23" t="str">
        <f>IF($D17="","",IF($J17&lt;&gt;"","FIX",IF(AND(SUMPRODUCT((MOD(COLUMN($K17:$AH17)-COLUMN($K17),2)=0)*($K17:$AH17&lt;&gt;""))=0,SUMPRODUCT((MOD(COLUMN($K17:$AH17)-COLUMN($K17),2)=1)*($K17:$AH17&lt;&gt;""))=0),"未着手",IF(SUMPRODUCT((MOD(COLUMN($K17:$AH17)-COLUMN($K17),2)=0)*($K17:$AH17&lt;&gt;""))&gt;SUMPRODUCT((MOD(COLUMN($K17:$AH17)-COLUMN($K17),2)=1)*($K17:$AH17&lt;&gt;"")),"作業中","中断"))))</f>
        <v>FIX</v>
      </c>
      <c r="I17" s="23" t="str">
        <f>IF($H17="中断",MAX(0,$AI$1-MAX(L17,N17,P17,R17,T17,V17,X17,Z17,AB17,AD17,AF17,AH17)),"")</f>
        <v/>
      </c>
      <c r="J17" s="19" t="s">
        <v>37</v>
      </c>
      <c r="K17" s="24">
        <v>46199</v>
      </c>
      <c r="L17" s="24">
        <v>46217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K17" t="str">
        <f>IF($A16="","",IF(LOOKUP(2,1/($AJ$3:$AJ17&lt;&gt;""),$AJ$3:$AJ17)="-","",LOOKUP(2,1/($AJ$3:$AJ17&lt;&gt;""),$AJ$3:$AJ17)))</f>
        <v>CH01</v>
      </c>
      <c r="AL17" t="str">
        <f>$H17</f>
        <v>FIX</v>
      </c>
      <c r="AM17">
        <f>IF(ISNUMBER($D17),$D17,0)</f>
        <v>13</v>
      </c>
      <c r="AN17">
        <f>IF(ISNUMBER($E17),$E17,0)</f>
        <v>13</v>
      </c>
      <c r="AO17">
        <f>IF(ISNUMBER($F17),$F17,0)</f>
        <v>0</v>
      </c>
      <c r="AQ17">
        <f>IF(OR($AK17="",K17="",L17=""),0,COUNTIFS($AK$3:$AK$98,$AK17,K$3:K$98,"&lt;"&amp;L17,L$3:L$98,"&gt;"&amp;K17)+COUNTIFS($AK$3:$AK$98,$AK17,M$3:M$98,"&lt;"&amp;L17,N$3:N$98,"&gt;"&amp;K17)+COUNTIFS($AK$3:$AK$98,$AK17,O$3:O$98,"&lt;"&amp;L17,P$3:P$98,"&gt;"&amp;K17)+COUNTIFS($AK$3:$AK$98,$AK17,Q$3:Q$98,"&lt;"&amp;L17,R$3:R$98,"&gt;"&amp;K17)+COUNTIFS($AK$3:$AK$98,$AK17,S$3:S$98,"&lt;"&amp;L17,T$3:T$98,"&gt;"&amp;K17)+COUNTIFS($AK$3:$AK$98,$AK17,U$3:U$98,"&lt;"&amp;L17,V$3:V$98,"&gt;"&amp;K17)+COUNTIFS($AK$3:$AK$98,$AK17,W$3:W$98,"&lt;"&amp;L17,X$3:X$98,"&gt;"&amp;K17)+COUNTIFS($AK$3:$AK$98,$AK17,Y$3:Y$98,"&lt;"&amp;L17,Z$3:Z$98,"&gt;"&amp;K17)+COUNTIFS($AK$3:$AK$98,$AK17,AA$3:AA$98,"&lt;"&amp;L17,AB$3:AB$98,"&gt;"&amp;K17)+COUNTIFS($AK$3:$AK$98,$AK17,AC$3:AC$98,"&lt;"&amp;L17,AD$3:AD$98,"&gt;"&amp;K17)+COUNTIFS($AK$3:$AK$98,$AK17,AE$3:AE$98,"&lt;"&amp;L17,AF$3:AF$98,"&gt;"&amp;K17)+COUNTIFS($AK$3:$AK$98,$AK17,AG$3:AG$98,"&lt;"&amp;L17,AH$3:AH$98,"&gt;"&amp;K17)-(K17&lt;L17))</f>
        <v>0</v>
      </c>
      <c r="AR17">
        <f>AQ17</f>
        <v>0</v>
      </c>
      <c r="AS17">
        <f>IF(OR($AK17="",M17="",N17=""),0,COUNTIFS($AK$3:$AK$98,$AK17,K$3:K$98,"&lt;"&amp;N17,L$3:L$98,"&gt;"&amp;M17)+COUNTIFS($AK$3:$AK$98,$AK17,M$3:M$98,"&lt;"&amp;N17,N$3:N$98,"&gt;"&amp;M17)+COUNTIFS($AK$3:$AK$98,$AK17,O$3:O$98,"&lt;"&amp;N17,P$3:P$98,"&gt;"&amp;M17)+COUNTIFS($AK$3:$AK$98,$AK17,Q$3:Q$98,"&lt;"&amp;N17,R$3:R$98,"&gt;"&amp;M17)+COUNTIFS($AK$3:$AK$98,$AK17,S$3:S$98,"&lt;"&amp;N17,T$3:T$98,"&gt;"&amp;M17)+COUNTIFS($AK$3:$AK$98,$AK17,U$3:U$98,"&lt;"&amp;N17,V$3:V$98,"&gt;"&amp;M17)+COUNTIFS($AK$3:$AK$98,$AK17,W$3:W$98,"&lt;"&amp;N17,X$3:X$98,"&gt;"&amp;M17)+COUNTIFS($AK$3:$AK$98,$AK17,Y$3:Y$98,"&lt;"&amp;N17,Z$3:Z$98,"&gt;"&amp;M17)+COUNTIFS($AK$3:$AK$98,$AK17,AA$3:AA$98,"&lt;"&amp;N17,AB$3:AB$98,"&gt;"&amp;M17)+COUNTIFS($AK$3:$AK$98,$AK17,AC$3:AC$98,"&lt;"&amp;N17,AD$3:AD$98,"&gt;"&amp;M17)+COUNTIFS($AK$3:$AK$98,$AK17,AE$3:AE$98,"&lt;"&amp;N17,AF$3:AF$98,"&gt;"&amp;M17)+COUNTIFS($AK$3:$AK$98,$AK17,AG$3:AG$98,"&lt;"&amp;N17,AH$3:AH$98,"&gt;"&amp;M17)-(M17&lt;N17))</f>
        <v>0</v>
      </c>
      <c r="AT17">
        <f>AS17</f>
        <v>0</v>
      </c>
      <c r="AU17">
        <f>IF(OR($AK17="",O17="",P17=""),0,COUNTIFS($AK$3:$AK$98,$AK17,K$3:K$98,"&lt;"&amp;P17,L$3:L$98,"&gt;"&amp;O17)+COUNTIFS($AK$3:$AK$98,$AK17,M$3:M$98,"&lt;"&amp;P17,N$3:N$98,"&gt;"&amp;O17)+COUNTIFS($AK$3:$AK$98,$AK17,O$3:O$98,"&lt;"&amp;P17,P$3:P$98,"&gt;"&amp;O17)+COUNTIFS($AK$3:$AK$98,$AK17,Q$3:Q$98,"&lt;"&amp;P17,R$3:R$98,"&gt;"&amp;O17)+COUNTIFS($AK$3:$AK$98,$AK17,S$3:S$98,"&lt;"&amp;P17,T$3:T$98,"&gt;"&amp;O17)+COUNTIFS($AK$3:$AK$98,$AK17,U$3:U$98,"&lt;"&amp;P17,V$3:V$98,"&gt;"&amp;O17)+COUNTIFS($AK$3:$AK$98,$AK17,W$3:W$98,"&lt;"&amp;P17,X$3:X$98,"&gt;"&amp;O17)+COUNTIFS($AK$3:$AK$98,$AK17,Y$3:Y$98,"&lt;"&amp;P17,Z$3:Z$98,"&gt;"&amp;O17)+COUNTIFS($AK$3:$AK$98,$AK17,AA$3:AA$98,"&lt;"&amp;P17,AB$3:AB$98,"&gt;"&amp;O17)+COUNTIFS($AK$3:$AK$98,$AK17,AC$3:AC$98,"&lt;"&amp;P17,AD$3:AD$98,"&gt;"&amp;O17)+COUNTIFS($AK$3:$AK$98,$AK17,AE$3:AE$98,"&lt;"&amp;P17,AF$3:AF$98,"&gt;"&amp;O17)+COUNTIFS($AK$3:$AK$98,$AK17,AG$3:AG$98,"&lt;"&amp;P17,AH$3:AH$98,"&gt;"&amp;O17)-(O17&lt;P17))</f>
        <v>0</v>
      </c>
      <c r="AV17">
        <f>AU17</f>
        <v>0</v>
      </c>
      <c r="AW17">
        <f>IF(OR($AK17="",Q17="",R17=""),0,COUNTIFS($AK$3:$AK$98,$AK17,K$3:K$98,"&lt;"&amp;R17,L$3:L$98,"&gt;"&amp;Q17)+COUNTIFS($AK$3:$AK$98,$AK17,M$3:M$98,"&lt;"&amp;R17,N$3:N$98,"&gt;"&amp;Q17)+COUNTIFS($AK$3:$AK$98,$AK17,O$3:O$98,"&lt;"&amp;R17,P$3:P$98,"&gt;"&amp;Q17)+COUNTIFS($AK$3:$AK$98,$AK17,Q$3:Q$98,"&lt;"&amp;R17,R$3:R$98,"&gt;"&amp;Q17)+COUNTIFS($AK$3:$AK$98,$AK17,S$3:S$98,"&lt;"&amp;R17,T$3:T$98,"&gt;"&amp;Q17)+COUNTIFS($AK$3:$AK$98,$AK17,U$3:U$98,"&lt;"&amp;R17,V$3:V$98,"&gt;"&amp;Q17)+COUNTIFS($AK$3:$AK$98,$AK17,W$3:W$98,"&lt;"&amp;R17,X$3:X$98,"&gt;"&amp;Q17)+COUNTIFS($AK$3:$AK$98,$AK17,Y$3:Y$98,"&lt;"&amp;R17,Z$3:Z$98,"&gt;"&amp;Q17)+COUNTIFS($AK$3:$AK$98,$AK17,AA$3:AA$98,"&lt;"&amp;R17,AB$3:AB$98,"&gt;"&amp;Q17)+COUNTIFS($AK$3:$AK$98,$AK17,AC$3:AC$98,"&lt;"&amp;R17,AD$3:AD$98,"&gt;"&amp;Q17)+COUNTIFS($AK$3:$AK$98,$AK17,AE$3:AE$98,"&lt;"&amp;R17,AF$3:AF$98,"&gt;"&amp;Q17)+COUNTIFS($AK$3:$AK$98,$AK17,AG$3:AG$98,"&lt;"&amp;R17,AH$3:AH$98,"&gt;"&amp;Q17)-(Q17&lt;R17))</f>
        <v>0</v>
      </c>
      <c r="AX17">
        <f>AW17</f>
        <v>0</v>
      </c>
      <c r="AY17">
        <f>IF(OR($AK17="",S17="",T17=""),0,COUNTIFS($AK$3:$AK$98,$AK17,K$3:K$98,"&lt;"&amp;T17,L$3:L$98,"&gt;"&amp;S17)+COUNTIFS($AK$3:$AK$98,$AK17,M$3:M$98,"&lt;"&amp;T17,N$3:N$98,"&gt;"&amp;S17)+COUNTIFS($AK$3:$AK$98,$AK17,O$3:O$98,"&lt;"&amp;T17,P$3:P$98,"&gt;"&amp;S17)+COUNTIFS($AK$3:$AK$98,$AK17,Q$3:Q$98,"&lt;"&amp;T17,R$3:R$98,"&gt;"&amp;S17)+COUNTIFS($AK$3:$AK$98,$AK17,S$3:S$98,"&lt;"&amp;T17,T$3:T$98,"&gt;"&amp;S17)+COUNTIFS($AK$3:$AK$98,$AK17,U$3:U$98,"&lt;"&amp;T17,V$3:V$98,"&gt;"&amp;S17)+COUNTIFS($AK$3:$AK$98,$AK17,W$3:W$98,"&lt;"&amp;T17,X$3:X$98,"&gt;"&amp;S17)+COUNTIFS($AK$3:$AK$98,$AK17,Y$3:Y$98,"&lt;"&amp;T17,Z$3:Z$98,"&gt;"&amp;S17)+COUNTIFS($AK$3:$AK$98,$AK17,AA$3:AA$98,"&lt;"&amp;T17,AB$3:AB$98,"&gt;"&amp;S17)+COUNTIFS($AK$3:$AK$98,$AK17,AC$3:AC$98,"&lt;"&amp;T17,AD$3:AD$98,"&gt;"&amp;S17)+COUNTIFS($AK$3:$AK$98,$AK17,AE$3:AE$98,"&lt;"&amp;T17,AF$3:AF$98,"&gt;"&amp;S17)+COUNTIFS($AK$3:$AK$98,$AK17,AG$3:AG$98,"&lt;"&amp;T17,AH$3:AH$98,"&gt;"&amp;S17)-(S17&lt;T17))</f>
        <v>0</v>
      </c>
      <c r="AZ17">
        <f>AY17</f>
        <v>0</v>
      </c>
      <c r="BA17">
        <f>IF(OR($AK17="",U17="",V17=""),0,COUNTIFS($AK$3:$AK$98,$AK17,K$3:K$98,"&lt;"&amp;V17,L$3:L$98,"&gt;"&amp;U17)+COUNTIFS($AK$3:$AK$98,$AK17,M$3:M$98,"&lt;"&amp;V17,N$3:N$98,"&gt;"&amp;U17)+COUNTIFS($AK$3:$AK$98,$AK17,O$3:O$98,"&lt;"&amp;V17,P$3:P$98,"&gt;"&amp;U17)+COUNTIFS($AK$3:$AK$98,$AK17,Q$3:Q$98,"&lt;"&amp;V17,R$3:R$98,"&gt;"&amp;U17)+COUNTIFS($AK$3:$AK$98,$AK17,S$3:S$98,"&lt;"&amp;V17,T$3:T$98,"&gt;"&amp;U17)+COUNTIFS($AK$3:$AK$98,$AK17,U$3:U$98,"&lt;"&amp;V17,V$3:V$98,"&gt;"&amp;U17)+COUNTIFS($AK$3:$AK$98,$AK17,W$3:W$98,"&lt;"&amp;V17,X$3:X$98,"&gt;"&amp;U17)+COUNTIFS($AK$3:$AK$98,$AK17,Y$3:Y$98,"&lt;"&amp;V17,Z$3:Z$98,"&gt;"&amp;U17)+COUNTIFS($AK$3:$AK$98,$AK17,AA$3:AA$98,"&lt;"&amp;V17,AB$3:AB$98,"&gt;"&amp;U17)+COUNTIFS($AK$3:$AK$98,$AK17,AC$3:AC$98,"&lt;"&amp;V17,AD$3:AD$98,"&gt;"&amp;U17)+COUNTIFS($AK$3:$AK$98,$AK17,AE$3:AE$98,"&lt;"&amp;V17,AF$3:AF$98,"&gt;"&amp;U17)+COUNTIFS($AK$3:$AK$98,$AK17,AG$3:AG$98,"&lt;"&amp;V17,AH$3:AH$98,"&gt;"&amp;U17)-(U17&lt;V17))</f>
        <v>0</v>
      </c>
      <c r="BB17">
        <f>BA17</f>
        <v>0</v>
      </c>
      <c r="BC17">
        <f>IF(OR($AK17="",W17="",X17=""),0,COUNTIFS($AK$3:$AK$98,$AK17,K$3:K$98,"&lt;"&amp;X17,L$3:L$98,"&gt;"&amp;W17)+COUNTIFS($AK$3:$AK$98,$AK17,M$3:M$98,"&lt;"&amp;X17,N$3:N$98,"&gt;"&amp;W17)+COUNTIFS($AK$3:$AK$98,$AK17,O$3:O$98,"&lt;"&amp;X17,P$3:P$98,"&gt;"&amp;W17)+COUNTIFS($AK$3:$AK$98,$AK17,Q$3:Q$98,"&lt;"&amp;X17,R$3:R$98,"&gt;"&amp;W17)+COUNTIFS($AK$3:$AK$98,$AK17,S$3:S$98,"&lt;"&amp;X17,T$3:T$98,"&gt;"&amp;W17)+COUNTIFS($AK$3:$AK$98,$AK17,U$3:U$98,"&lt;"&amp;X17,V$3:V$98,"&gt;"&amp;W17)+COUNTIFS($AK$3:$AK$98,$AK17,W$3:W$98,"&lt;"&amp;X17,X$3:X$98,"&gt;"&amp;W17)+COUNTIFS($AK$3:$AK$98,$AK17,Y$3:Y$98,"&lt;"&amp;X17,Z$3:Z$98,"&gt;"&amp;W17)+COUNTIFS($AK$3:$AK$98,$AK17,AA$3:AA$98,"&lt;"&amp;X17,AB$3:AB$98,"&gt;"&amp;W17)+COUNTIFS($AK$3:$AK$98,$AK17,AC$3:AC$98,"&lt;"&amp;X17,AD$3:AD$98,"&gt;"&amp;W17)+COUNTIFS($AK$3:$AK$98,$AK17,AE$3:AE$98,"&lt;"&amp;X17,AF$3:AF$98,"&gt;"&amp;W17)+COUNTIFS($AK$3:$AK$98,$AK17,AG$3:AG$98,"&lt;"&amp;X17,AH$3:AH$98,"&gt;"&amp;W17)-(W17&lt;X17))</f>
        <v>0</v>
      </c>
      <c r="BD17">
        <f>BC17</f>
        <v>0</v>
      </c>
      <c r="BE17">
        <f>IF(OR($AK17="",Y17="",Z17=""),0,COUNTIFS($AK$3:$AK$98,$AK17,K$3:K$98,"&lt;"&amp;Z17,L$3:L$98,"&gt;"&amp;Y17)+COUNTIFS($AK$3:$AK$98,$AK17,M$3:M$98,"&lt;"&amp;Z17,N$3:N$98,"&gt;"&amp;Y17)+COUNTIFS($AK$3:$AK$98,$AK17,O$3:O$98,"&lt;"&amp;Z17,P$3:P$98,"&gt;"&amp;Y17)+COUNTIFS($AK$3:$AK$98,$AK17,Q$3:Q$98,"&lt;"&amp;Z17,R$3:R$98,"&gt;"&amp;Y17)+COUNTIFS($AK$3:$AK$98,$AK17,S$3:S$98,"&lt;"&amp;Z17,T$3:T$98,"&gt;"&amp;Y17)+COUNTIFS($AK$3:$AK$98,$AK17,U$3:U$98,"&lt;"&amp;Z17,V$3:V$98,"&gt;"&amp;Y17)+COUNTIFS($AK$3:$AK$98,$AK17,W$3:W$98,"&lt;"&amp;Z17,X$3:X$98,"&gt;"&amp;Y17)+COUNTIFS($AK$3:$AK$98,$AK17,Y$3:Y$98,"&lt;"&amp;Z17,Z$3:Z$98,"&gt;"&amp;Y17)+COUNTIFS($AK$3:$AK$98,$AK17,AA$3:AA$98,"&lt;"&amp;Z17,AB$3:AB$98,"&gt;"&amp;Y17)+COUNTIFS($AK$3:$AK$98,$AK17,AC$3:AC$98,"&lt;"&amp;Z17,AD$3:AD$98,"&gt;"&amp;Y17)+COUNTIFS($AK$3:$AK$98,$AK17,AE$3:AE$98,"&lt;"&amp;Z17,AF$3:AF$98,"&gt;"&amp;Y17)+COUNTIFS($AK$3:$AK$98,$AK17,AG$3:AG$98,"&lt;"&amp;Z17,AH$3:AH$98,"&gt;"&amp;Y17)-(Y17&lt;Z17))</f>
        <v>0</v>
      </c>
      <c r="BF17">
        <f>BE17</f>
        <v>0</v>
      </c>
      <c r="BG17">
        <f>IF(OR($AK17="",AA17="",AB17=""),0,COUNTIFS($AK$3:$AK$98,$AK17,K$3:K$98,"&lt;"&amp;AB17,L$3:L$98,"&gt;"&amp;AA17)+COUNTIFS($AK$3:$AK$98,$AK17,M$3:M$98,"&lt;"&amp;AB17,N$3:N$98,"&gt;"&amp;AA17)+COUNTIFS($AK$3:$AK$98,$AK17,O$3:O$98,"&lt;"&amp;AB17,P$3:P$98,"&gt;"&amp;AA17)+COUNTIFS($AK$3:$AK$98,$AK17,Q$3:Q$98,"&lt;"&amp;AB17,R$3:R$98,"&gt;"&amp;AA17)+COUNTIFS($AK$3:$AK$98,$AK17,S$3:S$98,"&lt;"&amp;AB17,T$3:T$98,"&gt;"&amp;AA17)+COUNTIFS($AK$3:$AK$98,$AK17,U$3:U$98,"&lt;"&amp;AB17,V$3:V$98,"&gt;"&amp;AA17)+COUNTIFS($AK$3:$AK$98,$AK17,W$3:W$98,"&lt;"&amp;AB17,X$3:X$98,"&gt;"&amp;AA17)+COUNTIFS($AK$3:$AK$98,$AK17,Y$3:Y$98,"&lt;"&amp;AB17,Z$3:Z$98,"&gt;"&amp;AA17)+COUNTIFS($AK$3:$AK$98,$AK17,AA$3:AA$98,"&lt;"&amp;AB17,AB$3:AB$98,"&gt;"&amp;AA17)+COUNTIFS($AK$3:$AK$98,$AK17,AC$3:AC$98,"&lt;"&amp;AB17,AD$3:AD$98,"&gt;"&amp;AA17)+COUNTIFS($AK$3:$AK$98,$AK17,AE$3:AE$98,"&lt;"&amp;AB17,AF$3:AF$98,"&gt;"&amp;AA17)+COUNTIFS($AK$3:$AK$98,$AK17,AG$3:AG$98,"&lt;"&amp;AB17,AH$3:AH$98,"&gt;"&amp;AA17)-(AA17&lt;AB17))</f>
        <v>0</v>
      </c>
      <c r="BH17">
        <f>BG17</f>
        <v>0</v>
      </c>
      <c r="BI17">
        <f>IF(OR($AK17="",AC17="",AD17=""),0,COUNTIFS($AK$3:$AK$98,$AK17,K$3:K$98,"&lt;"&amp;AD17,L$3:L$98,"&gt;"&amp;AC17)+COUNTIFS($AK$3:$AK$98,$AK17,M$3:M$98,"&lt;"&amp;AD17,N$3:N$98,"&gt;"&amp;AC17)+COUNTIFS($AK$3:$AK$98,$AK17,O$3:O$98,"&lt;"&amp;AD17,P$3:P$98,"&gt;"&amp;AC17)+COUNTIFS($AK$3:$AK$98,$AK17,Q$3:Q$98,"&lt;"&amp;AD17,R$3:R$98,"&gt;"&amp;AC17)+COUNTIFS($AK$3:$AK$98,$AK17,S$3:S$98,"&lt;"&amp;AD17,T$3:T$98,"&gt;"&amp;AC17)+COUNTIFS($AK$3:$AK$98,$AK17,U$3:U$98,"&lt;"&amp;AD17,V$3:V$98,"&gt;"&amp;AC17)+COUNTIFS($AK$3:$AK$98,$AK17,W$3:W$98,"&lt;"&amp;AD17,X$3:X$98,"&gt;"&amp;AC17)+COUNTIFS($AK$3:$AK$98,$AK17,Y$3:Y$98,"&lt;"&amp;AD17,Z$3:Z$98,"&gt;"&amp;AC17)+COUNTIFS($AK$3:$AK$98,$AK17,AA$3:AA$98,"&lt;"&amp;AD17,AB$3:AB$98,"&gt;"&amp;AC17)+COUNTIFS($AK$3:$AK$98,$AK17,AC$3:AC$98,"&lt;"&amp;AD17,AD$3:AD$98,"&gt;"&amp;AC17)+COUNTIFS($AK$3:$AK$98,$AK17,AE$3:AE$98,"&lt;"&amp;AD17,AF$3:AF$98,"&gt;"&amp;AC17)+COUNTIFS($AK$3:$AK$98,$AK17,AG$3:AG$98,"&lt;"&amp;AD17,AH$3:AH$98,"&gt;"&amp;AC17)-(AC17&lt;AD17))</f>
        <v>0</v>
      </c>
      <c r="BJ17">
        <f>BI17</f>
        <v>0</v>
      </c>
      <c r="BK17">
        <f>IF(OR($AK17="",AE17="",AF17=""),0,COUNTIFS($AK$3:$AK$98,$AK17,K$3:K$98,"&lt;"&amp;AF17,L$3:L$98,"&gt;"&amp;AE17)+COUNTIFS($AK$3:$AK$98,$AK17,M$3:M$98,"&lt;"&amp;AF17,N$3:N$98,"&gt;"&amp;AE17)+COUNTIFS($AK$3:$AK$98,$AK17,O$3:O$98,"&lt;"&amp;AF17,P$3:P$98,"&gt;"&amp;AE17)+COUNTIFS($AK$3:$AK$98,$AK17,Q$3:Q$98,"&lt;"&amp;AF17,R$3:R$98,"&gt;"&amp;AE17)+COUNTIFS($AK$3:$AK$98,$AK17,S$3:S$98,"&lt;"&amp;AF17,T$3:T$98,"&gt;"&amp;AE17)+COUNTIFS($AK$3:$AK$98,$AK17,U$3:U$98,"&lt;"&amp;AF17,V$3:V$98,"&gt;"&amp;AE17)+COUNTIFS($AK$3:$AK$98,$AK17,W$3:W$98,"&lt;"&amp;AF17,X$3:X$98,"&gt;"&amp;AE17)+COUNTIFS($AK$3:$AK$98,$AK17,Y$3:Y$98,"&lt;"&amp;AF17,Z$3:Z$98,"&gt;"&amp;AE17)+COUNTIFS($AK$3:$AK$98,$AK17,AA$3:AA$98,"&lt;"&amp;AF17,AB$3:AB$98,"&gt;"&amp;AE17)+COUNTIFS($AK$3:$AK$98,$AK17,AC$3:AC$98,"&lt;"&amp;AF17,AD$3:AD$98,"&gt;"&amp;AE17)+COUNTIFS($AK$3:$AK$98,$AK17,AE$3:AE$98,"&lt;"&amp;AF17,AF$3:AF$98,"&gt;"&amp;AE17)+COUNTIFS($AK$3:$AK$98,$AK17,AG$3:AG$98,"&lt;"&amp;AF17,AH$3:AH$98,"&gt;"&amp;AE17)-(AE17&lt;AF17))</f>
        <v>0</v>
      </c>
      <c r="BL17">
        <f>BK17</f>
        <v>0</v>
      </c>
      <c r="BM17">
        <f>IF(OR($AK17="",AG17="",AH17=""),0,COUNTIFS($AK$3:$AK$98,$AK17,K$3:K$98,"&lt;"&amp;AH17,L$3:L$98,"&gt;"&amp;AG17)+COUNTIFS($AK$3:$AK$98,$AK17,M$3:M$98,"&lt;"&amp;AH17,N$3:N$98,"&gt;"&amp;AG17)+COUNTIFS($AK$3:$AK$98,$AK17,O$3:O$98,"&lt;"&amp;AH17,P$3:P$98,"&gt;"&amp;AG17)+COUNTIFS($AK$3:$AK$98,$AK17,Q$3:Q$98,"&lt;"&amp;AH17,R$3:R$98,"&gt;"&amp;AG17)+COUNTIFS($AK$3:$AK$98,$AK17,S$3:S$98,"&lt;"&amp;AH17,T$3:T$98,"&gt;"&amp;AG17)+COUNTIFS($AK$3:$AK$98,$AK17,U$3:U$98,"&lt;"&amp;AH17,V$3:V$98,"&gt;"&amp;AG17)+COUNTIFS($AK$3:$AK$98,$AK17,W$3:W$98,"&lt;"&amp;AH17,X$3:X$98,"&gt;"&amp;AG17)+COUNTIFS($AK$3:$AK$98,$AK17,Y$3:Y$98,"&lt;"&amp;AH17,Z$3:Z$98,"&gt;"&amp;AG17)+COUNTIFS($AK$3:$AK$98,$AK17,AA$3:AA$98,"&lt;"&amp;AH17,AB$3:AB$98,"&gt;"&amp;AG17)+COUNTIFS($AK$3:$AK$98,$AK17,AC$3:AC$98,"&lt;"&amp;AH17,AD$3:AD$98,"&gt;"&amp;AG17)+COUNTIFS($AK$3:$AK$98,$AK17,AE$3:AE$98,"&lt;"&amp;AH17,AF$3:AF$98,"&gt;"&amp;AG17)+COUNTIFS($AK$3:$AK$98,$AK17,AG$3:AG$98,"&lt;"&amp;AH17,AH$3:AH$98,"&gt;"&amp;AG17)-(AG17&lt;AH17))</f>
        <v>0</v>
      </c>
      <c r="BN17">
        <f>BM17</f>
        <v>0</v>
      </c>
      <c r="BO17">
        <f>IF(ISNUMBER($G17),$G17,"")</f>
        <v>1</v>
      </c>
      <c r="BP17">
        <f>IF(AND($A17&lt;&gt;"",COUNT($K17:$AH17)&gt;0),ROW(),"")</f>
        <v>17</v>
      </c>
    </row>
    <row r="18" spans="1:68" x14ac:dyDescent="0.15">
      <c r="A18" s="18" t="str">
        <f>IF($A16="","",$A16)</f>
        <v>chBuChildA</v>
      </c>
      <c r="B18" s="19" t="str">
        <f>IF($A16="","","high")</f>
        <v>high</v>
      </c>
      <c r="C18" s="19"/>
      <c r="D18" s="20">
        <v>9</v>
      </c>
      <c r="E18" s="21">
        <f>IF(AND($D18="",COUNT($K18:$AH18)=0),"",IF(K18="",0,MAX(0,NETWORKDAYS(K18,IF(L18&lt;&gt;"",L18,IF($J18&lt;&gt;"",K18,$AI$1)),祝日!$A$2:$A$200)))+IF(M18="",0,MAX(0,NETWORKDAYS(M18,IF(N18&lt;&gt;"",N18,IF($J18&lt;&gt;"",M18,$AI$1)),祝日!$A$2:$A$200)))+IF(O18="",0,MAX(0,NETWORKDAYS(O18,IF(P18&lt;&gt;"",P18,IF($J18&lt;&gt;"",O18,$AI$1)),祝日!$A$2:$A$200)))+IF(Q18="",0,MAX(0,NETWORKDAYS(Q18,IF(R18&lt;&gt;"",R18,IF($J18&lt;&gt;"",Q18,$AI$1)),祝日!$A$2:$A$200)))+IF(S18="",0,MAX(0,NETWORKDAYS(S18,IF(T18&lt;&gt;"",T18,IF($J18&lt;&gt;"",S18,$AI$1)),祝日!$A$2:$A$200)))+IF(U18="",0,MAX(0,NETWORKDAYS(U18,IF(V18&lt;&gt;"",V18,IF($J18&lt;&gt;"",U18,$AI$1)),祝日!$A$2:$A$200)))+IF(W18="",0,MAX(0,NETWORKDAYS(W18,IF(X18&lt;&gt;"",X18,IF($J18&lt;&gt;"",W18,$AI$1)),祝日!$A$2:$A$200)))+IF(Y18="",0,MAX(0,NETWORKDAYS(Y18,IF(Z18&lt;&gt;"",Z18,IF($J18&lt;&gt;"",Y18,$AI$1)),祝日!$A$2:$A$200)))+IF(AA18="",0,MAX(0,NETWORKDAYS(AA18,IF(AB18&lt;&gt;"",AB18,IF($J18&lt;&gt;"",AA18,$AI$1)),祝日!$A$2:$A$200)))+IF(AC18="",0,MAX(0,NETWORKDAYS(AC18,IF(AD18&lt;&gt;"",AD18,IF($J18&lt;&gt;"",AC18,$AI$1)),祝日!$A$2:$A$200)))+IF(AE18="",0,MAX(0,NETWORKDAYS(AE18,IF(AF18&lt;&gt;"",AF18,IF($J18&lt;&gt;"",AE18,$AI$1)),祝日!$A$2:$A$200)))+IF(AG18="",0,MAX(0,NETWORKDAYS(AG18,IF(AH18&lt;&gt;"",AH18,IF($J18&lt;&gt;"",AG18,$AI$1)),祝日!$A$2:$A$200))))</f>
        <v>9</v>
      </c>
      <c r="F18" s="21">
        <f>IF($D18="","",$D18-$E18)</f>
        <v>0</v>
      </c>
      <c r="G18" s="22">
        <f>IF(OR($D18="",$D18=0),"",$E18/$D18)</f>
        <v>1</v>
      </c>
      <c r="H18" s="23" t="str">
        <f>IF($D18="","",IF($J18&lt;&gt;"","FIX",IF(AND(SUMPRODUCT((MOD(COLUMN($K18:$AH18)-COLUMN($K18),2)=0)*($K18:$AH18&lt;&gt;""))=0,SUMPRODUCT((MOD(COLUMN($K18:$AH18)-COLUMN($K18),2)=1)*($K18:$AH18&lt;&gt;""))=0),"未着手",IF(SUMPRODUCT((MOD(COLUMN($K18:$AH18)-COLUMN($K18),2)=0)*($K18:$AH18&lt;&gt;""))&gt;SUMPRODUCT((MOD(COLUMN($K18:$AH18)-COLUMN($K18),2)=1)*($K18:$AH18&lt;&gt;"")),"作業中","中断"))))</f>
        <v>FIX</v>
      </c>
      <c r="I18" s="23" t="str">
        <f>IF($H18="中断",MAX(0,$AI$1-MAX(L18,N18,P18,R18,T18,V18,X18,Z18,AB18,AD18,AF18,AH18)),"")</f>
        <v/>
      </c>
      <c r="J18" s="19" t="s">
        <v>37</v>
      </c>
      <c r="K18" s="24">
        <v>46218</v>
      </c>
      <c r="L18" s="24">
        <v>46231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K18" t="str">
        <f>IF($A16="","",IF(LOOKUP(2,1/($AJ$3:$AJ18&lt;&gt;""),$AJ$3:$AJ18)="-","",LOOKUP(2,1/($AJ$3:$AJ18&lt;&gt;""),$AJ$3:$AJ18)))</f>
        <v>CH01</v>
      </c>
      <c r="AL18" t="str">
        <f>$H18</f>
        <v>FIX</v>
      </c>
      <c r="AM18">
        <f>IF(ISNUMBER($D18),$D18,0)</f>
        <v>9</v>
      </c>
      <c r="AN18">
        <f>IF(ISNUMBER($E18),$E18,0)</f>
        <v>9</v>
      </c>
      <c r="AO18">
        <f>IF(ISNUMBER($F18),$F18,0)</f>
        <v>0</v>
      </c>
      <c r="AQ18">
        <f>IF(OR($AK18="",K18="",L18=""),0,COUNTIFS($AK$3:$AK$98,$AK18,K$3:K$98,"&lt;"&amp;L18,L$3:L$98,"&gt;"&amp;K18)+COUNTIFS($AK$3:$AK$98,$AK18,M$3:M$98,"&lt;"&amp;L18,N$3:N$98,"&gt;"&amp;K18)+COUNTIFS($AK$3:$AK$98,$AK18,O$3:O$98,"&lt;"&amp;L18,P$3:P$98,"&gt;"&amp;K18)+COUNTIFS($AK$3:$AK$98,$AK18,Q$3:Q$98,"&lt;"&amp;L18,R$3:R$98,"&gt;"&amp;K18)+COUNTIFS($AK$3:$AK$98,$AK18,S$3:S$98,"&lt;"&amp;L18,T$3:T$98,"&gt;"&amp;K18)+COUNTIFS($AK$3:$AK$98,$AK18,U$3:U$98,"&lt;"&amp;L18,V$3:V$98,"&gt;"&amp;K18)+COUNTIFS($AK$3:$AK$98,$AK18,W$3:W$98,"&lt;"&amp;L18,X$3:X$98,"&gt;"&amp;K18)+COUNTIFS($AK$3:$AK$98,$AK18,Y$3:Y$98,"&lt;"&amp;L18,Z$3:Z$98,"&gt;"&amp;K18)+COUNTIFS($AK$3:$AK$98,$AK18,AA$3:AA$98,"&lt;"&amp;L18,AB$3:AB$98,"&gt;"&amp;K18)+COUNTIFS($AK$3:$AK$98,$AK18,AC$3:AC$98,"&lt;"&amp;L18,AD$3:AD$98,"&gt;"&amp;K18)+COUNTIFS($AK$3:$AK$98,$AK18,AE$3:AE$98,"&lt;"&amp;L18,AF$3:AF$98,"&gt;"&amp;K18)+COUNTIFS($AK$3:$AK$98,$AK18,AG$3:AG$98,"&lt;"&amp;L18,AH$3:AH$98,"&gt;"&amp;K18)-(K18&lt;L18))</f>
        <v>0</v>
      </c>
      <c r="AR18">
        <f>AQ18</f>
        <v>0</v>
      </c>
      <c r="AS18">
        <f>IF(OR($AK18="",M18="",N18=""),0,COUNTIFS($AK$3:$AK$98,$AK18,K$3:K$98,"&lt;"&amp;N18,L$3:L$98,"&gt;"&amp;M18)+COUNTIFS($AK$3:$AK$98,$AK18,M$3:M$98,"&lt;"&amp;N18,N$3:N$98,"&gt;"&amp;M18)+COUNTIFS($AK$3:$AK$98,$AK18,O$3:O$98,"&lt;"&amp;N18,P$3:P$98,"&gt;"&amp;M18)+COUNTIFS($AK$3:$AK$98,$AK18,Q$3:Q$98,"&lt;"&amp;N18,R$3:R$98,"&gt;"&amp;M18)+COUNTIFS($AK$3:$AK$98,$AK18,S$3:S$98,"&lt;"&amp;N18,T$3:T$98,"&gt;"&amp;M18)+COUNTIFS($AK$3:$AK$98,$AK18,U$3:U$98,"&lt;"&amp;N18,V$3:V$98,"&gt;"&amp;M18)+COUNTIFS($AK$3:$AK$98,$AK18,W$3:W$98,"&lt;"&amp;N18,X$3:X$98,"&gt;"&amp;M18)+COUNTIFS($AK$3:$AK$98,$AK18,Y$3:Y$98,"&lt;"&amp;N18,Z$3:Z$98,"&gt;"&amp;M18)+COUNTIFS($AK$3:$AK$98,$AK18,AA$3:AA$98,"&lt;"&amp;N18,AB$3:AB$98,"&gt;"&amp;M18)+COUNTIFS($AK$3:$AK$98,$AK18,AC$3:AC$98,"&lt;"&amp;N18,AD$3:AD$98,"&gt;"&amp;M18)+COUNTIFS($AK$3:$AK$98,$AK18,AE$3:AE$98,"&lt;"&amp;N18,AF$3:AF$98,"&gt;"&amp;M18)+COUNTIFS($AK$3:$AK$98,$AK18,AG$3:AG$98,"&lt;"&amp;N18,AH$3:AH$98,"&gt;"&amp;M18)-(M18&lt;N18))</f>
        <v>0</v>
      </c>
      <c r="AT18">
        <f>AS18</f>
        <v>0</v>
      </c>
      <c r="AU18">
        <f>IF(OR($AK18="",O18="",P18=""),0,COUNTIFS($AK$3:$AK$98,$AK18,K$3:K$98,"&lt;"&amp;P18,L$3:L$98,"&gt;"&amp;O18)+COUNTIFS($AK$3:$AK$98,$AK18,M$3:M$98,"&lt;"&amp;P18,N$3:N$98,"&gt;"&amp;O18)+COUNTIFS($AK$3:$AK$98,$AK18,O$3:O$98,"&lt;"&amp;P18,P$3:P$98,"&gt;"&amp;O18)+COUNTIFS($AK$3:$AK$98,$AK18,Q$3:Q$98,"&lt;"&amp;P18,R$3:R$98,"&gt;"&amp;O18)+COUNTIFS($AK$3:$AK$98,$AK18,S$3:S$98,"&lt;"&amp;P18,T$3:T$98,"&gt;"&amp;O18)+COUNTIFS($AK$3:$AK$98,$AK18,U$3:U$98,"&lt;"&amp;P18,V$3:V$98,"&gt;"&amp;O18)+COUNTIFS($AK$3:$AK$98,$AK18,W$3:W$98,"&lt;"&amp;P18,X$3:X$98,"&gt;"&amp;O18)+COUNTIFS($AK$3:$AK$98,$AK18,Y$3:Y$98,"&lt;"&amp;P18,Z$3:Z$98,"&gt;"&amp;O18)+COUNTIFS($AK$3:$AK$98,$AK18,AA$3:AA$98,"&lt;"&amp;P18,AB$3:AB$98,"&gt;"&amp;O18)+COUNTIFS($AK$3:$AK$98,$AK18,AC$3:AC$98,"&lt;"&amp;P18,AD$3:AD$98,"&gt;"&amp;O18)+COUNTIFS($AK$3:$AK$98,$AK18,AE$3:AE$98,"&lt;"&amp;P18,AF$3:AF$98,"&gt;"&amp;O18)+COUNTIFS($AK$3:$AK$98,$AK18,AG$3:AG$98,"&lt;"&amp;P18,AH$3:AH$98,"&gt;"&amp;O18)-(O18&lt;P18))</f>
        <v>0</v>
      </c>
      <c r="AV18">
        <f>AU18</f>
        <v>0</v>
      </c>
      <c r="AW18">
        <f>IF(OR($AK18="",Q18="",R18=""),0,COUNTIFS($AK$3:$AK$98,$AK18,K$3:K$98,"&lt;"&amp;R18,L$3:L$98,"&gt;"&amp;Q18)+COUNTIFS($AK$3:$AK$98,$AK18,M$3:M$98,"&lt;"&amp;R18,N$3:N$98,"&gt;"&amp;Q18)+COUNTIFS($AK$3:$AK$98,$AK18,O$3:O$98,"&lt;"&amp;R18,P$3:P$98,"&gt;"&amp;Q18)+COUNTIFS($AK$3:$AK$98,$AK18,Q$3:Q$98,"&lt;"&amp;R18,R$3:R$98,"&gt;"&amp;Q18)+COUNTIFS($AK$3:$AK$98,$AK18,S$3:S$98,"&lt;"&amp;R18,T$3:T$98,"&gt;"&amp;Q18)+COUNTIFS($AK$3:$AK$98,$AK18,U$3:U$98,"&lt;"&amp;R18,V$3:V$98,"&gt;"&amp;Q18)+COUNTIFS($AK$3:$AK$98,$AK18,W$3:W$98,"&lt;"&amp;R18,X$3:X$98,"&gt;"&amp;Q18)+COUNTIFS($AK$3:$AK$98,$AK18,Y$3:Y$98,"&lt;"&amp;R18,Z$3:Z$98,"&gt;"&amp;Q18)+COUNTIFS($AK$3:$AK$98,$AK18,AA$3:AA$98,"&lt;"&amp;R18,AB$3:AB$98,"&gt;"&amp;Q18)+COUNTIFS($AK$3:$AK$98,$AK18,AC$3:AC$98,"&lt;"&amp;R18,AD$3:AD$98,"&gt;"&amp;Q18)+COUNTIFS($AK$3:$AK$98,$AK18,AE$3:AE$98,"&lt;"&amp;R18,AF$3:AF$98,"&gt;"&amp;Q18)+COUNTIFS($AK$3:$AK$98,$AK18,AG$3:AG$98,"&lt;"&amp;R18,AH$3:AH$98,"&gt;"&amp;Q18)-(Q18&lt;R18))</f>
        <v>0</v>
      </c>
      <c r="AX18">
        <f>AW18</f>
        <v>0</v>
      </c>
      <c r="AY18">
        <f>IF(OR($AK18="",S18="",T18=""),0,COUNTIFS($AK$3:$AK$98,$AK18,K$3:K$98,"&lt;"&amp;T18,L$3:L$98,"&gt;"&amp;S18)+COUNTIFS($AK$3:$AK$98,$AK18,M$3:M$98,"&lt;"&amp;T18,N$3:N$98,"&gt;"&amp;S18)+COUNTIFS($AK$3:$AK$98,$AK18,O$3:O$98,"&lt;"&amp;T18,P$3:P$98,"&gt;"&amp;S18)+COUNTIFS($AK$3:$AK$98,$AK18,Q$3:Q$98,"&lt;"&amp;T18,R$3:R$98,"&gt;"&amp;S18)+COUNTIFS($AK$3:$AK$98,$AK18,S$3:S$98,"&lt;"&amp;T18,T$3:T$98,"&gt;"&amp;S18)+COUNTIFS($AK$3:$AK$98,$AK18,U$3:U$98,"&lt;"&amp;T18,V$3:V$98,"&gt;"&amp;S18)+COUNTIFS($AK$3:$AK$98,$AK18,W$3:W$98,"&lt;"&amp;T18,X$3:X$98,"&gt;"&amp;S18)+COUNTIFS($AK$3:$AK$98,$AK18,Y$3:Y$98,"&lt;"&amp;T18,Z$3:Z$98,"&gt;"&amp;S18)+COUNTIFS($AK$3:$AK$98,$AK18,AA$3:AA$98,"&lt;"&amp;T18,AB$3:AB$98,"&gt;"&amp;S18)+COUNTIFS($AK$3:$AK$98,$AK18,AC$3:AC$98,"&lt;"&amp;T18,AD$3:AD$98,"&gt;"&amp;S18)+COUNTIFS($AK$3:$AK$98,$AK18,AE$3:AE$98,"&lt;"&amp;T18,AF$3:AF$98,"&gt;"&amp;S18)+COUNTIFS($AK$3:$AK$98,$AK18,AG$3:AG$98,"&lt;"&amp;T18,AH$3:AH$98,"&gt;"&amp;S18)-(S18&lt;T18))</f>
        <v>0</v>
      </c>
      <c r="AZ18">
        <f>AY18</f>
        <v>0</v>
      </c>
      <c r="BA18">
        <f>IF(OR($AK18="",U18="",V18=""),0,COUNTIFS($AK$3:$AK$98,$AK18,K$3:K$98,"&lt;"&amp;V18,L$3:L$98,"&gt;"&amp;U18)+COUNTIFS($AK$3:$AK$98,$AK18,M$3:M$98,"&lt;"&amp;V18,N$3:N$98,"&gt;"&amp;U18)+COUNTIFS($AK$3:$AK$98,$AK18,O$3:O$98,"&lt;"&amp;V18,P$3:P$98,"&gt;"&amp;U18)+COUNTIFS($AK$3:$AK$98,$AK18,Q$3:Q$98,"&lt;"&amp;V18,R$3:R$98,"&gt;"&amp;U18)+COUNTIFS($AK$3:$AK$98,$AK18,S$3:S$98,"&lt;"&amp;V18,T$3:T$98,"&gt;"&amp;U18)+COUNTIFS($AK$3:$AK$98,$AK18,U$3:U$98,"&lt;"&amp;V18,V$3:V$98,"&gt;"&amp;U18)+COUNTIFS($AK$3:$AK$98,$AK18,W$3:W$98,"&lt;"&amp;V18,X$3:X$98,"&gt;"&amp;U18)+COUNTIFS($AK$3:$AK$98,$AK18,Y$3:Y$98,"&lt;"&amp;V18,Z$3:Z$98,"&gt;"&amp;U18)+COUNTIFS($AK$3:$AK$98,$AK18,AA$3:AA$98,"&lt;"&amp;V18,AB$3:AB$98,"&gt;"&amp;U18)+COUNTIFS($AK$3:$AK$98,$AK18,AC$3:AC$98,"&lt;"&amp;V18,AD$3:AD$98,"&gt;"&amp;U18)+COUNTIFS($AK$3:$AK$98,$AK18,AE$3:AE$98,"&lt;"&amp;V18,AF$3:AF$98,"&gt;"&amp;U18)+COUNTIFS($AK$3:$AK$98,$AK18,AG$3:AG$98,"&lt;"&amp;V18,AH$3:AH$98,"&gt;"&amp;U18)-(U18&lt;V18))</f>
        <v>0</v>
      </c>
      <c r="BB18">
        <f>BA18</f>
        <v>0</v>
      </c>
      <c r="BC18">
        <f>IF(OR($AK18="",W18="",X18=""),0,COUNTIFS($AK$3:$AK$98,$AK18,K$3:K$98,"&lt;"&amp;X18,L$3:L$98,"&gt;"&amp;W18)+COUNTIFS($AK$3:$AK$98,$AK18,M$3:M$98,"&lt;"&amp;X18,N$3:N$98,"&gt;"&amp;W18)+COUNTIFS($AK$3:$AK$98,$AK18,O$3:O$98,"&lt;"&amp;X18,P$3:P$98,"&gt;"&amp;W18)+COUNTIFS($AK$3:$AK$98,$AK18,Q$3:Q$98,"&lt;"&amp;X18,R$3:R$98,"&gt;"&amp;W18)+COUNTIFS($AK$3:$AK$98,$AK18,S$3:S$98,"&lt;"&amp;X18,T$3:T$98,"&gt;"&amp;W18)+COUNTIFS($AK$3:$AK$98,$AK18,U$3:U$98,"&lt;"&amp;X18,V$3:V$98,"&gt;"&amp;W18)+COUNTIFS($AK$3:$AK$98,$AK18,W$3:W$98,"&lt;"&amp;X18,X$3:X$98,"&gt;"&amp;W18)+COUNTIFS($AK$3:$AK$98,$AK18,Y$3:Y$98,"&lt;"&amp;X18,Z$3:Z$98,"&gt;"&amp;W18)+COUNTIFS($AK$3:$AK$98,$AK18,AA$3:AA$98,"&lt;"&amp;X18,AB$3:AB$98,"&gt;"&amp;W18)+COUNTIFS($AK$3:$AK$98,$AK18,AC$3:AC$98,"&lt;"&amp;X18,AD$3:AD$98,"&gt;"&amp;W18)+COUNTIFS($AK$3:$AK$98,$AK18,AE$3:AE$98,"&lt;"&amp;X18,AF$3:AF$98,"&gt;"&amp;W18)+COUNTIFS($AK$3:$AK$98,$AK18,AG$3:AG$98,"&lt;"&amp;X18,AH$3:AH$98,"&gt;"&amp;W18)-(W18&lt;X18))</f>
        <v>0</v>
      </c>
      <c r="BD18">
        <f>BC18</f>
        <v>0</v>
      </c>
      <c r="BE18">
        <f>IF(OR($AK18="",Y18="",Z18=""),0,COUNTIFS($AK$3:$AK$98,$AK18,K$3:K$98,"&lt;"&amp;Z18,L$3:L$98,"&gt;"&amp;Y18)+COUNTIFS($AK$3:$AK$98,$AK18,M$3:M$98,"&lt;"&amp;Z18,N$3:N$98,"&gt;"&amp;Y18)+COUNTIFS($AK$3:$AK$98,$AK18,O$3:O$98,"&lt;"&amp;Z18,P$3:P$98,"&gt;"&amp;Y18)+COUNTIFS($AK$3:$AK$98,$AK18,Q$3:Q$98,"&lt;"&amp;Z18,R$3:R$98,"&gt;"&amp;Y18)+COUNTIFS($AK$3:$AK$98,$AK18,S$3:S$98,"&lt;"&amp;Z18,T$3:T$98,"&gt;"&amp;Y18)+COUNTIFS($AK$3:$AK$98,$AK18,U$3:U$98,"&lt;"&amp;Z18,V$3:V$98,"&gt;"&amp;Y18)+COUNTIFS($AK$3:$AK$98,$AK18,W$3:W$98,"&lt;"&amp;Z18,X$3:X$98,"&gt;"&amp;Y18)+COUNTIFS($AK$3:$AK$98,$AK18,Y$3:Y$98,"&lt;"&amp;Z18,Z$3:Z$98,"&gt;"&amp;Y18)+COUNTIFS($AK$3:$AK$98,$AK18,AA$3:AA$98,"&lt;"&amp;Z18,AB$3:AB$98,"&gt;"&amp;Y18)+COUNTIFS($AK$3:$AK$98,$AK18,AC$3:AC$98,"&lt;"&amp;Z18,AD$3:AD$98,"&gt;"&amp;Y18)+COUNTIFS($AK$3:$AK$98,$AK18,AE$3:AE$98,"&lt;"&amp;Z18,AF$3:AF$98,"&gt;"&amp;Y18)+COUNTIFS($AK$3:$AK$98,$AK18,AG$3:AG$98,"&lt;"&amp;Z18,AH$3:AH$98,"&gt;"&amp;Y18)-(Y18&lt;Z18))</f>
        <v>0</v>
      </c>
      <c r="BF18">
        <f>BE18</f>
        <v>0</v>
      </c>
      <c r="BG18">
        <f>IF(OR($AK18="",AA18="",AB18=""),0,COUNTIFS($AK$3:$AK$98,$AK18,K$3:K$98,"&lt;"&amp;AB18,L$3:L$98,"&gt;"&amp;AA18)+COUNTIFS($AK$3:$AK$98,$AK18,M$3:M$98,"&lt;"&amp;AB18,N$3:N$98,"&gt;"&amp;AA18)+COUNTIFS($AK$3:$AK$98,$AK18,O$3:O$98,"&lt;"&amp;AB18,P$3:P$98,"&gt;"&amp;AA18)+COUNTIFS($AK$3:$AK$98,$AK18,Q$3:Q$98,"&lt;"&amp;AB18,R$3:R$98,"&gt;"&amp;AA18)+COUNTIFS($AK$3:$AK$98,$AK18,S$3:S$98,"&lt;"&amp;AB18,T$3:T$98,"&gt;"&amp;AA18)+COUNTIFS($AK$3:$AK$98,$AK18,U$3:U$98,"&lt;"&amp;AB18,V$3:V$98,"&gt;"&amp;AA18)+COUNTIFS($AK$3:$AK$98,$AK18,W$3:W$98,"&lt;"&amp;AB18,X$3:X$98,"&gt;"&amp;AA18)+COUNTIFS($AK$3:$AK$98,$AK18,Y$3:Y$98,"&lt;"&amp;AB18,Z$3:Z$98,"&gt;"&amp;AA18)+COUNTIFS($AK$3:$AK$98,$AK18,AA$3:AA$98,"&lt;"&amp;AB18,AB$3:AB$98,"&gt;"&amp;AA18)+COUNTIFS($AK$3:$AK$98,$AK18,AC$3:AC$98,"&lt;"&amp;AB18,AD$3:AD$98,"&gt;"&amp;AA18)+COUNTIFS($AK$3:$AK$98,$AK18,AE$3:AE$98,"&lt;"&amp;AB18,AF$3:AF$98,"&gt;"&amp;AA18)+COUNTIFS($AK$3:$AK$98,$AK18,AG$3:AG$98,"&lt;"&amp;AB18,AH$3:AH$98,"&gt;"&amp;AA18)-(AA18&lt;AB18))</f>
        <v>0</v>
      </c>
      <c r="BH18">
        <f>BG18</f>
        <v>0</v>
      </c>
      <c r="BI18">
        <f>IF(OR($AK18="",AC18="",AD18=""),0,COUNTIFS($AK$3:$AK$98,$AK18,K$3:K$98,"&lt;"&amp;AD18,L$3:L$98,"&gt;"&amp;AC18)+COUNTIFS($AK$3:$AK$98,$AK18,M$3:M$98,"&lt;"&amp;AD18,N$3:N$98,"&gt;"&amp;AC18)+COUNTIFS($AK$3:$AK$98,$AK18,O$3:O$98,"&lt;"&amp;AD18,P$3:P$98,"&gt;"&amp;AC18)+COUNTIFS($AK$3:$AK$98,$AK18,Q$3:Q$98,"&lt;"&amp;AD18,R$3:R$98,"&gt;"&amp;AC18)+COUNTIFS($AK$3:$AK$98,$AK18,S$3:S$98,"&lt;"&amp;AD18,T$3:T$98,"&gt;"&amp;AC18)+COUNTIFS($AK$3:$AK$98,$AK18,U$3:U$98,"&lt;"&amp;AD18,V$3:V$98,"&gt;"&amp;AC18)+COUNTIFS($AK$3:$AK$98,$AK18,W$3:W$98,"&lt;"&amp;AD18,X$3:X$98,"&gt;"&amp;AC18)+COUNTIFS($AK$3:$AK$98,$AK18,Y$3:Y$98,"&lt;"&amp;AD18,Z$3:Z$98,"&gt;"&amp;AC18)+COUNTIFS($AK$3:$AK$98,$AK18,AA$3:AA$98,"&lt;"&amp;AD18,AB$3:AB$98,"&gt;"&amp;AC18)+COUNTIFS($AK$3:$AK$98,$AK18,AC$3:AC$98,"&lt;"&amp;AD18,AD$3:AD$98,"&gt;"&amp;AC18)+COUNTIFS($AK$3:$AK$98,$AK18,AE$3:AE$98,"&lt;"&amp;AD18,AF$3:AF$98,"&gt;"&amp;AC18)+COUNTIFS($AK$3:$AK$98,$AK18,AG$3:AG$98,"&lt;"&amp;AD18,AH$3:AH$98,"&gt;"&amp;AC18)-(AC18&lt;AD18))</f>
        <v>0</v>
      </c>
      <c r="BJ18">
        <f>BI18</f>
        <v>0</v>
      </c>
      <c r="BK18">
        <f>IF(OR($AK18="",AE18="",AF18=""),0,COUNTIFS($AK$3:$AK$98,$AK18,K$3:K$98,"&lt;"&amp;AF18,L$3:L$98,"&gt;"&amp;AE18)+COUNTIFS($AK$3:$AK$98,$AK18,M$3:M$98,"&lt;"&amp;AF18,N$3:N$98,"&gt;"&amp;AE18)+COUNTIFS($AK$3:$AK$98,$AK18,O$3:O$98,"&lt;"&amp;AF18,P$3:P$98,"&gt;"&amp;AE18)+COUNTIFS($AK$3:$AK$98,$AK18,Q$3:Q$98,"&lt;"&amp;AF18,R$3:R$98,"&gt;"&amp;AE18)+COUNTIFS($AK$3:$AK$98,$AK18,S$3:S$98,"&lt;"&amp;AF18,T$3:T$98,"&gt;"&amp;AE18)+COUNTIFS($AK$3:$AK$98,$AK18,U$3:U$98,"&lt;"&amp;AF18,V$3:V$98,"&gt;"&amp;AE18)+COUNTIFS($AK$3:$AK$98,$AK18,W$3:W$98,"&lt;"&amp;AF18,X$3:X$98,"&gt;"&amp;AE18)+COUNTIFS($AK$3:$AK$98,$AK18,Y$3:Y$98,"&lt;"&amp;AF18,Z$3:Z$98,"&gt;"&amp;AE18)+COUNTIFS($AK$3:$AK$98,$AK18,AA$3:AA$98,"&lt;"&amp;AF18,AB$3:AB$98,"&gt;"&amp;AE18)+COUNTIFS($AK$3:$AK$98,$AK18,AC$3:AC$98,"&lt;"&amp;AF18,AD$3:AD$98,"&gt;"&amp;AE18)+COUNTIFS($AK$3:$AK$98,$AK18,AE$3:AE$98,"&lt;"&amp;AF18,AF$3:AF$98,"&gt;"&amp;AE18)+COUNTIFS($AK$3:$AK$98,$AK18,AG$3:AG$98,"&lt;"&amp;AF18,AH$3:AH$98,"&gt;"&amp;AE18)-(AE18&lt;AF18))</f>
        <v>0</v>
      </c>
      <c r="BL18">
        <f>BK18</f>
        <v>0</v>
      </c>
      <c r="BM18">
        <f>IF(OR($AK18="",AG18="",AH18=""),0,COUNTIFS($AK$3:$AK$98,$AK18,K$3:K$98,"&lt;"&amp;AH18,L$3:L$98,"&gt;"&amp;AG18)+COUNTIFS($AK$3:$AK$98,$AK18,M$3:M$98,"&lt;"&amp;AH18,N$3:N$98,"&gt;"&amp;AG18)+COUNTIFS($AK$3:$AK$98,$AK18,O$3:O$98,"&lt;"&amp;AH18,P$3:P$98,"&gt;"&amp;AG18)+COUNTIFS($AK$3:$AK$98,$AK18,Q$3:Q$98,"&lt;"&amp;AH18,R$3:R$98,"&gt;"&amp;AG18)+COUNTIFS($AK$3:$AK$98,$AK18,S$3:S$98,"&lt;"&amp;AH18,T$3:T$98,"&gt;"&amp;AG18)+COUNTIFS($AK$3:$AK$98,$AK18,U$3:U$98,"&lt;"&amp;AH18,V$3:V$98,"&gt;"&amp;AG18)+COUNTIFS($AK$3:$AK$98,$AK18,W$3:W$98,"&lt;"&amp;AH18,X$3:X$98,"&gt;"&amp;AG18)+COUNTIFS($AK$3:$AK$98,$AK18,Y$3:Y$98,"&lt;"&amp;AH18,Z$3:Z$98,"&gt;"&amp;AG18)+COUNTIFS($AK$3:$AK$98,$AK18,AA$3:AA$98,"&lt;"&amp;AH18,AB$3:AB$98,"&gt;"&amp;AG18)+COUNTIFS($AK$3:$AK$98,$AK18,AC$3:AC$98,"&lt;"&amp;AH18,AD$3:AD$98,"&gt;"&amp;AG18)+COUNTIFS($AK$3:$AK$98,$AK18,AE$3:AE$98,"&lt;"&amp;AH18,AF$3:AF$98,"&gt;"&amp;AG18)+COUNTIFS($AK$3:$AK$98,$AK18,AG$3:AG$98,"&lt;"&amp;AH18,AH$3:AH$98,"&gt;"&amp;AG18)-(AG18&lt;AH18))</f>
        <v>0</v>
      </c>
      <c r="BN18">
        <f>BM18</f>
        <v>0</v>
      </c>
      <c r="BO18">
        <f>IF(ISNUMBER($G18),$G18,"")</f>
        <v>1</v>
      </c>
      <c r="BP18">
        <f>IF(AND($A18&lt;&gt;"",COUNT($K18:$AH18)&gt;0),ROW(),"")</f>
        <v>18</v>
      </c>
    </row>
    <row r="19" spans="1:68" ht="14.25" customHeight="1" thickBot="1" x14ac:dyDescent="0.2">
      <c r="A19" s="25" t="str">
        <f>IF($A16="","",$A16)</f>
        <v>chBuChildA</v>
      </c>
      <c r="B19" s="26" t="str">
        <f>IF($A16="","","fac")</f>
        <v>fac</v>
      </c>
      <c r="C19" s="26"/>
      <c r="D19" s="27">
        <v>11</v>
      </c>
      <c r="E19" s="28">
        <f>IF(AND($D19="",COUNT($K19:$AH19)=0),"",IF(K19="",0,MAX(0,NETWORKDAYS(K19,IF(L19&lt;&gt;"",L19,IF($J19&lt;&gt;"",K19,$AI$1)),祝日!$A$2:$A$200)))+IF(M19="",0,MAX(0,NETWORKDAYS(M19,IF(N19&lt;&gt;"",N19,IF($J19&lt;&gt;"",M19,$AI$1)),祝日!$A$2:$A$200)))+IF(O19="",0,MAX(0,NETWORKDAYS(O19,IF(P19&lt;&gt;"",P19,IF($J19&lt;&gt;"",O19,$AI$1)),祝日!$A$2:$A$200)))+IF(Q19="",0,MAX(0,NETWORKDAYS(Q19,IF(R19&lt;&gt;"",R19,IF($J19&lt;&gt;"",Q19,$AI$1)),祝日!$A$2:$A$200)))+IF(S19="",0,MAX(0,NETWORKDAYS(S19,IF(T19&lt;&gt;"",T19,IF($J19&lt;&gt;"",S19,$AI$1)),祝日!$A$2:$A$200)))+IF(U19="",0,MAX(0,NETWORKDAYS(U19,IF(V19&lt;&gt;"",V19,IF($J19&lt;&gt;"",U19,$AI$1)),祝日!$A$2:$A$200)))+IF(W19="",0,MAX(0,NETWORKDAYS(W19,IF(X19&lt;&gt;"",X19,IF($J19&lt;&gt;"",W19,$AI$1)),祝日!$A$2:$A$200)))+IF(Y19="",0,MAX(0,NETWORKDAYS(Y19,IF(Z19&lt;&gt;"",Z19,IF($J19&lt;&gt;"",Y19,$AI$1)),祝日!$A$2:$A$200)))+IF(AA19="",0,MAX(0,NETWORKDAYS(AA19,IF(AB19&lt;&gt;"",AB19,IF($J19&lt;&gt;"",AA19,$AI$1)),祝日!$A$2:$A$200)))+IF(AC19="",0,MAX(0,NETWORKDAYS(AC19,IF(AD19&lt;&gt;"",AD19,IF($J19&lt;&gt;"",AC19,$AI$1)),祝日!$A$2:$A$200)))+IF(AE19="",0,MAX(0,NETWORKDAYS(AE19,IF(AF19&lt;&gt;"",AF19,IF($J19&lt;&gt;"",AE19,$AI$1)),祝日!$A$2:$A$200)))+IF(AG19="",0,MAX(0,NETWORKDAYS(AG19,IF(AH19&lt;&gt;"",AH19,IF($J19&lt;&gt;"",AG19,$AI$1)),祝日!$A$2:$A$200))))</f>
        <v>11</v>
      </c>
      <c r="F19" s="28">
        <f>IF($D19="","",$D19-$E19)</f>
        <v>0</v>
      </c>
      <c r="G19" s="29">
        <f>IF(OR($D19="",$D19=0),"",$E19/$D19)</f>
        <v>1</v>
      </c>
      <c r="H19" s="30" t="str">
        <f>IF($D19="","",IF($J19&lt;&gt;"","FIX",IF(AND(SUMPRODUCT((MOD(COLUMN($K19:$AH19)-COLUMN($K19),2)=0)*($K19:$AH19&lt;&gt;""))=0,SUMPRODUCT((MOD(COLUMN($K19:$AH19)-COLUMN($K19),2)=1)*($K19:$AH19&lt;&gt;""))=0),"未着手",IF(SUMPRODUCT((MOD(COLUMN($K19:$AH19)-COLUMN($K19),2)=0)*($K19:$AH19&lt;&gt;""))&gt;SUMPRODUCT((MOD(COLUMN($K19:$AH19)-COLUMN($K19),2)=1)*($K19:$AH19&lt;&gt;"")),"作業中","中断"))))</f>
        <v>FIX</v>
      </c>
      <c r="I19" s="30" t="str">
        <f>IF($H19="中断",MAX(0,$AI$1-MAX(L19,N19,P19,R19,T19,V19,X19,Z19,AB19,AD19,AF19,AH19)),"")</f>
        <v/>
      </c>
      <c r="J19" s="26" t="s">
        <v>37</v>
      </c>
      <c r="K19" s="31">
        <v>46261</v>
      </c>
      <c r="L19" s="31">
        <v>46275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K19" t="str">
        <f>IF($A16="","",IF(LOOKUP(2,1/($AJ$3:$AJ19&lt;&gt;""),$AJ$3:$AJ19)="-","",LOOKUP(2,1/($AJ$3:$AJ19&lt;&gt;""),$AJ$3:$AJ19)))</f>
        <v>CH01</v>
      </c>
      <c r="AL19" t="str">
        <f>$H19</f>
        <v>FIX</v>
      </c>
      <c r="AM19">
        <f>IF(ISNUMBER($D19),$D19,0)</f>
        <v>11</v>
      </c>
      <c r="AN19">
        <f>IF(ISNUMBER($E19),$E19,0)</f>
        <v>11</v>
      </c>
      <c r="AO19">
        <f>IF(ISNUMBER($F19),$F19,0)</f>
        <v>0</v>
      </c>
      <c r="AQ19">
        <f>IF(OR($AK19="",K19="",L19=""),0,COUNTIFS($AK$3:$AK$98,$AK19,K$3:K$98,"&lt;"&amp;L19,L$3:L$98,"&gt;"&amp;K19)+COUNTIFS($AK$3:$AK$98,$AK19,M$3:M$98,"&lt;"&amp;L19,N$3:N$98,"&gt;"&amp;K19)+COUNTIFS($AK$3:$AK$98,$AK19,O$3:O$98,"&lt;"&amp;L19,P$3:P$98,"&gt;"&amp;K19)+COUNTIFS($AK$3:$AK$98,$AK19,Q$3:Q$98,"&lt;"&amp;L19,R$3:R$98,"&gt;"&amp;K19)+COUNTIFS($AK$3:$AK$98,$AK19,S$3:S$98,"&lt;"&amp;L19,T$3:T$98,"&gt;"&amp;K19)+COUNTIFS($AK$3:$AK$98,$AK19,U$3:U$98,"&lt;"&amp;L19,V$3:V$98,"&gt;"&amp;K19)+COUNTIFS($AK$3:$AK$98,$AK19,W$3:W$98,"&lt;"&amp;L19,X$3:X$98,"&gt;"&amp;K19)+COUNTIFS($AK$3:$AK$98,$AK19,Y$3:Y$98,"&lt;"&amp;L19,Z$3:Z$98,"&gt;"&amp;K19)+COUNTIFS($AK$3:$AK$98,$AK19,AA$3:AA$98,"&lt;"&amp;L19,AB$3:AB$98,"&gt;"&amp;K19)+COUNTIFS($AK$3:$AK$98,$AK19,AC$3:AC$98,"&lt;"&amp;L19,AD$3:AD$98,"&gt;"&amp;K19)+COUNTIFS($AK$3:$AK$98,$AK19,AE$3:AE$98,"&lt;"&amp;L19,AF$3:AF$98,"&gt;"&amp;K19)+COUNTIFS($AK$3:$AK$98,$AK19,AG$3:AG$98,"&lt;"&amp;L19,AH$3:AH$98,"&gt;"&amp;K19)-(K19&lt;L19))</f>
        <v>0</v>
      </c>
      <c r="AR19">
        <f>AQ19</f>
        <v>0</v>
      </c>
      <c r="AS19">
        <f>IF(OR($AK19="",M19="",N19=""),0,COUNTIFS($AK$3:$AK$98,$AK19,K$3:K$98,"&lt;"&amp;N19,L$3:L$98,"&gt;"&amp;M19)+COUNTIFS($AK$3:$AK$98,$AK19,M$3:M$98,"&lt;"&amp;N19,N$3:N$98,"&gt;"&amp;M19)+COUNTIFS($AK$3:$AK$98,$AK19,O$3:O$98,"&lt;"&amp;N19,P$3:P$98,"&gt;"&amp;M19)+COUNTIFS($AK$3:$AK$98,$AK19,Q$3:Q$98,"&lt;"&amp;N19,R$3:R$98,"&gt;"&amp;M19)+COUNTIFS($AK$3:$AK$98,$AK19,S$3:S$98,"&lt;"&amp;N19,T$3:T$98,"&gt;"&amp;M19)+COUNTIFS($AK$3:$AK$98,$AK19,U$3:U$98,"&lt;"&amp;N19,V$3:V$98,"&gt;"&amp;M19)+COUNTIFS($AK$3:$AK$98,$AK19,W$3:W$98,"&lt;"&amp;N19,X$3:X$98,"&gt;"&amp;M19)+COUNTIFS($AK$3:$AK$98,$AK19,Y$3:Y$98,"&lt;"&amp;N19,Z$3:Z$98,"&gt;"&amp;M19)+COUNTIFS($AK$3:$AK$98,$AK19,AA$3:AA$98,"&lt;"&amp;N19,AB$3:AB$98,"&gt;"&amp;M19)+COUNTIFS($AK$3:$AK$98,$AK19,AC$3:AC$98,"&lt;"&amp;N19,AD$3:AD$98,"&gt;"&amp;M19)+COUNTIFS($AK$3:$AK$98,$AK19,AE$3:AE$98,"&lt;"&amp;N19,AF$3:AF$98,"&gt;"&amp;M19)+COUNTIFS($AK$3:$AK$98,$AK19,AG$3:AG$98,"&lt;"&amp;N19,AH$3:AH$98,"&gt;"&amp;M19)-(M19&lt;N19))</f>
        <v>0</v>
      </c>
      <c r="AT19">
        <f>AS19</f>
        <v>0</v>
      </c>
      <c r="AU19">
        <f>IF(OR($AK19="",O19="",P19=""),0,COUNTIFS($AK$3:$AK$98,$AK19,K$3:K$98,"&lt;"&amp;P19,L$3:L$98,"&gt;"&amp;O19)+COUNTIFS($AK$3:$AK$98,$AK19,M$3:M$98,"&lt;"&amp;P19,N$3:N$98,"&gt;"&amp;O19)+COUNTIFS($AK$3:$AK$98,$AK19,O$3:O$98,"&lt;"&amp;P19,P$3:P$98,"&gt;"&amp;O19)+COUNTIFS($AK$3:$AK$98,$AK19,Q$3:Q$98,"&lt;"&amp;P19,R$3:R$98,"&gt;"&amp;O19)+COUNTIFS($AK$3:$AK$98,$AK19,S$3:S$98,"&lt;"&amp;P19,T$3:T$98,"&gt;"&amp;O19)+COUNTIFS($AK$3:$AK$98,$AK19,U$3:U$98,"&lt;"&amp;P19,V$3:V$98,"&gt;"&amp;O19)+COUNTIFS($AK$3:$AK$98,$AK19,W$3:W$98,"&lt;"&amp;P19,X$3:X$98,"&gt;"&amp;O19)+COUNTIFS($AK$3:$AK$98,$AK19,Y$3:Y$98,"&lt;"&amp;P19,Z$3:Z$98,"&gt;"&amp;O19)+COUNTIFS($AK$3:$AK$98,$AK19,AA$3:AA$98,"&lt;"&amp;P19,AB$3:AB$98,"&gt;"&amp;O19)+COUNTIFS($AK$3:$AK$98,$AK19,AC$3:AC$98,"&lt;"&amp;P19,AD$3:AD$98,"&gt;"&amp;O19)+COUNTIFS($AK$3:$AK$98,$AK19,AE$3:AE$98,"&lt;"&amp;P19,AF$3:AF$98,"&gt;"&amp;O19)+COUNTIFS($AK$3:$AK$98,$AK19,AG$3:AG$98,"&lt;"&amp;P19,AH$3:AH$98,"&gt;"&amp;O19)-(O19&lt;P19))</f>
        <v>0</v>
      </c>
      <c r="AV19">
        <f>AU19</f>
        <v>0</v>
      </c>
      <c r="AW19">
        <f>IF(OR($AK19="",Q19="",R19=""),0,COUNTIFS($AK$3:$AK$98,$AK19,K$3:K$98,"&lt;"&amp;R19,L$3:L$98,"&gt;"&amp;Q19)+COUNTIFS($AK$3:$AK$98,$AK19,M$3:M$98,"&lt;"&amp;R19,N$3:N$98,"&gt;"&amp;Q19)+COUNTIFS($AK$3:$AK$98,$AK19,O$3:O$98,"&lt;"&amp;R19,P$3:P$98,"&gt;"&amp;Q19)+COUNTIFS($AK$3:$AK$98,$AK19,Q$3:Q$98,"&lt;"&amp;R19,R$3:R$98,"&gt;"&amp;Q19)+COUNTIFS($AK$3:$AK$98,$AK19,S$3:S$98,"&lt;"&amp;R19,T$3:T$98,"&gt;"&amp;Q19)+COUNTIFS($AK$3:$AK$98,$AK19,U$3:U$98,"&lt;"&amp;R19,V$3:V$98,"&gt;"&amp;Q19)+COUNTIFS($AK$3:$AK$98,$AK19,W$3:W$98,"&lt;"&amp;R19,X$3:X$98,"&gt;"&amp;Q19)+COUNTIFS($AK$3:$AK$98,$AK19,Y$3:Y$98,"&lt;"&amp;R19,Z$3:Z$98,"&gt;"&amp;Q19)+COUNTIFS($AK$3:$AK$98,$AK19,AA$3:AA$98,"&lt;"&amp;R19,AB$3:AB$98,"&gt;"&amp;Q19)+COUNTIFS($AK$3:$AK$98,$AK19,AC$3:AC$98,"&lt;"&amp;R19,AD$3:AD$98,"&gt;"&amp;Q19)+COUNTIFS($AK$3:$AK$98,$AK19,AE$3:AE$98,"&lt;"&amp;R19,AF$3:AF$98,"&gt;"&amp;Q19)+COUNTIFS($AK$3:$AK$98,$AK19,AG$3:AG$98,"&lt;"&amp;R19,AH$3:AH$98,"&gt;"&amp;Q19)-(Q19&lt;R19))</f>
        <v>0</v>
      </c>
      <c r="AX19">
        <f>AW19</f>
        <v>0</v>
      </c>
      <c r="AY19">
        <f>IF(OR($AK19="",S19="",T19=""),0,COUNTIFS($AK$3:$AK$98,$AK19,K$3:K$98,"&lt;"&amp;T19,L$3:L$98,"&gt;"&amp;S19)+COUNTIFS($AK$3:$AK$98,$AK19,M$3:M$98,"&lt;"&amp;T19,N$3:N$98,"&gt;"&amp;S19)+COUNTIFS($AK$3:$AK$98,$AK19,O$3:O$98,"&lt;"&amp;T19,P$3:P$98,"&gt;"&amp;S19)+COUNTIFS($AK$3:$AK$98,$AK19,Q$3:Q$98,"&lt;"&amp;T19,R$3:R$98,"&gt;"&amp;S19)+COUNTIFS($AK$3:$AK$98,$AK19,S$3:S$98,"&lt;"&amp;T19,T$3:T$98,"&gt;"&amp;S19)+COUNTIFS($AK$3:$AK$98,$AK19,U$3:U$98,"&lt;"&amp;T19,V$3:V$98,"&gt;"&amp;S19)+COUNTIFS($AK$3:$AK$98,$AK19,W$3:W$98,"&lt;"&amp;T19,X$3:X$98,"&gt;"&amp;S19)+COUNTIFS($AK$3:$AK$98,$AK19,Y$3:Y$98,"&lt;"&amp;T19,Z$3:Z$98,"&gt;"&amp;S19)+COUNTIFS($AK$3:$AK$98,$AK19,AA$3:AA$98,"&lt;"&amp;T19,AB$3:AB$98,"&gt;"&amp;S19)+COUNTIFS($AK$3:$AK$98,$AK19,AC$3:AC$98,"&lt;"&amp;T19,AD$3:AD$98,"&gt;"&amp;S19)+COUNTIFS($AK$3:$AK$98,$AK19,AE$3:AE$98,"&lt;"&amp;T19,AF$3:AF$98,"&gt;"&amp;S19)+COUNTIFS($AK$3:$AK$98,$AK19,AG$3:AG$98,"&lt;"&amp;T19,AH$3:AH$98,"&gt;"&amp;S19)-(S19&lt;T19))</f>
        <v>0</v>
      </c>
      <c r="AZ19">
        <f>AY19</f>
        <v>0</v>
      </c>
      <c r="BA19">
        <f>IF(OR($AK19="",U19="",V19=""),0,COUNTIFS($AK$3:$AK$98,$AK19,K$3:K$98,"&lt;"&amp;V19,L$3:L$98,"&gt;"&amp;U19)+COUNTIFS($AK$3:$AK$98,$AK19,M$3:M$98,"&lt;"&amp;V19,N$3:N$98,"&gt;"&amp;U19)+COUNTIFS($AK$3:$AK$98,$AK19,O$3:O$98,"&lt;"&amp;V19,P$3:P$98,"&gt;"&amp;U19)+COUNTIFS($AK$3:$AK$98,$AK19,Q$3:Q$98,"&lt;"&amp;V19,R$3:R$98,"&gt;"&amp;U19)+COUNTIFS($AK$3:$AK$98,$AK19,S$3:S$98,"&lt;"&amp;V19,T$3:T$98,"&gt;"&amp;U19)+COUNTIFS($AK$3:$AK$98,$AK19,U$3:U$98,"&lt;"&amp;V19,V$3:V$98,"&gt;"&amp;U19)+COUNTIFS($AK$3:$AK$98,$AK19,W$3:W$98,"&lt;"&amp;V19,X$3:X$98,"&gt;"&amp;U19)+COUNTIFS($AK$3:$AK$98,$AK19,Y$3:Y$98,"&lt;"&amp;V19,Z$3:Z$98,"&gt;"&amp;U19)+COUNTIFS($AK$3:$AK$98,$AK19,AA$3:AA$98,"&lt;"&amp;V19,AB$3:AB$98,"&gt;"&amp;U19)+COUNTIFS($AK$3:$AK$98,$AK19,AC$3:AC$98,"&lt;"&amp;V19,AD$3:AD$98,"&gt;"&amp;U19)+COUNTIFS($AK$3:$AK$98,$AK19,AE$3:AE$98,"&lt;"&amp;V19,AF$3:AF$98,"&gt;"&amp;U19)+COUNTIFS($AK$3:$AK$98,$AK19,AG$3:AG$98,"&lt;"&amp;V19,AH$3:AH$98,"&gt;"&amp;U19)-(U19&lt;V19))</f>
        <v>0</v>
      </c>
      <c r="BB19">
        <f>BA19</f>
        <v>0</v>
      </c>
      <c r="BC19">
        <f>IF(OR($AK19="",W19="",X19=""),0,COUNTIFS($AK$3:$AK$98,$AK19,K$3:K$98,"&lt;"&amp;X19,L$3:L$98,"&gt;"&amp;W19)+COUNTIFS($AK$3:$AK$98,$AK19,M$3:M$98,"&lt;"&amp;X19,N$3:N$98,"&gt;"&amp;W19)+COUNTIFS($AK$3:$AK$98,$AK19,O$3:O$98,"&lt;"&amp;X19,P$3:P$98,"&gt;"&amp;W19)+COUNTIFS($AK$3:$AK$98,$AK19,Q$3:Q$98,"&lt;"&amp;X19,R$3:R$98,"&gt;"&amp;W19)+COUNTIFS($AK$3:$AK$98,$AK19,S$3:S$98,"&lt;"&amp;X19,T$3:T$98,"&gt;"&amp;W19)+COUNTIFS($AK$3:$AK$98,$AK19,U$3:U$98,"&lt;"&amp;X19,V$3:V$98,"&gt;"&amp;W19)+COUNTIFS($AK$3:$AK$98,$AK19,W$3:W$98,"&lt;"&amp;X19,X$3:X$98,"&gt;"&amp;W19)+COUNTIFS($AK$3:$AK$98,$AK19,Y$3:Y$98,"&lt;"&amp;X19,Z$3:Z$98,"&gt;"&amp;W19)+COUNTIFS($AK$3:$AK$98,$AK19,AA$3:AA$98,"&lt;"&amp;X19,AB$3:AB$98,"&gt;"&amp;W19)+COUNTIFS($AK$3:$AK$98,$AK19,AC$3:AC$98,"&lt;"&amp;X19,AD$3:AD$98,"&gt;"&amp;W19)+COUNTIFS($AK$3:$AK$98,$AK19,AE$3:AE$98,"&lt;"&amp;X19,AF$3:AF$98,"&gt;"&amp;W19)+COUNTIFS($AK$3:$AK$98,$AK19,AG$3:AG$98,"&lt;"&amp;X19,AH$3:AH$98,"&gt;"&amp;W19)-(W19&lt;X19))</f>
        <v>0</v>
      </c>
      <c r="BD19">
        <f>BC19</f>
        <v>0</v>
      </c>
      <c r="BE19">
        <f>IF(OR($AK19="",Y19="",Z19=""),0,COUNTIFS($AK$3:$AK$98,$AK19,K$3:K$98,"&lt;"&amp;Z19,L$3:L$98,"&gt;"&amp;Y19)+COUNTIFS($AK$3:$AK$98,$AK19,M$3:M$98,"&lt;"&amp;Z19,N$3:N$98,"&gt;"&amp;Y19)+COUNTIFS($AK$3:$AK$98,$AK19,O$3:O$98,"&lt;"&amp;Z19,P$3:P$98,"&gt;"&amp;Y19)+COUNTIFS($AK$3:$AK$98,$AK19,Q$3:Q$98,"&lt;"&amp;Z19,R$3:R$98,"&gt;"&amp;Y19)+COUNTIFS($AK$3:$AK$98,$AK19,S$3:S$98,"&lt;"&amp;Z19,T$3:T$98,"&gt;"&amp;Y19)+COUNTIFS($AK$3:$AK$98,$AK19,U$3:U$98,"&lt;"&amp;Z19,V$3:V$98,"&gt;"&amp;Y19)+COUNTIFS($AK$3:$AK$98,$AK19,W$3:W$98,"&lt;"&amp;Z19,X$3:X$98,"&gt;"&amp;Y19)+COUNTIFS($AK$3:$AK$98,$AK19,Y$3:Y$98,"&lt;"&amp;Z19,Z$3:Z$98,"&gt;"&amp;Y19)+COUNTIFS($AK$3:$AK$98,$AK19,AA$3:AA$98,"&lt;"&amp;Z19,AB$3:AB$98,"&gt;"&amp;Y19)+COUNTIFS($AK$3:$AK$98,$AK19,AC$3:AC$98,"&lt;"&amp;Z19,AD$3:AD$98,"&gt;"&amp;Y19)+COUNTIFS($AK$3:$AK$98,$AK19,AE$3:AE$98,"&lt;"&amp;Z19,AF$3:AF$98,"&gt;"&amp;Y19)+COUNTIFS($AK$3:$AK$98,$AK19,AG$3:AG$98,"&lt;"&amp;Z19,AH$3:AH$98,"&gt;"&amp;Y19)-(Y19&lt;Z19))</f>
        <v>0</v>
      </c>
      <c r="BF19">
        <f>BE19</f>
        <v>0</v>
      </c>
      <c r="BG19">
        <f>IF(OR($AK19="",AA19="",AB19=""),0,COUNTIFS($AK$3:$AK$98,$AK19,K$3:K$98,"&lt;"&amp;AB19,L$3:L$98,"&gt;"&amp;AA19)+COUNTIFS($AK$3:$AK$98,$AK19,M$3:M$98,"&lt;"&amp;AB19,N$3:N$98,"&gt;"&amp;AA19)+COUNTIFS($AK$3:$AK$98,$AK19,O$3:O$98,"&lt;"&amp;AB19,P$3:P$98,"&gt;"&amp;AA19)+COUNTIFS($AK$3:$AK$98,$AK19,Q$3:Q$98,"&lt;"&amp;AB19,R$3:R$98,"&gt;"&amp;AA19)+COUNTIFS($AK$3:$AK$98,$AK19,S$3:S$98,"&lt;"&amp;AB19,T$3:T$98,"&gt;"&amp;AA19)+COUNTIFS($AK$3:$AK$98,$AK19,U$3:U$98,"&lt;"&amp;AB19,V$3:V$98,"&gt;"&amp;AA19)+COUNTIFS($AK$3:$AK$98,$AK19,W$3:W$98,"&lt;"&amp;AB19,X$3:X$98,"&gt;"&amp;AA19)+COUNTIFS($AK$3:$AK$98,$AK19,Y$3:Y$98,"&lt;"&amp;AB19,Z$3:Z$98,"&gt;"&amp;AA19)+COUNTIFS($AK$3:$AK$98,$AK19,AA$3:AA$98,"&lt;"&amp;AB19,AB$3:AB$98,"&gt;"&amp;AA19)+COUNTIFS($AK$3:$AK$98,$AK19,AC$3:AC$98,"&lt;"&amp;AB19,AD$3:AD$98,"&gt;"&amp;AA19)+COUNTIFS($AK$3:$AK$98,$AK19,AE$3:AE$98,"&lt;"&amp;AB19,AF$3:AF$98,"&gt;"&amp;AA19)+COUNTIFS($AK$3:$AK$98,$AK19,AG$3:AG$98,"&lt;"&amp;AB19,AH$3:AH$98,"&gt;"&amp;AA19)-(AA19&lt;AB19))</f>
        <v>0</v>
      </c>
      <c r="BH19">
        <f>BG19</f>
        <v>0</v>
      </c>
      <c r="BI19">
        <f>IF(OR($AK19="",AC19="",AD19=""),0,COUNTIFS($AK$3:$AK$98,$AK19,K$3:K$98,"&lt;"&amp;AD19,L$3:L$98,"&gt;"&amp;AC19)+COUNTIFS($AK$3:$AK$98,$AK19,M$3:M$98,"&lt;"&amp;AD19,N$3:N$98,"&gt;"&amp;AC19)+COUNTIFS($AK$3:$AK$98,$AK19,O$3:O$98,"&lt;"&amp;AD19,P$3:P$98,"&gt;"&amp;AC19)+COUNTIFS($AK$3:$AK$98,$AK19,Q$3:Q$98,"&lt;"&amp;AD19,R$3:R$98,"&gt;"&amp;AC19)+COUNTIFS($AK$3:$AK$98,$AK19,S$3:S$98,"&lt;"&amp;AD19,T$3:T$98,"&gt;"&amp;AC19)+COUNTIFS($AK$3:$AK$98,$AK19,U$3:U$98,"&lt;"&amp;AD19,V$3:V$98,"&gt;"&amp;AC19)+COUNTIFS($AK$3:$AK$98,$AK19,W$3:W$98,"&lt;"&amp;AD19,X$3:X$98,"&gt;"&amp;AC19)+COUNTIFS($AK$3:$AK$98,$AK19,Y$3:Y$98,"&lt;"&amp;AD19,Z$3:Z$98,"&gt;"&amp;AC19)+COUNTIFS($AK$3:$AK$98,$AK19,AA$3:AA$98,"&lt;"&amp;AD19,AB$3:AB$98,"&gt;"&amp;AC19)+COUNTIFS($AK$3:$AK$98,$AK19,AC$3:AC$98,"&lt;"&amp;AD19,AD$3:AD$98,"&gt;"&amp;AC19)+COUNTIFS($AK$3:$AK$98,$AK19,AE$3:AE$98,"&lt;"&amp;AD19,AF$3:AF$98,"&gt;"&amp;AC19)+COUNTIFS($AK$3:$AK$98,$AK19,AG$3:AG$98,"&lt;"&amp;AD19,AH$3:AH$98,"&gt;"&amp;AC19)-(AC19&lt;AD19))</f>
        <v>0</v>
      </c>
      <c r="BJ19">
        <f>BI19</f>
        <v>0</v>
      </c>
      <c r="BK19">
        <f>IF(OR($AK19="",AE19="",AF19=""),0,COUNTIFS($AK$3:$AK$98,$AK19,K$3:K$98,"&lt;"&amp;AF19,L$3:L$98,"&gt;"&amp;AE19)+COUNTIFS($AK$3:$AK$98,$AK19,M$3:M$98,"&lt;"&amp;AF19,N$3:N$98,"&gt;"&amp;AE19)+COUNTIFS($AK$3:$AK$98,$AK19,O$3:O$98,"&lt;"&amp;AF19,P$3:P$98,"&gt;"&amp;AE19)+COUNTIFS($AK$3:$AK$98,$AK19,Q$3:Q$98,"&lt;"&amp;AF19,R$3:R$98,"&gt;"&amp;AE19)+COUNTIFS($AK$3:$AK$98,$AK19,S$3:S$98,"&lt;"&amp;AF19,T$3:T$98,"&gt;"&amp;AE19)+COUNTIFS($AK$3:$AK$98,$AK19,U$3:U$98,"&lt;"&amp;AF19,V$3:V$98,"&gt;"&amp;AE19)+COUNTIFS($AK$3:$AK$98,$AK19,W$3:W$98,"&lt;"&amp;AF19,X$3:X$98,"&gt;"&amp;AE19)+COUNTIFS($AK$3:$AK$98,$AK19,Y$3:Y$98,"&lt;"&amp;AF19,Z$3:Z$98,"&gt;"&amp;AE19)+COUNTIFS($AK$3:$AK$98,$AK19,AA$3:AA$98,"&lt;"&amp;AF19,AB$3:AB$98,"&gt;"&amp;AE19)+COUNTIFS($AK$3:$AK$98,$AK19,AC$3:AC$98,"&lt;"&amp;AF19,AD$3:AD$98,"&gt;"&amp;AE19)+COUNTIFS($AK$3:$AK$98,$AK19,AE$3:AE$98,"&lt;"&amp;AF19,AF$3:AF$98,"&gt;"&amp;AE19)+COUNTIFS($AK$3:$AK$98,$AK19,AG$3:AG$98,"&lt;"&amp;AF19,AH$3:AH$98,"&gt;"&amp;AE19)-(AE19&lt;AF19))</f>
        <v>0</v>
      </c>
      <c r="BL19">
        <f>BK19</f>
        <v>0</v>
      </c>
      <c r="BM19">
        <f>IF(OR($AK19="",AG19="",AH19=""),0,COUNTIFS($AK$3:$AK$98,$AK19,K$3:K$98,"&lt;"&amp;AH19,L$3:L$98,"&gt;"&amp;AG19)+COUNTIFS($AK$3:$AK$98,$AK19,M$3:M$98,"&lt;"&amp;AH19,N$3:N$98,"&gt;"&amp;AG19)+COUNTIFS($AK$3:$AK$98,$AK19,O$3:O$98,"&lt;"&amp;AH19,P$3:P$98,"&gt;"&amp;AG19)+COUNTIFS($AK$3:$AK$98,$AK19,Q$3:Q$98,"&lt;"&amp;AH19,R$3:R$98,"&gt;"&amp;AG19)+COUNTIFS($AK$3:$AK$98,$AK19,S$3:S$98,"&lt;"&amp;AH19,T$3:T$98,"&gt;"&amp;AG19)+COUNTIFS($AK$3:$AK$98,$AK19,U$3:U$98,"&lt;"&amp;AH19,V$3:V$98,"&gt;"&amp;AG19)+COUNTIFS($AK$3:$AK$98,$AK19,W$3:W$98,"&lt;"&amp;AH19,X$3:X$98,"&gt;"&amp;AG19)+COUNTIFS($AK$3:$AK$98,$AK19,Y$3:Y$98,"&lt;"&amp;AH19,Z$3:Z$98,"&gt;"&amp;AG19)+COUNTIFS($AK$3:$AK$98,$AK19,AA$3:AA$98,"&lt;"&amp;AH19,AB$3:AB$98,"&gt;"&amp;AG19)+COUNTIFS($AK$3:$AK$98,$AK19,AC$3:AC$98,"&lt;"&amp;AH19,AD$3:AD$98,"&gt;"&amp;AG19)+COUNTIFS($AK$3:$AK$98,$AK19,AE$3:AE$98,"&lt;"&amp;AH19,AF$3:AF$98,"&gt;"&amp;AG19)+COUNTIFS($AK$3:$AK$98,$AK19,AG$3:AG$98,"&lt;"&amp;AH19,AH$3:AH$98,"&gt;"&amp;AG19)-(AG19&lt;AH19))</f>
        <v>0</v>
      </c>
      <c r="BN19">
        <f>BM19</f>
        <v>0</v>
      </c>
      <c r="BO19">
        <f>IF(ISNUMBER($G19),$G19,"")</f>
        <v>1</v>
      </c>
      <c r="BP19">
        <f>IF(AND($A19&lt;&gt;"",COUNT($K19:$AH19)&gt;0),ROW(),"")</f>
        <v>19</v>
      </c>
    </row>
    <row r="20" spans="1:68" x14ac:dyDescent="0.15">
      <c r="A20" s="13" t="s">
        <v>38</v>
      </c>
      <c r="B20" s="14" t="str">
        <f>IF($A20="","","total")</f>
        <v>total</v>
      </c>
      <c r="C20" s="14"/>
      <c r="D20" s="15">
        <f>IF($A20="","",SUM(D21:D23))</f>
        <v>24</v>
      </c>
      <c r="E20" s="15">
        <f>IF($A20="","",SUM(E21:E23))</f>
        <v>24</v>
      </c>
      <c r="F20" s="15">
        <f>IF($A20="","",D20-E20)</f>
        <v>0</v>
      </c>
      <c r="G20" s="16">
        <f>IF($A20="","",IFERROR(AVERAGEIFS(G21:G23,H21:H23,"&lt;&gt;未着手",H21:H23,"&lt;&gt;作業中"),""))</f>
        <v>1</v>
      </c>
      <c r="H20" s="14"/>
      <c r="I20" s="14"/>
      <c r="J20" s="14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spans="1:68" x14ac:dyDescent="0.15">
      <c r="A21" s="18" t="str">
        <f>IF($A20="","",$A20)</f>
        <v>chGkChildA</v>
      </c>
      <c r="B21" s="19" t="str">
        <f>IF($A20="","","low")</f>
        <v>low</v>
      </c>
      <c r="C21" s="19"/>
      <c r="D21" s="20">
        <v>6</v>
      </c>
      <c r="E21" s="21">
        <f>IF(AND($D21="",COUNT($K21:$AH21)=0),"",IF(K21="",0,MAX(0,NETWORKDAYS(K21,IF(L21&lt;&gt;"",L21,IF($J21&lt;&gt;"",K21,$AI$1)),祝日!$A$2:$A$200)))+IF(M21="",0,MAX(0,NETWORKDAYS(M21,IF(N21&lt;&gt;"",N21,IF($J21&lt;&gt;"",M21,$AI$1)),祝日!$A$2:$A$200)))+IF(O21="",0,MAX(0,NETWORKDAYS(O21,IF(P21&lt;&gt;"",P21,IF($J21&lt;&gt;"",O21,$AI$1)),祝日!$A$2:$A$200)))+IF(Q21="",0,MAX(0,NETWORKDAYS(Q21,IF(R21&lt;&gt;"",R21,IF($J21&lt;&gt;"",Q21,$AI$1)),祝日!$A$2:$A$200)))+IF(S21="",0,MAX(0,NETWORKDAYS(S21,IF(T21&lt;&gt;"",T21,IF($J21&lt;&gt;"",S21,$AI$1)),祝日!$A$2:$A$200)))+IF(U21="",0,MAX(0,NETWORKDAYS(U21,IF(V21&lt;&gt;"",V21,IF($J21&lt;&gt;"",U21,$AI$1)),祝日!$A$2:$A$200)))+IF(W21="",0,MAX(0,NETWORKDAYS(W21,IF(X21&lt;&gt;"",X21,IF($J21&lt;&gt;"",W21,$AI$1)),祝日!$A$2:$A$200)))+IF(Y21="",0,MAX(0,NETWORKDAYS(Y21,IF(Z21&lt;&gt;"",Z21,IF($J21&lt;&gt;"",Y21,$AI$1)),祝日!$A$2:$A$200)))+IF(AA21="",0,MAX(0,NETWORKDAYS(AA21,IF(AB21&lt;&gt;"",AB21,IF($J21&lt;&gt;"",AA21,$AI$1)),祝日!$A$2:$A$200)))+IF(AC21="",0,MAX(0,NETWORKDAYS(AC21,IF(AD21&lt;&gt;"",AD21,IF($J21&lt;&gt;"",AC21,$AI$1)),祝日!$A$2:$A$200)))+IF(AE21="",0,MAX(0,NETWORKDAYS(AE21,IF(AF21&lt;&gt;"",AF21,IF($J21&lt;&gt;"",AE21,$AI$1)),祝日!$A$2:$A$200)))+IF(AG21="",0,MAX(0,NETWORKDAYS(AG21,IF(AH21&lt;&gt;"",AH21,IF($J21&lt;&gt;"",AG21,$AI$1)),祝日!$A$2:$A$200))))</f>
        <v>6</v>
      </c>
      <c r="F21" s="21">
        <f>IF($D21="","",$D21-$E21)</f>
        <v>0</v>
      </c>
      <c r="G21" s="22">
        <f>IF(OR($D21="",$D21=0),"",$E21/$D21)</f>
        <v>1</v>
      </c>
      <c r="H21" s="23" t="str">
        <f>IF($D21="","",IF($J21&lt;&gt;"","FIX",IF(AND(SUMPRODUCT((MOD(COLUMN($K21:$AH21)-COLUMN($K21),2)=0)*($K21:$AH21&lt;&gt;""))=0,SUMPRODUCT((MOD(COLUMN($K21:$AH21)-COLUMN($K21),2)=1)*($K21:$AH21&lt;&gt;""))=0),"未着手",IF(SUMPRODUCT((MOD(COLUMN($K21:$AH21)-COLUMN($K21),2)=0)*($K21:$AH21&lt;&gt;""))&gt;SUMPRODUCT((MOD(COLUMN($K21:$AH21)-COLUMN($K21),2)=1)*($K21:$AH21&lt;&gt;"")),"作業中","中断"))))</f>
        <v>FIX</v>
      </c>
      <c r="I21" s="23" t="str">
        <f>IF($H21="中断",MAX(0,$AI$1-MAX(L21,N21,P21,R21,T21,V21,X21,Z21,AB21,AD21,AF21,AH21)),"")</f>
        <v/>
      </c>
      <c r="J21" s="19" t="s">
        <v>37</v>
      </c>
      <c r="K21" s="24">
        <v>46174</v>
      </c>
      <c r="L21" s="24">
        <v>46181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K21" t="str">
        <f>IF($A20="","",IF(LOOKUP(2,1/($AJ$3:$AJ21&lt;&gt;""),$AJ$3:$AJ21)="-","",LOOKUP(2,1/($AJ$3:$AJ21&lt;&gt;""),$AJ$3:$AJ21)))</f>
        <v>CH01</v>
      </c>
      <c r="AL21" t="str">
        <f>$H21</f>
        <v>FIX</v>
      </c>
      <c r="AM21">
        <f>IF(ISNUMBER($D21),$D21,0)</f>
        <v>6</v>
      </c>
      <c r="AN21">
        <f>IF(ISNUMBER($E21),$E21,0)</f>
        <v>6</v>
      </c>
      <c r="AO21">
        <f>IF(ISNUMBER($F21),$F21,0)</f>
        <v>0</v>
      </c>
      <c r="AQ21">
        <f>IF(OR($AK21="",K21="",L21=""),0,COUNTIFS($AK$3:$AK$98,$AK21,K$3:K$98,"&lt;"&amp;L21,L$3:L$98,"&gt;"&amp;K21)+COUNTIFS($AK$3:$AK$98,$AK21,M$3:M$98,"&lt;"&amp;L21,N$3:N$98,"&gt;"&amp;K21)+COUNTIFS($AK$3:$AK$98,$AK21,O$3:O$98,"&lt;"&amp;L21,P$3:P$98,"&gt;"&amp;K21)+COUNTIFS($AK$3:$AK$98,$AK21,Q$3:Q$98,"&lt;"&amp;L21,R$3:R$98,"&gt;"&amp;K21)+COUNTIFS($AK$3:$AK$98,$AK21,S$3:S$98,"&lt;"&amp;L21,T$3:T$98,"&gt;"&amp;K21)+COUNTIFS($AK$3:$AK$98,$AK21,U$3:U$98,"&lt;"&amp;L21,V$3:V$98,"&gt;"&amp;K21)+COUNTIFS($AK$3:$AK$98,$AK21,W$3:W$98,"&lt;"&amp;L21,X$3:X$98,"&gt;"&amp;K21)+COUNTIFS($AK$3:$AK$98,$AK21,Y$3:Y$98,"&lt;"&amp;L21,Z$3:Z$98,"&gt;"&amp;K21)+COUNTIFS($AK$3:$AK$98,$AK21,AA$3:AA$98,"&lt;"&amp;L21,AB$3:AB$98,"&gt;"&amp;K21)+COUNTIFS($AK$3:$AK$98,$AK21,AC$3:AC$98,"&lt;"&amp;L21,AD$3:AD$98,"&gt;"&amp;K21)+COUNTIFS($AK$3:$AK$98,$AK21,AE$3:AE$98,"&lt;"&amp;L21,AF$3:AF$98,"&gt;"&amp;K21)+COUNTIFS($AK$3:$AK$98,$AK21,AG$3:AG$98,"&lt;"&amp;L21,AH$3:AH$98,"&gt;"&amp;K21)-(K21&lt;L21))</f>
        <v>0</v>
      </c>
      <c r="AR21">
        <f>AQ21</f>
        <v>0</v>
      </c>
      <c r="AS21">
        <f>IF(OR($AK21="",M21="",N21=""),0,COUNTIFS($AK$3:$AK$98,$AK21,K$3:K$98,"&lt;"&amp;N21,L$3:L$98,"&gt;"&amp;M21)+COUNTIFS($AK$3:$AK$98,$AK21,M$3:M$98,"&lt;"&amp;N21,N$3:N$98,"&gt;"&amp;M21)+COUNTIFS($AK$3:$AK$98,$AK21,O$3:O$98,"&lt;"&amp;N21,P$3:P$98,"&gt;"&amp;M21)+COUNTIFS($AK$3:$AK$98,$AK21,Q$3:Q$98,"&lt;"&amp;N21,R$3:R$98,"&gt;"&amp;M21)+COUNTIFS($AK$3:$AK$98,$AK21,S$3:S$98,"&lt;"&amp;N21,T$3:T$98,"&gt;"&amp;M21)+COUNTIFS($AK$3:$AK$98,$AK21,U$3:U$98,"&lt;"&amp;N21,V$3:V$98,"&gt;"&amp;M21)+COUNTIFS($AK$3:$AK$98,$AK21,W$3:W$98,"&lt;"&amp;N21,X$3:X$98,"&gt;"&amp;M21)+COUNTIFS($AK$3:$AK$98,$AK21,Y$3:Y$98,"&lt;"&amp;N21,Z$3:Z$98,"&gt;"&amp;M21)+COUNTIFS($AK$3:$AK$98,$AK21,AA$3:AA$98,"&lt;"&amp;N21,AB$3:AB$98,"&gt;"&amp;M21)+COUNTIFS($AK$3:$AK$98,$AK21,AC$3:AC$98,"&lt;"&amp;N21,AD$3:AD$98,"&gt;"&amp;M21)+COUNTIFS($AK$3:$AK$98,$AK21,AE$3:AE$98,"&lt;"&amp;N21,AF$3:AF$98,"&gt;"&amp;M21)+COUNTIFS($AK$3:$AK$98,$AK21,AG$3:AG$98,"&lt;"&amp;N21,AH$3:AH$98,"&gt;"&amp;M21)-(M21&lt;N21))</f>
        <v>0</v>
      </c>
      <c r="AT21">
        <f>AS21</f>
        <v>0</v>
      </c>
      <c r="AU21">
        <f>IF(OR($AK21="",O21="",P21=""),0,COUNTIFS($AK$3:$AK$98,$AK21,K$3:K$98,"&lt;"&amp;P21,L$3:L$98,"&gt;"&amp;O21)+COUNTIFS($AK$3:$AK$98,$AK21,M$3:M$98,"&lt;"&amp;P21,N$3:N$98,"&gt;"&amp;O21)+COUNTIFS($AK$3:$AK$98,$AK21,O$3:O$98,"&lt;"&amp;P21,P$3:P$98,"&gt;"&amp;O21)+COUNTIFS($AK$3:$AK$98,$AK21,Q$3:Q$98,"&lt;"&amp;P21,R$3:R$98,"&gt;"&amp;O21)+COUNTIFS($AK$3:$AK$98,$AK21,S$3:S$98,"&lt;"&amp;P21,T$3:T$98,"&gt;"&amp;O21)+COUNTIFS($AK$3:$AK$98,$AK21,U$3:U$98,"&lt;"&amp;P21,V$3:V$98,"&gt;"&amp;O21)+COUNTIFS($AK$3:$AK$98,$AK21,W$3:W$98,"&lt;"&amp;P21,X$3:X$98,"&gt;"&amp;O21)+COUNTIFS($AK$3:$AK$98,$AK21,Y$3:Y$98,"&lt;"&amp;P21,Z$3:Z$98,"&gt;"&amp;O21)+COUNTIFS($AK$3:$AK$98,$AK21,AA$3:AA$98,"&lt;"&amp;P21,AB$3:AB$98,"&gt;"&amp;O21)+COUNTIFS($AK$3:$AK$98,$AK21,AC$3:AC$98,"&lt;"&amp;P21,AD$3:AD$98,"&gt;"&amp;O21)+COUNTIFS($AK$3:$AK$98,$AK21,AE$3:AE$98,"&lt;"&amp;P21,AF$3:AF$98,"&gt;"&amp;O21)+COUNTIFS($AK$3:$AK$98,$AK21,AG$3:AG$98,"&lt;"&amp;P21,AH$3:AH$98,"&gt;"&amp;O21)-(O21&lt;P21))</f>
        <v>0</v>
      </c>
      <c r="AV21">
        <f>AU21</f>
        <v>0</v>
      </c>
      <c r="AW21">
        <f>IF(OR($AK21="",Q21="",R21=""),0,COUNTIFS($AK$3:$AK$98,$AK21,K$3:K$98,"&lt;"&amp;R21,L$3:L$98,"&gt;"&amp;Q21)+COUNTIFS($AK$3:$AK$98,$AK21,M$3:M$98,"&lt;"&amp;R21,N$3:N$98,"&gt;"&amp;Q21)+COUNTIFS($AK$3:$AK$98,$AK21,O$3:O$98,"&lt;"&amp;R21,P$3:P$98,"&gt;"&amp;Q21)+COUNTIFS($AK$3:$AK$98,$AK21,Q$3:Q$98,"&lt;"&amp;R21,R$3:R$98,"&gt;"&amp;Q21)+COUNTIFS($AK$3:$AK$98,$AK21,S$3:S$98,"&lt;"&amp;R21,T$3:T$98,"&gt;"&amp;Q21)+COUNTIFS($AK$3:$AK$98,$AK21,U$3:U$98,"&lt;"&amp;R21,V$3:V$98,"&gt;"&amp;Q21)+COUNTIFS($AK$3:$AK$98,$AK21,W$3:W$98,"&lt;"&amp;R21,X$3:X$98,"&gt;"&amp;Q21)+COUNTIFS($AK$3:$AK$98,$AK21,Y$3:Y$98,"&lt;"&amp;R21,Z$3:Z$98,"&gt;"&amp;Q21)+COUNTIFS($AK$3:$AK$98,$AK21,AA$3:AA$98,"&lt;"&amp;R21,AB$3:AB$98,"&gt;"&amp;Q21)+COUNTIFS($AK$3:$AK$98,$AK21,AC$3:AC$98,"&lt;"&amp;R21,AD$3:AD$98,"&gt;"&amp;Q21)+COUNTIFS($AK$3:$AK$98,$AK21,AE$3:AE$98,"&lt;"&amp;R21,AF$3:AF$98,"&gt;"&amp;Q21)+COUNTIFS($AK$3:$AK$98,$AK21,AG$3:AG$98,"&lt;"&amp;R21,AH$3:AH$98,"&gt;"&amp;Q21)-(Q21&lt;R21))</f>
        <v>0</v>
      </c>
      <c r="AX21">
        <f>AW21</f>
        <v>0</v>
      </c>
      <c r="AY21">
        <f>IF(OR($AK21="",S21="",T21=""),0,COUNTIFS($AK$3:$AK$98,$AK21,K$3:K$98,"&lt;"&amp;T21,L$3:L$98,"&gt;"&amp;S21)+COUNTIFS($AK$3:$AK$98,$AK21,M$3:M$98,"&lt;"&amp;T21,N$3:N$98,"&gt;"&amp;S21)+COUNTIFS($AK$3:$AK$98,$AK21,O$3:O$98,"&lt;"&amp;T21,P$3:P$98,"&gt;"&amp;S21)+COUNTIFS($AK$3:$AK$98,$AK21,Q$3:Q$98,"&lt;"&amp;T21,R$3:R$98,"&gt;"&amp;S21)+COUNTIFS($AK$3:$AK$98,$AK21,S$3:S$98,"&lt;"&amp;T21,T$3:T$98,"&gt;"&amp;S21)+COUNTIFS($AK$3:$AK$98,$AK21,U$3:U$98,"&lt;"&amp;T21,V$3:V$98,"&gt;"&amp;S21)+COUNTIFS($AK$3:$AK$98,$AK21,W$3:W$98,"&lt;"&amp;T21,X$3:X$98,"&gt;"&amp;S21)+COUNTIFS($AK$3:$AK$98,$AK21,Y$3:Y$98,"&lt;"&amp;T21,Z$3:Z$98,"&gt;"&amp;S21)+COUNTIFS($AK$3:$AK$98,$AK21,AA$3:AA$98,"&lt;"&amp;T21,AB$3:AB$98,"&gt;"&amp;S21)+COUNTIFS($AK$3:$AK$98,$AK21,AC$3:AC$98,"&lt;"&amp;T21,AD$3:AD$98,"&gt;"&amp;S21)+COUNTIFS($AK$3:$AK$98,$AK21,AE$3:AE$98,"&lt;"&amp;T21,AF$3:AF$98,"&gt;"&amp;S21)+COUNTIFS($AK$3:$AK$98,$AK21,AG$3:AG$98,"&lt;"&amp;T21,AH$3:AH$98,"&gt;"&amp;S21)-(S21&lt;T21))</f>
        <v>0</v>
      </c>
      <c r="AZ21">
        <f>AY21</f>
        <v>0</v>
      </c>
      <c r="BA21">
        <f>IF(OR($AK21="",U21="",V21=""),0,COUNTIFS($AK$3:$AK$98,$AK21,K$3:K$98,"&lt;"&amp;V21,L$3:L$98,"&gt;"&amp;U21)+COUNTIFS($AK$3:$AK$98,$AK21,M$3:M$98,"&lt;"&amp;V21,N$3:N$98,"&gt;"&amp;U21)+COUNTIFS($AK$3:$AK$98,$AK21,O$3:O$98,"&lt;"&amp;V21,P$3:P$98,"&gt;"&amp;U21)+COUNTIFS($AK$3:$AK$98,$AK21,Q$3:Q$98,"&lt;"&amp;V21,R$3:R$98,"&gt;"&amp;U21)+COUNTIFS($AK$3:$AK$98,$AK21,S$3:S$98,"&lt;"&amp;V21,T$3:T$98,"&gt;"&amp;U21)+COUNTIFS($AK$3:$AK$98,$AK21,U$3:U$98,"&lt;"&amp;V21,V$3:V$98,"&gt;"&amp;U21)+COUNTIFS($AK$3:$AK$98,$AK21,W$3:W$98,"&lt;"&amp;V21,X$3:X$98,"&gt;"&amp;U21)+COUNTIFS($AK$3:$AK$98,$AK21,Y$3:Y$98,"&lt;"&amp;V21,Z$3:Z$98,"&gt;"&amp;U21)+COUNTIFS($AK$3:$AK$98,$AK21,AA$3:AA$98,"&lt;"&amp;V21,AB$3:AB$98,"&gt;"&amp;U21)+COUNTIFS($AK$3:$AK$98,$AK21,AC$3:AC$98,"&lt;"&amp;V21,AD$3:AD$98,"&gt;"&amp;U21)+COUNTIFS($AK$3:$AK$98,$AK21,AE$3:AE$98,"&lt;"&amp;V21,AF$3:AF$98,"&gt;"&amp;U21)+COUNTIFS($AK$3:$AK$98,$AK21,AG$3:AG$98,"&lt;"&amp;V21,AH$3:AH$98,"&gt;"&amp;U21)-(U21&lt;V21))</f>
        <v>0</v>
      </c>
      <c r="BB21">
        <f>BA21</f>
        <v>0</v>
      </c>
      <c r="BC21">
        <f>IF(OR($AK21="",W21="",X21=""),0,COUNTIFS($AK$3:$AK$98,$AK21,K$3:K$98,"&lt;"&amp;X21,L$3:L$98,"&gt;"&amp;W21)+COUNTIFS($AK$3:$AK$98,$AK21,M$3:M$98,"&lt;"&amp;X21,N$3:N$98,"&gt;"&amp;W21)+COUNTIFS($AK$3:$AK$98,$AK21,O$3:O$98,"&lt;"&amp;X21,P$3:P$98,"&gt;"&amp;W21)+COUNTIFS($AK$3:$AK$98,$AK21,Q$3:Q$98,"&lt;"&amp;X21,R$3:R$98,"&gt;"&amp;W21)+COUNTIFS($AK$3:$AK$98,$AK21,S$3:S$98,"&lt;"&amp;X21,T$3:T$98,"&gt;"&amp;W21)+COUNTIFS($AK$3:$AK$98,$AK21,U$3:U$98,"&lt;"&amp;X21,V$3:V$98,"&gt;"&amp;W21)+COUNTIFS($AK$3:$AK$98,$AK21,W$3:W$98,"&lt;"&amp;X21,X$3:X$98,"&gt;"&amp;W21)+COUNTIFS($AK$3:$AK$98,$AK21,Y$3:Y$98,"&lt;"&amp;X21,Z$3:Z$98,"&gt;"&amp;W21)+COUNTIFS($AK$3:$AK$98,$AK21,AA$3:AA$98,"&lt;"&amp;X21,AB$3:AB$98,"&gt;"&amp;W21)+COUNTIFS($AK$3:$AK$98,$AK21,AC$3:AC$98,"&lt;"&amp;X21,AD$3:AD$98,"&gt;"&amp;W21)+COUNTIFS($AK$3:$AK$98,$AK21,AE$3:AE$98,"&lt;"&amp;X21,AF$3:AF$98,"&gt;"&amp;W21)+COUNTIFS($AK$3:$AK$98,$AK21,AG$3:AG$98,"&lt;"&amp;X21,AH$3:AH$98,"&gt;"&amp;W21)-(W21&lt;X21))</f>
        <v>0</v>
      </c>
      <c r="BD21">
        <f>BC21</f>
        <v>0</v>
      </c>
      <c r="BE21">
        <f>IF(OR($AK21="",Y21="",Z21=""),0,COUNTIFS($AK$3:$AK$98,$AK21,K$3:K$98,"&lt;"&amp;Z21,L$3:L$98,"&gt;"&amp;Y21)+COUNTIFS($AK$3:$AK$98,$AK21,M$3:M$98,"&lt;"&amp;Z21,N$3:N$98,"&gt;"&amp;Y21)+COUNTIFS($AK$3:$AK$98,$AK21,O$3:O$98,"&lt;"&amp;Z21,P$3:P$98,"&gt;"&amp;Y21)+COUNTIFS($AK$3:$AK$98,$AK21,Q$3:Q$98,"&lt;"&amp;Z21,R$3:R$98,"&gt;"&amp;Y21)+COUNTIFS($AK$3:$AK$98,$AK21,S$3:S$98,"&lt;"&amp;Z21,T$3:T$98,"&gt;"&amp;Y21)+COUNTIFS($AK$3:$AK$98,$AK21,U$3:U$98,"&lt;"&amp;Z21,V$3:V$98,"&gt;"&amp;Y21)+COUNTIFS($AK$3:$AK$98,$AK21,W$3:W$98,"&lt;"&amp;Z21,X$3:X$98,"&gt;"&amp;Y21)+COUNTIFS($AK$3:$AK$98,$AK21,Y$3:Y$98,"&lt;"&amp;Z21,Z$3:Z$98,"&gt;"&amp;Y21)+COUNTIFS($AK$3:$AK$98,$AK21,AA$3:AA$98,"&lt;"&amp;Z21,AB$3:AB$98,"&gt;"&amp;Y21)+COUNTIFS($AK$3:$AK$98,$AK21,AC$3:AC$98,"&lt;"&amp;Z21,AD$3:AD$98,"&gt;"&amp;Y21)+COUNTIFS($AK$3:$AK$98,$AK21,AE$3:AE$98,"&lt;"&amp;Z21,AF$3:AF$98,"&gt;"&amp;Y21)+COUNTIFS($AK$3:$AK$98,$AK21,AG$3:AG$98,"&lt;"&amp;Z21,AH$3:AH$98,"&gt;"&amp;Y21)-(Y21&lt;Z21))</f>
        <v>0</v>
      </c>
      <c r="BF21">
        <f>BE21</f>
        <v>0</v>
      </c>
      <c r="BG21">
        <f>IF(OR($AK21="",AA21="",AB21=""),0,COUNTIFS($AK$3:$AK$98,$AK21,K$3:K$98,"&lt;"&amp;AB21,L$3:L$98,"&gt;"&amp;AA21)+COUNTIFS($AK$3:$AK$98,$AK21,M$3:M$98,"&lt;"&amp;AB21,N$3:N$98,"&gt;"&amp;AA21)+COUNTIFS($AK$3:$AK$98,$AK21,O$3:O$98,"&lt;"&amp;AB21,P$3:P$98,"&gt;"&amp;AA21)+COUNTIFS($AK$3:$AK$98,$AK21,Q$3:Q$98,"&lt;"&amp;AB21,R$3:R$98,"&gt;"&amp;AA21)+COUNTIFS($AK$3:$AK$98,$AK21,S$3:S$98,"&lt;"&amp;AB21,T$3:T$98,"&gt;"&amp;AA21)+COUNTIFS($AK$3:$AK$98,$AK21,U$3:U$98,"&lt;"&amp;AB21,V$3:V$98,"&gt;"&amp;AA21)+COUNTIFS($AK$3:$AK$98,$AK21,W$3:W$98,"&lt;"&amp;AB21,X$3:X$98,"&gt;"&amp;AA21)+COUNTIFS($AK$3:$AK$98,$AK21,Y$3:Y$98,"&lt;"&amp;AB21,Z$3:Z$98,"&gt;"&amp;AA21)+COUNTIFS($AK$3:$AK$98,$AK21,AA$3:AA$98,"&lt;"&amp;AB21,AB$3:AB$98,"&gt;"&amp;AA21)+COUNTIFS($AK$3:$AK$98,$AK21,AC$3:AC$98,"&lt;"&amp;AB21,AD$3:AD$98,"&gt;"&amp;AA21)+COUNTIFS($AK$3:$AK$98,$AK21,AE$3:AE$98,"&lt;"&amp;AB21,AF$3:AF$98,"&gt;"&amp;AA21)+COUNTIFS($AK$3:$AK$98,$AK21,AG$3:AG$98,"&lt;"&amp;AB21,AH$3:AH$98,"&gt;"&amp;AA21)-(AA21&lt;AB21))</f>
        <v>0</v>
      </c>
      <c r="BH21">
        <f>BG21</f>
        <v>0</v>
      </c>
      <c r="BI21">
        <f>IF(OR($AK21="",AC21="",AD21=""),0,COUNTIFS($AK$3:$AK$98,$AK21,K$3:K$98,"&lt;"&amp;AD21,L$3:L$98,"&gt;"&amp;AC21)+COUNTIFS($AK$3:$AK$98,$AK21,M$3:M$98,"&lt;"&amp;AD21,N$3:N$98,"&gt;"&amp;AC21)+COUNTIFS($AK$3:$AK$98,$AK21,O$3:O$98,"&lt;"&amp;AD21,P$3:P$98,"&gt;"&amp;AC21)+COUNTIFS($AK$3:$AK$98,$AK21,Q$3:Q$98,"&lt;"&amp;AD21,R$3:R$98,"&gt;"&amp;AC21)+COUNTIFS($AK$3:$AK$98,$AK21,S$3:S$98,"&lt;"&amp;AD21,T$3:T$98,"&gt;"&amp;AC21)+COUNTIFS($AK$3:$AK$98,$AK21,U$3:U$98,"&lt;"&amp;AD21,V$3:V$98,"&gt;"&amp;AC21)+COUNTIFS($AK$3:$AK$98,$AK21,W$3:W$98,"&lt;"&amp;AD21,X$3:X$98,"&gt;"&amp;AC21)+COUNTIFS($AK$3:$AK$98,$AK21,Y$3:Y$98,"&lt;"&amp;AD21,Z$3:Z$98,"&gt;"&amp;AC21)+COUNTIFS($AK$3:$AK$98,$AK21,AA$3:AA$98,"&lt;"&amp;AD21,AB$3:AB$98,"&gt;"&amp;AC21)+COUNTIFS($AK$3:$AK$98,$AK21,AC$3:AC$98,"&lt;"&amp;AD21,AD$3:AD$98,"&gt;"&amp;AC21)+COUNTIFS($AK$3:$AK$98,$AK21,AE$3:AE$98,"&lt;"&amp;AD21,AF$3:AF$98,"&gt;"&amp;AC21)+COUNTIFS($AK$3:$AK$98,$AK21,AG$3:AG$98,"&lt;"&amp;AD21,AH$3:AH$98,"&gt;"&amp;AC21)-(AC21&lt;AD21))</f>
        <v>0</v>
      </c>
      <c r="BJ21">
        <f>BI21</f>
        <v>0</v>
      </c>
      <c r="BK21">
        <f>IF(OR($AK21="",AE21="",AF21=""),0,COUNTIFS($AK$3:$AK$98,$AK21,K$3:K$98,"&lt;"&amp;AF21,L$3:L$98,"&gt;"&amp;AE21)+COUNTIFS($AK$3:$AK$98,$AK21,M$3:M$98,"&lt;"&amp;AF21,N$3:N$98,"&gt;"&amp;AE21)+COUNTIFS($AK$3:$AK$98,$AK21,O$3:O$98,"&lt;"&amp;AF21,P$3:P$98,"&gt;"&amp;AE21)+COUNTIFS($AK$3:$AK$98,$AK21,Q$3:Q$98,"&lt;"&amp;AF21,R$3:R$98,"&gt;"&amp;AE21)+COUNTIFS($AK$3:$AK$98,$AK21,S$3:S$98,"&lt;"&amp;AF21,T$3:T$98,"&gt;"&amp;AE21)+COUNTIFS($AK$3:$AK$98,$AK21,U$3:U$98,"&lt;"&amp;AF21,V$3:V$98,"&gt;"&amp;AE21)+COUNTIFS($AK$3:$AK$98,$AK21,W$3:W$98,"&lt;"&amp;AF21,X$3:X$98,"&gt;"&amp;AE21)+COUNTIFS($AK$3:$AK$98,$AK21,Y$3:Y$98,"&lt;"&amp;AF21,Z$3:Z$98,"&gt;"&amp;AE21)+COUNTIFS($AK$3:$AK$98,$AK21,AA$3:AA$98,"&lt;"&amp;AF21,AB$3:AB$98,"&gt;"&amp;AE21)+COUNTIFS($AK$3:$AK$98,$AK21,AC$3:AC$98,"&lt;"&amp;AF21,AD$3:AD$98,"&gt;"&amp;AE21)+COUNTIFS($AK$3:$AK$98,$AK21,AE$3:AE$98,"&lt;"&amp;AF21,AF$3:AF$98,"&gt;"&amp;AE21)+COUNTIFS($AK$3:$AK$98,$AK21,AG$3:AG$98,"&lt;"&amp;AF21,AH$3:AH$98,"&gt;"&amp;AE21)-(AE21&lt;AF21))</f>
        <v>0</v>
      </c>
      <c r="BL21">
        <f>BK21</f>
        <v>0</v>
      </c>
      <c r="BM21">
        <f>IF(OR($AK21="",AG21="",AH21=""),0,COUNTIFS($AK$3:$AK$98,$AK21,K$3:K$98,"&lt;"&amp;AH21,L$3:L$98,"&gt;"&amp;AG21)+COUNTIFS($AK$3:$AK$98,$AK21,M$3:M$98,"&lt;"&amp;AH21,N$3:N$98,"&gt;"&amp;AG21)+COUNTIFS($AK$3:$AK$98,$AK21,O$3:O$98,"&lt;"&amp;AH21,P$3:P$98,"&gt;"&amp;AG21)+COUNTIFS($AK$3:$AK$98,$AK21,Q$3:Q$98,"&lt;"&amp;AH21,R$3:R$98,"&gt;"&amp;AG21)+COUNTIFS($AK$3:$AK$98,$AK21,S$3:S$98,"&lt;"&amp;AH21,T$3:T$98,"&gt;"&amp;AG21)+COUNTIFS($AK$3:$AK$98,$AK21,U$3:U$98,"&lt;"&amp;AH21,V$3:V$98,"&gt;"&amp;AG21)+COUNTIFS($AK$3:$AK$98,$AK21,W$3:W$98,"&lt;"&amp;AH21,X$3:X$98,"&gt;"&amp;AG21)+COUNTIFS($AK$3:$AK$98,$AK21,Y$3:Y$98,"&lt;"&amp;AH21,Z$3:Z$98,"&gt;"&amp;AG21)+COUNTIFS($AK$3:$AK$98,$AK21,AA$3:AA$98,"&lt;"&amp;AH21,AB$3:AB$98,"&gt;"&amp;AG21)+COUNTIFS($AK$3:$AK$98,$AK21,AC$3:AC$98,"&lt;"&amp;AH21,AD$3:AD$98,"&gt;"&amp;AG21)+COUNTIFS($AK$3:$AK$98,$AK21,AE$3:AE$98,"&lt;"&amp;AH21,AF$3:AF$98,"&gt;"&amp;AG21)+COUNTIFS($AK$3:$AK$98,$AK21,AG$3:AG$98,"&lt;"&amp;AH21,AH$3:AH$98,"&gt;"&amp;AG21)-(AG21&lt;AH21))</f>
        <v>0</v>
      </c>
      <c r="BN21">
        <f>BM21</f>
        <v>0</v>
      </c>
      <c r="BO21">
        <f>IF(ISNUMBER($G21),$G21,"")</f>
        <v>1</v>
      </c>
      <c r="BP21">
        <f>IF(AND($A21&lt;&gt;"",COUNT($K21:$AH21)&gt;0),ROW(),"")</f>
        <v>21</v>
      </c>
    </row>
    <row r="22" spans="1:68" x14ac:dyDescent="0.15">
      <c r="A22" s="18" t="str">
        <f>IF($A20="","",$A20)</f>
        <v>chGkChildA</v>
      </c>
      <c r="B22" s="19" t="str">
        <f>IF($A20="","","high")</f>
        <v>high</v>
      </c>
      <c r="C22" s="19"/>
      <c r="D22" s="20">
        <v>13</v>
      </c>
      <c r="E22" s="21">
        <f>IF(AND($D22="",COUNT($K22:$AH22)=0),"",IF(K22="",0,MAX(0,NETWORKDAYS(K22,IF(L22&lt;&gt;"",L22,IF($J22&lt;&gt;"",K22,$AI$1)),祝日!$A$2:$A$200)))+IF(M22="",0,MAX(0,NETWORKDAYS(M22,IF(N22&lt;&gt;"",N22,IF($J22&lt;&gt;"",M22,$AI$1)),祝日!$A$2:$A$200)))+IF(O22="",0,MAX(0,NETWORKDAYS(O22,IF(P22&lt;&gt;"",P22,IF($J22&lt;&gt;"",O22,$AI$1)),祝日!$A$2:$A$200)))+IF(Q22="",0,MAX(0,NETWORKDAYS(Q22,IF(R22&lt;&gt;"",R22,IF($J22&lt;&gt;"",Q22,$AI$1)),祝日!$A$2:$A$200)))+IF(S22="",0,MAX(0,NETWORKDAYS(S22,IF(T22&lt;&gt;"",T22,IF($J22&lt;&gt;"",S22,$AI$1)),祝日!$A$2:$A$200)))+IF(U22="",0,MAX(0,NETWORKDAYS(U22,IF(V22&lt;&gt;"",V22,IF($J22&lt;&gt;"",U22,$AI$1)),祝日!$A$2:$A$200)))+IF(W22="",0,MAX(0,NETWORKDAYS(W22,IF(X22&lt;&gt;"",X22,IF($J22&lt;&gt;"",W22,$AI$1)),祝日!$A$2:$A$200)))+IF(Y22="",0,MAX(0,NETWORKDAYS(Y22,IF(Z22&lt;&gt;"",Z22,IF($J22&lt;&gt;"",Y22,$AI$1)),祝日!$A$2:$A$200)))+IF(AA22="",0,MAX(0,NETWORKDAYS(AA22,IF(AB22&lt;&gt;"",AB22,IF($J22&lt;&gt;"",AA22,$AI$1)),祝日!$A$2:$A$200)))+IF(AC22="",0,MAX(0,NETWORKDAYS(AC22,IF(AD22&lt;&gt;"",AD22,IF($J22&lt;&gt;"",AC22,$AI$1)),祝日!$A$2:$A$200)))+IF(AE22="",0,MAX(0,NETWORKDAYS(AE22,IF(AF22&lt;&gt;"",AF22,IF($J22&lt;&gt;"",AE22,$AI$1)),祝日!$A$2:$A$200)))+IF(AG22="",0,MAX(0,NETWORKDAYS(AG22,IF(AH22&lt;&gt;"",AH22,IF($J22&lt;&gt;"",AG22,$AI$1)),祝日!$A$2:$A$200))))</f>
        <v>13</v>
      </c>
      <c r="F22" s="21">
        <f>IF($D22="","",$D22-$E22)</f>
        <v>0</v>
      </c>
      <c r="G22" s="22">
        <f>IF(OR($D22="",$D22=0),"",$E22/$D22)</f>
        <v>1</v>
      </c>
      <c r="H22" s="23" t="str">
        <f>IF($D22="","",IF($J22&lt;&gt;"","FIX",IF(AND(SUMPRODUCT((MOD(COLUMN($K22:$AH22)-COLUMN($K22),2)=0)*($K22:$AH22&lt;&gt;""))=0,SUMPRODUCT((MOD(COLUMN($K22:$AH22)-COLUMN($K22),2)=1)*($K22:$AH22&lt;&gt;""))=0),"未着手",IF(SUMPRODUCT((MOD(COLUMN($K22:$AH22)-COLUMN($K22),2)=0)*($K22:$AH22&lt;&gt;""))&gt;SUMPRODUCT((MOD(COLUMN($K22:$AH22)-COLUMN($K22),2)=1)*($K22:$AH22&lt;&gt;"")),"作業中","中断"))))</f>
        <v>FIX</v>
      </c>
      <c r="I22" s="23" t="str">
        <f>IF($H22="中断",MAX(0,$AI$1-MAX(L22,N22,P22,R22,T22,V22,X22,Z22,AB22,AD22,AF22,AH22)),"")</f>
        <v/>
      </c>
      <c r="J22" s="19" t="s">
        <v>37</v>
      </c>
      <c r="K22" s="24">
        <v>46182</v>
      </c>
      <c r="L22" s="24">
        <v>46198</v>
      </c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K22" t="str">
        <f>IF($A20="","",IF(LOOKUP(2,1/($AJ$3:$AJ22&lt;&gt;""),$AJ$3:$AJ22)="-","",LOOKUP(2,1/($AJ$3:$AJ22&lt;&gt;""),$AJ$3:$AJ22)))</f>
        <v>CH01</v>
      </c>
      <c r="AL22" t="str">
        <f>$H22</f>
        <v>FIX</v>
      </c>
      <c r="AM22">
        <f>IF(ISNUMBER($D22),$D22,0)</f>
        <v>13</v>
      </c>
      <c r="AN22">
        <f>IF(ISNUMBER($E22),$E22,0)</f>
        <v>13</v>
      </c>
      <c r="AO22">
        <f>IF(ISNUMBER($F22),$F22,0)</f>
        <v>0</v>
      </c>
      <c r="AQ22">
        <f>IF(OR($AK22="",K22="",L22=""),0,COUNTIFS($AK$3:$AK$98,$AK22,K$3:K$98,"&lt;"&amp;L22,L$3:L$98,"&gt;"&amp;K22)+COUNTIFS($AK$3:$AK$98,$AK22,M$3:M$98,"&lt;"&amp;L22,N$3:N$98,"&gt;"&amp;K22)+COUNTIFS($AK$3:$AK$98,$AK22,O$3:O$98,"&lt;"&amp;L22,P$3:P$98,"&gt;"&amp;K22)+COUNTIFS($AK$3:$AK$98,$AK22,Q$3:Q$98,"&lt;"&amp;L22,R$3:R$98,"&gt;"&amp;K22)+COUNTIFS($AK$3:$AK$98,$AK22,S$3:S$98,"&lt;"&amp;L22,T$3:T$98,"&gt;"&amp;K22)+COUNTIFS($AK$3:$AK$98,$AK22,U$3:U$98,"&lt;"&amp;L22,V$3:V$98,"&gt;"&amp;K22)+COUNTIFS($AK$3:$AK$98,$AK22,W$3:W$98,"&lt;"&amp;L22,X$3:X$98,"&gt;"&amp;K22)+COUNTIFS($AK$3:$AK$98,$AK22,Y$3:Y$98,"&lt;"&amp;L22,Z$3:Z$98,"&gt;"&amp;K22)+COUNTIFS($AK$3:$AK$98,$AK22,AA$3:AA$98,"&lt;"&amp;L22,AB$3:AB$98,"&gt;"&amp;K22)+COUNTIFS($AK$3:$AK$98,$AK22,AC$3:AC$98,"&lt;"&amp;L22,AD$3:AD$98,"&gt;"&amp;K22)+COUNTIFS($AK$3:$AK$98,$AK22,AE$3:AE$98,"&lt;"&amp;L22,AF$3:AF$98,"&gt;"&amp;K22)+COUNTIFS($AK$3:$AK$98,$AK22,AG$3:AG$98,"&lt;"&amp;L22,AH$3:AH$98,"&gt;"&amp;K22)-(K22&lt;L22))</f>
        <v>0</v>
      </c>
      <c r="AR22">
        <f>AQ22</f>
        <v>0</v>
      </c>
      <c r="AS22">
        <f>IF(OR($AK22="",M22="",N22=""),0,COUNTIFS($AK$3:$AK$98,$AK22,K$3:K$98,"&lt;"&amp;N22,L$3:L$98,"&gt;"&amp;M22)+COUNTIFS($AK$3:$AK$98,$AK22,M$3:M$98,"&lt;"&amp;N22,N$3:N$98,"&gt;"&amp;M22)+COUNTIFS($AK$3:$AK$98,$AK22,O$3:O$98,"&lt;"&amp;N22,P$3:P$98,"&gt;"&amp;M22)+COUNTIFS($AK$3:$AK$98,$AK22,Q$3:Q$98,"&lt;"&amp;N22,R$3:R$98,"&gt;"&amp;M22)+COUNTIFS($AK$3:$AK$98,$AK22,S$3:S$98,"&lt;"&amp;N22,T$3:T$98,"&gt;"&amp;M22)+COUNTIFS($AK$3:$AK$98,$AK22,U$3:U$98,"&lt;"&amp;N22,V$3:V$98,"&gt;"&amp;M22)+COUNTIFS($AK$3:$AK$98,$AK22,W$3:W$98,"&lt;"&amp;N22,X$3:X$98,"&gt;"&amp;M22)+COUNTIFS($AK$3:$AK$98,$AK22,Y$3:Y$98,"&lt;"&amp;N22,Z$3:Z$98,"&gt;"&amp;M22)+COUNTIFS($AK$3:$AK$98,$AK22,AA$3:AA$98,"&lt;"&amp;N22,AB$3:AB$98,"&gt;"&amp;M22)+COUNTIFS($AK$3:$AK$98,$AK22,AC$3:AC$98,"&lt;"&amp;N22,AD$3:AD$98,"&gt;"&amp;M22)+COUNTIFS($AK$3:$AK$98,$AK22,AE$3:AE$98,"&lt;"&amp;N22,AF$3:AF$98,"&gt;"&amp;M22)+COUNTIFS($AK$3:$AK$98,$AK22,AG$3:AG$98,"&lt;"&amp;N22,AH$3:AH$98,"&gt;"&amp;M22)-(M22&lt;N22))</f>
        <v>0</v>
      </c>
      <c r="AT22">
        <f>AS22</f>
        <v>0</v>
      </c>
      <c r="AU22">
        <f>IF(OR($AK22="",O22="",P22=""),0,COUNTIFS($AK$3:$AK$98,$AK22,K$3:K$98,"&lt;"&amp;P22,L$3:L$98,"&gt;"&amp;O22)+COUNTIFS($AK$3:$AK$98,$AK22,M$3:M$98,"&lt;"&amp;P22,N$3:N$98,"&gt;"&amp;O22)+COUNTIFS($AK$3:$AK$98,$AK22,O$3:O$98,"&lt;"&amp;P22,P$3:P$98,"&gt;"&amp;O22)+COUNTIFS($AK$3:$AK$98,$AK22,Q$3:Q$98,"&lt;"&amp;P22,R$3:R$98,"&gt;"&amp;O22)+COUNTIFS($AK$3:$AK$98,$AK22,S$3:S$98,"&lt;"&amp;P22,T$3:T$98,"&gt;"&amp;O22)+COUNTIFS($AK$3:$AK$98,$AK22,U$3:U$98,"&lt;"&amp;P22,V$3:V$98,"&gt;"&amp;O22)+COUNTIFS($AK$3:$AK$98,$AK22,W$3:W$98,"&lt;"&amp;P22,X$3:X$98,"&gt;"&amp;O22)+COUNTIFS($AK$3:$AK$98,$AK22,Y$3:Y$98,"&lt;"&amp;P22,Z$3:Z$98,"&gt;"&amp;O22)+COUNTIFS($AK$3:$AK$98,$AK22,AA$3:AA$98,"&lt;"&amp;P22,AB$3:AB$98,"&gt;"&amp;O22)+COUNTIFS($AK$3:$AK$98,$AK22,AC$3:AC$98,"&lt;"&amp;P22,AD$3:AD$98,"&gt;"&amp;O22)+COUNTIFS($AK$3:$AK$98,$AK22,AE$3:AE$98,"&lt;"&amp;P22,AF$3:AF$98,"&gt;"&amp;O22)+COUNTIFS($AK$3:$AK$98,$AK22,AG$3:AG$98,"&lt;"&amp;P22,AH$3:AH$98,"&gt;"&amp;O22)-(O22&lt;P22))</f>
        <v>0</v>
      </c>
      <c r="AV22">
        <f>AU22</f>
        <v>0</v>
      </c>
      <c r="AW22">
        <f>IF(OR($AK22="",Q22="",R22=""),0,COUNTIFS($AK$3:$AK$98,$AK22,K$3:K$98,"&lt;"&amp;R22,L$3:L$98,"&gt;"&amp;Q22)+COUNTIFS($AK$3:$AK$98,$AK22,M$3:M$98,"&lt;"&amp;R22,N$3:N$98,"&gt;"&amp;Q22)+COUNTIFS($AK$3:$AK$98,$AK22,O$3:O$98,"&lt;"&amp;R22,P$3:P$98,"&gt;"&amp;Q22)+COUNTIFS($AK$3:$AK$98,$AK22,Q$3:Q$98,"&lt;"&amp;R22,R$3:R$98,"&gt;"&amp;Q22)+COUNTIFS($AK$3:$AK$98,$AK22,S$3:S$98,"&lt;"&amp;R22,T$3:T$98,"&gt;"&amp;Q22)+COUNTIFS($AK$3:$AK$98,$AK22,U$3:U$98,"&lt;"&amp;R22,V$3:V$98,"&gt;"&amp;Q22)+COUNTIFS($AK$3:$AK$98,$AK22,W$3:W$98,"&lt;"&amp;R22,X$3:X$98,"&gt;"&amp;Q22)+COUNTIFS($AK$3:$AK$98,$AK22,Y$3:Y$98,"&lt;"&amp;R22,Z$3:Z$98,"&gt;"&amp;Q22)+COUNTIFS($AK$3:$AK$98,$AK22,AA$3:AA$98,"&lt;"&amp;R22,AB$3:AB$98,"&gt;"&amp;Q22)+COUNTIFS($AK$3:$AK$98,$AK22,AC$3:AC$98,"&lt;"&amp;R22,AD$3:AD$98,"&gt;"&amp;Q22)+COUNTIFS($AK$3:$AK$98,$AK22,AE$3:AE$98,"&lt;"&amp;R22,AF$3:AF$98,"&gt;"&amp;Q22)+COUNTIFS($AK$3:$AK$98,$AK22,AG$3:AG$98,"&lt;"&amp;R22,AH$3:AH$98,"&gt;"&amp;Q22)-(Q22&lt;R22))</f>
        <v>0</v>
      </c>
      <c r="AX22">
        <f>AW22</f>
        <v>0</v>
      </c>
      <c r="AY22">
        <f>IF(OR($AK22="",S22="",T22=""),0,COUNTIFS($AK$3:$AK$98,$AK22,K$3:K$98,"&lt;"&amp;T22,L$3:L$98,"&gt;"&amp;S22)+COUNTIFS($AK$3:$AK$98,$AK22,M$3:M$98,"&lt;"&amp;T22,N$3:N$98,"&gt;"&amp;S22)+COUNTIFS($AK$3:$AK$98,$AK22,O$3:O$98,"&lt;"&amp;T22,P$3:P$98,"&gt;"&amp;S22)+COUNTIFS($AK$3:$AK$98,$AK22,Q$3:Q$98,"&lt;"&amp;T22,R$3:R$98,"&gt;"&amp;S22)+COUNTIFS($AK$3:$AK$98,$AK22,S$3:S$98,"&lt;"&amp;T22,T$3:T$98,"&gt;"&amp;S22)+COUNTIFS($AK$3:$AK$98,$AK22,U$3:U$98,"&lt;"&amp;T22,V$3:V$98,"&gt;"&amp;S22)+COUNTIFS($AK$3:$AK$98,$AK22,W$3:W$98,"&lt;"&amp;T22,X$3:X$98,"&gt;"&amp;S22)+COUNTIFS($AK$3:$AK$98,$AK22,Y$3:Y$98,"&lt;"&amp;T22,Z$3:Z$98,"&gt;"&amp;S22)+COUNTIFS($AK$3:$AK$98,$AK22,AA$3:AA$98,"&lt;"&amp;T22,AB$3:AB$98,"&gt;"&amp;S22)+COUNTIFS($AK$3:$AK$98,$AK22,AC$3:AC$98,"&lt;"&amp;T22,AD$3:AD$98,"&gt;"&amp;S22)+COUNTIFS($AK$3:$AK$98,$AK22,AE$3:AE$98,"&lt;"&amp;T22,AF$3:AF$98,"&gt;"&amp;S22)+COUNTIFS($AK$3:$AK$98,$AK22,AG$3:AG$98,"&lt;"&amp;T22,AH$3:AH$98,"&gt;"&amp;S22)-(S22&lt;T22))</f>
        <v>0</v>
      </c>
      <c r="AZ22">
        <f>AY22</f>
        <v>0</v>
      </c>
      <c r="BA22">
        <f>IF(OR($AK22="",U22="",V22=""),0,COUNTIFS($AK$3:$AK$98,$AK22,K$3:K$98,"&lt;"&amp;V22,L$3:L$98,"&gt;"&amp;U22)+COUNTIFS($AK$3:$AK$98,$AK22,M$3:M$98,"&lt;"&amp;V22,N$3:N$98,"&gt;"&amp;U22)+COUNTIFS($AK$3:$AK$98,$AK22,O$3:O$98,"&lt;"&amp;V22,P$3:P$98,"&gt;"&amp;U22)+COUNTIFS($AK$3:$AK$98,$AK22,Q$3:Q$98,"&lt;"&amp;V22,R$3:R$98,"&gt;"&amp;U22)+COUNTIFS($AK$3:$AK$98,$AK22,S$3:S$98,"&lt;"&amp;V22,T$3:T$98,"&gt;"&amp;U22)+COUNTIFS($AK$3:$AK$98,$AK22,U$3:U$98,"&lt;"&amp;V22,V$3:V$98,"&gt;"&amp;U22)+COUNTIFS($AK$3:$AK$98,$AK22,W$3:W$98,"&lt;"&amp;V22,X$3:X$98,"&gt;"&amp;U22)+COUNTIFS($AK$3:$AK$98,$AK22,Y$3:Y$98,"&lt;"&amp;V22,Z$3:Z$98,"&gt;"&amp;U22)+COUNTIFS($AK$3:$AK$98,$AK22,AA$3:AA$98,"&lt;"&amp;V22,AB$3:AB$98,"&gt;"&amp;U22)+COUNTIFS($AK$3:$AK$98,$AK22,AC$3:AC$98,"&lt;"&amp;V22,AD$3:AD$98,"&gt;"&amp;U22)+COUNTIFS($AK$3:$AK$98,$AK22,AE$3:AE$98,"&lt;"&amp;V22,AF$3:AF$98,"&gt;"&amp;U22)+COUNTIFS($AK$3:$AK$98,$AK22,AG$3:AG$98,"&lt;"&amp;V22,AH$3:AH$98,"&gt;"&amp;U22)-(U22&lt;V22))</f>
        <v>0</v>
      </c>
      <c r="BB22">
        <f>BA22</f>
        <v>0</v>
      </c>
      <c r="BC22">
        <f>IF(OR($AK22="",W22="",X22=""),0,COUNTIFS($AK$3:$AK$98,$AK22,K$3:K$98,"&lt;"&amp;X22,L$3:L$98,"&gt;"&amp;W22)+COUNTIFS($AK$3:$AK$98,$AK22,M$3:M$98,"&lt;"&amp;X22,N$3:N$98,"&gt;"&amp;W22)+COUNTIFS($AK$3:$AK$98,$AK22,O$3:O$98,"&lt;"&amp;X22,P$3:P$98,"&gt;"&amp;W22)+COUNTIFS($AK$3:$AK$98,$AK22,Q$3:Q$98,"&lt;"&amp;X22,R$3:R$98,"&gt;"&amp;W22)+COUNTIFS($AK$3:$AK$98,$AK22,S$3:S$98,"&lt;"&amp;X22,T$3:T$98,"&gt;"&amp;W22)+COUNTIFS($AK$3:$AK$98,$AK22,U$3:U$98,"&lt;"&amp;X22,V$3:V$98,"&gt;"&amp;W22)+COUNTIFS($AK$3:$AK$98,$AK22,W$3:W$98,"&lt;"&amp;X22,X$3:X$98,"&gt;"&amp;W22)+COUNTIFS($AK$3:$AK$98,$AK22,Y$3:Y$98,"&lt;"&amp;X22,Z$3:Z$98,"&gt;"&amp;W22)+COUNTIFS($AK$3:$AK$98,$AK22,AA$3:AA$98,"&lt;"&amp;X22,AB$3:AB$98,"&gt;"&amp;W22)+COUNTIFS($AK$3:$AK$98,$AK22,AC$3:AC$98,"&lt;"&amp;X22,AD$3:AD$98,"&gt;"&amp;W22)+COUNTIFS($AK$3:$AK$98,$AK22,AE$3:AE$98,"&lt;"&amp;X22,AF$3:AF$98,"&gt;"&amp;W22)+COUNTIFS($AK$3:$AK$98,$AK22,AG$3:AG$98,"&lt;"&amp;X22,AH$3:AH$98,"&gt;"&amp;W22)-(W22&lt;X22))</f>
        <v>0</v>
      </c>
      <c r="BD22">
        <f>BC22</f>
        <v>0</v>
      </c>
      <c r="BE22">
        <f>IF(OR($AK22="",Y22="",Z22=""),0,COUNTIFS($AK$3:$AK$98,$AK22,K$3:K$98,"&lt;"&amp;Z22,L$3:L$98,"&gt;"&amp;Y22)+COUNTIFS($AK$3:$AK$98,$AK22,M$3:M$98,"&lt;"&amp;Z22,N$3:N$98,"&gt;"&amp;Y22)+COUNTIFS($AK$3:$AK$98,$AK22,O$3:O$98,"&lt;"&amp;Z22,P$3:P$98,"&gt;"&amp;Y22)+COUNTIFS($AK$3:$AK$98,$AK22,Q$3:Q$98,"&lt;"&amp;Z22,R$3:R$98,"&gt;"&amp;Y22)+COUNTIFS($AK$3:$AK$98,$AK22,S$3:S$98,"&lt;"&amp;Z22,T$3:T$98,"&gt;"&amp;Y22)+COUNTIFS($AK$3:$AK$98,$AK22,U$3:U$98,"&lt;"&amp;Z22,V$3:V$98,"&gt;"&amp;Y22)+COUNTIFS($AK$3:$AK$98,$AK22,W$3:W$98,"&lt;"&amp;Z22,X$3:X$98,"&gt;"&amp;Y22)+COUNTIFS($AK$3:$AK$98,$AK22,Y$3:Y$98,"&lt;"&amp;Z22,Z$3:Z$98,"&gt;"&amp;Y22)+COUNTIFS($AK$3:$AK$98,$AK22,AA$3:AA$98,"&lt;"&amp;Z22,AB$3:AB$98,"&gt;"&amp;Y22)+COUNTIFS($AK$3:$AK$98,$AK22,AC$3:AC$98,"&lt;"&amp;Z22,AD$3:AD$98,"&gt;"&amp;Y22)+COUNTIFS($AK$3:$AK$98,$AK22,AE$3:AE$98,"&lt;"&amp;Z22,AF$3:AF$98,"&gt;"&amp;Y22)+COUNTIFS($AK$3:$AK$98,$AK22,AG$3:AG$98,"&lt;"&amp;Z22,AH$3:AH$98,"&gt;"&amp;Y22)-(Y22&lt;Z22))</f>
        <v>0</v>
      </c>
      <c r="BF22">
        <f>BE22</f>
        <v>0</v>
      </c>
      <c r="BG22">
        <f>IF(OR($AK22="",AA22="",AB22=""),0,COUNTIFS($AK$3:$AK$98,$AK22,K$3:K$98,"&lt;"&amp;AB22,L$3:L$98,"&gt;"&amp;AA22)+COUNTIFS($AK$3:$AK$98,$AK22,M$3:M$98,"&lt;"&amp;AB22,N$3:N$98,"&gt;"&amp;AA22)+COUNTIFS($AK$3:$AK$98,$AK22,O$3:O$98,"&lt;"&amp;AB22,P$3:P$98,"&gt;"&amp;AA22)+COUNTIFS($AK$3:$AK$98,$AK22,Q$3:Q$98,"&lt;"&amp;AB22,R$3:R$98,"&gt;"&amp;AA22)+COUNTIFS($AK$3:$AK$98,$AK22,S$3:S$98,"&lt;"&amp;AB22,T$3:T$98,"&gt;"&amp;AA22)+COUNTIFS($AK$3:$AK$98,$AK22,U$3:U$98,"&lt;"&amp;AB22,V$3:V$98,"&gt;"&amp;AA22)+COUNTIFS($AK$3:$AK$98,$AK22,W$3:W$98,"&lt;"&amp;AB22,X$3:X$98,"&gt;"&amp;AA22)+COUNTIFS($AK$3:$AK$98,$AK22,Y$3:Y$98,"&lt;"&amp;AB22,Z$3:Z$98,"&gt;"&amp;AA22)+COUNTIFS($AK$3:$AK$98,$AK22,AA$3:AA$98,"&lt;"&amp;AB22,AB$3:AB$98,"&gt;"&amp;AA22)+COUNTIFS($AK$3:$AK$98,$AK22,AC$3:AC$98,"&lt;"&amp;AB22,AD$3:AD$98,"&gt;"&amp;AA22)+COUNTIFS($AK$3:$AK$98,$AK22,AE$3:AE$98,"&lt;"&amp;AB22,AF$3:AF$98,"&gt;"&amp;AA22)+COUNTIFS($AK$3:$AK$98,$AK22,AG$3:AG$98,"&lt;"&amp;AB22,AH$3:AH$98,"&gt;"&amp;AA22)-(AA22&lt;AB22))</f>
        <v>0</v>
      </c>
      <c r="BH22">
        <f>BG22</f>
        <v>0</v>
      </c>
      <c r="BI22">
        <f>IF(OR($AK22="",AC22="",AD22=""),0,COUNTIFS($AK$3:$AK$98,$AK22,K$3:K$98,"&lt;"&amp;AD22,L$3:L$98,"&gt;"&amp;AC22)+COUNTIFS($AK$3:$AK$98,$AK22,M$3:M$98,"&lt;"&amp;AD22,N$3:N$98,"&gt;"&amp;AC22)+COUNTIFS($AK$3:$AK$98,$AK22,O$3:O$98,"&lt;"&amp;AD22,P$3:P$98,"&gt;"&amp;AC22)+COUNTIFS($AK$3:$AK$98,$AK22,Q$3:Q$98,"&lt;"&amp;AD22,R$3:R$98,"&gt;"&amp;AC22)+COUNTIFS($AK$3:$AK$98,$AK22,S$3:S$98,"&lt;"&amp;AD22,T$3:T$98,"&gt;"&amp;AC22)+COUNTIFS($AK$3:$AK$98,$AK22,U$3:U$98,"&lt;"&amp;AD22,V$3:V$98,"&gt;"&amp;AC22)+COUNTIFS($AK$3:$AK$98,$AK22,W$3:W$98,"&lt;"&amp;AD22,X$3:X$98,"&gt;"&amp;AC22)+COUNTIFS($AK$3:$AK$98,$AK22,Y$3:Y$98,"&lt;"&amp;AD22,Z$3:Z$98,"&gt;"&amp;AC22)+COUNTIFS($AK$3:$AK$98,$AK22,AA$3:AA$98,"&lt;"&amp;AD22,AB$3:AB$98,"&gt;"&amp;AC22)+COUNTIFS($AK$3:$AK$98,$AK22,AC$3:AC$98,"&lt;"&amp;AD22,AD$3:AD$98,"&gt;"&amp;AC22)+COUNTIFS($AK$3:$AK$98,$AK22,AE$3:AE$98,"&lt;"&amp;AD22,AF$3:AF$98,"&gt;"&amp;AC22)+COUNTIFS($AK$3:$AK$98,$AK22,AG$3:AG$98,"&lt;"&amp;AD22,AH$3:AH$98,"&gt;"&amp;AC22)-(AC22&lt;AD22))</f>
        <v>0</v>
      </c>
      <c r="BJ22">
        <f>BI22</f>
        <v>0</v>
      </c>
      <c r="BK22">
        <f>IF(OR($AK22="",AE22="",AF22=""),0,COUNTIFS($AK$3:$AK$98,$AK22,K$3:K$98,"&lt;"&amp;AF22,L$3:L$98,"&gt;"&amp;AE22)+COUNTIFS($AK$3:$AK$98,$AK22,M$3:M$98,"&lt;"&amp;AF22,N$3:N$98,"&gt;"&amp;AE22)+COUNTIFS($AK$3:$AK$98,$AK22,O$3:O$98,"&lt;"&amp;AF22,P$3:P$98,"&gt;"&amp;AE22)+COUNTIFS($AK$3:$AK$98,$AK22,Q$3:Q$98,"&lt;"&amp;AF22,R$3:R$98,"&gt;"&amp;AE22)+COUNTIFS($AK$3:$AK$98,$AK22,S$3:S$98,"&lt;"&amp;AF22,T$3:T$98,"&gt;"&amp;AE22)+COUNTIFS($AK$3:$AK$98,$AK22,U$3:U$98,"&lt;"&amp;AF22,V$3:V$98,"&gt;"&amp;AE22)+COUNTIFS($AK$3:$AK$98,$AK22,W$3:W$98,"&lt;"&amp;AF22,X$3:X$98,"&gt;"&amp;AE22)+COUNTIFS($AK$3:$AK$98,$AK22,Y$3:Y$98,"&lt;"&amp;AF22,Z$3:Z$98,"&gt;"&amp;AE22)+COUNTIFS($AK$3:$AK$98,$AK22,AA$3:AA$98,"&lt;"&amp;AF22,AB$3:AB$98,"&gt;"&amp;AE22)+COUNTIFS($AK$3:$AK$98,$AK22,AC$3:AC$98,"&lt;"&amp;AF22,AD$3:AD$98,"&gt;"&amp;AE22)+COUNTIFS($AK$3:$AK$98,$AK22,AE$3:AE$98,"&lt;"&amp;AF22,AF$3:AF$98,"&gt;"&amp;AE22)+COUNTIFS($AK$3:$AK$98,$AK22,AG$3:AG$98,"&lt;"&amp;AF22,AH$3:AH$98,"&gt;"&amp;AE22)-(AE22&lt;AF22))</f>
        <v>0</v>
      </c>
      <c r="BL22">
        <f>BK22</f>
        <v>0</v>
      </c>
      <c r="BM22">
        <f>IF(OR($AK22="",AG22="",AH22=""),0,COUNTIFS($AK$3:$AK$98,$AK22,K$3:K$98,"&lt;"&amp;AH22,L$3:L$98,"&gt;"&amp;AG22)+COUNTIFS($AK$3:$AK$98,$AK22,M$3:M$98,"&lt;"&amp;AH22,N$3:N$98,"&gt;"&amp;AG22)+COUNTIFS($AK$3:$AK$98,$AK22,O$3:O$98,"&lt;"&amp;AH22,P$3:P$98,"&gt;"&amp;AG22)+COUNTIFS($AK$3:$AK$98,$AK22,Q$3:Q$98,"&lt;"&amp;AH22,R$3:R$98,"&gt;"&amp;AG22)+COUNTIFS($AK$3:$AK$98,$AK22,S$3:S$98,"&lt;"&amp;AH22,T$3:T$98,"&gt;"&amp;AG22)+COUNTIFS($AK$3:$AK$98,$AK22,U$3:U$98,"&lt;"&amp;AH22,V$3:V$98,"&gt;"&amp;AG22)+COUNTIFS($AK$3:$AK$98,$AK22,W$3:W$98,"&lt;"&amp;AH22,X$3:X$98,"&gt;"&amp;AG22)+COUNTIFS($AK$3:$AK$98,$AK22,Y$3:Y$98,"&lt;"&amp;AH22,Z$3:Z$98,"&gt;"&amp;AG22)+COUNTIFS($AK$3:$AK$98,$AK22,AA$3:AA$98,"&lt;"&amp;AH22,AB$3:AB$98,"&gt;"&amp;AG22)+COUNTIFS($AK$3:$AK$98,$AK22,AC$3:AC$98,"&lt;"&amp;AH22,AD$3:AD$98,"&gt;"&amp;AG22)+COUNTIFS($AK$3:$AK$98,$AK22,AE$3:AE$98,"&lt;"&amp;AH22,AF$3:AF$98,"&gt;"&amp;AG22)+COUNTIFS($AK$3:$AK$98,$AK22,AG$3:AG$98,"&lt;"&amp;AH22,AH$3:AH$98,"&gt;"&amp;AG22)-(AG22&lt;AH22))</f>
        <v>0</v>
      </c>
      <c r="BN22">
        <f>BM22</f>
        <v>0</v>
      </c>
      <c r="BO22">
        <f>IF(ISNUMBER($G22),$G22,"")</f>
        <v>1</v>
      </c>
      <c r="BP22">
        <f>IF(AND($A22&lt;&gt;"",COUNT($K22:$AH22)&gt;0),ROW(),"")</f>
        <v>22</v>
      </c>
    </row>
    <row r="23" spans="1:68" x14ac:dyDescent="0.15">
      <c r="A23" s="25" t="str">
        <f>IF($A20="","",$A20)</f>
        <v>chGkChildA</v>
      </c>
      <c r="B23" s="26" t="str">
        <f>IF($A20="","","fac")</f>
        <v>fac</v>
      </c>
      <c r="C23" s="26"/>
      <c r="D23" s="27">
        <v>5</v>
      </c>
      <c r="E23" s="28">
        <f>IF(AND($D23="",COUNT($K23:$AH23)=0),"",IF(K23="",0,MAX(0,NETWORKDAYS(K23,IF(L23&lt;&gt;"",L23,IF($J23&lt;&gt;"",K23,$AI$1)),祝日!$A$2:$A$200)))+IF(M23="",0,MAX(0,NETWORKDAYS(M23,IF(N23&lt;&gt;"",N23,IF($J23&lt;&gt;"",M23,$AI$1)),祝日!$A$2:$A$200)))+IF(O23="",0,MAX(0,NETWORKDAYS(O23,IF(P23&lt;&gt;"",P23,IF($J23&lt;&gt;"",O23,$AI$1)),祝日!$A$2:$A$200)))+IF(Q23="",0,MAX(0,NETWORKDAYS(Q23,IF(R23&lt;&gt;"",R23,IF($J23&lt;&gt;"",Q23,$AI$1)),祝日!$A$2:$A$200)))+IF(S23="",0,MAX(0,NETWORKDAYS(S23,IF(T23&lt;&gt;"",T23,IF($J23&lt;&gt;"",S23,$AI$1)),祝日!$A$2:$A$200)))+IF(U23="",0,MAX(0,NETWORKDAYS(U23,IF(V23&lt;&gt;"",V23,IF($J23&lt;&gt;"",U23,$AI$1)),祝日!$A$2:$A$200)))+IF(W23="",0,MAX(0,NETWORKDAYS(W23,IF(X23&lt;&gt;"",X23,IF($J23&lt;&gt;"",W23,$AI$1)),祝日!$A$2:$A$200)))+IF(Y23="",0,MAX(0,NETWORKDAYS(Y23,IF(Z23&lt;&gt;"",Z23,IF($J23&lt;&gt;"",Y23,$AI$1)),祝日!$A$2:$A$200)))+IF(AA23="",0,MAX(0,NETWORKDAYS(AA23,IF(AB23&lt;&gt;"",AB23,IF($J23&lt;&gt;"",AA23,$AI$1)),祝日!$A$2:$A$200)))+IF(AC23="",0,MAX(0,NETWORKDAYS(AC23,IF(AD23&lt;&gt;"",AD23,IF($J23&lt;&gt;"",AC23,$AI$1)),祝日!$A$2:$A$200)))+IF(AE23="",0,MAX(0,NETWORKDAYS(AE23,IF(AF23&lt;&gt;"",AF23,IF($J23&lt;&gt;"",AE23,$AI$1)),祝日!$A$2:$A$200)))+IF(AG23="",0,MAX(0,NETWORKDAYS(AG23,IF(AH23&lt;&gt;"",AH23,IF($J23&lt;&gt;"",AG23,$AI$1)),祝日!$A$2:$A$200))))</f>
        <v>5</v>
      </c>
      <c r="F23" s="28">
        <f>IF($D23="","",$D23-$E23)</f>
        <v>0</v>
      </c>
      <c r="G23" s="29">
        <f>IF(OR($D23="",$D23=0),"",$E23/$D23)</f>
        <v>1</v>
      </c>
      <c r="H23" s="30" t="str">
        <f>IF($D23="","",IF($J23&lt;&gt;"","FIX",IF(AND(SUMPRODUCT((MOD(COLUMN($K23:$AH23)-COLUMN($K23),2)=0)*($K23:$AH23&lt;&gt;""))=0,SUMPRODUCT((MOD(COLUMN($K23:$AH23)-COLUMN($K23),2)=1)*($K23:$AH23&lt;&gt;""))=0),"未着手",IF(SUMPRODUCT((MOD(COLUMN($K23:$AH23)-COLUMN($K23),2)=0)*($K23:$AH23&lt;&gt;""))&gt;SUMPRODUCT((MOD(COLUMN($K23:$AH23)-COLUMN($K23),2)=1)*($K23:$AH23&lt;&gt;"")),"作業中","中断"))))</f>
        <v>FIX</v>
      </c>
      <c r="I23" s="30" t="str">
        <f>IF($H23="中断",MAX(0,$AI$1-MAX(L23,N23,P23,R23,T23,V23,X23,Z23,AB23,AD23,AF23,AH23)),"")</f>
        <v/>
      </c>
      <c r="J23" s="26" t="s">
        <v>37</v>
      </c>
      <c r="K23" s="31">
        <v>46232</v>
      </c>
      <c r="L23" s="31">
        <v>46238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K23" t="str">
        <f>IF($A20="","",IF(LOOKUP(2,1/($AJ$3:$AJ23&lt;&gt;""),$AJ$3:$AJ23)="-","",LOOKUP(2,1/($AJ$3:$AJ23&lt;&gt;""),$AJ$3:$AJ23)))</f>
        <v>CH01</v>
      </c>
      <c r="AL23" t="str">
        <f>$H23</f>
        <v>FIX</v>
      </c>
      <c r="AM23">
        <f>IF(ISNUMBER($D23),$D23,0)</f>
        <v>5</v>
      </c>
      <c r="AN23">
        <f>IF(ISNUMBER($E23),$E23,0)</f>
        <v>5</v>
      </c>
      <c r="AO23">
        <f>IF(ISNUMBER($F23),$F23,0)</f>
        <v>0</v>
      </c>
      <c r="AQ23">
        <f>IF(OR($AK23="",K23="",L23=""),0,COUNTIFS($AK$3:$AK$98,$AK23,K$3:K$98,"&lt;"&amp;L23,L$3:L$98,"&gt;"&amp;K23)+COUNTIFS($AK$3:$AK$98,$AK23,M$3:M$98,"&lt;"&amp;L23,N$3:N$98,"&gt;"&amp;K23)+COUNTIFS($AK$3:$AK$98,$AK23,O$3:O$98,"&lt;"&amp;L23,P$3:P$98,"&gt;"&amp;K23)+COUNTIFS($AK$3:$AK$98,$AK23,Q$3:Q$98,"&lt;"&amp;L23,R$3:R$98,"&gt;"&amp;K23)+COUNTIFS($AK$3:$AK$98,$AK23,S$3:S$98,"&lt;"&amp;L23,T$3:T$98,"&gt;"&amp;K23)+COUNTIFS($AK$3:$AK$98,$AK23,U$3:U$98,"&lt;"&amp;L23,V$3:V$98,"&gt;"&amp;K23)+COUNTIFS($AK$3:$AK$98,$AK23,W$3:W$98,"&lt;"&amp;L23,X$3:X$98,"&gt;"&amp;K23)+COUNTIFS($AK$3:$AK$98,$AK23,Y$3:Y$98,"&lt;"&amp;L23,Z$3:Z$98,"&gt;"&amp;K23)+COUNTIFS($AK$3:$AK$98,$AK23,AA$3:AA$98,"&lt;"&amp;L23,AB$3:AB$98,"&gt;"&amp;K23)+COUNTIFS($AK$3:$AK$98,$AK23,AC$3:AC$98,"&lt;"&amp;L23,AD$3:AD$98,"&gt;"&amp;K23)+COUNTIFS($AK$3:$AK$98,$AK23,AE$3:AE$98,"&lt;"&amp;L23,AF$3:AF$98,"&gt;"&amp;K23)+COUNTIFS($AK$3:$AK$98,$AK23,AG$3:AG$98,"&lt;"&amp;L23,AH$3:AH$98,"&gt;"&amp;K23)-(K23&lt;L23))</f>
        <v>0</v>
      </c>
      <c r="AR23">
        <f>AQ23</f>
        <v>0</v>
      </c>
      <c r="AS23">
        <f>IF(OR($AK23="",M23="",N23=""),0,COUNTIFS($AK$3:$AK$98,$AK23,K$3:K$98,"&lt;"&amp;N23,L$3:L$98,"&gt;"&amp;M23)+COUNTIFS($AK$3:$AK$98,$AK23,M$3:M$98,"&lt;"&amp;N23,N$3:N$98,"&gt;"&amp;M23)+COUNTIFS($AK$3:$AK$98,$AK23,O$3:O$98,"&lt;"&amp;N23,P$3:P$98,"&gt;"&amp;M23)+COUNTIFS($AK$3:$AK$98,$AK23,Q$3:Q$98,"&lt;"&amp;N23,R$3:R$98,"&gt;"&amp;M23)+COUNTIFS($AK$3:$AK$98,$AK23,S$3:S$98,"&lt;"&amp;N23,T$3:T$98,"&gt;"&amp;M23)+COUNTIFS($AK$3:$AK$98,$AK23,U$3:U$98,"&lt;"&amp;N23,V$3:V$98,"&gt;"&amp;M23)+COUNTIFS($AK$3:$AK$98,$AK23,W$3:W$98,"&lt;"&amp;N23,X$3:X$98,"&gt;"&amp;M23)+COUNTIFS($AK$3:$AK$98,$AK23,Y$3:Y$98,"&lt;"&amp;N23,Z$3:Z$98,"&gt;"&amp;M23)+COUNTIFS($AK$3:$AK$98,$AK23,AA$3:AA$98,"&lt;"&amp;N23,AB$3:AB$98,"&gt;"&amp;M23)+COUNTIFS($AK$3:$AK$98,$AK23,AC$3:AC$98,"&lt;"&amp;N23,AD$3:AD$98,"&gt;"&amp;M23)+COUNTIFS($AK$3:$AK$98,$AK23,AE$3:AE$98,"&lt;"&amp;N23,AF$3:AF$98,"&gt;"&amp;M23)+COUNTIFS($AK$3:$AK$98,$AK23,AG$3:AG$98,"&lt;"&amp;N23,AH$3:AH$98,"&gt;"&amp;M23)-(M23&lt;N23))</f>
        <v>0</v>
      </c>
      <c r="AT23">
        <f>AS23</f>
        <v>0</v>
      </c>
      <c r="AU23">
        <f>IF(OR($AK23="",O23="",P23=""),0,COUNTIFS($AK$3:$AK$98,$AK23,K$3:K$98,"&lt;"&amp;P23,L$3:L$98,"&gt;"&amp;O23)+COUNTIFS($AK$3:$AK$98,$AK23,M$3:M$98,"&lt;"&amp;P23,N$3:N$98,"&gt;"&amp;O23)+COUNTIFS($AK$3:$AK$98,$AK23,O$3:O$98,"&lt;"&amp;P23,P$3:P$98,"&gt;"&amp;O23)+COUNTIFS($AK$3:$AK$98,$AK23,Q$3:Q$98,"&lt;"&amp;P23,R$3:R$98,"&gt;"&amp;O23)+COUNTIFS($AK$3:$AK$98,$AK23,S$3:S$98,"&lt;"&amp;P23,T$3:T$98,"&gt;"&amp;O23)+COUNTIFS($AK$3:$AK$98,$AK23,U$3:U$98,"&lt;"&amp;P23,V$3:V$98,"&gt;"&amp;O23)+COUNTIFS($AK$3:$AK$98,$AK23,W$3:W$98,"&lt;"&amp;P23,X$3:X$98,"&gt;"&amp;O23)+COUNTIFS($AK$3:$AK$98,$AK23,Y$3:Y$98,"&lt;"&amp;P23,Z$3:Z$98,"&gt;"&amp;O23)+COUNTIFS($AK$3:$AK$98,$AK23,AA$3:AA$98,"&lt;"&amp;P23,AB$3:AB$98,"&gt;"&amp;O23)+COUNTIFS($AK$3:$AK$98,$AK23,AC$3:AC$98,"&lt;"&amp;P23,AD$3:AD$98,"&gt;"&amp;O23)+COUNTIFS($AK$3:$AK$98,$AK23,AE$3:AE$98,"&lt;"&amp;P23,AF$3:AF$98,"&gt;"&amp;O23)+COUNTIFS($AK$3:$AK$98,$AK23,AG$3:AG$98,"&lt;"&amp;P23,AH$3:AH$98,"&gt;"&amp;O23)-(O23&lt;P23))</f>
        <v>0</v>
      </c>
      <c r="AV23">
        <f>AU23</f>
        <v>0</v>
      </c>
      <c r="AW23">
        <f>IF(OR($AK23="",Q23="",R23=""),0,COUNTIFS($AK$3:$AK$98,$AK23,K$3:K$98,"&lt;"&amp;R23,L$3:L$98,"&gt;"&amp;Q23)+COUNTIFS($AK$3:$AK$98,$AK23,M$3:M$98,"&lt;"&amp;R23,N$3:N$98,"&gt;"&amp;Q23)+COUNTIFS($AK$3:$AK$98,$AK23,O$3:O$98,"&lt;"&amp;R23,P$3:P$98,"&gt;"&amp;Q23)+COUNTIFS($AK$3:$AK$98,$AK23,Q$3:Q$98,"&lt;"&amp;R23,R$3:R$98,"&gt;"&amp;Q23)+COUNTIFS($AK$3:$AK$98,$AK23,S$3:S$98,"&lt;"&amp;R23,T$3:T$98,"&gt;"&amp;Q23)+COUNTIFS($AK$3:$AK$98,$AK23,U$3:U$98,"&lt;"&amp;R23,V$3:V$98,"&gt;"&amp;Q23)+COUNTIFS($AK$3:$AK$98,$AK23,W$3:W$98,"&lt;"&amp;R23,X$3:X$98,"&gt;"&amp;Q23)+COUNTIFS($AK$3:$AK$98,$AK23,Y$3:Y$98,"&lt;"&amp;R23,Z$3:Z$98,"&gt;"&amp;Q23)+COUNTIFS($AK$3:$AK$98,$AK23,AA$3:AA$98,"&lt;"&amp;R23,AB$3:AB$98,"&gt;"&amp;Q23)+COUNTIFS($AK$3:$AK$98,$AK23,AC$3:AC$98,"&lt;"&amp;R23,AD$3:AD$98,"&gt;"&amp;Q23)+COUNTIFS($AK$3:$AK$98,$AK23,AE$3:AE$98,"&lt;"&amp;R23,AF$3:AF$98,"&gt;"&amp;Q23)+COUNTIFS($AK$3:$AK$98,$AK23,AG$3:AG$98,"&lt;"&amp;R23,AH$3:AH$98,"&gt;"&amp;Q23)-(Q23&lt;R23))</f>
        <v>0</v>
      </c>
      <c r="AX23">
        <f>AW23</f>
        <v>0</v>
      </c>
      <c r="AY23">
        <f>IF(OR($AK23="",S23="",T23=""),0,COUNTIFS($AK$3:$AK$98,$AK23,K$3:K$98,"&lt;"&amp;T23,L$3:L$98,"&gt;"&amp;S23)+COUNTIFS($AK$3:$AK$98,$AK23,M$3:M$98,"&lt;"&amp;T23,N$3:N$98,"&gt;"&amp;S23)+COUNTIFS($AK$3:$AK$98,$AK23,O$3:O$98,"&lt;"&amp;T23,P$3:P$98,"&gt;"&amp;S23)+COUNTIFS($AK$3:$AK$98,$AK23,Q$3:Q$98,"&lt;"&amp;T23,R$3:R$98,"&gt;"&amp;S23)+COUNTIFS($AK$3:$AK$98,$AK23,S$3:S$98,"&lt;"&amp;T23,T$3:T$98,"&gt;"&amp;S23)+COUNTIFS($AK$3:$AK$98,$AK23,U$3:U$98,"&lt;"&amp;T23,V$3:V$98,"&gt;"&amp;S23)+COUNTIFS($AK$3:$AK$98,$AK23,W$3:W$98,"&lt;"&amp;T23,X$3:X$98,"&gt;"&amp;S23)+COUNTIFS($AK$3:$AK$98,$AK23,Y$3:Y$98,"&lt;"&amp;T23,Z$3:Z$98,"&gt;"&amp;S23)+COUNTIFS($AK$3:$AK$98,$AK23,AA$3:AA$98,"&lt;"&amp;T23,AB$3:AB$98,"&gt;"&amp;S23)+COUNTIFS($AK$3:$AK$98,$AK23,AC$3:AC$98,"&lt;"&amp;T23,AD$3:AD$98,"&gt;"&amp;S23)+COUNTIFS($AK$3:$AK$98,$AK23,AE$3:AE$98,"&lt;"&amp;T23,AF$3:AF$98,"&gt;"&amp;S23)+COUNTIFS($AK$3:$AK$98,$AK23,AG$3:AG$98,"&lt;"&amp;T23,AH$3:AH$98,"&gt;"&amp;S23)-(S23&lt;T23))</f>
        <v>0</v>
      </c>
      <c r="AZ23">
        <f>AY23</f>
        <v>0</v>
      </c>
      <c r="BA23">
        <f>IF(OR($AK23="",U23="",V23=""),0,COUNTIFS($AK$3:$AK$98,$AK23,K$3:K$98,"&lt;"&amp;V23,L$3:L$98,"&gt;"&amp;U23)+COUNTIFS($AK$3:$AK$98,$AK23,M$3:M$98,"&lt;"&amp;V23,N$3:N$98,"&gt;"&amp;U23)+COUNTIFS($AK$3:$AK$98,$AK23,O$3:O$98,"&lt;"&amp;V23,P$3:P$98,"&gt;"&amp;U23)+COUNTIFS($AK$3:$AK$98,$AK23,Q$3:Q$98,"&lt;"&amp;V23,R$3:R$98,"&gt;"&amp;U23)+COUNTIFS($AK$3:$AK$98,$AK23,S$3:S$98,"&lt;"&amp;V23,T$3:T$98,"&gt;"&amp;U23)+COUNTIFS($AK$3:$AK$98,$AK23,U$3:U$98,"&lt;"&amp;V23,V$3:V$98,"&gt;"&amp;U23)+COUNTIFS($AK$3:$AK$98,$AK23,W$3:W$98,"&lt;"&amp;V23,X$3:X$98,"&gt;"&amp;U23)+COUNTIFS($AK$3:$AK$98,$AK23,Y$3:Y$98,"&lt;"&amp;V23,Z$3:Z$98,"&gt;"&amp;U23)+COUNTIFS($AK$3:$AK$98,$AK23,AA$3:AA$98,"&lt;"&amp;V23,AB$3:AB$98,"&gt;"&amp;U23)+COUNTIFS($AK$3:$AK$98,$AK23,AC$3:AC$98,"&lt;"&amp;V23,AD$3:AD$98,"&gt;"&amp;U23)+COUNTIFS($AK$3:$AK$98,$AK23,AE$3:AE$98,"&lt;"&amp;V23,AF$3:AF$98,"&gt;"&amp;U23)+COUNTIFS($AK$3:$AK$98,$AK23,AG$3:AG$98,"&lt;"&amp;V23,AH$3:AH$98,"&gt;"&amp;U23)-(U23&lt;V23))</f>
        <v>0</v>
      </c>
      <c r="BB23">
        <f>BA23</f>
        <v>0</v>
      </c>
      <c r="BC23">
        <f>IF(OR($AK23="",W23="",X23=""),0,COUNTIFS($AK$3:$AK$98,$AK23,K$3:K$98,"&lt;"&amp;X23,L$3:L$98,"&gt;"&amp;W23)+COUNTIFS($AK$3:$AK$98,$AK23,M$3:M$98,"&lt;"&amp;X23,N$3:N$98,"&gt;"&amp;W23)+COUNTIFS($AK$3:$AK$98,$AK23,O$3:O$98,"&lt;"&amp;X23,P$3:P$98,"&gt;"&amp;W23)+COUNTIFS($AK$3:$AK$98,$AK23,Q$3:Q$98,"&lt;"&amp;X23,R$3:R$98,"&gt;"&amp;W23)+COUNTIFS($AK$3:$AK$98,$AK23,S$3:S$98,"&lt;"&amp;X23,T$3:T$98,"&gt;"&amp;W23)+COUNTIFS($AK$3:$AK$98,$AK23,U$3:U$98,"&lt;"&amp;X23,V$3:V$98,"&gt;"&amp;W23)+COUNTIFS($AK$3:$AK$98,$AK23,W$3:W$98,"&lt;"&amp;X23,X$3:X$98,"&gt;"&amp;W23)+COUNTIFS($AK$3:$AK$98,$AK23,Y$3:Y$98,"&lt;"&amp;X23,Z$3:Z$98,"&gt;"&amp;W23)+COUNTIFS($AK$3:$AK$98,$AK23,AA$3:AA$98,"&lt;"&amp;X23,AB$3:AB$98,"&gt;"&amp;W23)+COUNTIFS($AK$3:$AK$98,$AK23,AC$3:AC$98,"&lt;"&amp;X23,AD$3:AD$98,"&gt;"&amp;W23)+COUNTIFS($AK$3:$AK$98,$AK23,AE$3:AE$98,"&lt;"&amp;X23,AF$3:AF$98,"&gt;"&amp;W23)+COUNTIFS($AK$3:$AK$98,$AK23,AG$3:AG$98,"&lt;"&amp;X23,AH$3:AH$98,"&gt;"&amp;W23)-(W23&lt;X23))</f>
        <v>0</v>
      </c>
      <c r="BD23">
        <f>BC23</f>
        <v>0</v>
      </c>
      <c r="BE23">
        <f>IF(OR($AK23="",Y23="",Z23=""),0,COUNTIFS($AK$3:$AK$98,$AK23,K$3:K$98,"&lt;"&amp;Z23,L$3:L$98,"&gt;"&amp;Y23)+COUNTIFS($AK$3:$AK$98,$AK23,M$3:M$98,"&lt;"&amp;Z23,N$3:N$98,"&gt;"&amp;Y23)+COUNTIFS($AK$3:$AK$98,$AK23,O$3:O$98,"&lt;"&amp;Z23,P$3:P$98,"&gt;"&amp;Y23)+COUNTIFS($AK$3:$AK$98,$AK23,Q$3:Q$98,"&lt;"&amp;Z23,R$3:R$98,"&gt;"&amp;Y23)+COUNTIFS($AK$3:$AK$98,$AK23,S$3:S$98,"&lt;"&amp;Z23,T$3:T$98,"&gt;"&amp;Y23)+COUNTIFS($AK$3:$AK$98,$AK23,U$3:U$98,"&lt;"&amp;Z23,V$3:V$98,"&gt;"&amp;Y23)+COUNTIFS($AK$3:$AK$98,$AK23,W$3:W$98,"&lt;"&amp;Z23,X$3:X$98,"&gt;"&amp;Y23)+COUNTIFS($AK$3:$AK$98,$AK23,Y$3:Y$98,"&lt;"&amp;Z23,Z$3:Z$98,"&gt;"&amp;Y23)+COUNTIFS($AK$3:$AK$98,$AK23,AA$3:AA$98,"&lt;"&amp;Z23,AB$3:AB$98,"&gt;"&amp;Y23)+COUNTIFS($AK$3:$AK$98,$AK23,AC$3:AC$98,"&lt;"&amp;Z23,AD$3:AD$98,"&gt;"&amp;Y23)+COUNTIFS($AK$3:$AK$98,$AK23,AE$3:AE$98,"&lt;"&amp;Z23,AF$3:AF$98,"&gt;"&amp;Y23)+COUNTIFS($AK$3:$AK$98,$AK23,AG$3:AG$98,"&lt;"&amp;Z23,AH$3:AH$98,"&gt;"&amp;Y23)-(Y23&lt;Z23))</f>
        <v>0</v>
      </c>
      <c r="BF23">
        <f>BE23</f>
        <v>0</v>
      </c>
      <c r="BG23">
        <f>IF(OR($AK23="",AA23="",AB23=""),0,COUNTIFS($AK$3:$AK$98,$AK23,K$3:K$98,"&lt;"&amp;AB23,L$3:L$98,"&gt;"&amp;AA23)+COUNTIFS($AK$3:$AK$98,$AK23,M$3:M$98,"&lt;"&amp;AB23,N$3:N$98,"&gt;"&amp;AA23)+COUNTIFS($AK$3:$AK$98,$AK23,O$3:O$98,"&lt;"&amp;AB23,P$3:P$98,"&gt;"&amp;AA23)+COUNTIFS($AK$3:$AK$98,$AK23,Q$3:Q$98,"&lt;"&amp;AB23,R$3:R$98,"&gt;"&amp;AA23)+COUNTIFS($AK$3:$AK$98,$AK23,S$3:S$98,"&lt;"&amp;AB23,T$3:T$98,"&gt;"&amp;AA23)+COUNTIFS($AK$3:$AK$98,$AK23,U$3:U$98,"&lt;"&amp;AB23,V$3:V$98,"&gt;"&amp;AA23)+COUNTIFS($AK$3:$AK$98,$AK23,W$3:W$98,"&lt;"&amp;AB23,X$3:X$98,"&gt;"&amp;AA23)+COUNTIFS($AK$3:$AK$98,$AK23,Y$3:Y$98,"&lt;"&amp;AB23,Z$3:Z$98,"&gt;"&amp;AA23)+COUNTIFS($AK$3:$AK$98,$AK23,AA$3:AA$98,"&lt;"&amp;AB23,AB$3:AB$98,"&gt;"&amp;AA23)+COUNTIFS($AK$3:$AK$98,$AK23,AC$3:AC$98,"&lt;"&amp;AB23,AD$3:AD$98,"&gt;"&amp;AA23)+COUNTIFS($AK$3:$AK$98,$AK23,AE$3:AE$98,"&lt;"&amp;AB23,AF$3:AF$98,"&gt;"&amp;AA23)+COUNTIFS($AK$3:$AK$98,$AK23,AG$3:AG$98,"&lt;"&amp;AB23,AH$3:AH$98,"&gt;"&amp;AA23)-(AA23&lt;AB23))</f>
        <v>0</v>
      </c>
      <c r="BH23">
        <f>BG23</f>
        <v>0</v>
      </c>
      <c r="BI23">
        <f>IF(OR($AK23="",AC23="",AD23=""),0,COUNTIFS($AK$3:$AK$98,$AK23,K$3:K$98,"&lt;"&amp;AD23,L$3:L$98,"&gt;"&amp;AC23)+COUNTIFS($AK$3:$AK$98,$AK23,M$3:M$98,"&lt;"&amp;AD23,N$3:N$98,"&gt;"&amp;AC23)+COUNTIFS($AK$3:$AK$98,$AK23,O$3:O$98,"&lt;"&amp;AD23,P$3:P$98,"&gt;"&amp;AC23)+COUNTIFS($AK$3:$AK$98,$AK23,Q$3:Q$98,"&lt;"&amp;AD23,R$3:R$98,"&gt;"&amp;AC23)+COUNTIFS($AK$3:$AK$98,$AK23,S$3:S$98,"&lt;"&amp;AD23,T$3:T$98,"&gt;"&amp;AC23)+COUNTIFS($AK$3:$AK$98,$AK23,U$3:U$98,"&lt;"&amp;AD23,V$3:V$98,"&gt;"&amp;AC23)+COUNTIFS($AK$3:$AK$98,$AK23,W$3:W$98,"&lt;"&amp;AD23,X$3:X$98,"&gt;"&amp;AC23)+COUNTIFS($AK$3:$AK$98,$AK23,Y$3:Y$98,"&lt;"&amp;AD23,Z$3:Z$98,"&gt;"&amp;AC23)+COUNTIFS($AK$3:$AK$98,$AK23,AA$3:AA$98,"&lt;"&amp;AD23,AB$3:AB$98,"&gt;"&amp;AC23)+COUNTIFS($AK$3:$AK$98,$AK23,AC$3:AC$98,"&lt;"&amp;AD23,AD$3:AD$98,"&gt;"&amp;AC23)+COUNTIFS($AK$3:$AK$98,$AK23,AE$3:AE$98,"&lt;"&amp;AD23,AF$3:AF$98,"&gt;"&amp;AC23)+COUNTIFS($AK$3:$AK$98,$AK23,AG$3:AG$98,"&lt;"&amp;AD23,AH$3:AH$98,"&gt;"&amp;AC23)-(AC23&lt;AD23))</f>
        <v>0</v>
      </c>
      <c r="BJ23">
        <f>BI23</f>
        <v>0</v>
      </c>
      <c r="BK23">
        <f>IF(OR($AK23="",AE23="",AF23=""),0,COUNTIFS($AK$3:$AK$98,$AK23,K$3:K$98,"&lt;"&amp;AF23,L$3:L$98,"&gt;"&amp;AE23)+COUNTIFS($AK$3:$AK$98,$AK23,M$3:M$98,"&lt;"&amp;AF23,N$3:N$98,"&gt;"&amp;AE23)+COUNTIFS($AK$3:$AK$98,$AK23,O$3:O$98,"&lt;"&amp;AF23,P$3:P$98,"&gt;"&amp;AE23)+COUNTIFS($AK$3:$AK$98,$AK23,Q$3:Q$98,"&lt;"&amp;AF23,R$3:R$98,"&gt;"&amp;AE23)+COUNTIFS($AK$3:$AK$98,$AK23,S$3:S$98,"&lt;"&amp;AF23,T$3:T$98,"&gt;"&amp;AE23)+COUNTIFS($AK$3:$AK$98,$AK23,U$3:U$98,"&lt;"&amp;AF23,V$3:V$98,"&gt;"&amp;AE23)+COUNTIFS($AK$3:$AK$98,$AK23,W$3:W$98,"&lt;"&amp;AF23,X$3:X$98,"&gt;"&amp;AE23)+COUNTIFS($AK$3:$AK$98,$AK23,Y$3:Y$98,"&lt;"&amp;AF23,Z$3:Z$98,"&gt;"&amp;AE23)+COUNTIFS($AK$3:$AK$98,$AK23,AA$3:AA$98,"&lt;"&amp;AF23,AB$3:AB$98,"&gt;"&amp;AE23)+COUNTIFS($AK$3:$AK$98,$AK23,AC$3:AC$98,"&lt;"&amp;AF23,AD$3:AD$98,"&gt;"&amp;AE23)+COUNTIFS($AK$3:$AK$98,$AK23,AE$3:AE$98,"&lt;"&amp;AF23,AF$3:AF$98,"&gt;"&amp;AE23)+COUNTIFS($AK$3:$AK$98,$AK23,AG$3:AG$98,"&lt;"&amp;AF23,AH$3:AH$98,"&gt;"&amp;AE23)-(AE23&lt;AF23))</f>
        <v>0</v>
      </c>
      <c r="BL23">
        <f>BK23</f>
        <v>0</v>
      </c>
      <c r="BM23">
        <f>IF(OR($AK23="",AG23="",AH23=""),0,COUNTIFS($AK$3:$AK$98,$AK23,K$3:K$98,"&lt;"&amp;AH23,L$3:L$98,"&gt;"&amp;AG23)+COUNTIFS($AK$3:$AK$98,$AK23,M$3:M$98,"&lt;"&amp;AH23,N$3:N$98,"&gt;"&amp;AG23)+COUNTIFS($AK$3:$AK$98,$AK23,O$3:O$98,"&lt;"&amp;AH23,P$3:P$98,"&gt;"&amp;AG23)+COUNTIFS($AK$3:$AK$98,$AK23,Q$3:Q$98,"&lt;"&amp;AH23,R$3:R$98,"&gt;"&amp;AG23)+COUNTIFS($AK$3:$AK$98,$AK23,S$3:S$98,"&lt;"&amp;AH23,T$3:T$98,"&gt;"&amp;AG23)+COUNTIFS($AK$3:$AK$98,$AK23,U$3:U$98,"&lt;"&amp;AH23,V$3:V$98,"&gt;"&amp;AG23)+COUNTIFS($AK$3:$AK$98,$AK23,W$3:W$98,"&lt;"&amp;AH23,X$3:X$98,"&gt;"&amp;AG23)+COUNTIFS($AK$3:$AK$98,$AK23,Y$3:Y$98,"&lt;"&amp;AH23,Z$3:Z$98,"&gt;"&amp;AG23)+COUNTIFS($AK$3:$AK$98,$AK23,AA$3:AA$98,"&lt;"&amp;AH23,AB$3:AB$98,"&gt;"&amp;AG23)+COUNTIFS($AK$3:$AK$98,$AK23,AC$3:AC$98,"&lt;"&amp;AH23,AD$3:AD$98,"&gt;"&amp;AG23)+COUNTIFS($AK$3:$AK$98,$AK23,AE$3:AE$98,"&lt;"&amp;AH23,AF$3:AF$98,"&gt;"&amp;AG23)+COUNTIFS($AK$3:$AK$98,$AK23,AG$3:AG$98,"&lt;"&amp;AH23,AH$3:AH$98,"&gt;"&amp;AG23)-(AG23&lt;AH23))</f>
        <v>0</v>
      </c>
      <c r="BN23">
        <f>BM23</f>
        <v>0</v>
      </c>
      <c r="BO23">
        <f>IF(ISNUMBER($G23),$G23,"")</f>
        <v>1</v>
      </c>
      <c r="BP23">
        <f>IF(AND($A23&lt;&gt;"",COUNT($K23:$AH23)&gt;0),ROW(),"")</f>
        <v>23</v>
      </c>
    </row>
    <row r="24" spans="1:68" ht="15" customHeight="1" thickBot="1" x14ac:dyDescent="0.2">
      <c r="A24" s="9" t="s">
        <v>39</v>
      </c>
      <c r="B24" s="32">
        <f>IF($A24="","",COUNTIFS($AK$3:$AK$98,$A24,$AL$3:$AL$98,"作業中"))</f>
        <v>1</v>
      </c>
      <c r="C24" s="33"/>
      <c r="D24" s="10">
        <f>IF($A24="","",SUMIFS($AM$3:$AM$98,$AK$3:$AK$98,$A24))</f>
        <v>82</v>
      </c>
      <c r="E24" s="10">
        <f ca="1">IF($A24="","",SUMIFS($AN$3:$AN$98,$AK$3:$AK$98,$A24))</f>
        <v>63</v>
      </c>
      <c r="F24" s="10">
        <f ca="1">IF($A24="","",SUMIFS($AO$3:$AO$98,$AK$3:$AK$98,$A24,$AL$3:$AL$98,"&lt;&gt;FIX"))</f>
        <v>18</v>
      </c>
      <c r="G24" s="11">
        <f>IF($A24="","",IFERROR(AVERAGEIFS($BO$3:$BO$98,$AK$3:$AK$98,$A24,$AL$3:$AL$98,"FIX"),""))</f>
        <v>0.95714285714285718</v>
      </c>
      <c r="H24" s="12" t="str">
        <f ca="1">IF($A24="","",IF(COUNTIFS($AK$3:$AK$98,$A24,$AL$3:$AL$98,"作業中")&gt;0,IF(SUMIFS($AO$3:$AO$98,$AK$3:$AK$98,$A24,$AL$3:$AL$98,"作業中")&lt;=0,"工数超過","作業中"),IF(COUNTIFS($AK$3:$AK$98,$A24,$AL$3:$AL$98,"中断")&gt;0,"作業待ち",IF(COUNTIFS($AK$3:$AK$98,$A24,$AL$3:$AL$98,"未着手")&gt;0,"着手待ち","空き"))))</f>
        <v>作業中</v>
      </c>
      <c r="I24" s="34">
        <f ca="1">IF($A24="","",祝日!K4)</f>
        <v>0</v>
      </c>
      <c r="J24" s="9"/>
      <c r="AJ24" t="str">
        <f>IF($A24="","-",$A24)</f>
        <v>CH02</v>
      </c>
      <c r="BP24">
        <f>ROW()</f>
        <v>24</v>
      </c>
    </row>
    <row r="25" spans="1:68" x14ac:dyDescent="0.15">
      <c r="A25" s="13"/>
      <c r="B25" s="14" t="str">
        <f>IF($A25="","","total")</f>
        <v/>
      </c>
      <c r="C25" s="14"/>
      <c r="D25" s="15" t="str">
        <f>IF($A25="","",SUM(D26:D28))</f>
        <v/>
      </c>
      <c r="E25" s="15" t="str">
        <f>IF($A25="","",SUM(E26:E28))</f>
        <v/>
      </c>
      <c r="F25" s="15" t="str">
        <f>IF($A25="","",D25-E25)</f>
        <v/>
      </c>
      <c r="G25" s="16" t="str">
        <f>IF($A25="","",IFERROR(AVERAGEIFS(G26:G28,H26:H28,"&lt;&gt;未着手",H26:H28,"&lt;&gt;作業中"),""))</f>
        <v/>
      </c>
      <c r="H25" s="14"/>
      <c r="I25" s="14"/>
      <c r="J25" s="14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</row>
    <row r="26" spans="1:68" x14ac:dyDescent="0.15">
      <c r="A26" s="18" t="str">
        <f>IF($A25="","",$A25)</f>
        <v/>
      </c>
      <c r="B26" s="19" t="str">
        <f>IF($A25="","","low")</f>
        <v/>
      </c>
      <c r="C26" s="19"/>
      <c r="D26" s="20"/>
      <c r="E26" s="21" t="str">
        <f>IF(AND($D26="",COUNT($K26:$AH26)=0),"",IF(K26="",0,MAX(0,NETWORKDAYS(K26,IF(L26&lt;&gt;"",L26,IF($J26&lt;&gt;"",K26,$AI$1)),祝日!$A$2:$A$200)))+IF(M26="",0,MAX(0,NETWORKDAYS(M26,IF(N26&lt;&gt;"",N26,IF($J26&lt;&gt;"",M26,$AI$1)),祝日!$A$2:$A$200)))+IF(O26="",0,MAX(0,NETWORKDAYS(O26,IF(P26&lt;&gt;"",P26,IF($J26&lt;&gt;"",O26,$AI$1)),祝日!$A$2:$A$200)))+IF(Q26="",0,MAX(0,NETWORKDAYS(Q26,IF(R26&lt;&gt;"",R26,IF($J26&lt;&gt;"",Q26,$AI$1)),祝日!$A$2:$A$200)))+IF(S26="",0,MAX(0,NETWORKDAYS(S26,IF(T26&lt;&gt;"",T26,IF($J26&lt;&gt;"",S26,$AI$1)),祝日!$A$2:$A$200)))+IF(U26="",0,MAX(0,NETWORKDAYS(U26,IF(V26&lt;&gt;"",V26,IF($J26&lt;&gt;"",U26,$AI$1)),祝日!$A$2:$A$200)))+IF(W26="",0,MAX(0,NETWORKDAYS(W26,IF(X26&lt;&gt;"",X26,IF($J26&lt;&gt;"",W26,$AI$1)),祝日!$A$2:$A$200)))+IF(Y26="",0,MAX(0,NETWORKDAYS(Y26,IF(Z26&lt;&gt;"",Z26,IF($J26&lt;&gt;"",Y26,$AI$1)),祝日!$A$2:$A$200)))+IF(AA26="",0,MAX(0,NETWORKDAYS(AA26,IF(AB26&lt;&gt;"",AB26,IF($J26&lt;&gt;"",AA26,$AI$1)),祝日!$A$2:$A$200)))+IF(AC26="",0,MAX(0,NETWORKDAYS(AC26,IF(AD26&lt;&gt;"",AD26,IF($J26&lt;&gt;"",AC26,$AI$1)),祝日!$A$2:$A$200)))+IF(AE26="",0,MAX(0,NETWORKDAYS(AE26,IF(AF26&lt;&gt;"",AF26,IF($J26&lt;&gt;"",AE26,$AI$1)),祝日!$A$2:$A$200)))+IF(AG26="",0,MAX(0,NETWORKDAYS(AG26,IF(AH26&lt;&gt;"",AH26,IF($J26&lt;&gt;"",AG26,$AI$1)),祝日!$A$2:$A$200))))</f>
        <v/>
      </c>
      <c r="F26" s="21" t="str">
        <f>IF($D26="","",$D26-$E26)</f>
        <v/>
      </c>
      <c r="G26" s="22" t="str">
        <f>IF(OR($D26="",$D26=0),"",$E26/$D26)</f>
        <v/>
      </c>
      <c r="H26" s="23" t="str">
        <f>IF($D26="","",IF($J26&lt;&gt;"","FIX",IF(AND(SUMPRODUCT((MOD(COLUMN($K26:$AH26)-COLUMN($K26),2)=0)*($K26:$AH26&lt;&gt;""))=0,SUMPRODUCT((MOD(COLUMN($K26:$AH26)-COLUMN($K26),2)=1)*($K26:$AH26&lt;&gt;""))=0),"未着手",IF(SUMPRODUCT((MOD(COLUMN($K26:$AH26)-COLUMN($K26),2)=0)*($K26:$AH26&lt;&gt;""))&gt;SUMPRODUCT((MOD(COLUMN($K26:$AH26)-COLUMN($K26),2)=1)*($K26:$AH26&lt;&gt;"")),"作業中","中断"))))</f>
        <v/>
      </c>
      <c r="I26" s="23" t="str">
        <f>IF($H26="中断",MAX(0,$AI$1-MAX(L26,N26,P26,R26,T26,V26,X26,Z26,AB26,AD26,AF26,AH26)),"")</f>
        <v/>
      </c>
      <c r="J26" s="19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K26" t="str">
        <f>IF($A25="","",IF(LOOKUP(2,1/($AJ$3:$AJ26&lt;&gt;""),$AJ$3:$AJ26)="-","",LOOKUP(2,1/($AJ$3:$AJ26&lt;&gt;""),$AJ$3:$AJ26)))</f>
        <v/>
      </c>
      <c r="AL26" t="str">
        <f>$H26</f>
        <v/>
      </c>
      <c r="AM26">
        <f>IF(ISNUMBER($D26),$D26,0)</f>
        <v>0</v>
      </c>
      <c r="AN26">
        <f>IF(ISNUMBER($E26),$E26,0)</f>
        <v>0</v>
      </c>
      <c r="AO26">
        <f>IF(ISNUMBER($F26),$F26,0)</f>
        <v>0</v>
      </c>
      <c r="AQ26">
        <f>IF(OR($AK26="",K26="",L26=""),0,COUNTIFS($AK$3:$AK$98,$AK26,K$3:K$98,"&lt;"&amp;L26,L$3:L$98,"&gt;"&amp;K26)+COUNTIFS($AK$3:$AK$98,$AK26,M$3:M$98,"&lt;"&amp;L26,N$3:N$98,"&gt;"&amp;K26)+COUNTIFS($AK$3:$AK$98,$AK26,O$3:O$98,"&lt;"&amp;L26,P$3:P$98,"&gt;"&amp;K26)+COUNTIFS($AK$3:$AK$98,$AK26,Q$3:Q$98,"&lt;"&amp;L26,R$3:R$98,"&gt;"&amp;K26)+COUNTIFS($AK$3:$AK$98,$AK26,S$3:S$98,"&lt;"&amp;L26,T$3:T$98,"&gt;"&amp;K26)+COUNTIFS($AK$3:$AK$98,$AK26,U$3:U$98,"&lt;"&amp;L26,V$3:V$98,"&gt;"&amp;K26)+COUNTIFS($AK$3:$AK$98,$AK26,W$3:W$98,"&lt;"&amp;L26,X$3:X$98,"&gt;"&amp;K26)+COUNTIFS($AK$3:$AK$98,$AK26,Y$3:Y$98,"&lt;"&amp;L26,Z$3:Z$98,"&gt;"&amp;K26)+COUNTIFS($AK$3:$AK$98,$AK26,AA$3:AA$98,"&lt;"&amp;L26,AB$3:AB$98,"&gt;"&amp;K26)+COUNTIFS($AK$3:$AK$98,$AK26,AC$3:AC$98,"&lt;"&amp;L26,AD$3:AD$98,"&gt;"&amp;K26)+COUNTIFS($AK$3:$AK$98,$AK26,AE$3:AE$98,"&lt;"&amp;L26,AF$3:AF$98,"&gt;"&amp;K26)+COUNTIFS($AK$3:$AK$98,$AK26,AG$3:AG$98,"&lt;"&amp;L26,AH$3:AH$98,"&gt;"&amp;K26)-(K26&lt;L26))</f>
        <v>0</v>
      </c>
      <c r="AR26">
        <f>AQ26</f>
        <v>0</v>
      </c>
      <c r="AS26">
        <f>IF(OR($AK26="",M26="",N26=""),0,COUNTIFS($AK$3:$AK$98,$AK26,K$3:K$98,"&lt;"&amp;N26,L$3:L$98,"&gt;"&amp;M26)+COUNTIFS($AK$3:$AK$98,$AK26,M$3:M$98,"&lt;"&amp;N26,N$3:N$98,"&gt;"&amp;M26)+COUNTIFS($AK$3:$AK$98,$AK26,O$3:O$98,"&lt;"&amp;N26,P$3:P$98,"&gt;"&amp;M26)+COUNTIFS($AK$3:$AK$98,$AK26,Q$3:Q$98,"&lt;"&amp;N26,R$3:R$98,"&gt;"&amp;M26)+COUNTIFS($AK$3:$AK$98,$AK26,S$3:S$98,"&lt;"&amp;N26,T$3:T$98,"&gt;"&amp;M26)+COUNTIFS($AK$3:$AK$98,$AK26,U$3:U$98,"&lt;"&amp;N26,V$3:V$98,"&gt;"&amp;M26)+COUNTIFS($AK$3:$AK$98,$AK26,W$3:W$98,"&lt;"&amp;N26,X$3:X$98,"&gt;"&amp;M26)+COUNTIFS($AK$3:$AK$98,$AK26,Y$3:Y$98,"&lt;"&amp;N26,Z$3:Z$98,"&gt;"&amp;M26)+COUNTIFS($AK$3:$AK$98,$AK26,AA$3:AA$98,"&lt;"&amp;N26,AB$3:AB$98,"&gt;"&amp;M26)+COUNTIFS($AK$3:$AK$98,$AK26,AC$3:AC$98,"&lt;"&amp;N26,AD$3:AD$98,"&gt;"&amp;M26)+COUNTIFS($AK$3:$AK$98,$AK26,AE$3:AE$98,"&lt;"&amp;N26,AF$3:AF$98,"&gt;"&amp;M26)+COUNTIFS($AK$3:$AK$98,$AK26,AG$3:AG$98,"&lt;"&amp;N26,AH$3:AH$98,"&gt;"&amp;M26)-(M26&lt;N26))</f>
        <v>0</v>
      </c>
      <c r="AT26">
        <f>AS26</f>
        <v>0</v>
      </c>
      <c r="AU26">
        <f>IF(OR($AK26="",O26="",P26=""),0,COUNTIFS($AK$3:$AK$98,$AK26,K$3:K$98,"&lt;"&amp;P26,L$3:L$98,"&gt;"&amp;O26)+COUNTIFS($AK$3:$AK$98,$AK26,M$3:M$98,"&lt;"&amp;P26,N$3:N$98,"&gt;"&amp;O26)+COUNTIFS($AK$3:$AK$98,$AK26,O$3:O$98,"&lt;"&amp;P26,P$3:P$98,"&gt;"&amp;O26)+COUNTIFS($AK$3:$AK$98,$AK26,Q$3:Q$98,"&lt;"&amp;P26,R$3:R$98,"&gt;"&amp;O26)+COUNTIFS($AK$3:$AK$98,$AK26,S$3:S$98,"&lt;"&amp;P26,T$3:T$98,"&gt;"&amp;O26)+COUNTIFS($AK$3:$AK$98,$AK26,U$3:U$98,"&lt;"&amp;P26,V$3:V$98,"&gt;"&amp;O26)+COUNTIFS($AK$3:$AK$98,$AK26,W$3:W$98,"&lt;"&amp;P26,X$3:X$98,"&gt;"&amp;O26)+COUNTIFS($AK$3:$AK$98,$AK26,Y$3:Y$98,"&lt;"&amp;P26,Z$3:Z$98,"&gt;"&amp;O26)+COUNTIFS($AK$3:$AK$98,$AK26,AA$3:AA$98,"&lt;"&amp;P26,AB$3:AB$98,"&gt;"&amp;O26)+COUNTIFS($AK$3:$AK$98,$AK26,AC$3:AC$98,"&lt;"&amp;P26,AD$3:AD$98,"&gt;"&amp;O26)+COUNTIFS($AK$3:$AK$98,$AK26,AE$3:AE$98,"&lt;"&amp;P26,AF$3:AF$98,"&gt;"&amp;O26)+COUNTIFS($AK$3:$AK$98,$AK26,AG$3:AG$98,"&lt;"&amp;P26,AH$3:AH$98,"&gt;"&amp;O26)-(O26&lt;P26))</f>
        <v>0</v>
      </c>
      <c r="AV26">
        <f>AU26</f>
        <v>0</v>
      </c>
      <c r="AW26">
        <f>IF(OR($AK26="",Q26="",R26=""),0,COUNTIFS($AK$3:$AK$98,$AK26,K$3:K$98,"&lt;"&amp;R26,L$3:L$98,"&gt;"&amp;Q26)+COUNTIFS($AK$3:$AK$98,$AK26,M$3:M$98,"&lt;"&amp;R26,N$3:N$98,"&gt;"&amp;Q26)+COUNTIFS($AK$3:$AK$98,$AK26,O$3:O$98,"&lt;"&amp;R26,P$3:P$98,"&gt;"&amp;Q26)+COUNTIFS($AK$3:$AK$98,$AK26,Q$3:Q$98,"&lt;"&amp;R26,R$3:R$98,"&gt;"&amp;Q26)+COUNTIFS($AK$3:$AK$98,$AK26,S$3:S$98,"&lt;"&amp;R26,T$3:T$98,"&gt;"&amp;Q26)+COUNTIFS($AK$3:$AK$98,$AK26,U$3:U$98,"&lt;"&amp;R26,V$3:V$98,"&gt;"&amp;Q26)+COUNTIFS($AK$3:$AK$98,$AK26,W$3:W$98,"&lt;"&amp;R26,X$3:X$98,"&gt;"&amp;Q26)+COUNTIFS($AK$3:$AK$98,$AK26,Y$3:Y$98,"&lt;"&amp;R26,Z$3:Z$98,"&gt;"&amp;Q26)+COUNTIFS($AK$3:$AK$98,$AK26,AA$3:AA$98,"&lt;"&amp;R26,AB$3:AB$98,"&gt;"&amp;Q26)+COUNTIFS($AK$3:$AK$98,$AK26,AC$3:AC$98,"&lt;"&amp;R26,AD$3:AD$98,"&gt;"&amp;Q26)+COUNTIFS($AK$3:$AK$98,$AK26,AE$3:AE$98,"&lt;"&amp;R26,AF$3:AF$98,"&gt;"&amp;Q26)+COUNTIFS($AK$3:$AK$98,$AK26,AG$3:AG$98,"&lt;"&amp;R26,AH$3:AH$98,"&gt;"&amp;Q26)-(Q26&lt;R26))</f>
        <v>0</v>
      </c>
      <c r="AX26">
        <f>AW26</f>
        <v>0</v>
      </c>
      <c r="AY26">
        <f>IF(OR($AK26="",S26="",T26=""),0,COUNTIFS($AK$3:$AK$98,$AK26,K$3:K$98,"&lt;"&amp;T26,L$3:L$98,"&gt;"&amp;S26)+COUNTIFS($AK$3:$AK$98,$AK26,M$3:M$98,"&lt;"&amp;T26,N$3:N$98,"&gt;"&amp;S26)+COUNTIFS($AK$3:$AK$98,$AK26,O$3:O$98,"&lt;"&amp;T26,P$3:P$98,"&gt;"&amp;S26)+COUNTIFS($AK$3:$AK$98,$AK26,Q$3:Q$98,"&lt;"&amp;T26,R$3:R$98,"&gt;"&amp;S26)+COUNTIFS($AK$3:$AK$98,$AK26,S$3:S$98,"&lt;"&amp;T26,T$3:T$98,"&gt;"&amp;S26)+COUNTIFS($AK$3:$AK$98,$AK26,U$3:U$98,"&lt;"&amp;T26,V$3:V$98,"&gt;"&amp;S26)+COUNTIFS($AK$3:$AK$98,$AK26,W$3:W$98,"&lt;"&amp;T26,X$3:X$98,"&gt;"&amp;S26)+COUNTIFS($AK$3:$AK$98,$AK26,Y$3:Y$98,"&lt;"&amp;T26,Z$3:Z$98,"&gt;"&amp;S26)+COUNTIFS($AK$3:$AK$98,$AK26,AA$3:AA$98,"&lt;"&amp;T26,AB$3:AB$98,"&gt;"&amp;S26)+COUNTIFS($AK$3:$AK$98,$AK26,AC$3:AC$98,"&lt;"&amp;T26,AD$3:AD$98,"&gt;"&amp;S26)+COUNTIFS($AK$3:$AK$98,$AK26,AE$3:AE$98,"&lt;"&amp;T26,AF$3:AF$98,"&gt;"&amp;S26)+COUNTIFS($AK$3:$AK$98,$AK26,AG$3:AG$98,"&lt;"&amp;T26,AH$3:AH$98,"&gt;"&amp;S26)-(S26&lt;T26))</f>
        <v>0</v>
      </c>
      <c r="AZ26">
        <f>AY26</f>
        <v>0</v>
      </c>
      <c r="BA26">
        <f>IF(OR($AK26="",U26="",V26=""),0,COUNTIFS($AK$3:$AK$98,$AK26,K$3:K$98,"&lt;"&amp;V26,L$3:L$98,"&gt;"&amp;U26)+COUNTIFS($AK$3:$AK$98,$AK26,M$3:M$98,"&lt;"&amp;V26,N$3:N$98,"&gt;"&amp;U26)+COUNTIFS($AK$3:$AK$98,$AK26,O$3:O$98,"&lt;"&amp;V26,P$3:P$98,"&gt;"&amp;U26)+COUNTIFS($AK$3:$AK$98,$AK26,Q$3:Q$98,"&lt;"&amp;V26,R$3:R$98,"&gt;"&amp;U26)+COUNTIFS($AK$3:$AK$98,$AK26,S$3:S$98,"&lt;"&amp;V26,T$3:T$98,"&gt;"&amp;U26)+COUNTIFS($AK$3:$AK$98,$AK26,U$3:U$98,"&lt;"&amp;V26,V$3:V$98,"&gt;"&amp;U26)+COUNTIFS($AK$3:$AK$98,$AK26,W$3:W$98,"&lt;"&amp;V26,X$3:X$98,"&gt;"&amp;U26)+COUNTIFS($AK$3:$AK$98,$AK26,Y$3:Y$98,"&lt;"&amp;V26,Z$3:Z$98,"&gt;"&amp;U26)+COUNTIFS($AK$3:$AK$98,$AK26,AA$3:AA$98,"&lt;"&amp;V26,AB$3:AB$98,"&gt;"&amp;U26)+COUNTIFS($AK$3:$AK$98,$AK26,AC$3:AC$98,"&lt;"&amp;V26,AD$3:AD$98,"&gt;"&amp;U26)+COUNTIFS($AK$3:$AK$98,$AK26,AE$3:AE$98,"&lt;"&amp;V26,AF$3:AF$98,"&gt;"&amp;U26)+COUNTIFS($AK$3:$AK$98,$AK26,AG$3:AG$98,"&lt;"&amp;V26,AH$3:AH$98,"&gt;"&amp;U26)-(U26&lt;V26))</f>
        <v>0</v>
      </c>
      <c r="BB26">
        <f>BA26</f>
        <v>0</v>
      </c>
      <c r="BC26">
        <f>IF(OR($AK26="",W26="",X26=""),0,COUNTIFS($AK$3:$AK$98,$AK26,K$3:K$98,"&lt;"&amp;X26,L$3:L$98,"&gt;"&amp;W26)+COUNTIFS($AK$3:$AK$98,$AK26,M$3:M$98,"&lt;"&amp;X26,N$3:N$98,"&gt;"&amp;W26)+COUNTIFS($AK$3:$AK$98,$AK26,O$3:O$98,"&lt;"&amp;X26,P$3:P$98,"&gt;"&amp;W26)+COUNTIFS($AK$3:$AK$98,$AK26,Q$3:Q$98,"&lt;"&amp;X26,R$3:R$98,"&gt;"&amp;W26)+COUNTIFS($AK$3:$AK$98,$AK26,S$3:S$98,"&lt;"&amp;X26,T$3:T$98,"&gt;"&amp;W26)+COUNTIFS($AK$3:$AK$98,$AK26,U$3:U$98,"&lt;"&amp;X26,V$3:V$98,"&gt;"&amp;W26)+COUNTIFS($AK$3:$AK$98,$AK26,W$3:W$98,"&lt;"&amp;X26,X$3:X$98,"&gt;"&amp;W26)+COUNTIFS($AK$3:$AK$98,$AK26,Y$3:Y$98,"&lt;"&amp;X26,Z$3:Z$98,"&gt;"&amp;W26)+COUNTIFS($AK$3:$AK$98,$AK26,AA$3:AA$98,"&lt;"&amp;X26,AB$3:AB$98,"&gt;"&amp;W26)+COUNTIFS($AK$3:$AK$98,$AK26,AC$3:AC$98,"&lt;"&amp;X26,AD$3:AD$98,"&gt;"&amp;W26)+COUNTIFS($AK$3:$AK$98,$AK26,AE$3:AE$98,"&lt;"&amp;X26,AF$3:AF$98,"&gt;"&amp;W26)+COUNTIFS($AK$3:$AK$98,$AK26,AG$3:AG$98,"&lt;"&amp;X26,AH$3:AH$98,"&gt;"&amp;W26)-(W26&lt;X26))</f>
        <v>0</v>
      </c>
      <c r="BD26">
        <f>BC26</f>
        <v>0</v>
      </c>
      <c r="BE26">
        <f>IF(OR($AK26="",Y26="",Z26=""),0,COUNTIFS($AK$3:$AK$98,$AK26,K$3:K$98,"&lt;"&amp;Z26,L$3:L$98,"&gt;"&amp;Y26)+COUNTIFS($AK$3:$AK$98,$AK26,M$3:M$98,"&lt;"&amp;Z26,N$3:N$98,"&gt;"&amp;Y26)+COUNTIFS($AK$3:$AK$98,$AK26,O$3:O$98,"&lt;"&amp;Z26,P$3:P$98,"&gt;"&amp;Y26)+COUNTIFS($AK$3:$AK$98,$AK26,Q$3:Q$98,"&lt;"&amp;Z26,R$3:R$98,"&gt;"&amp;Y26)+COUNTIFS($AK$3:$AK$98,$AK26,S$3:S$98,"&lt;"&amp;Z26,T$3:T$98,"&gt;"&amp;Y26)+COUNTIFS($AK$3:$AK$98,$AK26,U$3:U$98,"&lt;"&amp;Z26,V$3:V$98,"&gt;"&amp;Y26)+COUNTIFS($AK$3:$AK$98,$AK26,W$3:W$98,"&lt;"&amp;Z26,X$3:X$98,"&gt;"&amp;Y26)+COUNTIFS($AK$3:$AK$98,$AK26,Y$3:Y$98,"&lt;"&amp;Z26,Z$3:Z$98,"&gt;"&amp;Y26)+COUNTIFS($AK$3:$AK$98,$AK26,AA$3:AA$98,"&lt;"&amp;Z26,AB$3:AB$98,"&gt;"&amp;Y26)+COUNTIFS($AK$3:$AK$98,$AK26,AC$3:AC$98,"&lt;"&amp;Z26,AD$3:AD$98,"&gt;"&amp;Y26)+COUNTIFS($AK$3:$AK$98,$AK26,AE$3:AE$98,"&lt;"&amp;Z26,AF$3:AF$98,"&gt;"&amp;Y26)+COUNTIFS($AK$3:$AK$98,$AK26,AG$3:AG$98,"&lt;"&amp;Z26,AH$3:AH$98,"&gt;"&amp;Y26)-(Y26&lt;Z26))</f>
        <v>0</v>
      </c>
      <c r="BF26">
        <f>BE26</f>
        <v>0</v>
      </c>
      <c r="BG26">
        <f>IF(OR($AK26="",AA26="",AB26=""),0,COUNTIFS($AK$3:$AK$98,$AK26,K$3:K$98,"&lt;"&amp;AB26,L$3:L$98,"&gt;"&amp;AA26)+COUNTIFS($AK$3:$AK$98,$AK26,M$3:M$98,"&lt;"&amp;AB26,N$3:N$98,"&gt;"&amp;AA26)+COUNTIFS($AK$3:$AK$98,$AK26,O$3:O$98,"&lt;"&amp;AB26,P$3:P$98,"&gt;"&amp;AA26)+COUNTIFS($AK$3:$AK$98,$AK26,Q$3:Q$98,"&lt;"&amp;AB26,R$3:R$98,"&gt;"&amp;AA26)+COUNTIFS($AK$3:$AK$98,$AK26,S$3:S$98,"&lt;"&amp;AB26,T$3:T$98,"&gt;"&amp;AA26)+COUNTIFS($AK$3:$AK$98,$AK26,U$3:U$98,"&lt;"&amp;AB26,V$3:V$98,"&gt;"&amp;AA26)+COUNTIFS($AK$3:$AK$98,$AK26,W$3:W$98,"&lt;"&amp;AB26,X$3:X$98,"&gt;"&amp;AA26)+COUNTIFS($AK$3:$AK$98,$AK26,Y$3:Y$98,"&lt;"&amp;AB26,Z$3:Z$98,"&gt;"&amp;AA26)+COUNTIFS($AK$3:$AK$98,$AK26,AA$3:AA$98,"&lt;"&amp;AB26,AB$3:AB$98,"&gt;"&amp;AA26)+COUNTIFS($AK$3:$AK$98,$AK26,AC$3:AC$98,"&lt;"&amp;AB26,AD$3:AD$98,"&gt;"&amp;AA26)+COUNTIFS($AK$3:$AK$98,$AK26,AE$3:AE$98,"&lt;"&amp;AB26,AF$3:AF$98,"&gt;"&amp;AA26)+COUNTIFS($AK$3:$AK$98,$AK26,AG$3:AG$98,"&lt;"&amp;AB26,AH$3:AH$98,"&gt;"&amp;AA26)-(AA26&lt;AB26))</f>
        <v>0</v>
      </c>
      <c r="BH26">
        <f>BG26</f>
        <v>0</v>
      </c>
      <c r="BI26">
        <f>IF(OR($AK26="",AC26="",AD26=""),0,COUNTIFS($AK$3:$AK$98,$AK26,K$3:K$98,"&lt;"&amp;AD26,L$3:L$98,"&gt;"&amp;AC26)+COUNTIFS($AK$3:$AK$98,$AK26,M$3:M$98,"&lt;"&amp;AD26,N$3:N$98,"&gt;"&amp;AC26)+COUNTIFS($AK$3:$AK$98,$AK26,O$3:O$98,"&lt;"&amp;AD26,P$3:P$98,"&gt;"&amp;AC26)+COUNTIFS($AK$3:$AK$98,$AK26,Q$3:Q$98,"&lt;"&amp;AD26,R$3:R$98,"&gt;"&amp;AC26)+COUNTIFS($AK$3:$AK$98,$AK26,S$3:S$98,"&lt;"&amp;AD26,T$3:T$98,"&gt;"&amp;AC26)+COUNTIFS($AK$3:$AK$98,$AK26,U$3:U$98,"&lt;"&amp;AD26,V$3:V$98,"&gt;"&amp;AC26)+COUNTIFS($AK$3:$AK$98,$AK26,W$3:W$98,"&lt;"&amp;AD26,X$3:X$98,"&gt;"&amp;AC26)+COUNTIFS($AK$3:$AK$98,$AK26,Y$3:Y$98,"&lt;"&amp;AD26,Z$3:Z$98,"&gt;"&amp;AC26)+COUNTIFS($AK$3:$AK$98,$AK26,AA$3:AA$98,"&lt;"&amp;AD26,AB$3:AB$98,"&gt;"&amp;AC26)+COUNTIFS($AK$3:$AK$98,$AK26,AC$3:AC$98,"&lt;"&amp;AD26,AD$3:AD$98,"&gt;"&amp;AC26)+COUNTIFS($AK$3:$AK$98,$AK26,AE$3:AE$98,"&lt;"&amp;AD26,AF$3:AF$98,"&gt;"&amp;AC26)+COUNTIFS($AK$3:$AK$98,$AK26,AG$3:AG$98,"&lt;"&amp;AD26,AH$3:AH$98,"&gt;"&amp;AC26)-(AC26&lt;AD26))</f>
        <v>0</v>
      </c>
      <c r="BJ26">
        <f>BI26</f>
        <v>0</v>
      </c>
      <c r="BK26">
        <f>IF(OR($AK26="",AE26="",AF26=""),0,COUNTIFS($AK$3:$AK$98,$AK26,K$3:K$98,"&lt;"&amp;AF26,L$3:L$98,"&gt;"&amp;AE26)+COUNTIFS($AK$3:$AK$98,$AK26,M$3:M$98,"&lt;"&amp;AF26,N$3:N$98,"&gt;"&amp;AE26)+COUNTIFS($AK$3:$AK$98,$AK26,O$3:O$98,"&lt;"&amp;AF26,P$3:P$98,"&gt;"&amp;AE26)+COUNTIFS($AK$3:$AK$98,$AK26,Q$3:Q$98,"&lt;"&amp;AF26,R$3:R$98,"&gt;"&amp;AE26)+COUNTIFS($AK$3:$AK$98,$AK26,S$3:S$98,"&lt;"&amp;AF26,T$3:T$98,"&gt;"&amp;AE26)+COUNTIFS($AK$3:$AK$98,$AK26,U$3:U$98,"&lt;"&amp;AF26,V$3:V$98,"&gt;"&amp;AE26)+COUNTIFS($AK$3:$AK$98,$AK26,W$3:W$98,"&lt;"&amp;AF26,X$3:X$98,"&gt;"&amp;AE26)+COUNTIFS($AK$3:$AK$98,$AK26,Y$3:Y$98,"&lt;"&amp;AF26,Z$3:Z$98,"&gt;"&amp;AE26)+COUNTIFS($AK$3:$AK$98,$AK26,AA$3:AA$98,"&lt;"&amp;AF26,AB$3:AB$98,"&gt;"&amp;AE26)+COUNTIFS($AK$3:$AK$98,$AK26,AC$3:AC$98,"&lt;"&amp;AF26,AD$3:AD$98,"&gt;"&amp;AE26)+COUNTIFS($AK$3:$AK$98,$AK26,AE$3:AE$98,"&lt;"&amp;AF26,AF$3:AF$98,"&gt;"&amp;AE26)+COUNTIFS($AK$3:$AK$98,$AK26,AG$3:AG$98,"&lt;"&amp;AF26,AH$3:AH$98,"&gt;"&amp;AE26)-(AE26&lt;AF26))</f>
        <v>0</v>
      </c>
      <c r="BL26">
        <f>BK26</f>
        <v>0</v>
      </c>
      <c r="BM26">
        <f>IF(OR($AK26="",AG26="",AH26=""),0,COUNTIFS($AK$3:$AK$98,$AK26,K$3:K$98,"&lt;"&amp;AH26,L$3:L$98,"&gt;"&amp;AG26)+COUNTIFS($AK$3:$AK$98,$AK26,M$3:M$98,"&lt;"&amp;AH26,N$3:N$98,"&gt;"&amp;AG26)+COUNTIFS($AK$3:$AK$98,$AK26,O$3:O$98,"&lt;"&amp;AH26,P$3:P$98,"&gt;"&amp;AG26)+COUNTIFS($AK$3:$AK$98,$AK26,Q$3:Q$98,"&lt;"&amp;AH26,R$3:R$98,"&gt;"&amp;AG26)+COUNTIFS($AK$3:$AK$98,$AK26,S$3:S$98,"&lt;"&amp;AH26,T$3:T$98,"&gt;"&amp;AG26)+COUNTIFS($AK$3:$AK$98,$AK26,U$3:U$98,"&lt;"&amp;AH26,V$3:V$98,"&gt;"&amp;AG26)+COUNTIFS($AK$3:$AK$98,$AK26,W$3:W$98,"&lt;"&amp;AH26,X$3:X$98,"&gt;"&amp;AG26)+COUNTIFS($AK$3:$AK$98,$AK26,Y$3:Y$98,"&lt;"&amp;AH26,Z$3:Z$98,"&gt;"&amp;AG26)+COUNTIFS($AK$3:$AK$98,$AK26,AA$3:AA$98,"&lt;"&amp;AH26,AB$3:AB$98,"&gt;"&amp;AG26)+COUNTIFS($AK$3:$AK$98,$AK26,AC$3:AC$98,"&lt;"&amp;AH26,AD$3:AD$98,"&gt;"&amp;AG26)+COUNTIFS($AK$3:$AK$98,$AK26,AE$3:AE$98,"&lt;"&amp;AH26,AF$3:AF$98,"&gt;"&amp;AG26)+COUNTIFS($AK$3:$AK$98,$AK26,AG$3:AG$98,"&lt;"&amp;AH26,AH$3:AH$98,"&gt;"&amp;AG26)-(AG26&lt;AH26))</f>
        <v>0</v>
      </c>
      <c r="BN26">
        <f>BM26</f>
        <v>0</v>
      </c>
      <c r="BO26" t="str">
        <f>IF(ISNUMBER($G26),$G26,"")</f>
        <v/>
      </c>
      <c r="BP26" t="str">
        <f>IF(AND($A26&lt;&gt;"",COUNT($K26:$AH26)&gt;0),ROW(),"")</f>
        <v/>
      </c>
    </row>
    <row r="27" spans="1:68" x14ac:dyDescent="0.15">
      <c r="A27" s="18" t="str">
        <f>IF($A25="","",$A25)</f>
        <v/>
      </c>
      <c r="B27" s="19" t="str">
        <f>IF($A25="","","high")</f>
        <v/>
      </c>
      <c r="C27" s="19"/>
      <c r="D27" s="20"/>
      <c r="E27" s="21" t="str">
        <f>IF(AND($D27="",COUNT($K27:$AH27)=0),"",IF(K27="",0,MAX(0,NETWORKDAYS(K27,IF(L27&lt;&gt;"",L27,IF($J27&lt;&gt;"",K27,$AI$1)),祝日!$A$2:$A$200)))+IF(M27="",0,MAX(0,NETWORKDAYS(M27,IF(N27&lt;&gt;"",N27,IF($J27&lt;&gt;"",M27,$AI$1)),祝日!$A$2:$A$200)))+IF(O27="",0,MAX(0,NETWORKDAYS(O27,IF(P27&lt;&gt;"",P27,IF($J27&lt;&gt;"",O27,$AI$1)),祝日!$A$2:$A$200)))+IF(Q27="",0,MAX(0,NETWORKDAYS(Q27,IF(R27&lt;&gt;"",R27,IF($J27&lt;&gt;"",Q27,$AI$1)),祝日!$A$2:$A$200)))+IF(S27="",0,MAX(0,NETWORKDAYS(S27,IF(T27&lt;&gt;"",T27,IF($J27&lt;&gt;"",S27,$AI$1)),祝日!$A$2:$A$200)))+IF(U27="",0,MAX(0,NETWORKDAYS(U27,IF(V27&lt;&gt;"",V27,IF($J27&lt;&gt;"",U27,$AI$1)),祝日!$A$2:$A$200)))+IF(W27="",0,MAX(0,NETWORKDAYS(W27,IF(X27&lt;&gt;"",X27,IF($J27&lt;&gt;"",W27,$AI$1)),祝日!$A$2:$A$200)))+IF(Y27="",0,MAX(0,NETWORKDAYS(Y27,IF(Z27&lt;&gt;"",Z27,IF($J27&lt;&gt;"",Y27,$AI$1)),祝日!$A$2:$A$200)))+IF(AA27="",0,MAX(0,NETWORKDAYS(AA27,IF(AB27&lt;&gt;"",AB27,IF($J27&lt;&gt;"",AA27,$AI$1)),祝日!$A$2:$A$200)))+IF(AC27="",0,MAX(0,NETWORKDAYS(AC27,IF(AD27&lt;&gt;"",AD27,IF($J27&lt;&gt;"",AC27,$AI$1)),祝日!$A$2:$A$200)))+IF(AE27="",0,MAX(0,NETWORKDAYS(AE27,IF(AF27&lt;&gt;"",AF27,IF($J27&lt;&gt;"",AE27,$AI$1)),祝日!$A$2:$A$200)))+IF(AG27="",0,MAX(0,NETWORKDAYS(AG27,IF(AH27&lt;&gt;"",AH27,IF($J27&lt;&gt;"",AG27,$AI$1)),祝日!$A$2:$A$200))))</f>
        <v/>
      </c>
      <c r="F27" s="21" t="str">
        <f>IF($D27="","",$D27-$E27)</f>
        <v/>
      </c>
      <c r="G27" s="22" t="str">
        <f>IF(OR($D27="",$D27=0),"",$E27/$D27)</f>
        <v/>
      </c>
      <c r="H27" s="23" t="str">
        <f>IF($D27="","",IF($J27&lt;&gt;"","FIX",IF(AND(SUMPRODUCT((MOD(COLUMN($K27:$AH27)-COLUMN($K27),2)=0)*($K27:$AH27&lt;&gt;""))=0,SUMPRODUCT((MOD(COLUMN($K27:$AH27)-COLUMN($K27),2)=1)*($K27:$AH27&lt;&gt;""))=0),"未着手",IF(SUMPRODUCT((MOD(COLUMN($K27:$AH27)-COLUMN($K27),2)=0)*($K27:$AH27&lt;&gt;""))&gt;SUMPRODUCT((MOD(COLUMN($K27:$AH27)-COLUMN($K27),2)=1)*($K27:$AH27&lt;&gt;"")),"作業中","中断"))))</f>
        <v/>
      </c>
      <c r="I27" s="23" t="str">
        <f>IF($H27="中断",MAX(0,$AI$1-MAX(L27,N27,P27,R27,T27,V27,X27,Z27,AB27,AD27,AF27,AH27)),"")</f>
        <v/>
      </c>
      <c r="J27" s="19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K27" t="str">
        <f>IF($A25="","",IF(LOOKUP(2,1/($AJ$3:$AJ27&lt;&gt;""),$AJ$3:$AJ27)="-","",LOOKUP(2,1/($AJ$3:$AJ27&lt;&gt;""),$AJ$3:$AJ27)))</f>
        <v/>
      </c>
      <c r="AL27" t="str">
        <f>$H27</f>
        <v/>
      </c>
      <c r="AM27">
        <f>IF(ISNUMBER($D27),$D27,0)</f>
        <v>0</v>
      </c>
      <c r="AN27">
        <f>IF(ISNUMBER($E27),$E27,0)</f>
        <v>0</v>
      </c>
      <c r="AO27">
        <f>IF(ISNUMBER($F27),$F27,0)</f>
        <v>0</v>
      </c>
      <c r="AQ27">
        <f>IF(OR($AK27="",K27="",L27=""),0,COUNTIFS($AK$3:$AK$98,$AK27,K$3:K$98,"&lt;"&amp;L27,L$3:L$98,"&gt;"&amp;K27)+COUNTIFS($AK$3:$AK$98,$AK27,M$3:M$98,"&lt;"&amp;L27,N$3:N$98,"&gt;"&amp;K27)+COUNTIFS($AK$3:$AK$98,$AK27,O$3:O$98,"&lt;"&amp;L27,P$3:P$98,"&gt;"&amp;K27)+COUNTIFS($AK$3:$AK$98,$AK27,Q$3:Q$98,"&lt;"&amp;L27,R$3:R$98,"&gt;"&amp;K27)+COUNTIFS($AK$3:$AK$98,$AK27,S$3:S$98,"&lt;"&amp;L27,T$3:T$98,"&gt;"&amp;K27)+COUNTIFS($AK$3:$AK$98,$AK27,U$3:U$98,"&lt;"&amp;L27,V$3:V$98,"&gt;"&amp;K27)+COUNTIFS($AK$3:$AK$98,$AK27,W$3:W$98,"&lt;"&amp;L27,X$3:X$98,"&gt;"&amp;K27)+COUNTIFS($AK$3:$AK$98,$AK27,Y$3:Y$98,"&lt;"&amp;L27,Z$3:Z$98,"&gt;"&amp;K27)+COUNTIFS($AK$3:$AK$98,$AK27,AA$3:AA$98,"&lt;"&amp;L27,AB$3:AB$98,"&gt;"&amp;K27)+COUNTIFS($AK$3:$AK$98,$AK27,AC$3:AC$98,"&lt;"&amp;L27,AD$3:AD$98,"&gt;"&amp;K27)+COUNTIFS($AK$3:$AK$98,$AK27,AE$3:AE$98,"&lt;"&amp;L27,AF$3:AF$98,"&gt;"&amp;K27)+COUNTIFS($AK$3:$AK$98,$AK27,AG$3:AG$98,"&lt;"&amp;L27,AH$3:AH$98,"&gt;"&amp;K27)-(K27&lt;L27))</f>
        <v>0</v>
      </c>
      <c r="AR27">
        <f>AQ27</f>
        <v>0</v>
      </c>
      <c r="AS27">
        <f>IF(OR($AK27="",M27="",N27=""),0,COUNTIFS($AK$3:$AK$98,$AK27,K$3:K$98,"&lt;"&amp;N27,L$3:L$98,"&gt;"&amp;M27)+COUNTIFS($AK$3:$AK$98,$AK27,M$3:M$98,"&lt;"&amp;N27,N$3:N$98,"&gt;"&amp;M27)+COUNTIFS($AK$3:$AK$98,$AK27,O$3:O$98,"&lt;"&amp;N27,P$3:P$98,"&gt;"&amp;M27)+COUNTIFS($AK$3:$AK$98,$AK27,Q$3:Q$98,"&lt;"&amp;N27,R$3:R$98,"&gt;"&amp;M27)+COUNTIFS($AK$3:$AK$98,$AK27,S$3:S$98,"&lt;"&amp;N27,T$3:T$98,"&gt;"&amp;M27)+COUNTIFS($AK$3:$AK$98,$AK27,U$3:U$98,"&lt;"&amp;N27,V$3:V$98,"&gt;"&amp;M27)+COUNTIFS($AK$3:$AK$98,$AK27,W$3:W$98,"&lt;"&amp;N27,X$3:X$98,"&gt;"&amp;M27)+COUNTIFS($AK$3:$AK$98,$AK27,Y$3:Y$98,"&lt;"&amp;N27,Z$3:Z$98,"&gt;"&amp;M27)+COUNTIFS($AK$3:$AK$98,$AK27,AA$3:AA$98,"&lt;"&amp;N27,AB$3:AB$98,"&gt;"&amp;M27)+COUNTIFS($AK$3:$AK$98,$AK27,AC$3:AC$98,"&lt;"&amp;N27,AD$3:AD$98,"&gt;"&amp;M27)+COUNTIFS($AK$3:$AK$98,$AK27,AE$3:AE$98,"&lt;"&amp;N27,AF$3:AF$98,"&gt;"&amp;M27)+COUNTIFS($AK$3:$AK$98,$AK27,AG$3:AG$98,"&lt;"&amp;N27,AH$3:AH$98,"&gt;"&amp;M27)-(M27&lt;N27))</f>
        <v>0</v>
      </c>
      <c r="AT27">
        <f>AS27</f>
        <v>0</v>
      </c>
      <c r="AU27">
        <f>IF(OR($AK27="",O27="",P27=""),0,COUNTIFS($AK$3:$AK$98,$AK27,K$3:K$98,"&lt;"&amp;P27,L$3:L$98,"&gt;"&amp;O27)+COUNTIFS($AK$3:$AK$98,$AK27,M$3:M$98,"&lt;"&amp;P27,N$3:N$98,"&gt;"&amp;O27)+COUNTIFS($AK$3:$AK$98,$AK27,O$3:O$98,"&lt;"&amp;P27,P$3:P$98,"&gt;"&amp;O27)+COUNTIFS($AK$3:$AK$98,$AK27,Q$3:Q$98,"&lt;"&amp;P27,R$3:R$98,"&gt;"&amp;O27)+COUNTIFS($AK$3:$AK$98,$AK27,S$3:S$98,"&lt;"&amp;P27,T$3:T$98,"&gt;"&amp;O27)+COUNTIFS($AK$3:$AK$98,$AK27,U$3:U$98,"&lt;"&amp;P27,V$3:V$98,"&gt;"&amp;O27)+COUNTIFS($AK$3:$AK$98,$AK27,W$3:W$98,"&lt;"&amp;P27,X$3:X$98,"&gt;"&amp;O27)+COUNTIFS($AK$3:$AK$98,$AK27,Y$3:Y$98,"&lt;"&amp;P27,Z$3:Z$98,"&gt;"&amp;O27)+COUNTIFS($AK$3:$AK$98,$AK27,AA$3:AA$98,"&lt;"&amp;P27,AB$3:AB$98,"&gt;"&amp;O27)+COUNTIFS($AK$3:$AK$98,$AK27,AC$3:AC$98,"&lt;"&amp;P27,AD$3:AD$98,"&gt;"&amp;O27)+COUNTIFS($AK$3:$AK$98,$AK27,AE$3:AE$98,"&lt;"&amp;P27,AF$3:AF$98,"&gt;"&amp;O27)+COUNTIFS($AK$3:$AK$98,$AK27,AG$3:AG$98,"&lt;"&amp;P27,AH$3:AH$98,"&gt;"&amp;O27)-(O27&lt;P27))</f>
        <v>0</v>
      </c>
      <c r="AV27">
        <f>AU27</f>
        <v>0</v>
      </c>
      <c r="AW27">
        <f>IF(OR($AK27="",Q27="",R27=""),0,COUNTIFS($AK$3:$AK$98,$AK27,K$3:K$98,"&lt;"&amp;R27,L$3:L$98,"&gt;"&amp;Q27)+COUNTIFS($AK$3:$AK$98,$AK27,M$3:M$98,"&lt;"&amp;R27,N$3:N$98,"&gt;"&amp;Q27)+COUNTIFS($AK$3:$AK$98,$AK27,O$3:O$98,"&lt;"&amp;R27,P$3:P$98,"&gt;"&amp;Q27)+COUNTIFS($AK$3:$AK$98,$AK27,Q$3:Q$98,"&lt;"&amp;R27,R$3:R$98,"&gt;"&amp;Q27)+COUNTIFS($AK$3:$AK$98,$AK27,S$3:S$98,"&lt;"&amp;R27,T$3:T$98,"&gt;"&amp;Q27)+COUNTIFS($AK$3:$AK$98,$AK27,U$3:U$98,"&lt;"&amp;R27,V$3:V$98,"&gt;"&amp;Q27)+COUNTIFS($AK$3:$AK$98,$AK27,W$3:W$98,"&lt;"&amp;R27,X$3:X$98,"&gt;"&amp;Q27)+COUNTIFS($AK$3:$AK$98,$AK27,Y$3:Y$98,"&lt;"&amp;R27,Z$3:Z$98,"&gt;"&amp;Q27)+COUNTIFS($AK$3:$AK$98,$AK27,AA$3:AA$98,"&lt;"&amp;R27,AB$3:AB$98,"&gt;"&amp;Q27)+COUNTIFS($AK$3:$AK$98,$AK27,AC$3:AC$98,"&lt;"&amp;R27,AD$3:AD$98,"&gt;"&amp;Q27)+COUNTIFS($AK$3:$AK$98,$AK27,AE$3:AE$98,"&lt;"&amp;R27,AF$3:AF$98,"&gt;"&amp;Q27)+COUNTIFS($AK$3:$AK$98,$AK27,AG$3:AG$98,"&lt;"&amp;R27,AH$3:AH$98,"&gt;"&amp;Q27)-(Q27&lt;R27))</f>
        <v>0</v>
      </c>
      <c r="AX27">
        <f>AW27</f>
        <v>0</v>
      </c>
      <c r="AY27">
        <f>IF(OR($AK27="",S27="",T27=""),0,COUNTIFS($AK$3:$AK$98,$AK27,K$3:K$98,"&lt;"&amp;T27,L$3:L$98,"&gt;"&amp;S27)+COUNTIFS($AK$3:$AK$98,$AK27,M$3:M$98,"&lt;"&amp;T27,N$3:N$98,"&gt;"&amp;S27)+COUNTIFS($AK$3:$AK$98,$AK27,O$3:O$98,"&lt;"&amp;T27,P$3:P$98,"&gt;"&amp;S27)+COUNTIFS($AK$3:$AK$98,$AK27,Q$3:Q$98,"&lt;"&amp;T27,R$3:R$98,"&gt;"&amp;S27)+COUNTIFS($AK$3:$AK$98,$AK27,S$3:S$98,"&lt;"&amp;T27,T$3:T$98,"&gt;"&amp;S27)+COUNTIFS($AK$3:$AK$98,$AK27,U$3:U$98,"&lt;"&amp;T27,V$3:V$98,"&gt;"&amp;S27)+COUNTIFS($AK$3:$AK$98,$AK27,W$3:W$98,"&lt;"&amp;T27,X$3:X$98,"&gt;"&amp;S27)+COUNTIFS($AK$3:$AK$98,$AK27,Y$3:Y$98,"&lt;"&amp;T27,Z$3:Z$98,"&gt;"&amp;S27)+COUNTIFS($AK$3:$AK$98,$AK27,AA$3:AA$98,"&lt;"&amp;T27,AB$3:AB$98,"&gt;"&amp;S27)+COUNTIFS($AK$3:$AK$98,$AK27,AC$3:AC$98,"&lt;"&amp;T27,AD$3:AD$98,"&gt;"&amp;S27)+COUNTIFS($AK$3:$AK$98,$AK27,AE$3:AE$98,"&lt;"&amp;T27,AF$3:AF$98,"&gt;"&amp;S27)+COUNTIFS($AK$3:$AK$98,$AK27,AG$3:AG$98,"&lt;"&amp;T27,AH$3:AH$98,"&gt;"&amp;S27)-(S27&lt;T27))</f>
        <v>0</v>
      </c>
      <c r="AZ27">
        <f>AY27</f>
        <v>0</v>
      </c>
      <c r="BA27">
        <f>IF(OR($AK27="",U27="",V27=""),0,COUNTIFS($AK$3:$AK$98,$AK27,K$3:K$98,"&lt;"&amp;V27,L$3:L$98,"&gt;"&amp;U27)+COUNTIFS($AK$3:$AK$98,$AK27,M$3:M$98,"&lt;"&amp;V27,N$3:N$98,"&gt;"&amp;U27)+COUNTIFS($AK$3:$AK$98,$AK27,O$3:O$98,"&lt;"&amp;V27,P$3:P$98,"&gt;"&amp;U27)+COUNTIFS($AK$3:$AK$98,$AK27,Q$3:Q$98,"&lt;"&amp;V27,R$3:R$98,"&gt;"&amp;U27)+COUNTIFS($AK$3:$AK$98,$AK27,S$3:S$98,"&lt;"&amp;V27,T$3:T$98,"&gt;"&amp;U27)+COUNTIFS($AK$3:$AK$98,$AK27,U$3:U$98,"&lt;"&amp;V27,V$3:V$98,"&gt;"&amp;U27)+COUNTIFS($AK$3:$AK$98,$AK27,W$3:W$98,"&lt;"&amp;V27,X$3:X$98,"&gt;"&amp;U27)+COUNTIFS($AK$3:$AK$98,$AK27,Y$3:Y$98,"&lt;"&amp;V27,Z$3:Z$98,"&gt;"&amp;U27)+COUNTIFS($AK$3:$AK$98,$AK27,AA$3:AA$98,"&lt;"&amp;V27,AB$3:AB$98,"&gt;"&amp;U27)+COUNTIFS($AK$3:$AK$98,$AK27,AC$3:AC$98,"&lt;"&amp;V27,AD$3:AD$98,"&gt;"&amp;U27)+COUNTIFS($AK$3:$AK$98,$AK27,AE$3:AE$98,"&lt;"&amp;V27,AF$3:AF$98,"&gt;"&amp;U27)+COUNTIFS($AK$3:$AK$98,$AK27,AG$3:AG$98,"&lt;"&amp;V27,AH$3:AH$98,"&gt;"&amp;U27)-(U27&lt;V27))</f>
        <v>0</v>
      </c>
      <c r="BB27">
        <f>BA27</f>
        <v>0</v>
      </c>
      <c r="BC27">
        <f>IF(OR($AK27="",W27="",X27=""),0,COUNTIFS($AK$3:$AK$98,$AK27,K$3:K$98,"&lt;"&amp;X27,L$3:L$98,"&gt;"&amp;W27)+COUNTIFS($AK$3:$AK$98,$AK27,M$3:M$98,"&lt;"&amp;X27,N$3:N$98,"&gt;"&amp;W27)+COUNTIFS($AK$3:$AK$98,$AK27,O$3:O$98,"&lt;"&amp;X27,P$3:P$98,"&gt;"&amp;W27)+COUNTIFS($AK$3:$AK$98,$AK27,Q$3:Q$98,"&lt;"&amp;X27,R$3:R$98,"&gt;"&amp;W27)+COUNTIFS($AK$3:$AK$98,$AK27,S$3:S$98,"&lt;"&amp;X27,T$3:T$98,"&gt;"&amp;W27)+COUNTIFS($AK$3:$AK$98,$AK27,U$3:U$98,"&lt;"&amp;X27,V$3:V$98,"&gt;"&amp;W27)+COUNTIFS($AK$3:$AK$98,$AK27,W$3:W$98,"&lt;"&amp;X27,X$3:X$98,"&gt;"&amp;W27)+COUNTIFS($AK$3:$AK$98,$AK27,Y$3:Y$98,"&lt;"&amp;X27,Z$3:Z$98,"&gt;"&amp;W27)+COUNTIFS($AK$3:$AK$98,$AK27,AA$3:AA$98,"&lt;"&amp;X27,AB$3:AB$98,"&gt;"&amp;W27)+COUNTIFS($AK$3:$AK$98,$AK27,AC$3:AC$98,"&lt;"&amp;X27,AD$3:AD$98,"&gt;"&amp;W27)+COUNTIFS($AK$3:$AK$98,$AK27,AE$3:AE$98,"&lt;"&amp;X27,AF$3:AF$98,"&gt;"&amp;W27)+COUNTIFS($AK$3:$AK$98,$AK27,AG$3:AG$98,"&lt;"&amp;X27,AH$3:AH$98,"&gt;"&amp;W27)-(W27&lt;X27))</f>
        <v>0</v>
      </c>
      <c r="BD27">
        <f>BC27</f>
        <v>0</v>
      </c>
      <c r="BE27">
        <f>IF(OR($AK27="",Y27="",Z27=""),0,COUNTIFS($AK$3:$AK$98,$AK27,K$3:K$98,"&lt;"&amp;Z27,L$3:L$98,"&gt;"&amp;Y27)+COUNTIFS($AK$3:$AK$98,$AK27,M$3:M$98,"&lt;"&amp;Z27,N$3:N$98,"&gt;"&amp;Y27)+COUNTIFS($AK$3:$AK$98,$AK27,O$3:O$98,"&lt;"&amp;Z27,P$3:P$98,"&gt;"&amp;Y27)+COUNTIFS($AK$3:$AK$98,$AK27,Q$3:Q$98,"&lt;"&amp;Z27,R$3:R$98,"&gt;"&amp;Y27)+COUNTIFS($AK$3:$AK$98,$AK27,S$3:S$98,"&lt;"&amp;Z27,T$3:T$98,"&gt;"&amp;Y27)+COUNTIFS($AK$3:$AK$98,$AK27,U$3:U$98,"&lt;"&amp;Z27,V$3:V$98,"&gt;"&amp;Y27)+COUNTIFS($AK$3:$AK$98,$AK27,W$3:W$98,"&lt;"&amp;Z27,X$3:X$98,"&gt;"&amp;Y27)+COUNTIFS($AK$3:$AK$98,$AK27,Y$3:Y$98,"&lt;"&amp;Z27,Z$3:Z$98,"&gt;"&amp;Y27)+COUNTIFS($AK$3:$AK$98,$AK27,AA$3:AA$98,"&lt;"&amp;Z27,AB$3:AB$98,"&gt;"&amp;Y27)+COUNTIFS($AK$3:$AK$98,$AK27,AC$3:AC$98,"&lt;"&amp;Z27,AD$3:AD$98,"&gt;"&amp;Y27)+COUNTIFS($AK$3:$AK$98,$AK27,AE$3:AE$98,"&lt;"&amp;Z27,AF$3:AF$98,"&gt;"&amp;Y27)+COUNTIFS($AK$3:$AK$98,$AK27,AG$3:AG$98,"&lt;"&amp;Z27,AH$3:AH$98,"&gt;"&amp;Y27)-(Y27&lt;Z27))</f>
        <v>0</v>
      </c>
      <c r="BF27">
        <f>BE27</f>
        <v>0</v>
      </c>
      <c r="BG27">
        <f>IF(OR($AK27="",AA27="",AB27=""),0,COUNTIFS($AK$3:$AK$98,$AK27,K$3:K$98,"&lt;"&amp;AB27,L$3:L$98,"&gt;"&amp;AA27)+COUNTIFS($AK$3:$AK$98,$AK27,M$3:M$98,"&lt;"&amp;AB27,N$3:N$98,"&gt;"&amp;AA27)+COUNTIFS($AK$3:$AK$98,$AK27,O$3:O$98,"&lt;"&amp;AB27,P$3:P$98,"&gt;"&amp;AA27)+COUNTIFS($AK$3:$AK$98,$AK27,Q$3:Q$98,"&lt;"&amp;AB27,R$3:R$98,"&gt;"&amp;AA27)+COUNTIFS($AK$3:$AK$98,$AK27,S$3:S$98,"&lt;"&amp;AB27,T$3:T$98,"&gt;"&amp;AA27)+COUNTIFS($AK$3:$AK$98,$AK27,U$3:U$98,"&lt;"&amp;AB27,V$3:V$98,"&gt;"&amp;AA27)+COUNTIFS($AK$3:$AK$98,$AK27,W$3:W$98,"&lt;"&amp;AB27,X$3:X$98,"&gt;"&amp;AA27)+COUNTIFS($AK$3:$AK$98,$AK27,Y$3:Y$98,"&lt;"&amp;AB27,Z$3:Z$98,"&gt;"&amp;AA27)+COUNTIFS($AK$3:$AK$98,$AK27,AA$3:AA$98,"&lt;"&amp;AB27,AB$3:AB$98,"&gt;"&amp;AA27)+COUNTIFS($AK$3:$AK$98,$AK27,AC$3:AC$98,"&lt;"&amp;AB27,AD$3:AD$98,"&gt;"&amp;AA27)+COUNTIFS($AK$3:$AK$98,$AK27,AE$3:AE$98,"&lt;"&amp;AB27,AF$3:AF$98,"&gt;"&amp;AA27)+COUNTIFS($AK$3:$AK$98,$AK27,AG$3:AG$98,"&lt;"&amp;AB27,AH$3:AH$98,"&gt;"&amp;AA27)-(AA27&lt;AB27))</f>
        <v>0</v>
      </c>
      <c r="BH27">
        <f>BG27</f>
        <v>0</v>
      </c>
      <c r="BI27">
        <f>IF(OR($AK27="",AC27="",AD27=""),0,COUNTIFS($AK$3:$AK$98,$AK27,K$3:K$98,"&lt;"&amp;AD27,L$3:L$98,"&gt;"&amp;AC27)+COUNTIFS($AK$3:$AK$98,$AK27,M$3:M$98,"&lt;"&amp;AD27,N$3:N$98,"&gt;"&amp;AC27)+COUNTIFS($AK$3:$AK$98,$AK27,O$3:O$98,"&lt;"&amp;AD27,P$3:P$98,"&gt;"&amp;AC27)+COUNTIFS($AK$3:$AK$98,$AK27,Q$3:Q$98,"&lt;"&amp;AD27,R$3:R$98,"&gt;"&amp;AC27)+COUNTIFS($AK$3:$AK$98,$AK27,S$3:S$98,"&lt;"&amp;AD27,T$3:T$98,"&gt;"&amp;AC27)+COUNTIFS($AK$3:$AK$98,$AK27,U$3:U$98,"&lt;"&amp;AD27,V$3:V$98,"&gt;"&amp;AC27)+COUNTIFS($AK$3:$AK$98,$AK27,W$3:W$98,"&lt;"&amp;AD27,X$3:X$98,"&gt;"&amp;AC27)+COUNTIFS($AK$3:$AK$98,$AK27,Y$3:Y$98,"&lt;"&amp;AD27,Z$3:Z$98,"&gt;"&amp;AC27)+COUNTIFS($AK$3:$AK$98,$AK27,AA$3:AA$98,"&lt;"&amp;AD27,AB$3:AB$98,"&gt;"&amp;AC27)+COUNTIFS($AK$3:$AK$98,$AK27,AC$3:AC$98,"&lt;"&amp;AD27,AD$3:AD$98,"&gt;"&amp;AC27)+COUNTIFS($AK$3:$AK$98,$AK27,AE$3:AE$98,"&lt;"&amp;AD27,AF$3:AF$98,"&gt;"&amp;AC27)+COUNTIFS($AK$3:$AK$98,$AK27,AG$3:AG$98,"&lt;"&amp;AD27,AH$3:AH$98,"&gt;"&amp;AC27)-(AC27&lt;AD27))</f>
        <v>0</v>
      </c>
      <c r="BJ27">
        <f>BI27</f>
        <v>0</v>
      </c>
      <c r="BK27">
        <f>IF(OR($AK27="",AE27="",AF27=""),0,COUNTIFS($AK$3:$AK$98,$AK27,K$3:K$98,"&lt;"&amp;AF27,L$3:L$98,"&gt;"&amp;AE27)+COUNTIFS($AK$3:$AK$98,$AK27,M$3:M$98,"&lt;"&amp;AF27,N$3:N$98,"&gt;"&amp;AE27)+COUNTIFS($AK$3:$AK$98,$AK27,O$3:O$98,"&lt;"&amp;AF27,P$3:P$98,"&gt;"&amp;AE27)+COUNTIFS($AK$3:$AK$98,$AK27,Q$3:Q$98,"&lt;"&amp;AF27,R$3:R$98,"&gt;"&amp;AE27)+COUNTIFS($AK$3:$AK$98,$AK27,S$3:S$98,"&lt;"&amp;AF27,T$3:T$98,"&gt;"&amp;AE27)+COUNTIFS($AK$3:$AK$98,$AK27,U$3:U$98,"&lt;"&amp;AF27,V$3:V$98,"&gt;"&amp;AE27)+COUNTIFS($AK$3:$AK$98,$AK27,W$3:W$98,"&lt;"&amp;AF27,X$3:X$98,"&gt;"&amp;AE27)+COUNTIFS($AK$3:$AK$98,$AK27,Y$3:Y$98,"&lt;"&amp;AF27,Z$3:Z$98,"&gt;"&amp;AE27)+COUNTIFS($AK$3:$AK$98,$AK27,AA$3:AA$98,"&lt;"&amp;AF27,AB$3:AB$98,"&gt;"&amp;AE27)+COUNTIFS($AK$3:$AK$98,$AK27,AC$3:AC$98,"&lt;"&amp;AF27,AD$3:AD$98,"&gt;"&amp;AE27)+COUNTIFS($AK$3:$AK$98,$AK27,AE$3:AE$98,"&lt;"&amp;AF27,AF$3:AF$98,"&gt;"&amp;AE27)+COUNTIFS($AK$3:$AK$98,$AK27,AG$3:AG$98,"&lt;"&amp;AF27,AH$3:AH$98,"&gt;"&amp;AE27)-(AE27&lt;AF27))</f>
        <v>0</v>
      </c>
      <c r="BL27">
        <f>BK27</f>
        <v>0</v>
      </c>
      <c r="BM27">
        <f>IF(OR($AK27="",AG27="",AH27=""),0,COUNTIFS($AK$3:$AK$98,$AK27,K$3:K$98,"&lt;"&amp;AH27,L$3:L$98,"&gt;"&amp;AG27)+COUNTIFS($AK$3:$AK$98,$AK27,M$3:M$98,"&lt;"&amp;AH27,N$3:N$98,"&gt;"&amp;AG27)+COUNTIFS($AK$3:$AK$98,$AK27,O$3:O$98,"&lt;"&amp;AH27,P$3:P$98,"&gt;"&amp;AG27)+COUNTIFS($AK$3:$AK$98,$AK27,Q$3:Q$98,"&lt;"&amp;AH27,R$3:R$98,"&gt;"&amp;AG27)+COUNTIFS($AK$3:$AK$98,$AK27,S$3:S$98,"&lt;"&amp;AH27,T$3:T$98,"&gt;"&amp;AG27)+COUNTIFS($AK$3:$AK$98,$AK27,U$3:U$98,"&lt;"&amp;AH27,V$3:V$98,"&gt;"&amp;AG27)+COUNTIFS($AK$3:$AK$98,$AK27,W$3:W$98,"&lt;"&amp;AH27,X$3:X$98,"&gt;"&amp;AG27)+COUNTIFS($AK$3:$AK$98,$AK27,Y$3:Y$98,"&lt;"&amp;AH27,Z$3:Z$98,"&gt;"&amp;AG27)+COUNTIFS($AK$3:$AK$98,$AK27,AA$3:AA$98,"&lt;"&amp;AH27,AB$3:AB$98,"&gt;"&amp;AG27)+COUNTIFS($AK$3:$AK$98,$AK27,AC$3:AC$98,"&lt;"&amp;AH27,AD$3:AD$98,"&gt;"&amp;AG27)+COUNTIFS($AK$3:$AK$98,$AK27,AE$3:AE$98,"&lt;"&amp;AH27,AF$3:AF$98,"&gt;"&amp;AG27)+COUNTIFS($AK$3:$AK$98,$AK27,AG$3:AG$98,"&lt;"&amp;AH27,AH$3:AH$98,"&gt;"&amp;AG27)-(AG27&lt;AH27))</f>
        <v>0</v>
      </c>
      <c r="BN27">
        <f>BM27</f>
        <v>0</v>
      </c>
      <c r="BO27" t="str">
        <f>IF(ISNUMBER($G27),$G27,"")</f>
        <v/>
      </c>
      <c r="BP27" t="str">
        <f>IF(AND($A27&lt;&gt;"",COUNT($K27:$AH27)&gt;0),ROW(),"")</f>
        <v/>
      </c>
    </row>
    <row r="28" spans="1:68" ht="14.25" customHeight="1" thickBot="1" x14ac:dyDescent="0.2">
      <c r="A28" s="25" t="str">
        <f>IF($A25="","",$A25)</f>
        <v/>
      </c>
      <c r="B28" s="26" t="str">
        <f>IF($A25="","","fac")</f>
        <v/>
      </c>
      <c r="C28" s="26"/>
      <c r="D28" s="27"/>
      <c r="E28" s="28" t="str">
        <f>IF(AND($D28="",COUNT($K28:$AH28)=0),"",IF(K28="",0,MAX(0,NETWORKDAYS(K28,IF(L28&lt;&gt;"",L28,IF($J28&lt;&gt;"",K28,$AI$1)),祝日!$A$2:$A$200)))+IF(M28="",0,MAX(0,NETWORKDAYS(M28,IF(N28&lt;&gt;"",N28,IF($J28&lt;&gt;"",M28,$AI$1)),祝日!$A$2:$A$200)))+IF(O28="",0,MAX(0,NETWORKDAYS(O28,IF(P28&lt;&gt;"",P28,IF($J28&lt;&gt;"",O28,$AI$1)),祝日!$A$2:$A$200)))+IF(Q28="",0,MAX(0,NETWORKDAYS(Q28,IF(R28&lt;&gt;"",R28,IF($J28&lt;&gt;"",Q28,$AI$1)),祝日!$A$2:$A$200)))+IF(S28="",0,MAX(0,NETWORKDAYS(S28,IF(T28&lt;&gt;"",T28,IF($J28&lt;&gt;"",S28,$AI$1)),祝日!$A$2:$A$200)))+IF(U28="",0,MAX(0,NETWORKDAYS(U28,IF(V28&lt;&gt;"",V28,IF($J28&lt;&gt;"",U28,$AI$1)),祝日!$A$2:$A$200)))+IF(W28="",0,MAX(0,NETWORKDAYS(W28,IF(X28&lt;&gt;"",X28,IF($J28&lt;&gt;"",W28,$AI$1)),祝日!$A$2:$A$200)))+IF(Y28="",0,MAX(0,NETWORKDAYS(Y28,IF(Z28&lt;&gt;"",Z28,IF($J28&lt;&gt;"",Y28,$AI$1)),祝日!$A$2:$A$200)))+IF(AA28="",0,MAX(0,NETWORKDAYS(AA28,IF(AB28&lt;&gt;"",AB28,IF($J28&lt;&gt;"",AA28,$AI$1)),祝日!$A$2:$A$200)))+IF(AC28="",0,MAX(0,NETWORKDAYS(AC28,IF(AD28&lt;&gt;"",AD28,IF($J28&lt;&gt;"",AC28,$AI$1)),祝日!$A$2:$A$200)))+IF(AE28="",0,MAX(0,NETWORKDAYS(AE28,IF(AF28&lt;&gt;"",AF28,IF($J28&lt;&gt;"",AE28,$AI$1)),祝日!$A$2:$A$200)))+IF(AG28="",0,MAX(0,NETWORKDAYS(AG28,IF(AH28&lt;&gt;"",AH28,IF($J28&lt;&gt;"",AG28,$AI$1)),祝日!$A$2:$A$200))))</f>
        <v/>
      </c>
      <c r="F28" s="28" t="str">
        <f>IF($D28="","",$D28-$E28)</f>
        <v/>
      </c>
      <c r="G28" s="29" t="str">
        <f>IF(OR($D28="",$D28=0),"",$E28/$D28)</f>
        <v/>
      </c>
      <c r="H28" s="30" t="str">
        <f>IF($D28="","",IF($J28&lt;&gt;"","FIX",IF(AND(SUMPRODUCT((MOD(COLUMN($K28:$AH28)-COLUMN($K28),2)=0)*($K28:$AH28&lt;&gt;""))=0,SUMPRODUCT((MOD(COLUMN($K28:$AH28)-COLUMN($K28),2)=1)*($K28:$AH28&lt;&gt;""))=0),"未着手",IF(SUMPRODUCT((MOD(COLUMN($K28:$AH28)-COLUMN($K28),2)=0)*($K28:$AH28&lt;&gt;""))&gt;SUMPRODUCT((MOD(COLUMN($K28:$AH28)-COLUMN($K28),2)=1)*($K28:$AH28&lt;&gt;"")),"作業中","中断"))))</f>
        <v/>
      </c>
      <c r="I28" s="30" t="str">
        <f>IF($H28="中断",MAX(0,$AI$1-MAX(L28,N28,P28,R28,T28,V28,X28,Z28,AB28,AD28,AF28,AH28)),"")</f>
        <v/>
      </c>
      <c r="J28" s="26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K28" t="str">
        <f>IF($A25="","",IF(LOOKUP(2,1/($AJ$3:$AJ28&lt;&gt;""),$AJ$3:$AJ28)="-","",LOOKUP(2,1/($AJ$3:$AJ28&lt;&gt;""),$AJ$3:$AJ28)))</f>
        <v/>
      </c>
      <c r="AL28" t="str">
        <f>$H28</f>
        <v/>
      </c>
      <c r="AM28">
        <f>IF(ISNUMBER($D28),$D28,0)</f>
        <v>0</v>
      </c>
      <c r="AN28">
        <f>IF(ISNUMBER($E28),$E28,0)</f>
        <v>0</v>
      </c>
      <c r="AO28">
        <f>IF(ISNUMBER($F28),$F28,0)</f>
        <v>0</v>
      </c>
      <c r="AQ28">
        <f>IF(OR($AK28="",K28="",L28=""),0,COUNTIFS($AK$3:$AK$98,$AK28,K$3:K$98,"&lt;"&amp;L28,L$3:L$98,"&gt;"&amp;K28)+COUNTIFS($AK$3:$AK$98,$AK28,M$3:M$98,"&lt;"&amp;L28,N$3:N$98,"&gt;"&amp;K28)+COUNTIFS($AK$3:$AK$98,$AK28,O$3:O$98,"&lt;"&amp;L28,P$3:P$98,"&gt;"&amp;K28)+COUNTIFS($AK$3:$AK$98,$AK28,Q$3:Q$98,"&lt;"&amp;L28,R$3:R$98,"&gt;"&amp;K28)+COUNTIFS($AK$3:$AK$98,$AK28,S$3:S$98,"&lt;"&amp;L28,T$3:T$98,"&gt;"&amp;K28)+COUNTIFS($AK$3:$AK$98,$AK28,U$3:U$98,"&lt;"&amp;L28,V$3:V$98,"&gt;"&amp;K28)+COUNTIFS($AK$3:$AK$98,$AK28,W$3:W$98,"&lt;"&amp;L28,X$3:X$98,"&gt;"&amp;K28)+COUNTIFS($AK$3:$AK$98,$AK28,Y$3:Y$98,"&lt;"&amp;L28,Z$3:Z$98,"&gt;"&amp;K28)+COUNTIFS($AK$3:$AK$98,$AK28,AA$3:AA$98,"&lt;"&amp;L28,AB$3:AB$98,"&gt;"&amp;K28)+COUNTIFS($AK$3:$AK$98,$AK28,AC$3:AC$98,"&lt;"&amp;L28,AD$3:AD$98,"&gt;"&amp;K28)+COUNTIFS($AK$3:$AK$98,$AK28,AE$3:AE$98,"&lt;"&amp;L28,AF$3:AF$98,"&gt;"&amp;K28)+COUNTIFS($AK$3:$AK$98,$AK28,AG$3:AG$98,"&lt;"&amp;L28,AH$3:AH$98,"&gt;"&amp;K28)-(K28&lt;L28))</f>
        <v>0</v>
      </c>
      <c r="AR28">
        <f>AQ28</f>
        <v>0</v>
      </c>
      <c r="AS28">
        <f>IF(OR($AK28="",M28="",N28=""),0,COUNTIFS($AK$3:$AK$98,$AK28,K$3:K$98,"&lt;"&amp;N28,L$3:L$98,"&gt;"&amp;M28)+COUNTIFS($AK$3:$AK$98,$AK28,M$3:M$98,"&lt;"&amp;N28,N$3:N$98,"&gt;"&amp;M28)+COUNTIFS($AK$3:$AK$98,$AK28,O$3:O$98,"&lt;"&amp;N28,P$3:P$98,"&gt;"&amp;M28)+COUNTIFS($AK$3:$AK$98,$AK28,Q$3:Q$98,"&lt;"&amp;N28,R$3:R$98,"&gt;"&amp;M28)+COUNTIFS($AK$3:$AK$98,$AK28,S$3:S$98,"&lt;"&amp;N28,T$3:T$98,"&gt;"&amp;M28)+COUNTIFS($AK$3:$AK$98,$AK28,U$3:U$98,"&lt;"&amp;N28,V$3:V$98,"&gt;"&amp;M28)+COUNTIFS($AK$3:$AK$98,$AK28,W$3:W$98,"&lt;"&amp;N28,X$3:X$98,"&gt;"&amp;M28)+COUNTIFS($AK$3:$AK$98,$AK28,Y$3:Y$98,"&lt;"&amp;N28,Z$3:Z$98,"&gt;"&amp;M28)+COUNTIFS($AK$3:$AK$98,$AK28,AA$3:AA$98,"&lt;"&amp;N28,AB$3:AB$98,"&gt;"&amp;M28)+COUNTIFS($AK$3:$AK$98,$AK28,AC$3:AC$98,"&lt;"&amp;N28,AD$3:AD$98,"&gt;"&amp;M28)+COUNTIFS($AK$3:$AK$98,$AK28,AE$3:AE$98,"&lt;"&amp;N28,AF$3:AF$98,"&gt;"&amp;M28)+COUNTIFS($AK$3:$AK$98,$AK28,AG$3:AG$98,"&lt;"&amp;N28,AH$3:AH$98,"&gt;"&amp;M28)-(M28&lt;N28))</f>
        <v>0</v>
      </c>
      <c r="AT28">
        <f>AS28</f>
        <v>0</v>
      </c>
      <c r="AU28">
        <f>IF(OR($AK28="",O28="",P28=""),0,COUNTIFS($AK$3:$AK$98,$AK28,K$3:K$98,"&lt;"&amp;P28,L$3:L$98,"&gt;"&amp;O28)+COUNTIFS($AK$3:$AK$98,$AK28,M$3:M$98,"&lt;"&amp;P28,N$3:N$98,"&gt;"&amp;O28)+COUNTIFS($AK$3:$AK$98,$AK28,O$3:O$98,"&lt;"&amp;P28,P$3:P$98,"&gt;"&amp;O28)+COUNTIFS($AK$3:$AK$98,$AK28,Q$3:Q$98,"&lt;"&amp;P28,R$3:R$98,"&gt;"&amp;O28)+COUNTIFS($AK$3:$AK$98,$AK28,S$3:S$98,"&lt;"&amp;P28,T$3:T$98,"&gt;"&amp;O28)+COUNTIFS($AK$3:$AK$98,$AK28,U$3:U$98,"&lt;"&amp;P28,V$3:V$98,"&gt;"&amp;O28)+COUNTIFS($AK$3:$AK$98,$AK28,W$3:W$98,"&lt;"&amp;P28,X$3:X$98,"&gt;"&amp;O28)+COUNTIFS($AK$3:$AK$98,$AK28,Y$3:Y$98,"&lt;"&amp;P28,Z$3:Z$98,"&gt;"&amp;O28)+COUNTIFS($AK$3:$AK$98,$AK28,AA$3:AA$98,"&lt;"&amp;P28,AB$3:AB$98,"&gt;"&amp;O28)+COUNTIFS($AK$3:$AK$98,$AK28,AC$3:AC$98,"&lt;"&amp;P28,AD$3:AD$98,"&gt;"&amp;O28)+COUNTIFS($AK$3:$AK$98,$AK28,AE$3:AE$98,"&lt;"&amp;P28,AF$3:AF$98,"&gt;"&amp;O28)+COUNTIFS($AK$3:$AK$98,$AK28,AG$3:AG$98,"&lt;"&amp;P28,AH$3:AH$98,"&gt;"&amp;O28)-(O28&lt;P28))</f>
        <v>0</v>
      </c>
      <c r="AV28">
        <f>AU28</f>
        <v>0</v>
      </c>
      <c r="AW28">
        <f>IF(OR($AK28="",Q28="",R28=""),0,COUNTIFS($AK$3:$AK$98,$AK28,K$3:K$98,"&lt;"&amp;R28,L$3:L$98,"&gt;"&amp;Q28)+COUNTIFS($AK$3:$AK$98,$AK28,M$3:M$98,"&lt;"&amp;R28,N$3:N$98,"&gt;"&amp;Q28)+COUNTIFS($AK$3:$AK$98,$AK28,O$3:O$98,"&lt;"&amp;R28,P$3:P$98,"&gt;"&amp;Q28)+COUNTIFS($AK$3:$AK$98,$AK28,Q$3:Q$98,"&lt;"&amp;R28,R$3:R$98,"&gt;"&amp;Q28)+COUNTIFS($AK$3:$AK$98,$AK28,S$3:S$98,"&lt;"&amp;R28,T$3:T$98,"&gt;"&amp;Q28)+COUNTIFS($AK$3:$AK$98,$AK28,U$3:U$98,"&lt;"&amp;R28,V$3:V$98,"&gt;"&amp;Q28)+COUNTIFS($AK$3:$AK$98,$AK28,W$3:W$98,"&lt;"&amp;R28,X$3:X$98,"&gt;"&amp;Q28)+COUNTIFS($AK$3:$AK$98,$AK28,Y$3:Y$98,"&lt;"&amp;R28,Z$3:Z$98,"&gt;"&amp;Q28)+COUNTIFS($AK$3:$AK$98,$AK28,AA$3:AA$98,"&lt;"&amp;R28,AB$3:AB$98,"&gt;"&amp;Q28)+COUNTIFS($AK$3:$AK$98,$AK28,AC$3:AC$98,"&lt;"&amp;R28,AD$3:AD$98,"&gt;"&amp;Q28)+COUNTIFS($AK$3:$AK$98,$AK28,AE$3:AE$98,"&lt;"&amp;R28,AF$3:AF$98,"&gt;"&amp;Q28)+COUNTIFS($AK$3:$AK$98,$AK28,AG$3:AG$98,"&lt;"&amp;R28,AH$3:AH$98,"&gt;"&amp;Q28)-(Q28&lt;R28))</f>
        <v>0</v>
      </c>
      <c r="AX28">
        <f>AW28</f>
        <v>0</v>
      </c>
      <c r="AY28">
        <f>IF(OR($AK28="",S28="",T28=""),0,COUNTIFS($AK$3:$AK$98,$AK28,K$3:K$98,"&lt;"&amp;T28,L$3:L$98,"&gt;"&amp;S28)+COUNTIFS($AK$3:$AK$98,$AK28,M$3:M$98,"&lt;"&amp;T28,N$3:N$98,"&gt;"&amp;S28)+COUNTIFS($AK$3:$AK$98,$AK28,O$3:O$98,"&lt;"&amp;T28,P$3:P$98,"&gt;"&amp;S28)+COUNTIFS($AK$3:$AK$98,$AK28,Q$3:Q$98,"&lt;"&amp;T28,R$3:R$98,"&gt;"&amp;S28)+COUNTIFS($AK$3:$AK$98,$AK28,S$3:S$98,"&lt;"&amp;T28,T$3:T$98,"&gt;"&amp;S28)+COUNTIFS($AK$3:$AK$98,$AK28,U$3:U$98,"&lt;"&amp;T28,V$3:V$98,"&gt;"&amp;S28)+COUNTIFS($AK$3:$AK$98,$AK28,W$3:W$98,"&lt;"&amp;T28,X$3:X$98,"&gt;"&amp;S28)+COUNTIFS($AK$3:$AK$98,$AK28,Y$3:Y$98,"&lt;"&amp;T28,Z$3:Z$98,"&gt;"&amp;S28)+COUNTIFS($AK$3:$AK$98,$AK28,AA$3:AA$98,"&lt;"&amp;T28,AB$3:AB$98,"&gt;"&amp;S28)+COUNTIFS($AK$3:$AK$98,$AK28,AC$3:AC$98,"&lt;"&amp;T28,AD$3:AD$98,"&gt;"&amp;S28)+COUNTIFS($AK$3:$AK$98,$AK28,AE$3:AE$98,"&lt;"&amp;T28,AF$3:AF$98,"&gt;"&amp;S28)+COUNTIFS($AK$3:$AK$98,$AK28,AG$3:AG$98,"&lt;"&amp;T28,AH$3:AH$98,"&gt;"&amp;S28)-(S28&lt;T28))</f>
        <v>0</v>
      </c>
      <c r="AZ28">
        <f>AY28</f>
        <v>0</v>
      </c>
      <c r="BA28">
        <f>IF(OR($AK28="",U28="",V28=""),0,COUNTIFS($AK$3:$AK$98,$AK28,K$3:K$98,"&lt;"&amp;V28,L$3:L$98,"&gt;"&amp;U28)+COUNTIFS($AK$3:$AK$98,$AK28,M$3:M$98,"&lt;"&amp;V28,N$3:N$98,"&gt;"&amp;U28)+COUNTIFS($AK$3:$AK$98,$AK28,O$3:O$98,"&lt;"&amp;V28,P$3:P$98,"&gt;"&amp;U28)+COUNTIFS($AK$3:$AK$98,$AK28,Q$3:Q$98,"&lt;"&amp;V28,R$3:R$98,"&gt;"&amp;U28)+COUNTIFS($AK$3:$AK$98,$AK28,S$3:S$98,"&lt;"&amp;V28,T$3:T$98,"&gt;"&amp;U28)+COUNTIFS($AK$3:$AK$98,$AK28,U$3:U$98,"&lt;"&amp;V28,V$3:V$98,"&gt;"&amp;U28)+COUNTIFS($AK$3:$AK$98,$AK28,W$3:W$98,"&lt;"&amp;V28,X$3:X$98,"&gt;"&amp;U28)+COUNTIFS($AK$3:$AK$98,$AK28,Y$3:Y$98,"&lt;"&amp;V28,Z$3:Z$98,"&gt;"&amp;U28)+COUNTIFS($AK$3:$AK$98,$AK28,AA$3:AA$98,"&lt;"&amp;V28,AB$3:AB$98,"&gt;"&amp;U28)+COUNTIFS($AK$3:$AK$98,$AK28,AC$3:AC$98,"&lt;"&amp;V28,AD$3:AD$98,"&gt;"&amp;U28)+COUNTIFS($AK$3:$AK$98,$AK28,AE$3:AE$98,"&lt;"&amp;V28,AF$3:AF$98,"&gt;"&amp;U28)+COUNTIFS($AK$3:$AK$98,$AK28,AG$3:AG$98,"&lt;"&amp;V28,AH$3:AH$98,"&gt;"&amp;U28)-(U28&lt;V28))</f>
        <v>0</v>
      </c>
      <c r="BB28">
        <f>BA28</f>
        <v>0</v>
      </c>
      <c r="BC28">
        <f>IF(OR($AK28="",W28="",X28=""),0,COUNTIFS($AK$3:$AK$98,$AK28,K$3:K$98,"&lt;"&amp;X28,L$3:L$98,"&gt;"&amp;W28)+COUNTIFS($AK$3:$AK$98,$AK28,M$3:M$98,"&lt;"&amp;X28,N$3:N$98,"&gt;"&amp;W28)+COUNTIFS($AK$3:$AK$98,$AK28,O$3:O$98,"&lt;"&amp;X28,P$3:P$98,"&gt;"&amp;W28)+COUNTIFS($AK$3:$AK$98,$AK28,Q$3:Q$98,"&lt;"&amp;X28,R$3:R$98,"&gt;"&amp;W28)+COUNTIFS($AK$3:$AK$98,$AK28,S$3:S$98,"&lt;"&amp;X28,T$3:T$98,"&gt;"&amp;W28)+COUNTIFS($AK$3:$AK$98,$AK28,U$3:U$98,"&lt;"&amp;X28,V$3:V$98,"&gt;"&amp;W28)+COUNTIFS($AK$3:$AK$98,$AK28,W$3:W$98,"&lt;"&amp;X28,X$3:X$98,"&gt;"&amp;W28)+COUNTIFS($AK$3:$AK$98,$AK28,Y$3:Y$98,"&lt;"&amp;X28,Z$3:Z$98,"&gt;"&amp;W28)+COUNTIFS($AK$3:$AK$98,$AK28,AA$3:AA$98,"&lt;"&amp;X28,AB$3:AB$98,"&gt;"&amp;W28)+COUNTIFS($AK$3:$AK$98,$AK28,AC$3:AC$98,"&lt;"&amp;X28,AD$3:AD$98,"&gt;"&amp;W28)+COUNTIFS($AK$3:$AK$98,$AK28,AE$3:AE$98,"&lt;"&amp;X28,AF$3:AF$98,"&gt;"&amp;W28)+COUNTIFS($AK$3:$AK$98,$AK28,AG$3:AG$98,"&lt;"&amp;X28,AH$3:AH$98,"&gt;"&amp;W28)-(W28&lt;X28))</f>
        <v>0</v>
      </c>
      <c r="BD28">
        <f>BC28</f>
        <v>0</v>
      </c>
      <c r="BE28">
        <f>IF(OR($AK28="",Y28="",Z28=""),0,COUNTIFS($AK$3:$AK$98,$AK28,K$3:K$98,"&lt;"&amp;Z28,L$3:L$98,"&gt;"&amp;Y28)+COUNTIFS($AK$3:$AK$98,$AK28,M$3:M$98,"&lt;"&amp;Z28,N$3:N$98,"&gt;"&amp;Y28)+COUNTIFS($AK$3:$AK$98,$AK28,O$3:O$98,"&lt;"&amp;Z28,P$3:P$98,"&gt;"&amp;Y28)+COUNTIFS($AK$3:$AK$98,$AK28,Q$3:Q$98,"&lt;"&amp;Z28,R$3:R$98,"&gt;"&amp;Y28)+COUNTIFS($AK$3:$AK$98,$AK28,S$3:S$98,"&lt;"&amp;Z28,T$3:T$98,"&gt;"&amp;Y28)+COUNTIFS($AK$3:$AK$98,$AK28,U$3:U$98,"&lt;"&amp;Z28,V$3:V$98,"&gt;"&amp;Y28)+COUNTIFS($AK$3:$AK$98,$AK28,W$3:W$98,"&lt;"&amp;Z28,X$3:X$98,"&gt;"&amp;Y28)+COUNTIFS($AK$3:$AK$98,$AK28,Y$3:Y$98,"&lt;"&amp;Z28,Z$3:Z$98,"&gt;"&amp;Y28)+COUNTIFS($AK$3:$AK$98,$AK28,AA$3:AA$98,"&lt;"&amp;Z28,AB$3:AB$98,"&gt;"&amp;Y28)+COUNTIFS($AK$3:$AK$98,$AK28,AC$3:AC$98,"&lt;"&amp;Z28,AD$3:AD$98,"&gt;"&amp;Y28)+COUNTIFS($AK$3:$AK$98,$AK28,AE$3:AE$98,"&lt;"&amp;Z28,AF$3:AF$98,"&gt;"&amp;Y28)+COUNTIFS($AK$3:$AK$98,$AK28,AG$3:AG$98,"&lt;"&amp;Z28,AH$3:AH$98,"&gt;"&amp;Y28)-(Y28&lt;Z28))</f>
        <v>0</v>
      </c>
      <c r="BF28">
        <f>BE28</f>
        <v>0</v>
      </c>
      <c r="BG28">
        <f>IF(OR($AK28="",AA28="",AB28=""),0,COUNTIFS($AK$3:$AK$98,$AK28,K$3:K$98,"&lt;"&amp;AB28,L$3:L$98,"&gt;"&amp;AA28)+COUNTIFS($AK$3:$AK$98,$AK28,M$3:M$98,"&lt;"&amp;AB28,N$3:N$98,"&gt;"&amp;AA28)+COUNTIFS($AK$3:$AK$98,$AK28,O$3:O$98,"&lt;"&amp;AB28,P$3:P$98,"&gt;"&amp;AA28)+COUNTIFS($AK$3:$AK$98,$AK28,Q$3:Q$98,"&lt;"&amp;AB28,R$3:R$98,"&gt;"&amp;AA28)+COUNTIFS($AK$3:$AK$98,$AK28,S$3:S$98,"&lt;"&amp;AB28,T$3:T$98,"&gt;"&amp;AA28)+COUNTIFS($AK$3:$AK$98,$AK28,U$3:U$98,"&lt;"&amp;AB28,V$3:V$98,"&gt;"&amp;AA28)+COUNTIFS($AK$3:$AK$98,$AK28,W$3:W$98,"&lt;"&amp;AB28,X$3:X$98,"&gt;"&amp;AA28)+COUNTIFS($AK$3:$AK$98,$AK28,Y$3:Y$98,"&lt;"&amp;AB28,Z$3:Z$98,"&gt;"&amp;AA28)+COUNTIFS($AK$3:$AK$98,$AK28,AA$3:AA$98,"&lt;"&amp;AB28,AB$3:AB$98,"&gt;"&amp;AA28)+COUNTIFS($AK$3:$AK$98,$AK28,AC$3:AC$98,"&lt;"&amp;AB28,AD$3:AD$98,"&gt;"&amp;AA28)+COUNTIFS($AK$3:$AK$98,$AK28,AE$3:AE$98,"&lt;"&amp;AB28,AF$3:AF$98,"&gt;"&amp;AA28)+COUNTIFS($AK$3:$AK$98,$AK28,AG$3:AG$98,"&lt;"&amp;AB28,AH$3:AH$98,"&gt;"&amp;AA28)-(AA28&lt;AB28))</f>
        <v>0</v>
      </c>
      <c r="BH28">
        <f>BG28</f>
        <v>0</v>
      </c>
      <c r="BI28">
        <f>IF(OR($AK28="",AC28="",AD28=""),0,COUNTIFS($AK$3:$AK$98,$AK28,K$3:K$98,"&lt;"&amp;AD28,L$3:L$98,"&gt;"&amp;AC28)+COUNTIFS($AK$3:$AK$98,$AK28,M$3:M$98,"&lt;"&amp;AD28,N$3:N$98,"&gt;"&amp;AC28)+COUNTIFS($AK$3:$AK$98,$AK28,O$3:O$98,"&lt;"&amp;AD28,P$3:P$98,"&gt;"&amp;AC28)+COUNTIFS($AK$3:$AK$98,$AK28,Q$3:Q$98,"&lt;"&amp;AD28,R$3:R$98,"&gt;"&amp;AC28)+COUNTIFS($AK$3:$AK$98,$AK28,S$3:S$98,"&lt;"&amp;AD28,T$3:T$98,"&gt;"&amp;AC28)+COUNTIFS($AK$3:$AK$98,$AK28,U$3:U$98,"&lt;"&amp;AD28,V$3:V$98,"&gt;"&amp;AC28)+COUNTIFS($AK$3:$AK$98,$AK28,W$3:W$98,"&lt;"&amp;AD28,X$3:X$98,"&gt;"&amp;AC28)+COUNTIFS($AK$3:$AK$98,$AK28,Y$3:Y$98,"&lt;"&amp;AD28,Z$3:Z$98,"&gt;"&amp;AC28)+COUNTIFS($AK$3:$AK$98,$AK28,AA$3:AA$98,"&lt;"&amp;AD28,AB$3:AB$98,"&gt;"&amp;AC28)+COUNTIFS($AK$3:$AK$98,$AK28,AC$3:AC$98,"&lt;"&amp;AD28,AD$3:AD$98,"&gt;"&amp;AC28)+COUNTIFS($AK$3:$AK$98,$AK28,AE$3:AE$98,"&lt;"&amp;AD28,AF$3:AF$98,"&gt;"&amp;AC28)+COUNTIFS($AK$3:$AK$98,$AK28,AG$3:AG$98,"&lt;"&amp;AD28,AH$3:AH$98,"&gt;"&amp;AC28)-(AC28&lt;AD28))</f>
        <v>0</v>
      </c>
      <c r="BJ28">
        <f>BI28</f>
        <v>0</v>
      </c>
      <c r="BK28">
        <f>IF(OR($AK28="",AE28="",AF28=""),0,COUNTIFS($AK$3:$AK$98,$AK28,K$3:K$98,"&lt;"&amp;AF28,L$3:L$98,"&gt;"&amp;AE28)+COUNTIFS($AK$3:$AK$98,$AK28,M$3:M$98,"&lt;"&amp;AF28,N$3:N$98,"&gt;"&amp;AE28)+COUNTIFS($AK$3:$AK$98,$AK28,O$3:O$98,"&lt;"&amp;AF28,P$3:P$98,"&gt;"&amp;AE28)+COUNTIFS($AK$3:$AK$98,$AK28,Q$3:Q$98,"&lt;"&amp;AF28,R$3:R$98,"&gt;"&amp;AE28)+COUNTIFS($AK$3:$AK$98,$AK28,S$3:S$98,"&lt;"&amp;AF28,T$3:T$98,"&gt;"&amp;AE28)+COUNTIFS($AK$3:$AK$98,$AK28,U$3:U$98,"&lt;"&amp;AF28,V$3:V$98,"&gt;"&amp;AE28)+COUNTIFS($AK$3:$AK$98,$AK28,W$3:W$98,"&lt;"&amp;AF28,X$3:X$98,"&gt;"&amp;AE28)+COUNTIFS($AK$3:$AK$98,$AK28,Y$3:Y$98,"&lt;"&amp;AF28,Z$3:Z$98,"&gt;"&amp;AE28)+COUNTIFS($AK$3:$AK$98,$AK28,AA$3:AA$98,"&lt;"&amp;AF28,AB$3:AB$98,"&gt;"&amp;AE28)+COUNTIFS($AK$3:$AK$98,$AK28,AC$3:AC$98,"&lt;"&amp;AF28,AD$3:AD$98,"&gt;"&amp;AE28)+COUNTIFS($AK$3:$AK$98,$AK28,AE$3:AE$98,"&lt;"&amp;AF28,AF$3:AF$98,"&gt;"&amp;AE28)+COUNTIFS($AK$3:$AK$98,$AK28,AG$3:AG$98,"&lt;"&amp;AF28,AH$3:AH$98,"&gt;"&amp;AE28)-(AE28&lt;AF28))</f>
        <v>0</v>
      </c>
      <c r="BL28">
        <f>BK28</f>
        <v>0</v>
      </c>
      <c r="BM28">
        <f>IF(OR($AK28="",AG28="",AH28=""),0,COUNTIFS($AK$3:$AK$98,$AK28,K$3:K$98,"&lt;"&amp;AH28,L$3:L$98,"&gt;"&amp;AG28)+COUNTIFS($AK$3:$AK$98,$AK28,M$3:M$98,"&lt;"&amp;AH28,N$3:N$98,"&gt;"&amp;AG28)+COUNTIFS($AK$3:$AK$98,$AK28,O$3:O$98,"&lt;"&amp;AH28,P$3:P$98,"&gt;"&amp;AG28)+COUNTIFS($AK$3:$AK$98,$AK28,Q$3:Q$98,"&lt;"&amp;AH28,R$3:R$98,"&gt;"&amp;AG28)+COUNTIFS($AK$3:$AK$98,$AK28,S$3:S$98,"&lt;"&amp;AH28,T$3:T$98,"&gt;"&amp;AG28)+COUNTIFS($AK$3:$AK$98,$AK28,U$3:U$98,"&lt;"&amp;AH28,V$3:V$98,"&gt;"&amp;AG28)+COUNTIFS($AK$3:$AK$98,$AK28,W$3:W$98,"&lt;"&amp;AH28,X$3:X$98,"&gt;"&amp;AG28)+COUNTIFS($AK$3:$AK$98,$AK28,Y$3:Y$98,"&lt;"&amp;AH28,Z$3:Z$98,"&gt;"&amp;AG28)+COUNTIFS($AK$3:$AK$98,$AK28,AA$3:AA$98,"&lt;"&amp;AH28,AB$3:AB$98,"&gt;"&amp;AG28)+COUNTIFS($AK$3:$AK$98,$AK28,AC$3:AC$98,"&lt;"&amp;AH28,AD$3:AD$98,"&gt;"&amp;AG28)+COUNTIFS($AK$3:$AK$98,$AK28,AE$3:AE$98,"&lt;"&amp;AH28,AF$3:AF$98,"&gt;"&amp;AG28)+COUNTIFS($AK$3:$AK$98,$AK28,AG$3:AG$98,"&lt;"&amp;AH28,AH$3:AH$98,"&gt;"&amp;AG28)-(AG28&lt;AH28))</f>
        <v>0</v>
      </c>
      <c r="BN28">
        <f>BM28</f>
        <v>0</v>
      </c>
      <c r="BO28" t="str">
        <f>IF(ISNUMBER($G28),$G28,"")</f>
        <v/>
      </c>
      <c r="BP28" t="str">
        <f>IF(AND($A28&lt;&gt;"",COUNT($K28:$AH28)&gt;0),ROW(),"")</f>
        <v/>
      </c>
    </row>
    <row r="29" spans="1:68" x14ac:dyDescent="0.15">
      <c r="A29" s="13" t="s">
        <v>40</v>
      </c>
      <c r="B29" s="14" t="str">
        <f>IF($A29="","","total")</f>
        <v>total</v>
      </c>
      <c r="C29" s="14"/>
      <c r="D29" s="15">
        <f>IF($A29="","",SUM(D30:D32))</f>
        <v>17</v>
      </c>
      <c r="E29" s="15">
        <f>IF($A29="","",SUM(E30:E32))</f>
        <v>5</v>
      </c>
      <c r="F29" s="15">
        <f>IF($A29="","",D29-E29)</f>
        <v>12</v>
      </c>
      <c r="G29" s="16">
        <f>IF($A29="","",IFERROR(AVERAGEIFS(G30:G32,H30:H32,"&lt;&gt;未着手",H30:H32,"&lt;&gt;作業中"),""))</f>
        <v>0.625</v>
      </c>
      <c r="H29" s="14"/>
      <c r="I29" s="14"/>
      <c r="J29" s="14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</row>
    <row r="30" spans="1:68" x14ac:dyDescent="0.15">
      <c r="A30" s="18" t="str">
        <f>IF($A29="","",$A29)</f>
        <v>chMobSaiyanG</v>
      </c>
      <c r="B30" s="19" t="str">
        <f>IF($A29="","","low")</f>
        <v>low</v>
      </c>
      <c r="C30" s="19"/>
      <c r="D30" s="20">
        <v>8</v>
      </c>
      <c r="E30" s="21">
        <f>IF(AND($D30="",COUNT($K30:$AH30)=0),"",IF(K30="",0,MAX(0,NETWORKDAYS(K30,IF(L30&lt;&gt;"",L30,IF($J30&lt;&gt;"",K30,$AI$1)),祝日!$A$2:$A$200)))+IF(M30="",0,MAX(0,NETWORKDAYS(M30,IF(N30&lt;&gt;"",N30,IF($J30&lt;&gt;"",M30,$AI$1)),祝日!$A$2:$A$200)))+IF(O30="",0,MAX(0,NETWORKDAYS(O30,IF(P30&lt;&gt;"",P30,IF($J30&lt;&gt;"",O30,$AI$1)),祝日!$A$2:$A$200)))+IF(Q30="",0,MAX(0,NETWORKDAYS(Q30,IF(R30&lt;&gt;"",R30,IF($J30&lt;&gt;"",Q30,$AI$1)),祝日!$A$2:$A$200)))+IF(S30="",0,MAX(0,NETWORKDAYS(S30,IF(T30&lt;&gt;"",T30,IF($J30&lt;&gt;"",S30,$AI$1)),祝日!$A$2:$A$200)))+IF(U30="",0,MAX(0,NETWORKDAYS(U30,IF(V30&lt;&gt;"",V30,IF($J30&lt;&gt;"",U30,$AI$1)),祝日!$A$2:$A$200)))+IF(W30="",0,MAX(0,NETWORKDAYS(W30,IF(X30&lt;&gt;"",X30,IF($J30&lt;&gt;"",W30,$AI$1)),祝日!$A$2:$A$200)))+IF(Y30="",0,MAX(0,NETWORKDAYS(Y30,IF(Z30&lt;&gt;"",Z30,IF($J30&lt;&gt;"",Y30,$AI$1)),祝日!$A$2:$A$200)))+IF(AA30="",0,MAX(0,NETWORKDAYS(AA30,IF(AB30&lt;&gt;"",AB30,IF($J30&lt;&gt;"",AA30,$AI$1)),祝日!$A$2:$A$200)))+IF(AC30="",0,MAX(0,NETWORKDAYS(AC30,IF(AD30&lt;&gt;"",AD30,IF($J30&lt;&gt;"",AC30,$AI$1)),祝日!$A$2:$A$200)))+IF(AE30="",0,MAX(0,NETWORKDAYS(AE30,IF(AF30&lt;&gt;"",AF30,IF($J30&lt;&gt;"",AE30,$AI$1)),祝日!$A$2:$A$200)))+IF(AG30="",0,MAX(0,NETWORKDAYS(AG30,IF(AH30&lt;&gt;"",AH30,IF($J30&lt;&gt;"",AG30,$AI$1)),祝日!$A$2:$A$200))))</f>
        <v>5</v>
      </c>
      <c r="F30" s="21">
        <f>IF($D30="","",$D30-$E30)</f>
        <v>3</v>
      </c>
      <c r="G30" s="22">
        <f>IF(OR($D30="",$D30=0),"",$E30/$D30)</f>
        <v>0.625</v>
      </c>
      <c r="H30" s="23" t="str">
        <f>IF($D30="","",IF($J30&lt;&gt;"","FIX",IF(AND(SUMPRODUCT((MOD(COLUMN($K30:$AH30)-COLUMN($K30),2)=0)*($K30:$AH30&lt;&gt;""))=0,SUMPRODUCT((MOD(COLUMN($K30:$AH30)-COLUMN($K30),2)=1)*($K30:$AH30&lt;&gt;""))=0),"未着手",IF(SUMPRODUCT((MOD(COLUMN($K30:$AH30)-COLUMN($K30),2)=0)*($K30:$AH30&lt;&gt;""))&gt;SUMPRODUCT((MOD(COLUMN($K30:$AH30)-COLUMN($K30),2)=1)*($K30:$AH30&lt;&gt;"")),"作業中","中断"))))</f>
        <v>中断</v>
      </c>
      <c r="I30" s="23">
        <f ca="1">IF($H30="中断",MAX(0,$AI$1-MAX(L30,N30,P30,R30,T30,V30,X30,Z30,AB30,AD30,AF30,AH30)),"")</f>
        <v>6</v>
      </c>
      <c r="J30" s="19"/>
      <c r="K30" s="24">
        <v>46281</v>
      </c>
      <c r="L30" s="24">
        <v>46282</v>
      </c>
      <c r="M30" s="24">
        <v>46293</v>
      </c>
      <c r="N30" s="24">
        <v>46294</v>
      </c>
      <c r="O30" s="24">
        <v>46296</v>
      </c>
      <c r="P30" s="24">
        <v>46296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K30" t="str">
        <f>IF($A29="","",IF(LOOKUP(2,1/($AJ$3:$AJ30&lt;&gt;""),$AJ$3:$AJ30)="-","",LOOKUP(2,1/($AJ$3:$AJ30&lt;&gt;""),$AJ$3:$AJ30)))</f>
        <v>CH02</v>
      </c>
      <c r="AL30" t="str">
        <f>$H30</f>
        <v>中断</v>
      </c>
      <c r="AM30">
        <f>IF(ISNUMBER($D30),$D30,0)</f>
        <v>8</v>
      </c>
      <c r="AN30">
        <f>IF(ISNUMBER($E30),$E30,0)</f>
        <v>5</v>
      </c>
      <c r="AO30">
        <f>IF(ISNUMBER($F30),$F30,0)</f>
        <v>3</v>
      </c>
      <c r="AQ30">
        <f>IF(OR($AK30="",K30="",L30=""),0,COUNTIFS($AK$3:$AK$98,$AK30,K$3:K$98,"&lt;"&amp;L30,L$3:L$98,"&gt;"&amp;K30)+COUNTIFS($AK$3:$AK$98,$AK30,M$3:M$98,"&lt;"&amp;L30,N$3:N$98,"&gt;"&amp;K30)+COUNTIFS($AK$3:$AK$98,$AK30,O$3:O$98,"&lt;"&amp;L30,P$3:P$98,"&gt;"&amp;K30)+COUNTIFS($AK$3:$AK$98,$AK30,Q$3:Q$98,"&lt;"&amp;L30,R$3:R$98,"&gt;"&amp;K30)+COUNTIFS($AK$3:$AK$98,$AK30,S$3:S$98,"&lt;"&amp;L30,T$3:T$98,"&gt;"&amp;K30)+COUNTIFS($AK$3:$AK$98,$AK30,U$3:U$98,"&lt;"&amp;L30,V$3:V$98,"&gt;"&amp;K30)+COUNTIFS($AK$3:$AK$98,$AK30,W$3:W$98,"&lt;"&amp;L30,X$3:X$98,"&gt;"&amp;K30)+COUNTIFS($AK$3:$AK$98,$AK30,Y$3:Y$98,"&lt;"&amp;L30,Z$3:Z$98,"&gt;"&amp;K30)+COUNTIFS($AK$3:$AK$98,$AK30,AA$3:AA$98,"&lt;"&amp;L30,AB$3:AB$98,"&gt;"&amp;K30)+COUNTIFS($AK$3:$AK$98,$AK30,AC$3:AC$98,"&lt;"&amp;L30,AD$3:AD$98,"&gt;"&amp;K30)+COUNTIFS($AK$3:$AK$98,$AK30,AE$3:AE$98,"&lt;"&amp;L30,AF$3:AF$98,"&gt;"&amp;K30)+COUNTIFS($AK$3:$AK$98,$AK30,AG$3:AG$98,"&lt;"&amp;L30,AH$3:AH$98,"&gt;"&amp;K30)-(K30&lt;L30))</f>
        <v>0</v>
      </c>
      <c r="AR30">
        <f>AQ30</f>
        <v>0</v>
      </c>
      <c r="AS30">
        <f>IF(OR($AK30="",M30="",N30=""),0,COUNTIFS($AK$3:$AK$98,$AK30,K$3:K$98,"&lt;"&amp;N30,L$3:L$98,"&gt;"&amp;M30)+COUNTIFS($AK$3:$AK$98,$AK30,M$3:M$98,"&lt;"&amp;N30,N$3:N$98,"&gt;"&amp;M30)+COUNTIFS($AK$3:$AK$98,$AK30,O$3:O$98,"&lt;"&amp;N30,P$3:P$98,"&gt;"&amp;M30)+COUNTIFS($AK$3:$AK$98,$AK30,Q$3:Q$98,"&lt;"&amp;N30,R$3:R$98,"&gt;"&amp;M30)+COUNTIFS($AK$3:$AK$98,$AK30,S$3:S$98,"&lt;"&amp;N30,T$3:T$98,"&gt;"&amp;M30)+COUNTIFS($AK$3:$AK$98,$AK30,U$3:U$98,"&lt;"&amp;N30,V$3:V$98,"&gt;"&amp;M30)+COUNTIFS($AK$3:$AK$98,$AK30,W$3:W$98,"&lt;"&amp;N30,X$3:X$98,"&gt;"&amp;M30)+COUNTIFS($AK$3:$AK$98,$AK30,Y$3:Y$98,"&lt;"&amp;N30,Z$3:Z$98,"&gt;"&amp;M30)+COUNTIFS($AK$3:$AK$98,$AK30,AA$3:AA$98,"&lt;"&amp;N30,AB$3:AB$98,"&gt;"&amp;M30)+COUNTIFS($AK$3:$AK$98,$AK30,AC$3:AC$98,"&lt;"&amp;N30,AD$3:AD$98,"&gt;"&amp;M30)+COUNTIFS($AK$3:$AK$98,$AK30,AE$3:AE$98,"&lt;"&amp;N30,AF$3:AF$98,"&gt;"&amp;M30)+COUNTIFS($AK$3:$AK$98,$AK30,AG$3:AG$98,"&lt;"&amp;N30,AH$3:AH$98,"&gt;"&amp;M30)-(M30&lt;N30))</f>
        <v>0</v>
      </c>
      <c r="AT30">
        <f>AS30</f>
        <v>0</v>
      </c>
      <c r="AU30">
        <f>IF(OR($AK30="",O30="",P30=""),0,COUNTIFS($AK$3:$AK$98,$AK30,K$3:K$98,"&lt;"&amp;P30,L$3:L$98,"&gt;"&amp;O30)+COUNTIFS($AK$3:$AK$98,$AK30,M$3:M$98,"&lt;"&amp;P30,N$3:N$98,"&gt;"&amp;O30)+COUNTIFS($AK$3:$AK$98,$AK30,O$3:O$98,"&lt;"&amp;P30,P$3:P$98,"&gt;"&amp;O30)+COUNTIFS($AK$3:$AK$98,$AK30,Q$3:Q$98,"&lt;"&amp;P30,R$3:R$98,"&gt;"&amp;O30)+COUNTIFS($AK$3:$AK$98,$AK30,S$3:S$98,"&lt;"&amp;P30,T$3:T$98,"&gt;"&amp;O30)+COUNTIFS($AK$3:$AK$98,$AK30,U$3:U$98,"&lt;"&amp;P30,V$3:V$98,"&gt;"&amp;O30)+COUNTIFS($AK$3:$AK$98,$AK30,W$3:W$98,"&lt;"&amp;P30,X$3:X$98,"&gt;"&amp;O30)+COUNTIFS($AK$3:$AK$98,$AK30,Y$3:Y$98,"&lt;"&amp;P30,Z$3:Z$98,"&gt;"&amp;O30)+COUNTIFS($AK$3:$AK$98,$AK30,AA$3:AA$98,"&lt;"&amp;P30,AB$3:AB$98,"&gt;"&amp;O30)+COUNTIFS($AK$3:$AK$98,$AK30,AC$3:AC$98,"&lt;"&amp;P30,AD$3:AD$98,"&gt;"&amp;O30)+COUNTIFS($AK$3:$AK$98,$AK30,AE$3:AE$98,"&lt;"&amp;P30,AF$3:AF$98,"&gt;"&amp;O30)+COUNTIFS($AK$3:$AK$98,$AK30,AG$3:AG$98,"&lt;"&amp;P30,AH$3:AH$98,"&gt;"&amp;O30)-(O30&lt;P30))</f>
        <v>0</v>
      </c>
      <c r="AV30">
        <f>AU30</f>
        <v>0</v>
      </c>
      <c r="AW30">
        <f>IF(OR($AK30="",Q30="",R30=""),0,COUNTIFS($AK$3:$AK$98,$AK30,K$3:K$98,"&lt;"&amp;R30,L$3:L$98,"&gt;"&amp;Q30)+COUNTIFS($AK$3:$AK$98,$AK30,M$3:M$98,"&lt;"&amp;R30,N$3:N$98,"&gt;"&amp;Q30)+COUNTIFS($AK$3:$AK$98,$AK30,O$3:O$98,"&lt;"&amp;R30,P$3:P$98,"&gt;"&amp;Q30)+COUNTIFS($AK$3:$AK$98,$AK30,Q$3:Q$98,"&lt;"&amp;R30,R$3:R$98,"&gt;"&amp;Q30)+COUNTIFS($AK$3:$AK$98,$AK30,S$3:S$98,"&lt;"&amp;R30,T$3:T$98,"&gt;"&amp;Q30)+COUNTIFS($AK$3:$AK$98,$AK30,U$3:U$98,"&lt;"&amp;R30,V$3:V$98,"&gt;"&amp;Q30)+COUNTIFS($AK$3:$AK$98,$AK30,W$3:W$98,"&lt;"&amp;R30,X$3:X$98,"&gt;"&amp;Q30)+COUNTIFS($AK$3:$AK$98,$AK30,Y$3:Y$98,"&lt;"&amp;R30,Z$3:Z$98,"&gt;"&amp;Q30)+COUNTIFS($AK$3:$AK$98,$AK30,AA$3:AA$98,"&lt;"&amp;R30,AB$3:AB$98,"&gt;"&amp;Q30)+COUNTIFS($AK$3:$AK$98,$AK30,AC$3:AC$98,"&lt;"&amp;R30,AD$3:AD$98,"&gt;"&amp;Q30)+COUNTIFS($AK$3:$AK$98,$AK30,AE$3:AE$98,"&lt;"&amp;R30,AF$3:AF$98,"&gt;"&amp;Q30)+COUNTIFS($AK$3:$AK$98,$AK30,AG$3:AG$98,"&lt;"&amp;R30,AH$3:AH$98,"&gt;"&amp;Q30)-(Q30&lt;R30))</f>
        <v>0</v>
      </c>
      <c r="AX30">
        <f>AW30</f>
        <v>0</v>
      </c>
      <c r="AY30">
        <f>IF(OR($AK30="",S30="",T30=""),0,COUNTIFS($AK$3:$AK$98,$AK30,K$3:K$98,"&lt;"&amp;T30,L$3:L$98,"&gt;"&amp;S30)+COUNTIFS($AK$3:$AK$98,$AK30,M$3:M$98,"&lt;"&amp;T30,N$3:N$98,"&gt;"&amp;S30)+COUNTIFS($AK$3:$AK$98,$AK30,O$3:O$98,"&lt;"&amp;T30,P$3:P$98,"&gt;"&amp;S30)+COUNTIFS($AK$3:$AK$98,$AK30,Q$3:Q$98,"&lt;"&amp;T30,R$3:R$98,"&gt;"&amp;S30)+COUNTIFS($AK$3:$AK$98,$AK30,S$3:S$98,"&lt;"&amp;T30,T$3:T$98,"&gt;"&amp;S30)+COUNTIFS($AK$3:$AK$98,$AK30,U$3:U$98,"&lt;"&amp;T30,V$3:V$98,"&gt;"&amp;S30)+COUNTIFS($AK$3:$AK$98,$AK30,W$3:W$98,"&lt;"&amp;T30,X$3:X$98,"&gt;"&amp;S30)+COUNTIFS($AK$3:$AK$98,$AK30,Y$3:Y$98,"&lt;"&amp;T30,Z$3:Z$98,"&gt;"&amp;S30)+COUNTIFS($AK$3:$AK$98,$AK30,AA$3:AA$98,"&lt;"&amp;T30,AB$3:AB$98,"&gt;"&amp;S30)+COUNTIFS($AK$3:$AK$98,$AK30,AC$3:AC$98,"&lt;"&amp;T30,AD$3:AD$98,"&gt;"&amp;S30)+COUNTIFS($AK$3:$AK$98,$AK30,AE$3:AE$98,"&lt;"&amp;T30,AF$3:AF$98,"&gt;"&amp;S30)+COUNTIFS($AK$3:$AK$98,$AK30,AG$3:AG$98,"&lt;"&amp;T30,AH$3:AH$98,"&gt;"&amp;S30)-(S30&lt;T30))</f>
        <v>0</v>
      </c>
      <c r="AZ30">
        <f>AY30</f>
        <v>0</v>
      </c>
      <c r="BA30">
        <f>IF(OR($AK30="",U30="",V30=""),0,COUNTIFS($AK$3:$AK$98,$AK30,K$3:K$98,"&lt;"&amp;V30,L$3:L$98,"&gt;"&amp;U30)+COUNTIFS($AK$3:$AK$98,$AK30,M$3:M$98,"&lt;"&amp;V30,N$3:N$98,"&gt;"&amp;U30)+COUNTIFS($AK$3:$AK$98,$AK30,O$3:O$98,"&lt;"&amp;V30,P$3:P$98,"&gt;"&amp;U30)+COUNTIFS($AK$3:$AK$98,$AK30,Q$3:Q$98,"&lt;"&amp;V30,R$3:R$98,"&gt;"&amp;U30)+COUNTIFS($AK$3:$AK$98,$AK30,S$3:S$98,"&lt;"&amp;V30,T$3:T$98,"&gt;"&amp;U30)+COUNTIFS($AK$3:$AK$98,$AK30,U$3:U$98,"&lt;"&amp;V30,V$3:V$98,"&gt;"&amp;U30)+COUNTIFS($AK$3:$AK$98,$AK30,W$3:W$98,"&lt;"&amp;V30,X$3:X$98,"&gt;"&amp;U30)+COUNTIFS($AK$3:$AK$98,$AK30,Y$3:Y$98,"&lt;"&amp;V30,Z$3:Z$98,"&gt;"&amp;U30)+COUNTIFS($AK$3:$AK$98,$AK30,AA$3:AA$98,"&lt;"&amp;V30,AB$3:AB$98,"&gt;"&amp;U30)+COUNTIFS($AK$3:$AK$98,$AK30,AC$3:AC$98,"&lt;"&amp;V30,AD$3:AD$98,"&gt;"&amp;U30)+COUNTIFS($AK$3:$AK$98,$AK30,AE$3:AE$98,"&lt;"&amp;V30,AF$3:AF$98,"&gt;"&amp;U30)+COUNTIFS($AK$3:$AK$98,$AK30,AG$3:AG$98,"&lt;"&amp;V30,AH$3:AH$98,"&gt;"&amp;U30)-(U30&lt;V30))</f>
        <v>0</v>
      </c>
      <c r="BB30">
        <f>BA30</f>
        <v>0</v>
      </c>
      <c r="BC30">
        <f>IF(OR($AK30="",W30="",X30=""),0,COUNTIFS($AK$3:$AK$98,$AK30,K$3:K$98,"&lt;"&amp;X30,L$3:L$98,"&gt;"&amp;W30)+COUNTIFS($AK$3:$AK$98,$AK30,M$3:M$98,"&lt;"&amp;X30,N$3:N$98,"&gt;"&amp;W30)+COUNTIFS($AK$3:$AK$98,$AK30,O$3:O$98,"&lt;"&amp;X30,P$3:P$98,"&gt;"&amp;W30)+COUNTIFS($AK$3:$AK$98,$AK30,Q$3:Q$98,"&lt;"&amp;X30,R$3:R$98,"&gt;"&amp;W30)+COUNTIFS($AK$3:$AK$98,$AK30,S$3:S$98,"&lt;"&amp;X30,T$3:T$98,"&gt;"&amp;W30)+COUNTIFS($AK$3:$AK$98,$AK30,U$3:U$98,"&lt;"&amp;X30,V$3:V$98,"&gt;"&amp;W30)+COUNTIFS($AK$3:$AK$98,$AK30,W$3:W$98,"&lt;"&amp;X30,X$3:X$98,"&gt;"&amp;W30)+COUNTIFS($AK$3:$AK$98,$AK30,Y$3:Y$98,"&lt;"&amp;X30,Z$3:Z$98,"&gt;"&amp;W30)+COUNTIFS($AK$3:$AK$98,$AK30,AA$3:AA$98,"&lt;"&amp;X30,AB$3:AB$98,"&gt;"&amp;W30)+COUNTIFS($AK$3:$AK$98,$AK30,AC$3:AC$98,"&lt;"&amp;X30,AD$3:AD$98,"&gt;"&amp;W30)+COUNTIFS($AK$3:$AK$98,$AK30,AE$3:AE$98,"&lt;"&amp;X30,AF$3:AF$98,"&gt;"&amp;W30)+COUNTIFS($AK$3:$AK$98,$AK30,AG$3:AG$98,"&lt;"&amp;X30,AH$3:AH$98,"&gt;"&amp;W30)-(W30&lt;X30))</f>
        <v>0</v>
      </c>
      <c r="BD30">
        <f>BC30</f>
        <v>0</v>
      </c>
      <c r="BE30">
        <f>IF(OR($AK30="",Y30="",Z30=""),0,COUNTIFS($AK$3:$AK$98,$AK30,K$3:K$98,"&lt;"&amp;Z30,L$3:L$98,"&gt;"&amp;Y30)+COUNTIFS($AK$3:$AK$98,$AK30,M$3:M$98,"&lt;"&amp;Z30,N$3:N$98,"&gt;"&amp;Y30)+COUNTIFS($AK$3:$AK$98,$AK30,O$3:O$98,"&lt;"&amp;Z30,P$3:P$98,"&gt;"&amp;Y30)+COUNTIFS($AK$3:$AK$98,$AK30,Q$3:Q$98,"&lt;"&amp;Z30,R$3:R$98,"&gt;"&amp;Y30)+COUNTIFS($AK$3:$AK$98,$AK30,S$3:S$98,"&lt;"&amp;Z30,T$3:T$98,"&gt;"&amp;Y30)+COUNTIFS($AK$3:$AK$98,$AK30,U$3:U$98,"&lt;"&amp;Z30,V$3:V$98,"&gt;"&amp;Y30)+COUNTIFS($AK$3:$AK$98,$AK30,W$3:W$98,"&lt;"&amp;Z30,X$3:X$98,"&gt;"&amp;Y30)+COUNTIFS($AK$3:$AK$98,$AK30,Y$3:Y$98,"&lt;"&amp;Z30,Z$3:Z$98,"&gt;"&amp;Y30)+COUNTIFS($AK$3:$AK$98,$AK30,AA$3:AA$98,"&lt;"&amp;Z30,AB$3:AB$98,"&gt;"&amp;Y30)+COUNTIFS($AK$3:$AK$98,$AK30,AC$3:AC$98,"&lt;"&amp;Z30,AD$3:AD$98,"&gt;"&amp;Y30)+COUNTIFS($AK$3:$AK$98,$AK30,AE$3:AE$98,"&lt;"&amp;Z30,AF$3:AF$98,"&gt;"&amp;Y30)+COUNTIFS($AK$3:$AK$98,$AK30,AG$3:AG$98,"&lt;"&amp;Z30,AH$3:AH$98,"&gt;"&amp;Y30)-(Y30&lt;Z30))</f>
        <v>0</v>
      </c>
      <c r="BF30">
        <f>BE30</f>
        <v>0</v>
      </c>
      <c r="BG30">
        <f>IF(OR($AK30="",AA30="",AB30=""),0,COUNTIFS($AK$3:$AK$98,$AK30,K$3:K$98,"&lt;"&amp;AB30,L$3:L$98,"&gt;"&amp;AA30)+COUNTIFS($AK$3:$AK$98,$AK30,M$3:M$98,"&lt;"&amp;AB30,N$3:N$98,"&gt;"&amp;AA30)+COUNTIFS($AK$3:$AK$98,$AK30,O$3:O$98,"&lt;"&amp;AB30,P$3:P$98,"&gt;"&amp;AA30)+COUNTIFS($AK$3:$AK$98,$AK30,Q$3:Q$98,"&lt;"&amp;AB30,R$3:R$98,"&gt;"&amp;AA30)+COUNTIFS($AK$3:$AK$98,$AK30,S$3:S$98,"&lt;"&amp;AB30,T$3:T$98,"&gt;"&amp;AA30)+COUNTIFS($AK$3:$AK$98,$AK30,U$3:U$98,"&lt;"&amp;AB30,V$3:V$98,"&gt;"&amp;AA30)+COUNTIFS($AK$3:$AK$98,$AK30,W$3:W$98,"&lt;"&amp;AB30,X$3:X$98,"&gt;"&amp;AA30)+COUNTIFS($AK$3:$AK$98,$AK30,Y$3:Y$98,"&lt;"&amp;AB30,Z$3:Z$98,"&gt;"&amp;AA30)+COUNTIFS($AK$3:$AK$98,$AK30,AA$3:AA$98,"&lt;"&amp;AB30,AB$3:AB$98,"&gt;"&amp;AA30)+COUNTIFS($AK$3:$AK$98,$AK30,AC$3:AC$98,"&lt;"&amp;AB30,AD$3:AD$98,"&gt;"&amp;AA30)+COUNTIFS($AK$3:$AK$98,$AK30,AE$3:AE$98,"&lt;"&amp;AB30,AF$3:AF$98,"&gt;"&amp;AA30)+COUNTIFS($AK$3:$AK$98,$AK30,AG$3:AG$98,"&lt;"&amp;AB30,AH$3:AH$98,"&gt;"&amp;AA30)-(AA30&lt;AB30))</f>
        <v>0</v>
      </c>
      <c r="BH30">
        <f>BG30</f>
        <v>0</v>
      </c>
      <c r="BI30">
        <f>IF(OR($AK30="",AC30="",AD30=""),0,COUNTIFS($AK$3:$AK$98,$AK30,K$3:K$98,"&lt;"&amp;AD30,L$3:L$98,"&gt;"&amp;AC30)+COUNTIFS($AK$3:$AK$98,$AK30,M$3:M$98,"&lt;"&amp;AD30,N$3:N$98,"&gt;"&amp;AC30)+COUNTIFS($AK$3:$AK$98,$AK30,O$3:O$98,"&lt;"&amp;AD30,P$3:P$98,"&gt;"&amp;AC30)+COUNTIFS($AK$3:$AK$98,$AK30,Q$3:Q$98,"&lt;"&amp;AD30,R$3:R$98,"&gt;"&amp;AC30)+COUNTIFS($AK$3:$AK$98,$AK30,S$3:S$98,"&lt;"&amp;AD30,T$3:T$98,"&gt;"&amp;AC30)+COUNTIFS($AK$3:$AK$98,$AK30,U$3:U$98,"&lt;"&amp;AD30,V$3:V$98,"&gt;"&amp;AC30)+COUNTIFS($AK$3:$AK$98,$AK30,W$3:W$98,"&lt;"&amp;AD30,X$3:X$98,"&gt;"&amp;AC30)+COUNTIFS($AK$3:$AK$98,$AK30,Y$3:Y$98,"&lt;"&amp;AD30,Z$3:Z$98,"&gt;"&amp;AC30)+COUNTIFS($AK$3:$AK$98,$AK30,AA$3:AA$98,"&lt;"&amp;AD30,AB$3:AB$98,"&gt;"&amp;AC30)+COUNTIFS($AK$3:$AK$98,$AK30,AC$3:AC$98,"&lt;"&amp;AD30,AD$3:AD$98,"&gt;"&amp;AC30)+COUNTIFS($AK$3:$AK$98,$AK30,AE$3:AE$98,"&lt;"&amp;AD30,AF$3:AF$98,"&gt;"&amp;AC30)+COUNTIFS($AK$3:$AK$98,$AK30,AG$3:AG$98,"&lt;"&amp;AD30,AH$3:AH$98,"&gt;"&amp;AC30)-(AC30&lt;AD30))</f>
        <v>0</v>
      </c>
      <c r="BJ30">
        <f>BI30</f>
        <v>0</v>
      </c>
      <c r="BK30">
        <f>IF(OR($AK30="",AE30="",AF30=""),0,COUNTIFS($AK$3:$AK$98,$AK30,K$3:K$98,"&lt;"&amp;AF30,L$3:L$98,"&gt;"&amp;AE30)+COUNTIFS($AK$3:$AK$98,$AK30,M$3:M$98,"&lt;"&amp;AF30,N$3:N$98,"&gt;"&amp;AE30)+COUNTIFS($AK$3:$AK$98,$AK30,O$3:O$98,"&lt;"&amp;AF30,P$3:P$98,"&gt;"&amp;AE30)+COUNTIFS($AK$3:$AK$98,$AK30,Q$3:Q$98,"&lt;"&amp;AF30,R$3:R$98,"&gt;"&amp;AE30)+COUNTIFS($AK$3:$AK$98,$AK30,S$3:S$98,"&lt;"&amp;AF30,T$3:T$98,"&gt;"&amp;AE30)+COUNTIFS($AK$3:$AK$98,$AK30,U$3:U$98,"&lt;"&amp;AF30,V$3:V$98,"&gt;"&amp;AE30)+COUNTIFS($AK$3:$AK$98,$AK30,W$3:W$98,"&lt;"&amp;AF30,X$3:X$98,"&gt;"&amp;AE30)+COUNTIFS($AK$3:$AK$98,$AK30,Y$3:Y$98,"&lt;"&amp;AF30,Z$3:Z$98,"&gt;"&amp;AE30)+COUNTIFS($AK$3:$AK$98,$AK30,AA$3:AA$98,"&lt;"&amp;AF30,AB$3:AB$98,"&gt;"&amp;AE30)+COUNTIFS($AK$3:$AK$98,$AK30,AC$3:AC$98,"&lt;"&amp;AF30,AD$3:AD$98,"&gt;"&amp;AE30)+COUNTIFS($AK$3:$AK$98,$AK30,AE$3:AE$98,"&lt;"&amp;AF30,AF$3:AF$98,"&gt;"&amp;AE30)+COUNTIFS($AK$3:$AK$98,$AK30,AG$3:AG$98,"&lt;"&amp;AF30,AH$3:AH$98,"&gt;"&amp;AE30)-(AE30&lt;AF30))</f>
        <v>0</v>
      </c>
      <c r="BL30">
        <f>BK30</f>
        <v>0</v>
      </c>
      <c r="BM30">
        <f>IF(OR($AK30="",AG30="",AH30=""),0,COUNTIFS($AK$3:$AK$98,$AK30,K$3:K$98,"&lt;"&amp;AH30,L$3:L$98,"&gt;"&amp;AG30)+COUNTIFS($AK$3:$AK$98,$AK30,M$3:M$98,"&lt;"&amp;AH30,N$3:N$98,"&gt;"&amp;AG30)+COUNTIFS($AK$3:$AK$98,$AK30,O$3:O$98,"&lt;"&amp;AH30,P$3:P$98,"&gt;"&amp;AG30)+COUNTIFS($AK$3:$AK$98,$AK30,Q$3:Q$98,"&lt;"&amp;AH30,R$3:R$98,"&gt;"&amp;AG30)+COUNTIFS($AK$3:$AK$98,$AK30,S$3:S$98,"&lt;"&amp;AH30,T$3:T$98,"&gt;"&amp;AG30)+COUNTIFS($AK$3:$AK$98,$AK30,U$3:U$98,"&lt;"&amp;AH30,V$3:V$98,"&gt;"&amp;AG30)+COUNTIFS($AK$3:$AK$98,$AK30,W$3:W$98,"&lt;"&amp;AH30,X$3:X$98,"&gt;"&amp;AG30)+COUNTIFS($AK$3:$AK$98,$AK30,Y$3:Y$98,"&lt;"&amp;AH30,Z$3:Z$98,"&gt;"&amp;AG30)+COUNTIFS($AK$3:$AK$98,$AK30,AA$3:AA$98,"&lt;"&amp;AH30,AB$3:AB$98,"&gt;"&amp;AG30)+COUNTIFS($AK$3:$AK$98,$AK30,AC$3:AC$98,"&lt;"&amp;AH30,AD$3:AD$98,"&gt;"&amp;AG30)+COUNTIFS($AK$3:$AK$98,$AK30,AE$3:AE$98,"&lt;"&amp;AH30,AF$3:AF$98,"&gt;"&amp;AG30)+COUNTIFS($AK$3:$AK$98,$AK30,AG$3:AG$98,"&lt;"&amp;AH30,AH$3:AH$98,"&gt;"&amp;AG30)-(AG30&lt;AH30))</f>
        <v>0</v>
      </c>
      <c r="BN30">
        <f>BM30</f>
        <v>0</v>
      </c>
      <c r="BO30">
        <f>IF(ISNUMBER($G30),$G30,"")</f>
        <v>0.625</v>
      </c>
      <c r="BP30">
        <f>IF(AND($A30&lt;&gt;"",COUNT($K30:$AH30)&gt;0),ROW(),"")</f>
        <v>30</v>
      </c>
    </row>
    <row r="31" spans="1:68" x14ac:dyDescent="0.15">
      <c r="A31" s="18" t="str">
        <f>IF($A29="","",$A29)</f>
        <v>chMobSaiyanG</v>
      </c>
      <c r="B31" s="19" t="str">
        <f>IF($A29="","","high")</f>
        <v>high</v>
      </c>
      <c r="C31" s="19"/>
      <c r="D31" s="20">
        <v>5</v>
      </c>
      <c r="E31" s="21">
        <f>IF(AND($D31="",COUNT($K31:$AH31)=0),"",IF(K31="",0,MAX(0,NETWORKDAYS(K31,IF(L31&lt;&gt;"",L31,IF($J31&lt;&gt;"",K31,$AI$1)),祝日!$A$2:$A$200)))+IF(M31="",0,MAX(0,NETWORKDAYS(M31,IF(N31&lt;&gt;"",N31,IF($J31&lt;&gt;"",M31,$AI$1)),祝日!$A$2:$A$200)))+IF(O31="",0,MAX(0,NETWORKDAYS(O31,IF(P31&lt;&gt;"",P31,IF($J31&lt;&gt;"",O31,$AI$1)),祝日!$A$2:$A$200)))+IF(Q31="",0,MAX(0,NETWORKDAYS(Q31,IF(R31&lt;&gt;"",R31,IF($J31&lt;&gt;"",Q31,$AI$1)),祝日!$A$2:$A$200)))+IF(S31="",0,MAX(0,NETWORKDAYS(S31,IF(T31&lt;&gt;"",T31,IF($J31&lt;&gt;"",S31,$AI$1)),祝日!$A$2:$A$200)))+IF(U31="",0,MAX(0,NETWORKDAYS(U31,IF(V31&lt;&gt;"",V31,IF($J31&lt;&gt;"",U31,$AI$1)),祝日!$A$2:$A$200)))+IF(W31="",0,MAX(0,NETWORKDAYS(W31,IF(X31&lt;&gt;"",X31,IF($J31&lt;&gt;"",W31,$AI$1)),祝日!$A$2:$A$200)))+IF(Y31="",0,MAX(0,NETWORKDAYS(Y31,IF(Z31&lt;&gt;"",Z31,IF($J31&lt;&gt;"",Y31,$AI$1)),祝日!$A$2:$A$200)))+IF(AA31="",0,MAX(0,NETWORKDAYS(AA31,IF(AB31&lt;&gt;"",AB31,IF($J31&lt;&gt;"",AA31,$AI$1)),祝日!$A$2:$A$200)))+IF(AC31="",0,MAX(0,NETWORKDAYS(AC31,IF(AD31&lt;&gt;"",AD31,IF($J31&lt;&gt;"",AC31,$AI$1)),祝日!$A$2:$A$200)))+IF(AE31="",0,MAX(0,NETWORKDAYS(AE31,IF(AF31&lt;&gt;"",AF31,IF($J31&lt;&gt;"",AE31,$AI$1)),祝日!$A$2:$A$200)))+IF(AG31="",0,MAX(0,NETWORKDAYS(AG31,IF(AH31&lt;&gt;"",AH31,IF($J31&lt;&gt;"",AG31,$AI$1)),祝日!$A$2:$A$200))))</f>
        <v>0</v>
      </c>
      <c r="F31" s="21">
        <f>IF($D31="","",$D31-$E31)</f>
        <v>5</v>
      </c>
      <c r="G31" s="22">
        <f>IF(OR($D31="",$D31=0),"",$E31/$D31)</f>
        <v>0</v>
      </c>
      <c r="H31" s="23" t="str">
        <f>IF($D31="","",IF($J31&lt;&gt;"","FIX",IF(AND(SUMPRODUCT((MOD(COLUMN($K31:$AH31)-COLUMN($K31),2)=0)*($K31:$AH31&lt;&gt;""))=0,SUMPRODUCT((MOD(COLUMN($K31:$AH31)-COLUMN($K31),2)=1)*($K31:$AH31&lt;&gt;""))=0),"未着手",IF(SUMPRODUCT((MOD(COLUMN($K31:$AH31)-COLUMN($K31),2)=0)*($K31:$AH31&lt;&gt;""))&gt;SUMPRODUCT((MOD(COLUMN($K31:$AH31)-COLUMN($K31),2)=1)*($K31:$AH31&lt;&gt;"")),"作業中","中断"))))</f>
        <v>未着手</v>
      </c>
      <c r="I31" s="23" t="str">
        <f>IF($H31="中断",MAX(0,$AI$1-MAX(L31,N31,P31,R31,T31,V31,X31,Z31,AB31,AD31,AF31,AH31)),"")</f>
        <v/>
      </c>
      <c r="J31" s="19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K31" t="str">
        <f>IF($A29="","",IF(LOOKUP(2,1/($AJ$3:$AJ31&lt;&gt;""),$AJ$3:$AJ31)="-","",LOOKUP(2,1/($AJ$3:$AJ31&lt;&gt;""),$AJ$3:$AJ31)))</f>
        <v>CH02</v>
      </c>
      <c r="AL31" t="str">
        <f>$H31</f>
        <v>未着手</v>
      </c>
      <c r="AM31">
        <f>IF(ISNUMBER($D31),$D31,0)</f>
        <v>5</v>
      </c>
      <c r="AN31">
        <f>IF(ISNUMBER($E31),$E31,0)</f>
        <v>0</v>
      </c>
      <c r="AO31">
        <f>IF(ISNUMBER($F31),$F31,0)</f>
        <v>5</v>
      </c>
      <c r="AQ31">
        <f>IF(OR($AK31="",K31="",L31=""),0,COUNTIFS($AK$3:$AK$98,$AK31,K$3:K$98,"&lt;"&amp;L31,L$3:L$98,"&gt;"&amp;K31)+COUNTIFS($AK$3:$AK$98,$AK31,M$3:M$98,"&lt;"&amp;L31,N$3:N$98,"&gt;"&amp;K31)+COUNTIFS($AK$3:$AK$98,$AK31,O$3:O$98,"&lt;"&amp;L31,P$3:P$98,"&gt;"&amp;K31)+COUNTIFS($AK$3:$AK$98,$AK31,Q$3:Q$98,"&lt;"&amp;L31,R$3:R$98,"&gt;"&amp;K31)+COUNTIFS($AK$3:$AK$98,$AK31,S$3:S$98,"&lt;"&amp;L31,T$3:T$98,"&gt;"&amp;K31)+COUNTIFS($AK$3:$AK$98,$AK31,U$3:U$98,"&lt;"&amp;L31,V$3:V$98,"&gt;"&amp;K31)+COUNTIFS($AK$3:$AK$98,$AK31,W$3:W$98,"&lt;"&amp;L31,X$3:X$98,"&gt;"&amp;K31)+COUNTIFS($AK$3:$AK$98,$AK31,Y$3:Y$98,"&lt;"&amp;L31,Z$3:Z$98,"&gt;"&amp;K31)+COUNTIFS($AK$3:$AK$98,$AK31,AA$3:AA$98,"&lt;"&amp;L31,AB$3:AB$98,"&gt;"&amp;K31)+COUNTIFS($AK$3:$AK$98,$AK31,AC$3:AC$98,"&lt;"&amp;L31,AD$3:AD$98,"&gt;"&amp;K31)+COUNTIFS($AK$3:$AK$98,$AK31,AE$3:AE$98,"&lt;"&amp;L31,AF$3:AF$98,"&gt;"&amp;K31)+COUNTIFS($AK$3:$AK$98,$AK31,AG$3:AG$98,"&lt;"&amp;L31,AH$3:AH$98,"&gt;"&amp;K31)-(K31&lt;L31))</f>
        <v>0</v>
      </c>
      <c r="AR31">
        <f>AQ31</f>
        <v>0</v>
      </c>
      <c r="AS31">
        <f>IF(OR($AK31="",M31="",N31=""),0,COUNTIFS($AK$3:$AK$98,$AK31,K$3:K$98,"&lt;"&amp;N31,L$3:L$98,"&gt;"&amp;M31)+COUNTIFS($AK$3:$AK$98,$AK31,M$3:M$98,"&lt;"&amp;N31,N$3:N$98,"&gt;"&amp;M31)+COUNTIFS($AK$3:$AK$98,$AK31,O$3:O$98,"&lt;"&amp;N31,P$3:P$98,"&gt;"&amp;M31)+COUNTIFS($AK$3:$AK$98,$AK31,Q$3:Q$98,"&lt;"&amp;N31,R$3:R$98,"&gt;"&amp;M31)+COUNTIFS($AK$3:$AK$98,$AK31,S$3:S$98,"&lt;"&amp;N31,T$3:T$98,"&gt;"&amp;M31)+COUNTIFS($AK$3:$AK$98,$AK31,U$3:U$98,"&lt;"&amp;N31,V$3:V$98,"&gt;"&amp;M31)+COUNTIFS($AK$3:$AK$98,$AK31,W$3:W$98,"&lt;"&amp;N31,X$3:X$98,"&gt;"&amp;M31)+COUNTIFS($AK$3:$AK$98,$AK31,Y$3:Y$98,"&lt;"&amp;N31,Z$3:Z$98,"&gt;"&amp;M31)+COUNTIFS($AK$3:$AK$98,$AK31,AA$3:AA$98,"&lt;"&amp;N31,AB$3:AB$98,"&gt;"&amp;M31)+COUNTIFS($AK$3:$AK$98,$AK31,AC$3:AC$98,"&lt;"&amp;N31,AD$3:AD$98,"&gt;"&amp;M31)+COUNTIFS($AK$3:$AK$98,$AK31,AE$3:AE$98,"&lt;"&amp;N31,AF$3:AF$98,"&gt;"&amp;M31)+COUNTIFS($AK$3:$AK$98,$AK31,AG$3:AG$98,"&lt;"&amp;N31,AH$3:AH$98,"&gt;"&amp;M31)-(M31&lt;N31))</f>
        <v>0</v>
      </c>
      <c r="AT31">
        <f>AS31</f>
        <v>0</v>
      </c>
      <c r="AU31">
        <f>IF(OR($AK31="",O31="",P31=""),0,COUNTIFS($AK$3:$AK$98,$AK31,K$3:K$98,"&lt;"&amp;P31,L$3:L$98,"&gt;"&amp;O31)+COUNTIFS($AK$3:$AK$98,$AK31,M$3:M$98,"&lt;"&amp;P31,N$3:N$98,"&gt;"&amp;O31)+COUNTIFS($AK$3:$AK$98,$AK31,O$3:O$98,"&lt;"&amp;P31,P$3:P$98,"&gt;"&amp;O31)+COUNTIFS($AK$3:$AK$98,$AK31,Q$3:Q$98,"&lt;"&amp;P31,R$3:R$98,"&gt;"&amp;O31)+COUNTIFS($AK$3:$AK$98,$AK31,S$3:S$98,"&lt;"&amp;P31,T$3:T$98,"&gt;"&amp;O31)+COUNTIFS($AK$3:$AK$98,$AK31,U$3:U$98,"&lt;"&amp;P31,V$3:V$98,"&gt;"&amp;O31)+COUNTIFS($AK$3:$AK$98,$AK31,W$3:W$98,"&lt;"&amp;P31,X$3:X$98,"&gt;"&amp;O31)+COUNTIFS($AK$3:$AK$98,$AK31,Y$3:Y$98,"&lt;"&amp;P31,Z$3:Z$98,"&gt;"&amp;O31)+COUNTIFS($AK$3:$AK$98,$AK31,AA$3:AA$98,"&lt;"&amp;P31,AB$3:AB$98,"&gt;"&amp;O31)+COUNTIFS($AK$3:$AK$98,$AK31,AC$3:AC$98,"&lt;"&amp;P31,AD$3:AD$98,"&gt;"&amp;O31)+COUNTIFS($AK$3:$AK$98,$AK31,AE$3:AE$98,"&lt;"&amp;P31,AF$3:AF$98,"&gt;"&amp;O31)+COUNTIFS($AK$3:$AK$98,$AK31,AG$3:AG$98,"&lt;"&amp;P31,AH$3:AH$98,"&gt;"&amp;O31)-(O31&lt;P31))</f>
        <v>0</v>
      </c>
      <c r="AV31">
        <f>AU31</f>
        <v>0</v>
      </c>
      <c r="AW31">
        <f>IF(OR($AK31="",Q31="",R31=""),0,COUNTIFS($AK$3:$AK$98,$AK31,K$3:K$98,"&lt;"&amp;R31,L$3:L$98,"&gt;"&amp;Q31)+COUNTIFS($AK$3:$AK$98,$AK31,M$3:M$98,"&lt;"&amp;R31,N$3:N$98,"&gt;"&amp;Q31)+COUNTIFS($AK$3:$AK$98,$AK31,O$3:O$98,"&lt;"&amp;R31,P$3:P$98,"&gt;"&amp;Q31)+COUNTIFS($AK$3:$AK$98,$AK31,Q$3:Q$98,"&lt;"&amp;R31,R$3:R$98,"&gt;"&amp;Q31)+COUNTIFS($AK$3:$AK$98,$AK31,S$3:S$98,"&lt;"&amp;R31,T$3:T$98,"&gt;"&amp;Q31)+COUNTIFS($AK$3:$AK$98,$AK31,U$3:U$98,"&lt;"&amp;R31,V$3:V$98,"&gt;"&amp;Q31)+COUNTIFS($AK$3:$AK$98,$AK31,W$3:W$98,"&lt;"&amp;R31,X$3:X$98,"&gt;"&amp;Q31)+COUNTIFS($AK$3:$AK$98,$AK31,Y$3:Y$98,"&lt;"&amp;R31,Z$3:Z$98,"&gt;"&amp;Q31)+COUNTIFS($AK$3:$AK$98,$AK31,AA$3:AA$98,"&lt;"&amp;R31,AB$3:AB$98,"&gt;"&amp;Q31)+COUNTIFS($AK$3:$AK$98,$AK31,AC$3:AC$98,"&lt;"&amp;R31,AD$3:AD$98,"&gt;"&amp;Q31)+COUNTIFS($AK$3:$AK$98,$AK31,AE$3:AE$98,"&lt;"&amp;R31,AF$3:AF$98,"&gt;"&amp;Q31)+COUNTIFS($AK$3:$AK$98,$AK31,AG$3:AG$98,"&lt;"&amp;R31,AH$3:AH$98,"&gt;"&amp;Q31)-(Q31&lt;R31))</f>
        <v>0</v>
      </c>
      <c r="AX31">
        <f>AW31</f>
        <v>0</v>
      </c>
      <c r="AY31">
        <f>IF(OR($AK31="",S31="",T31=""),0,COUNTIFS($AK$3:$AK$98,$AK31,K$3:K$98,"&lt;"&amp;T31,L$3:L$98,"&gt;"&amp;S31)+COUNTIFS($AK$3:$AK$98,$AK31,M$3:M$98,"&lt;"&amp;T31,N$3:N$98,"&gt;"&amp;S31)+COUNTIFS($AK$3:$AK$98,$AK31,O$3:O$98,"&lt;"&amp;T31,P$3:P$98,"&gt;"&amp;S31)+COUNTIFS($AK$3:$AK$98,$AK31,Q$3:Q$98,"&lt;"&amp;T31,R$3:R$98,"&gt;"&amp;S31)+COUNTIFS($AK$3:$AK$98,$AK31,S$3:S$98,"&lt;"&amp;T31,T$3:T$98,"&gt;"&amp;S31)+COUNTIFS($AK$3:$AK$98,$AK31,U$3:U$98,"&lt;"&amp;T31,V$3:V$98,"&gt;"&amp;S31)+COUNTIFS($AK$3:$AK$98,$AK31,W$3:W$98,"&lt;"&amp;T31,X$3:X$98,"&gt;"&amp;S31)+COUNTIFS($AK$3:$AK$98,$AK31,Y$3:Y$98,"&lt;"&amp;T31,Z$3:Z$98,"&gt;"&amp;S31)+COUNTIFS($AK$3:$AK$98,$AK31,AA$3:AA$98,"&lt;"&amp;T31,AB$3:AB$98,"&gt;"&amp;S31)+COUNTIFS($AK$3:$AK$98,$AK31,AC$3:AC$98,"&lt;"&amp;T31,AD$3:AD$98,"&gt;"&amp;S31)+COUNTIFS($AK$3:$AK$98,$AK31,AE$3:AE$98,"&lt;"&amp;T31,AF$3:AF$98,"&gt;"&amp;S31)+COUNTIFS($AK$3:$AK$98,$AK31,AG$3:AG$98,"&lt;"&amp;T31,AH$3:AH$98,"&gt;"&amp;S31)-(S31&lt;T31))</f>
        <v>0</v>
      </c>
      <c r="AZ31">
        <f>AY31</f>
        <v>0</v>
      </c>
      <c r="BA31">
        <f>IF(OR($AK31="",U31="",V31=""),0,COUNTIFS($AK$3:$AK$98,$AK31,K$3:K$98,"&lt;"&amp;V31,L$3:L$98,"&gt;"&amp;U31)+COUNTIFS($AK$3:$AK$98,$AK31,M$3:M$98,"&lt;"&amp;V31,N$3:N$98,"&gt;"&amp;U31)+COUNTIFS($AK$3:$AK$98,$AK31,O$3:O$98,"&lt;"&amp;V31,P$3:P$98,"&gt;"&amp;U31)+COUNTIFS($AK$3:$AK$98,$AK31,Q$3:Q$98,"&lt;"&amp;V31,R$3:R$98,"&gt;"&amp;U31)+COUNTIFS($AK$3:$AK$98,$AK31,S$3:S$98,"&lt;"&amp;V31,T$3:T$98,"&gt;"&amp;U31)+COUNTIFS($AK$3:$AK$98,$AK31,U$3:U$98,"&lt;"&amp;V31,V$3:V$98,"&gt;"&amp;U31)+COUNTIFS($AK$3:$AK$98,$AK31,W$3:W$98,"&lt;"&amp;V31,X$3:X$98,"&gt;"&amp;U31)+COUNTIFS($AK$3:$AK$98,$AK31,Y$3:Y$98,"&lt;"&amp;V31,Z$3:Z$98,"&gt;"&amp;U31)+COUNTIFS($AK$3:$AK$98,$AK31,AA$3:AA$98,"&lt;"&amp;V31,AB$3:AB$98,"&gt;"&amp;U31)+COUNTIFS($AK$3:$AK$98,$AK31,AC$3:AC$98,"&lt;"&amp;V31,AD$3:AD$98,"&gt;"&amp;U31)+COUNTIFS($AK$3:$AK$98,$AK31,AE$3:AE$98,"&lt;"&amp;V31,AF$3:AF$98,"&gt;"&amp;U31)+COUNTIFS($AK$3:$AK$98,$AK31,AG$3:AG$98,"&lt;"&amp;V31,AH$3:AH$98,"&gt;"&amp;U31)-(U31&lt;V31))</f>
        <v>0</v>
      </c>
      <c r="BB31">
        <f>BA31</f>
        <v>0</v>
      </c>
      <c r="BC31">
        <f>IF(OR($AK31="",W31="",X31=""),0,COUNTIFS($AK$3:$AK$98,$AK31,K$3:K$98,"&lt;"&amp;X31,L$3:L$98,"&gt;"&amp;W31)+COUNTIFS($AK$3:$AK$98,$AK31,M$3:M$98,"&lt;"&amp;X31,N$3:N$98,"&gt;"&amp;W31)+COUNTIFS($AK$3:$AK$98,$AK31,O$3:O$98,"&lt;"&amp;X31,P$3:P$98,"&gt;"&amp;W31)+COUNTIFS($AK$3:$AK$98,$AK31,Q$3:Q$98,"&lt;"&amp;X31,R$3:R$98,"&gt;"&amp;W31)+COUNTIFS($AK$3:$AK$98,$AK31,S$3:S$98,"&lt;"&amp;X31,T$3:T$98,"&gt;"&amp;W31)+COUNTIFS($AK$3:$AK$98,$AK31,U$3:U$98,"&lt;"&amp;X31,V$3:V$98,"&gt;"&amp;W31)+COUNTIFS($AK$3:$AK$98,$AK31,W$3:W$98,"&lt;"&amp;X31,X$3:X$98,"&gt;"&amp;W31)+COUNTIFS($AK$3:$AK$98,$AK31,Y$3:Y$98,"&lt;"&amp;X31,Z$3:Z$98,"&gt;"&amp;W31)+COUNTIFS($AK$3:$AK$98,$AK31,AA$3:AA$98,"&lt;"&amp;X31,AB$3:AB$98,"&gt;"&amp;W31)+COUNTIFS($AK$3:$AK$98,$AK31,AC$3:AC$98,"&lt;"&amp;X31,AD$3:AD$98,"&gt;"&amp;W31)+COUNTIFS($AK$3:$AK$98,$AK31,AE$3:AE$98,"&lt;"&amp;X31,AF$3:AF$98,"&gt;"&amp;W31)+COUNTIFS($AK$3:$AK$98,$AK31,AG$3:AG$98,"&lt;"&amp;X31,AH$3:AH$98,"&gt;"&amp;W31)-(W31&lt;X31))</f>
        <v>0</v>
      </c>
      <c r="BD31">
        <f>BC31</f>
        <v>0</v>
      </c>
      <c r="BE31">
        <f>IF(OR($AK31="",Y31="",Z31=""),0,COUNTIFS($AK$3:$AK$98,$AK31,K$3:K$98,"&lt;"&amp;Z31,L$3:L$98,"&gt;"&amp;Y31)+COUNTIFS($AK$3:$AK$98,$AK31,M$3:M$98,"&lt;"&amp;Z31,N$3:N$98,"&gt;"&amp;Y31)+COUNTIFS($AK$3:$AK$98,$AK31,O$3:O$98,"&lt;"&amp;Z31,P$3:P$98,"&gt;"&amp;Y31)+COUNTIFS($AK$3:$AK$98,$AK31,Q$3:Q$98,"&lt;"&amp;Z31,R$3:R$98,"&gt;"&amp;Y31)+COUNTIFS($AK$3:$AK$98,$AK31,S$3:S$98,"&lt;"&amp;Z31,T$3:T$98,"&gt;"&amp;Y31)+COUNTIFS($AK$3:$AK$98,$AK31,U$3:U$98,"&lt;"&amp;Z31,V$3:V$98,"&gt;"&amp;Y31)+COUNTIFS($AK$3:$AK$98,$AK31,W$3:W$98,"&lt;"&amp;Z31,X$3:X$98,"&gt;"&amp;Y31)+COUNTIFS($AK$3:$AK$98,$AK31,Y$3:Y$98,"&lt;"&amp;Z31,Z$3:Z$98,"&gt;"&amp;Y31)+COUNTIFS($AK$3:$AK$98,$AK31,AA$3:AA$98,"&lt;"&amp;Z31,AB$3:AB$98,"&gt;"&amp;Y31)+COUNTIFS($AK$3:$AK$98,$AK31,AC$3:AC$98,"&lt;"&amp;Z31,AD$3:AD$98,"&gt;"&amp;Y31)+COUNTIFS($AK$3:$AK$98,$AK31,AE$3:AE$98,"&lt;"&amp;Z31,AF$3:AF$98,"&gt;"&amp;Y31)+COUNTIFS($AK$3:$AK$98,$AK31,AG$3:AG$98,"&lt;"&amp;Z31,AH$3:AH$98,"&gt;"&amp;Y31)-(Y31&lt;Z31))</f>
        <v>0</v>
      </c>
      <c r="BF31">
        <f>BE31</f>
        <v>0</v>
      </c>
      <c r="BG31">
        <f>IF(OR($AK31="",AA31="",AB31=""),0,COUNTIFS($AK$3:$AK$98,$AK31,K$3:K$98,"&lt;"&amp;AB31,L$3:L$98,"&gt;"&amp;AA31)+COUNTIFS($AK$3:$AK$98,$AK31,M$3:M$98,"&lt;"&amp;AB31,N$3:N$98,"&gt;"&amp;AA31)+COUNTIFS($AK$3:$AK$98,$AK31,O$3:O$98,"&lt;"&amp;AB31,P$3:P$98,"&gt;"&amp;AA31)+COUNTIFS($AK$3:$AK$98,$AK31,Q$3:Q$98,"&lt;"&amp;AB31,R$3:R$98,"&gt;"&amp;AA31)+COUNTIFS($AK$3:$AK$98,$AK31,S$3:S$98,"&lt;"&amp;AB31,T$3:T$98,"&gt;"&amp;AA31)+COUNTIFS($AK$3:$AK$98,$AK31,U$3:U$98,"&lt;"&amp;AB31,V$3:V$98,"&gt;"&amp;AA31)+COUNTIFS($AK$3:$AK$98,$AK31,W$3:W$98,"&lt;"&amp;AB31,X$3:X$98,"&gt;"&amp;AA31)+COUNTIFS($AK$3:$AK$98,$AK31,Y$3:Y$98,"&lt;"&amp;AB31,Z$3:Z$98,"&gt;"&amp;AA31)+COUNTIFS($AK$3:$AK$98,$AK31,AA$3:AA$98,"&lt;"&amp;AB31,AB$3:AB$98,"&gt;"&amp;AA31)+COUNTIFS($AK$3:$AK$98,$AK31,AC$3:AC$98,"&lt;"&amp;AB31,AD$3:AD$98,"&gt;"&amp;AA31)+COUNTIFS($AK$3:$AK$98,$AK31,AE$3:AE$98,"&lt;"&amp;AB31,AF$3:AF$98,"&gt;"&amp;AA31)+COUNTIFS($AK$3:$AK$98,$AK31,AG$3:AG$98,"&lt;"&amp;AB31,AH$3:AH$98,"&gt;"&amp;AA31)-(AA31&lt;AB31))</f>
        <v>0</v>
      </c>
      <c r="BH31">
        <f>BG31</f>
        <v>0</v>
      </c>
      <c r="BI31">
        <f>IF(OR($AK31="",AC31="",AD31=""),0,COUNTIFS($AK$3:$AK$98,$AK31,K$3:K$98,"&lt;"&amp;AD31,L$3:L$98,"&gt;"&amp;AC31)+COUNTIFS($AK$3:$AK$98,$AK31,M$3:M$98,"&lt;"&amp;AD31,N$3:N$98,"&gt;"&amp;AC31)+COUNTIFS($AK$3:$AK$98,$AK31,O$3:O$98,"&lt;"&amp;AD31,P$3:P$98,"&gt;"&amp;AC31)+COUNTIFS($AK$3:$AK$98,$AK31,Q$3:Q$98,"&lt;"&amp;AD31,R$3:R$98,"&gt;"&amp;AC31)+COUNTIFS($AK$3:$AK$98,$AK31,S$3:S$98,"&lt;"&amp;AD31,T$3:T$98,"&gt;"&amp;AC31)+COUNTIFS($AK$3:$AK$98,$AK31,U$3:U$98,"&lt;"&amp;AD31,V$3:V$98,"&gt;"&amp;AC31)+COUNTIFS($AK$3:$AK$98,$AK31,W$3:W$98,"&lt;"&amp;AD31,X$3:X$98,"&gt;"&amp;AC31)+COUNTIFS($AK$3:$AK$98,$AK31,Y$3:Y$98,"&lt;"&amp;AD31,Z$3:Z$98,"&gt;"&amp;AC31)+COUNTIFS($AK$3:$AK$98,$AK31,AA$3:AA$98,"&lt;"&amp;AD31,AB$3:AB$98,"&gt;"&amp;AC31)+COUNTIFS($AK$3:$AK$98,$AK31,AC$3:AC$98,"&lt;"&amp;AD31,AD$3:AD$98,"&gt;"&amp;AC31)+COUNTIFS($AK$3:$AK$98,$AK31,AE$3:AE$98,"&lt;"&amp;AD31,AF$3:AF$98,"&gt;"&amp;AC31)+COUNTIFS($AK$3:$AK$98,$AK31,AG$3:AG$98,"&lt;"&amp;AD31,AH$3:AH$98,"&gt;"&amp;AC31)-(AC31&lt;AD31))</f>
        <v>0</v>
      </c>
      <c r="BJ31">
        <f>BI31</f>
        <v>0</v>
      </c>
      <c r="BK31">
        <f>IF(OR($AK31="",AE31="",AF31=""),0,COUNTIFS($AK$3:$AK$98,$AK31,K$3:K$98,"&lt;"&amp;AF31,L$3:L$98,"&gt;"&amp;AE31)+COUNTIFS($AK$3:$AK$98,$AK31,M$3:M$98,"&lt;"&amp;AF31,N$3:N$98,"&gt;"&amp;AE31)+COUNTIFS($AK$3:$AK$98,$AK31,O$3:O$98,"&lt;"&amp;AF31,P$3:P$98,"&gt;"&amp;AE31)+COUNTIFS($AK$3:$AK$98,$AK31,Q$3:Q$98,"&lt;"&amp;AF31,R$3:R$98,"&gt;"&amp;AE31)+COUNTIFS($AK$3:$AK$98,$AK31,S$3:S$98,"&lt;"&amp;AF31,T$3:T$98,"&gt;"&amp;AE31)+COUNTIFS($AK$3:$AK$98,$AK31,U$3:U$98,"&lt;"&amp;AF31,V$3:V$98,"&gt;"&amp;AE31)+COUNTIFS($AK$3:$AK$98,$AK31,W$3:W$98,"&lt;"&amp;AF31,X$3:X$98,"&gt;"&amp;AE31)+COUNTIFS($AK$3:$AK$98,$AK31,Y$3:Y$98,"&lt;"&amp;AF31,Z$3:Z$98,"&gt;"&amp;AE31)+COUNTIFS($AK$3:$AK$98,$AK31,AA$3:AA$98,"&lt;"&amp;AF31,AB$3:AB$98,"&gt;"&amp;AE31)+COUNTIFS($AK$3:$AK$98,$AK31,AC$3:AC$98,"&lt;"&amp;AF31,AD$3:AD$98,"&gt;"&amp;AE31)+COUNTIFS($AK$3:$AK$98,$AK31,AE$3:AE$98,"&lt;"&amp;AF31,AF$3:AF$98,"&gt;"&amp;AE31)+COUNTIFS($AK$3:$AK$98,$AK31,AG$3:AG$98,"&lt;"&amp;AF31,AH$3:AH$98,"&gt;"&amp;AE31)-(AE31&lt;AF31))</f>
        <v>0</v>
      </c>
      <c r="BL31">
        <f>BK31</f>
        <v>0</v>
      </c>
      <c r="BM31">
        <f>IF(OR($AK31="",AG31="",AH31=""),0,COUNTIFS($AK$3:$AK$98,$AK31,K$3:K$98,"&lt;"&amp;AH31,L$3:L$98,"&gt;"&amp;AG31)+COUNTIFS($AK$3:$AK$98,$AK31,M$3:M$98,"&lt;"&amp;AH31,N$3:N$98,"&gt;"&amp;AG31)+COUNTIFS($AK$3:$AK$98,$AK31,O$3:O$98,"&lt;"&amp;AH31,P$3:P$98,"&gt;"&amp;AG31)+COUNTIFS($AK$3:$AK$98,$AK31,Q$3:Q$98,"&lt;"&amp;AH31,R$3:R$98,"&gt;"&amp;AG31)+COUNTIFS($AK$3:$AK$98,$AK31,S$3:S$98,"&lt;"&amp;AH31,T$3:T$98,"&gt;"&amp;AG31)+COUNTIFS($AK$3:$AK$98,$AK31,U$3:U$98,"&lt;"&amp;AH31,V$3:V$98,"&gt;"&amp;AG31)+COUNTIFS($AK$3:$AK$98,$AK31,W$3:W$98,"&lt;"&amp;AH31,X$3:X$98,"&gt;"&amp;AG31)+COUNTIFS($AK$3:$AK$98,$AK31,Y$3:Y$98,"&lt;"&amp;AH31,Z$3:Z$98,"&gt;"&amp;AG31)+COUNTIFS($AK$3:$AK$98,$AK31,AA$3:AA$98,"&lt;"&amp;AH31,AB$3:AB$98,"&gt;"&amp;AG31)+COUNTIFS($AK$3:$AK$98,$AK31,AC$3:AC$98,"&lt;"&amp;AH31,AD$3:AD$98,"&gt;"&amp;AG31)+COUNTIFS($AK$3:$AK$98,$AK31,AE$3:AE$98,"&lt;"&amp;AH31,AF$3:AF$98,"&gt;"&amp;AG31)+COUNTIFS($AK$3:$AK$98,$AK31,AG$3:AG$98,"&lt;"&amp;AH31,AH$3:AH$98,"&gt;"&amp;AG31)-(AG31&lt;AH31))</f>
        <v>0</v>
      </c>
      <c r="BN31">
        <f>BM31</f>
        <v>0</v>
      </c>
      <c r="BO31">
        <f>IF(ISNUMBER($G31),$G31,"")</f>
        <v>0</v>
      </c>
      <c r="BP31" t="str">
        <f>IF(AND($A31&lt;&gt;"",COUNT($K31:$AH31)&gt;0),ROW(),"")</f>
        <v/>
      </c>
    </row>
    <row r="32" spans="1:68" x14ac:dyDescent="0.15">
      <c r="A32" s="25" t="str">
        <f>IF($A29="","",$A29)</f>
        <v>chMobSaiyanG</v>
      </c>
      <c r="B32" s="26" t="str">
        <f>IF($A29="","","fac")</f>
        <v>fac</v>
      </c>
      <c r="C32" s="26"/>
      <c r="D32" s="27">
        <v>4</v>
      </c>
      <c r="E32" s="28">
        <f>IF(AND($D32="",COUNT($K32:$AH32)=0),"",IF(K32="",0,MAX(0,NETWORKDAYS(K32,IF(L32&lt;&gt;"",L32,IF($J32&lt;&gt;"",K32,$AI$1)),祝日!$A$2:$A$200)))+IF(M32="",0,MAX(0,NETWORKDAYS(M32,IF(N32&lt;&gt;"",N32,IF($J32&lt;&gt;"",M32,$AI$1)),祝日!$A$2:$A$200)))+IF(O32="",0,MAX(0,NETWORKDAYS(O32,IF(P32&lt;&gt;"",P32,IF($J32&lt;&gt;"",O32,$AI$1)),祝日!$A$2:$A$200)))+IF(Q32="",0,MAX(0,NETWORKDAYS(Q32,IF(R32&lt;&gt;"",R32,IF($J32&lt;&gt;"",Q32,$AI$1)),祝日!$A$2:$A$200)))+IF(S32="",0,MAX(0,NETWORKDAYS(S32,IF(T32&lt;&gt;"",T32,IF($J32&lt;&gt;"",S32,$AI$1)),祝日!$A$2:$A$200)))+IF(U32="",0,MAX(0,NETWORKDAYS(U32,IF(V32&lt;&gt;"",V32,IF($J32&lt;&gt;"",U32,$AI$1)),祝日!$A$2:$A$200)))+IF(W32="",0,MAX(0,NETWORKDAYS(W32,IF(X32&lt;&gt;"",X32,IF($J32&lt;&gt;"",W32,$AI$1)),祝日!$A$2:$A$200)))+IF(Y32="",0,MAX(0,NETWORKDAYS(Y32,IF(Z32&lt;&gt;"",Z32,IF($J32&lt;&gt;"",Y32,$AI$1)),祝日!$A$2:$A$200)))+IF(AA32="",0,MAX(0,NETWORKDAYS(AA32,IF(AB32&lt;&gt;"",AB32,IF($J32&lt;&gt;"",AA32,$AI$1)),祝日!$A$2:$A$200)))+IF(AC32="",0,MAX(0,NETWORKDAYS(AC32,IF(AD32&lt;&gt;"",AD32,IF($J32&lt;&gt;"",AC32,$AI$1)),祝日!$A$2:$A$200)))+IF(AE32="",0,MAX(0,NETWORKDAYS(AE32,IF(AF32&lt;&gt;"",AF32,IF($J32&lt;&gt;"",AE32,$AI$1)),祝日!$A$2:$A$200)))+IF(AG32="",0,MAX(0,NETWORKDAYS(AG32,IF(AH32&lt;&gt;"",AH32,IF($J32&lt;&gt;"",AG32,$AI$1)),祝日!$A$2:$A$200))))</f>
        <v>0</v>
      </c>
      <c r="F32" s="28">
        <f>IF($D32="","",$D32-$E32)</f>
        <v>4</v>
      </c>
      <c r="G32" s="29">
        <f>IF(OR($D32="",$D32=0),"",$E32/$D32)</f>
        <v>0</v>
      </c>
      <c r="H32" s="30" t="str">
        <f>IF($D32="","",IF($J32&lt;&gt;"","FIX",IF(AND(SUMPRODUCT((MOD(COLUMN($K32:$AH32)-COLUMN($K32),2)=0)*($K32:$AH32&lt;&gt;""))=0,SUMPRODUCT((MOD(COLUMN($K32:$AH32)-COLUMN($K32),2)=1)*($K32:$AH32&lt;&gt;""))=0),"未着手",IF(SUMPRODUCT((MOD(COLUMN($K32:$AH32)-COLUMN($K32),2)=0)*($K32:$AH32&lt;&gt;""))&gt;SUMPRODUCT((MOD(COLUMN($K32:$AH32)-COLUMN($K32),2)=1)*($K32:$AH32&lt;&gt;"")),"作業中","中断"))))</f>
        <v>未着手</v>
      </c>
      <c r="I32" s="30" t="str">
        <f>IF($H32="中断",MAX(0,$AI$1-MAX(L32,N32,P32,R32,T32,V32,X32,Z32,AB32,AD32,AF32,AH32)),"")</f>
        <v/>
      </c>
      <c r="J32" s="26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K32" t="str">
        <f>IF($A29="","",IF(LOOKUP(2,1/($AJ$3:$AJ32&lt;&gt;""),$AJ$3:$AJ32)="-","",LOOKUP(2,1/($AJ$3:$AJ32&lt;&gt;""),$AJ$3:$AJ32)))</f>
        <v>CH02</v>
      </c>
      <c r="AL32" t="str">
        <f>$H32</f>
        <v>未着手</v>
      </c>
      <c r="AM32">
        <f>IF(ISNUMBER($D32),$D32,0)</f>
        <v>4</v>
      </c>
      <c r="AN32">
        <f>IF(ISNUMBER($E32),$E32,0)</f>
        <v>0</v>
      </c>
      <c r="AO32">
        <f>IF(ISNUMBER($F32),$F32,0)</f>
        <v>4</v>
      </c>
      <c r="AQ32">
        <f>IF(OR($AK32="",K32="",L32=""),0,COUNTIFS($AK$3:$AK$98,$AK32,K$3:K$98,"&lt;"&amp;L32,L$3:L$98,"&gt;"&amp;K32)+COUNTIFS($AK$3:$AK$98,$AK32,M$3:M$98,"&lt;"&amp;L32,N$3:N$98,"&gt;"&amp;K32)+COUNTIFS($AK$3:$AK$98,$AK32,O$3:O$98,"&lt;"&amp;L32,P$3:P$98,"&gt;"&amp;K32)+COUNTIFS($AK$3:$AK$98,$AK32,Q$3:Q$98,"&lt;"&amp;L32,R$3:R$98,"&gt;"&amp;K32)+COUNTIFS($AK$3:$AK$98,$AK32,S$3:S$98,"&lt;"&amp;L32,T$3:T$98,"&gt;"&amp;K32)+COUNTIFS($AK$3:$AK$98,$AK32,U$3:U$98,"&lt;"&amp;L32,V$3:V$98,"&gt;"&amp;K32)+COUNTIFS($AK$3:$AK$98,$AK32,W$3:W$98,"&lt;"&amp;L32,X$3:X$98,"&gt;"&amp;K32)+COUNTIFS($AK$3:$AK$98,$AK32,Y$3:Y$98,"&lt;"&amp;L32,Z$3:Z$98,"&gt;"&amp;K32)+COUNTIFS($AK$3:$AK$98,$AK32,AA$3:AA$98,"&lt;"&amp;L32,AB$3:AB$98,"&gt;"&amp;K32)+COUNTIFS($AK$3:$AK$98,$AK32,AC$3:AC$98,"&lt;"&amp;L32,AD$3:AD$98,"&gt;"&amp;K32)+COUNTIFS($AK$3:$AK$98,$AK32,AE$3:AE$98,"&lt;"&amp;L32,AF$3:AF$98,"&gt;"&amp;K32)+COUNTIFS($AK$3:$AK$98,$AK32,AG$3:AG$98,"&lt;"&amp;L32,AH$3:AH$98,"&gt;"&amp;K32)-(K32&lt;L32))</f>
        <v>0</v>
      </c>
      <c r="AR32">
        <f>AQ32</f>
        <v>0</v>
      </c>
      <c r="AS32">
        <f>IF(OR($AK32="",M32="",N32=""),0,COUNTIFS($AK$3:$AK$98,$AK32,K$3:K$98,"&lt;"&amp;N32,L$3:L$98,"&gt;"&amp;M32)+COUNTIFS($AK$3:$AK$98,$AK32,M$3:M$98,"&lt;"&amp;N32,N$3:N$98,"&gt;"&amp;M32)+COUNTIFS($AK$3:$AK$98,$AK32,O$3:O$98,"&lt;"&amp;N32,P$3:P$98,"&gt;"&amp;M32)+COUNTIFS($AK$3:$AK$98,$AK32,Q$3:Q$98,"&lt;"&amp;N32,R$3:R$98,"&gt;"&amp;M32)+COUNTIFS($AK$3:$AK$98,$AK32,S$3:S$98,"&lt;"&amp;N32,T$3:T$98,"&gt;"&amp;M32)+COUNTIFS($AK$3:$AK$98,$AK32,U$3:U$98,"&lt;"&amp;N32,V$3:V$98,"&gt;"&amp;M32)+COUNTIFS($AK$3:$AK$98,$AK32,W$3:W$98,"&lt;"&amp;N32,X$3:X$98,"&gt;"&amp;M32)+COUNTIFS($AK$3:$AK$98,$AK32,Y$3:Y$98,"&lt;"&amp;N32,Z$3:Z$98,"&gt;"&amp;M32)+COUNTIFS($AK$3:$AK$98,$AK32,AA$3:AA$98,"&lt;"&amp;N32,AB$3:AB$98,"&gt;"&amp;M32)+COUNTIFS($AK$3:$AK$98,$AK32,AC$3:AC$98,"&lt;"&amp;N32,AD$3:AD$98,"&gt;"&amp;M32)+COUNTIFS($AK$3:$AK$98,$AK32,AE$3:AE$98,"&lt;"&amp;N32,AF$3:AF$98,"&gt;"&amp;M32)+COUNTIFS($AK$3:$AK$98,$AK32,AG$3:AG$98,"&lt;"&amp;N32,AH$3:AH$98,"&gt;"&amp;M32)-(M32&lt;N32))</f>
        <v>0</v>
      </c>
      <c r="AT32">
        <f>AS32</f>
        <v>0</v>
      </c>
      <c r="AU32">
        <f>IF(OR($AK32="",O32="",P32=""),0,COUNTIFS($AK$3:$AK$98,$AK32,K$3:K$98,"&lt;"&amp;P32,L$3:L$98,"&gt;"&amp;O32)+COUNTIFS($AK$3:$AK$98,$AK32,M$3:M$98,"&lt;"&amp;P32,N$3:N$98,"&gt;"&amp;O32)+COUNTIFS($AK$3:$AK$98,$AK32,O$3:O$98,"&lt;"&amp;P32,P$3:P$98,"&gt;"&amp;O32)+COUNTIFS($AK$3:$AK$98,$AK32,Q$3:Q$98,"&lt;"&amp;P32,R$3:R$98,"&gt;"&amp;O32)+COUNTIFS($AK$3:$AK$98,$AK32,S$3:S$98,"&lt;"&amp;P32,T$3:T$98,"&gt;"&amp;O32)+COUNTIFS($AK$3:$AK$98,$AK32,U$3:U$98,"&lt;"&amp;P32,V$3:V$98,"&gt;"&amp;O32)+COUNTIFS($AK$3:$AK$98,$AK32,W$3:W$98,"&lt;"&amp;P32,X$3:X$98,"&gt;"&amp;O32)+COUNTIFS($AK$3:$AK$98,$AK32,Y$3:Y$98,"&lt;"&amp;P32,Z$3:Z$98,"&gt;"&amp;O32)+COUNTIFS($AK$3:$AK$98,$AK32,AA$3:AA$98,"&lt;"&amp;P32,AB$3:AB$98,"&gt;"&amp;O32)+COUNTIFS($AK$3:$AK$98,$AK32,AC$3:AC$98,"&lt;"&amp;P32,AD$3:AD$98,"&gt;"&amp;O32)+COUNTIFS($AK$3:$AK$98,$AK32,AE$3:AE$98,"&lt;"&amp;P32,AF$3:AF$98,"&gt;"&amp;O32)+COUNTIFS($AK$3:$AK$98,$AK32,AG$3:AG$98,"&lt;"&amp;P32,AH$3:AH$98,"&gt;"&amp;O32)-(O32&lt;P32))</f>
        <v>0</v>
      </c>
      <c r="AV32">
        <f>AU32</f>
        <v>0</v>
      </c>
      <c r="AW32">
        <f>IF(OR($AK32="",Q32="",R32=""),0,COUNTIFS($AK$3:$AK$98,$AK32,K$3:K$98,"&lt;"&amp;R32,L$3:L$98,"&gt;"&amp;Q32)+COUNTIFS($AK$3:$AK$98,$AK32,M$3:M$98,"&lt;"&amp;R32,N$3:N$98,"&gt;"&amp;Q32)+COUNTIFS($AK$3:$AK$98,$AK32,O$3:O$98,"&lt;"&amp;R32,P$3:P$98,"&gt;"&amp;Q32)+COUNTIFS($AK$3:$AK$98,$AK32,Q$3:Q$98,"&lt;"&amp;R32,R$3:R$98,"&gt;"&amp;Q32)+COUNTIFS($AK$3:$AK$98,$AK32,S$3:S$98,"&lt;"&amp;R32,T$3:T$98,"&gt;"&amp;Q32)+COUNTIFS($AK$3:$AK$98,$AK32,U$3:U$98,"&lt;"&amp;R32,V$3:V$98,"&gt;"&amp;Q32)+COUNTIFS($AK$3:$AK$98,$AK32,W$3:W$98,"&lt;"&amp;R32,X$3:X$98,"&gt;"&amp;Q32)+COUNTIFS($AK$3:$AK$98,$AK32,Y$3:Y$98,"&lt;"&amp;R32,Z$3:Z$98,"&gt;"&amp;Q32)+COUNTIFS($AK$3:$AK$98,$AK32,AA$3:AA$98,"&lt;"&amp;R32,AB$3:AB$98,"&gt;"&amp;Q32)+COUNTIFS($AK$3:$AK$98,$AK32,AC$3:AC$98,"&lt;"&amp;R32,AD$3:AD$98,"&gt;"&amp;Q32)+COUNTIFS($AK$3:$AK$98,$AK32,AE$3:AE$98,"&lt;"&amp;R32,AF$3:AF$98,"&gt;"&amp;Q32)+COUNTIFS($AK$3:$AK$98,$AK32,AG$3:AG$98,"&lt;"&amp;R32,AH$3:AH$98,"&gt;"&amp;Q32)-(Q32&lt;R32))</f>
        <v>0</v>
      </c>
      <c r="AX32">
        <f>AW32</f>
        <v>0</v>
      </c>
      <c r="AY32">
        <f>IF(OR($AK32="",S32="",T32=""),0,COUNTIFS($AK$3:$AK$98,$AK32,K$3:K$98,"&lt;"&amp;T32,L$3:L$98,"&gt;"&amp;S32)+COUNTIFS($AK$3:$AK$98,$AK32,M$3:M$98,"&lt;"&amp;T32,N$3:N$98,"&gt;"&amp;S32)+COUNTIFS($AK$3:$AK$98,$AK32,O$3:O$98,"&lt;"&amp;T32,P$3:P$98,"&gt;"&amp;S32)+COUNTIFS($AK$3:$AK$98,$AK32,Q$3:Q$98,"&lt;"&amp;T32,R$3:R$98,"&gt;"&amp;S32)+COUNTIFS($AK$3:$AK$98,$AK32,S$3:S$98,"&lt;"&amp;T32,T$3:T$98,"&gt;"&amp;S32)+COUNTIFS($AK$3:$AK$98,$AK32,U$3:U$98,"&lt;"&amp;T32,V$3:V$98,"&gt;"&amp;S32)+COUNTIFS($AK$3:$AK$98,$AK32,W$3:W$98,"&lt;"&amp;T32,X$3:X$98,"&gt;"&amp;S32)+COUNTIFS($AK$3:$AK$98,$AK32,Y$3:Y$98,"&lt;"&amp;T32,Z$3:Z$98,"&gt;"&amp;S32)+COUNTIFS($AK$3:$AK$98,$AK32,AA$3:AA$98,"&lt;"&amp;T32,AB$3:AB$98,"&gt;"&amp;S32)+COUNTIFS($AK$3:$AK$98,$AK32,AC$3:AC$98,"&lt;"&amp;T32,AD$3:AD$98,"&gt;"&amp;S32)+COUNTIFS($AK$3:$AK$98,$AK32,AE$3:AE$98,"&lt;"&amp;T32,AF$3:AF$98,"&gt;"&amp;S32)+COUNTIFS($AK$3:$AK$98,$AK32,AG$3:AG$98,"&lt;"&amp;T32,AH$3:AH$98,"&gt;"&amp;S32)-(S32&lt;T32))</f>
        <v>0</v>
      </c>
      <c r="AZ32">
        <f>AY32</f>
        <v>0</v>
      </c>
      <c r="BA32">
        <f>IF(OR($AK32="",U32="",V32=""),0,COUNTIFS($AK$3:$AK$98,$AK32,K$3:K$98,"&lt;"&amp;V32,L$3:L$98,"&gt;"&amp;U32)+COUNTIFS($AK$3:$AK$98,$AK32,M$3:M$98,"&lt;"&amp;V32,N$3:N$98,"&gt;"&amp;U32)+COUNTIFS($AK$3:$AK$98,$AK32,O$3:O$98,"&lt;"&amp;V32,P$3:P$98,"&gt;"&amp;U32)+COUNTIFS($AK$3:$AK$98,$AK32,Q$3:Q$98,"&lt;"&amp;V32,R$3:R$98,"&gt;"&amp;U32)+COUNTIFS($AK$3:$AK$98,$AK32,S$3:S$98,"&lt;"&amp;V32,T$3:T$98,"&gt;"&amp;U32)+COUNTIFS($AK$3:$AK$98,$AK32,U$3:U$98,"&lt;"&amp;V32,V$3:V$98,"&gt;"&amp;U32)+COUNTIFS($AK$3:$AK$98,$AK32,W$3:W$98,"&lt;"&amp;V32,X$3:X$98,"&gt;"&amp;U32)+COUNTIFS($AK$3:$AK$98,$AK32,Y$3:Y$98,"&lt;"&amp;V32,Z$3:Z$98,"&gt;"&amp;U32)+COUNTIFS($AK$3:$AK$98,$AK32,AA$3:AA$98,"&lt;"&amp;V32,AB$3:AB$98,"&gt;"&amp;U32)+COUNTIFS($AK$3:$AK$98,$AK32,AC$3:AC$98,"&lt;"&amp;V32,AD$3:AD$98,"&gt;"&amp;U32)+COUNTIFS($AK$3:$AK$98,$AK32,AE$3:AE$98,"&lt;"&amp;V32,AF$3:AF$98,"&gt;"&amp;U32)+COUNTIFS($AK$3:$AK$98,$AK32,AG$3:AG$98,"&lt;"&amp;V32,AH$3:AH$98,"&gt;"&amp;U32)-(U32&lt;V32))</f>
        <v>0</v>
      </c>
      <c r="BB32">
        <f>BA32</f>
        <v>0</v>
      </c>
      <c r="BC32">
        <f>IF(OR($AK32="",W32="",X32=""),0,COUNTIFS($AK$3:$AK$98,$AK32,K$3:K$98,"&lt;"&amp;X32,L$3:L$98,"&gt;"&amp;W32)+COUNTIFS($AK$3:$AK$98,$AK32,M$3:M$98,"&lt;"&amp;X32,N$3:N$98,"&gt;"&amp;W32)+COUNTIFS($AK$3:$AK$98,$AK32,O$3:O$98,"&lt;"&amp;X32,P$3:P$98,"&gt;"&amp;W32)+COUNTIFS($AK$3:$AK$98,$AK32,Q$3:Q$98,"&lt;"&amp;X32,R$3:R$98,"&gt;"&amp;W32)+COUNTIFS($AK$3:$AK$98,$AK32,S$3:S$98,"&lt;"&amp;X32,T$3:T$98,"&gt;"&amp;W32)+COUNTIFS($AK$3:$AK$98,$AK32,U$3:U$98,"&lt;"&amp;X32,V$3:V$98,"&gt;"&amp;W32)+COUNTIFS($AK$3:$AK$98,$AK32,W$3:W$98,"&lt;"&amp;X32,X$3:X$98,"&gt;"&amp;W32)+COUNTIFS($AK$3:$AK$98,$AK32,Y$3:Y$98,"&lt;"&amp;X32,Z$3:Z$98,"&gt;"&amp;W32)+COUNTIFS($AK$3:$AK$98,$AK32,AA$3:AA$98,"&lt;"&amp;X32,AB$3:AB$98,"&gt;"&amp;W32)+COUNTIFS($AK$3:$AK$98,$AK32,AC$3:AC$98,"&lt;"&amp;X32,AD$3:AD$98,"&gt;"&amp;W32)+COUNTIFS($AK$3:$AK$98,$AK32,AE$3:AE$98,"&lt;"&amp;X32,AF$3:AF$98,"&gt;"&amp;W32)+COUNTIFS($AK$3:$AK$98,$AK32,AG$3:AG$98,"&lt;"&amp;X32,AH$3:AH$98,"&gt;"&amp;W32)-(W32&lt;X32))</f>
        <v>0</v>
      </c>
      <c r="BD32">
        <f>BC32</f>
        <v>0</v>
      </c>
      <c r="BE32">
        <f>IF(OR($AK32="",Y32="",Z32=""),0,COUNTIFS($AK$3:$AK$98,$AK32,K$3:K$98,"&lt;"&amp;Z32,L$3:L$98,"&gt;"&amp;Y32)+COUNTIFS($AK$3:$AK$98,$AK32,M$3:M$98,"&lt;"&amp;Z32,N$3:N$98,"&gt;"&amp;Y32)+COUNTIFS($AK$3:$AK$98,$AK32,O$3:O$98,"&lt;"&amp;Z32,P$3:P$98,"&gt;"&amp;Y32)+COUNTIFS($AK$3:$AK$98,$AK32,Q$3:Q$98,"&lt;"&amp;Z32,R$3:R$98,"&gt;"&amp;Y32)+COUNTIFS($AK$3:$AK$98,$AK32,S$3:S$98,"&lt;"&amp;Z32,T$3:T$98,"&gt;"&amp;Y32)+COUNTIFS($AK$3:$AK$98,$AK32,U$3:U$98,"&lt;"&amp;Z32,V$3:V$98,"&gt;"&amp;Y32)+COUNTIFS($AK$3:$AK$98,$AK32,W$3:W$98,"&lt;"&amp;Z32,X$3:X$98,"&gt;"&amp;Y32)+COUNTIFS($AK$3:$AK$98,$AK32,Y$3:Y$98,"&lt;"&amp;Z32,Z$3:Z$98,"&gt;"&amp;Y32)+COUNTIFS($AK$3:$AK$98,$AK32,AA$3:AA$98,"&lt;"&amp;Z32,AB$3:AB$98,"&gt;"&amp;Y32)+COUNTIFS($AK$3:$AK$98,$AK32,AC$3:AC$98,"&lt;"&amp;Z32,AD$3:AD$98,"&gt;"&amp;Y32)+COUNTIFS($AK$3:$AK$98,$AK32,AE$3:AE$98,"&lt;"&amp;Z32,AF$3:AF$98,"&gt;"&amp;Y32)+COUNTIFS($AK$3:$AK$98,$AK32,AG$3:AG$98,"&lt;"&amp;Z32,AH$3:AH$98,"&gt;"&amp;Y32)-(Y32&lt;Z32))</f>
        <v>0</v>
      </c>
      <c r="BF32">
        <f>BE32</f>
        <v>0</v>
      </c>
      <c r="BG32">
        <f>IF(OR($AK32="",AA32="",AB32=""),0,COUNTIFS($AK$3:$AK$98,$AK32,K$3:K$98,"&lt;"&amp;AB32,L$3:L$98,"&gt;"&amp;AA32)+COUNTIFS($AK$3:$AK$98,$AK32,M$3:M$98,"&lt;"&amp;AB32,N$3:N$98,"&gt;"&amp;AA32)+COUNTIFS($AK$3:$AK$98,$AK32,O$3:O$98,"&lt;"&amp;AB32,P$3:P$98,"&gt;"&amp;AA32)+COUNTIFS($AK$3:$AK$98,$AK32,Q$3:Q$98,"&lt;"&amp;AB32,R$3:R$98,"&gt;"&amp;AA32)+COUNTIFS($AK$3:$AK$98,$AK32,S$3:S$98,"&lt;"&amp;AB32,T$3:T$98,"&gt;"&amp;AA32)+COUNTIFS($AK$3:$AK$98,$AK32,U$3:U$98,"&lt;"&amp;AB32,V$3:V$98,"&gt;"&amp;AA32)+COUNTIFS($AK$3:$AK$98,$AK32,W$3:W$98,"&lt;"&amp;AB32,X$3:X$98,"&gt;"&amp;AA32)+COUNTIFS($AK$3:$AK$98,$AK32,Y$3:Y$98,"&lt;"&amp;AB32,Z$3:Z$98,"&gt;"&amp;AA32)+COUNTIFS($AK$3:$AK$98,$AK32,AA$3:AA$98,"&lt;"&amp;AB32,AB$3:AB$98,"&gt;"&amp;AA32)+COUNTIFS($AK$3:$AK$98,$AK32,AC$3:AC$98,"&lt;"&amp;AB32,AD$3:AD$98,"&gt;"&amp;AA32)+COUNTIFS($AK$3:$AK$98,$AK32,AE$3:AE$98,"&lt;"&amp;AB32,AF$3:AF$98,"&gt;"&amp;AA32)+COUNTIFS($AK$3:$AK$98,$AK32,AG$3:AG$98,"&lt;"&amp;AB32,AH$3:AH$98,"&gt;"&amp;AA32)-(AA32&lt;AB32))</f>
        <v>0</v>
      </c>
      <c r="BH32">
        <f>BG32</f>
        <v>0</v>
      </c>
      <c r="BI32">
        <f>IF(OR($AK32="",AC32="",AD32=""),0,COUNTIFS($AK$3:$AK$98,$AK32,K$3:K$98,"&lt;"&amp;AD32,L$3:L$98,"&gt;"&amp;AC32)+COUNTIFS($AK$3:$AK$98,$AK32,M$3:M$98,"&lt;"&amp;AD32,N$3:N$98,"&gt;"&amp;AC32)+COUNTIFS($AK$3:$AK$98,$AK32,O$3:O$98,"&lt;"&amp;AD32,P$3:P$98,"&gt;"&amp;AC32)+COUNTIFS($AK$3:$AK$98,$AK32,Q$3:Q$98,"&lt;"&amp;AD32,R$3:R$98,"&gt;"&amp;AC32)+COUNTIFS($AK$3:$AK$98,$AK32,S$3:S$98,"&lt;"&amp;AD32,T$3:T$98,"&gt;"&amp;AC32)+COUNTIFS($AK$3:$AK$98,$AK32,U$3:U$98,"&lt;"&amp;AD32,V$3:V$98,"&gt;"&amp;AC32)+COUNTIFS($AK$3:$AK$98,$AK32,W$3:W$98,"&lt;"&amp;AD32,X$3:X$98,"&gt;"&amp;AC32)+COUNTIFS($AK$3:$AK$98,$AK32,Y$3:Y$98,"&lt;"&amp;AD32,Z$3:Z$98,"&gt;"&amp;AC32)+COUNTIFS($AK$3:$AK$98,$AK32,AA$3:AA$98,"&lt;"&amp;AD32,AB$3:AB$98,"&gt;"&amp;AC32)+COUNTIFS($AK$3:$AK$98,$AK32,AC$3:AC$98,"&lt;"&amp;AD32,AD$3:AD$98,"&gt;"&amp;AC32)+COUNTIFS($AK$3:$AK$98,$AK32,AE$3:AE$98,"&lt;"&amp;AD32,AF$3:AF$98,"&gt;"&amp;AC32)+COUNTIFS($AK$3:$AK$98,$AK32,AG$3:AG$98,"&lt;"&amp;AD32,AH$3:AH$98,"&gt;"&amp;AC32)-(AC32&lt;AD32))</f>
        <v>0</v>
      </c>
      <c r="BJ32">
        <f>BI32</f>
        <v>0</v>
      </c>
      <c r="BK32">
        <f>IF(OR($AK32="",AE32="",AF32=""),0,COUNTIFS($AK$3:$AK$98,$AK32,K$3:K$98,"&lt;"&amp;AF32,L$3:L$98,"&gt;"&amp;AE32)+COUNTIFS($AK$3:$AK$98,$AK32,M$3:M$98,"&lt;"&amp;AF32,N$3:N$98,"&gt;"&amp;AE32)+COUNTIFS($AK$3:$AK$98,$AK32,O$3:O$98,"&lt;"&amp;AF32,P$3:P$98,"&gt;"&amp;AE32)+COUNTIFS($AK$3:$AK$98,$AK32,Q$3:Q$98,"&lt;"&amp;AF32,R$3:R$98,"&gt;"&amp;AE32)+COUNTIFS($AK$3:$AK$98,$AK32,S$3:S$98,"&lt;"&amp;AF32,T$3:T$98,"&gt;"&amp;AE32)+COUNTIFS($AK$3:$AK$98,$AK32,U$3:U$98,"&lt;"&amp;AF32,V$3:V$98,"&gt;"&amp;AE32)+COUNTIFS($AK$3:$AK$98,$AK32,W$3:W$98,"&lt;"&amp;AF32,X$3:X$98,"&gt;"&amp;AE32)+COUNTIFS($AK$3:$AK$98,$AK32,Y$3:Y$98,"&lt;"&amp;AF32,Z$3:Z$98,"&gt;"&amp;AE32)+COUNTIFS($AK$3:$AK$98,$AK32,AA$3:AA$98,"&lt;"&amp;AF32,AB$3:AB$98,"&gt;"&amp;AE32)+COUNTIFS($AK$3:$AK$98,$AK32,AC$3:AC$98,"&lt;"&amp;AF32,AD$3:AD$98,"&gt;"&amp;AE32)+COUNTIFS($AK$3:$AK$98,$AK32,AE$3:AE$98,"&lt;"&amp;AF32,AF$3:AF$98,"&gt;"&amp;AE32)+COUNTIFS($AK$3:$AK$98,$AK32,AG$3:AG$98,"&lt;"&amp;AF32,AH$3:AH$98,"&gt;"&amp;AE32)-(AE32&lt;AF32))</f>
        <v>0</v>
      </c>
      <c r="BL32">
        <f>BK32</f>
        <v>0</v>
      </c>
      <c r="BM32">
        <f>IF(OR($AK32="",AG32="",AH32=""),0,COUNTIFS($AK$3:$AK$98,$AK32,K$3:K$98,"&lt;"&amp;AH32,L$3:L$98,"&gt;"&amp;AG32)+COUNTIFS($AK$3:$AK$98,$AK32,M$3:M$98,"&lt;"&amp;AH32,N$3:N$98,"&gt;"&amp;AG32)+COUNTIFS($AK$3:$AK$98,$AK32,O$3:O$98,"&lt;"&amp;AH32,P$3:P$98,"&gt;"&amp;AG32)+COUNTIFS($AK$3:$AK$98,$AK32,Q$3:Q$98,"&lt;"&amp;AH32,R$3:R$98,"&gt;"&amp;AG32)+COUNTIFS($AK$3:$AK$98,$AK32,S$3:S$98,"&lt;"&amp;AH32,T$3:T$98,"&gt;"&amp;AG32)+COUNTIFS($AK$3:$AK$98,$AK32,U$3:U$98,"&lt;"&amp;AH32,V$3:V$98,"&gt;"&amp;AG32)+COUNTIFS($AK$3:$AK$98,$AK32,W$3:W$98,"&lt;"&amp;AH32,X$3:X$98,"&gt;"&amp;AG32)+COUNTIFS($AK$3:$AK$98,$AK32,Y$3:Y$98,"&lt;"&amp;AH32,Z$3:Z$98,"&gt;"&amp;AG32)+COUNTIFS($AK$3:$AK$98,$AK32,AA$3:AA$98,"&lt;"&amp;AH32,AB$3:AB$98,"&gt;"&amp;AG32)+COUNTIFS($AK$3:$AK$98,$AK32,AC$3:AC$98,"&lt;"&amp;AH32,AD$3:AD$98,"&gt;"&amp;AG32)+COUNTIFS($AK$3:$AK$98,$AK32,AE$3:AE$98,"&lt;"&amp;AH32,AF$3:AF$98,"&gt;"&amp;AG32)+COUNTIFS($AK$3:$AK$98,$AK32,AG$3:AG$98,"&lt;"&amp;AH32,AH$3:AH$98,"&gt;"&amp;AG32)-(AG32&lt;AH32))</f>
        <v>0</v>
      </c>
      <c r="BN32">
        <f>BM32</f>
        <v>0</v>
      </c>
      <c r="BO32">
        <f>IF(ISNUMBER($G32),$G32,"")</f>
        <v>0</v>
      </c>
      <c r="BP32" t="str">
        <f>IF(AND($A32&lt;&gt;"",COUNT($K32:$AH32)&gt;0),ROW(),"")</f>
        <v/>
      </c>
    </row>
    <row r="33" spans="1:68" x14ac:dyDescent="0.15">
      <c r="A33" s="13" t="s">
        <v>41</v>
      </c>
      <c r="B33" s="14" t="str">
        <f>IF($A33="","","total")</f>
        <v>total</v>
      </c>
      <c r="C33" s="14"/>
      <c r="D33" s="15">
        <f>IF($A33="","",SUM(D34:D36))</f>
        <v>17</v>
      </c>
      <c r="E33" s="15">
        <f>IF($A33="","",SUM(E34:E36))</f>
        <v>14</v>
      </c>
      <c r="F33" s="15">
        <f>IF($A33="","",D33-E33)</f>
        <v>3</v>
      </c>
      <c r="G33" s="16">
        <f>IF($A33="","",IFERROR(AVERAGEIFS(G34:G36,H34:H36,"&lt;&gt;未着手",H34:H36,"&lt;&gt;作業中"),""))</f>
        <v>0.78333333333333333</v>
      </c>
      <c r="H33" s="14"/>
      <c r="I33" s="14"/>
      <c r="J33" s="14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</row>
    <row r="34" spans="1:68" x14ac:dyDescent="0.15">
      <c r="A34" s="18" t="str">
        <f>IF($A33="","",$A33)</f>
        <v>chMobSaiyanC</v>
      </c>
      <c r="B34" s="19" t="str">
        <f>IF($A33="","","low")</f>
        <v>low</v>
      </c>
      <c r="C34" s="19"/>
      <c r="D34" s="20">
        <v>8</v>
      </c>
      <c r="E34" s="21">
        <f>IF(AND($D34="",COUNT($K34:$AH34)=0),"",IF(K34="",0,MAX(0,NETWORKDAYS(K34,IF(L34&lt;&gt;"",L34,IF($J34&lt;&gt;"",K34,$AI$1)),祝日!$A$2:$A$200)))+IF(M34="",0,MAX(0,NETWORKDAYS(M34,IF(N34&lt;&gt;"",N34,IF($J34&lt;&gt;"",M34,$AI$1)),祝日!$A$2:$A$200)))+IF(O34="",0,MAX(0,NETWORKDAYS(O34,IF(P34&lt;&gt;"",P34,IF($J34&lt;&gt;"",O34,$AI$1)),祝日!$A$2:$A$200)))+IF(Q34="",0,MAX(0,NETWORKDAYS(Q34,IF(R34&lt;&gt;"",R34,IF($J34&lt;&gt;"",Q34,$AI$1)),祝日!$A$2:$A$200)))+IF(S34="",0,MAX(0,NETWORKDAYS(S34,IF(T34&lt;&gt;"",T34,IF($J34&lt;&gt;"",S34,$AI$1)),祝日!$A$2:$A$200)))+IF(U34="",0,MAX(0,NETWORKDAYS(U34,IF(V34&lt;&gt;"",V34,IF($J34&lt;&gt;"",U34,$AI$1)),祝日!$A$2:$A$200)))+IF(W34="",0,MAX(0,NETWORKDAYS(W34,IF(X34&lt;&gt;"",X34,IF($J34&lt;&gt;"",W34,$AI$1)),祝日!$A$2:$A$200)))+IF(Y34="",0,MAX(0,NETWORKDAYS(Y34,IF(Z34&lt;&gt;"",Z34,IF($J34&lt;&gt;"",Y34,$AI$1)),祝日!$A$2:$A$200)))+IF(AA34="",0,MAX(0,NETWORKDAYS(AA34,IF(AB34&lt;&gt;"",AB34,IF($J34&lt;&gt;"",AA34,$AI$1)),祝日!$A$2:$A$200)))+IF(AC34="",0,MAX(0,NETWORKDAYS(AC34,IF(AD34&lt;&gt;"",AD34,IF($J34&lt;&gt;"",AC34,$AI$1)),祝日!$A$2:$A$200)))+IF(AE34="",0,MAX(0,NETWORKDAYS(AE34,IF(AF34&lt;&gt;"",AF34,IF($J34&lt;&gt;"",AE34,$AI$1)),祝日!$A$2:$A$200)))+IF(AG34="",0,MAX(0,NETWORKDAYS(AG34,IF(AH34&lt;&gt;"",AH34,IF($J34&lt;&gt;"",AG34,$AI$1)),祝日!$A$2:$A$200))))</f>
        <v>8</v>
      </c>
      <c r="F34" s="21">
        <f>IF($D34="","",$D34-$E34)</f>
        <v>0</v>
      </c>
      <c r="G34" s="22">
        <f>IF(OR($D34="",$D34=0),"",$E34/$D34)</f>
        <v>1</v>
      </c>
      <c r="H34" s="23" t="str">
        <f>IF($D34="","",IF($J34&lt;&gt;"","FIX",IF(AND(SUMPRODUCT((MOD(COLUMN($K34:$AH34)-COLUMN($K34),2)=0)*($K34:$AH34&lt;&gt;""))=0,SUMPRODUCT((MOD(COLUMN($K34:$AH34)-COLUMN($K34),2)=1)*($K34:$AH34&lt;&gt;""))=0),"未着手",IF(SUMPRODUCT((MOD(COLUMN($K34:$AH34)-COLUMN($K34),2)=0)*($K34:$AH34&lt;&gt;""))&gt;SUMPRODUCT((MOD(COLUMN($K34:$AH34)-COLUMN($K34),2)=1)*($K34:$AH34&lt;&gt;"")),"作業中","中断"))))</f>
        <v>FIX</v>
      </c>
      <c r="I34" s="23" t="str">
        <f>IF($H34="中断",MAX(0,$AI$1-MAX(L34,N34,P34,R34,T34,V34,X34,Z34,AB34,AD34,AF34,AH34)),"")</f>
        <v/>
      </c>
      <c r="J34" s="19" t="s">
        <v>37</v>
      </c>
      <c r="K34" s="24">
        <v>46267</v>
      </c>
      <c r="L34" s="24">
        <v>46267</v>
      </c>
      <c r="M34" s="24">
        <v>46270</v>
      </c>
      <c r="N34" s="24">
        <v>46280</v>
      </c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K34" t="str">
        <f>IF($A33="","",IF(LOOKUP(2,1/($AJ$3:$AJ34&lt;&gt;""),$AJ$3:$AJ34)="-","",LOOKUP(2,1/($AJ$3:$AJ34&lt;&gt;""),$AJ$3:$AJ34)))</f>
        <v>CH02</v>
      </c>
      <c r="AL34" t="str">
        <f>$H34</f>
        <v>FIX</v>
      </c>
      <c r="AM34">
        <f>IF(ISNUMBER($D34),$D34,0)</f>
        <v>8</v>
      </c>
      <c r="AN34">
        <f>IF(ISNUMBER($E34),$E34,0)</f>
        <v>8</v>
      </c>
      <c r="AO34">
        <f>IF(ISNUMBER($F34),$F34,0)</f>
        <v>0</v>
      </c>
      <c r="AQ34">
        <f>IF(OR($AK34="",K34="",L34=""),0,COUNTIFS($AK$3:$AK$98,$AK34,K$3:K$98,"&lt;"&amp;L34,L$3:L$98,"&gt;"&amp;K34)+COUNTIFS($AK$3:$AK$98,$AK34,M$3:M$98,"&lt;"&amp;L34,N$3:N$98,"&gt;"&amp;K34)+COUNTIFS($AK$3:$AK$98,$AK34,O$3:O$98,"&lt;"&amp;L34,P$3:P$98,"&gt;"&amp;K34)+COUNTIFS($AK$3:$AK$98,$AK34,Q$3:Q$98,"&lt;"&amp;L34,R$3:R$98,"&gt;"&amp;K34)+COUNTIFS($AK$3:$AK$98,$AK34,S$3:S$98,"&lt;"&amp;L34,T$3:T$98,"&gt;"&amp;K34)+COUNTIFS($AK$3:$AK$98,$AK34,U$3:U$98,"&lt;"&amp;L34,V$3:V$98,"&gt;"&amp;K34)+COUNTIFS($AK$3:$AK$98,$AK34,W$3:W$98,"&lt;"&amp;L34,X$3:X$98,"&gt;"&amp;K34)+COUNTIFS($AK$3:$AK$98,$AK34,Y$3:Y$98,"&lt;"&amp;L34,Z$3:Z$98,"&gt;"&amp;K34)+COUNTIFS($AK$3:$AK$98,$AK34,AA$3:AA$98,"&lt;"&amp;L34,AB$3:AB$98,"&gt;"&amp;K34)+COUNTIFS($AK$3:$AK$98,$AK34,AC$3:AC$98,"&lt;"&amp;L34,AD$3:AD$98,"&gt;"&amp;K34)+COUNTIFS($AK$3:$AK$98,$AK34,AE$3:AE$98,"&lt;"&amp;L34,AF$3:AF$98,"&gt;"&amp;K34)+COUNTIFS($AK$3:$AK$98,$AK34,AG$3:AG$98,"&lt;"&amp;L34,AH$3:AH$98,"&gt;"&amp;K34)-(K34&lt;L34))</f>
        <v>0</v>
      </c>
      <c r="AR34">
        <f>AQ34</f>
        <v>0</v>
      </c>
      <c r="AS34">
        <f>IF(OR($AK34="",M34="",N34=""),0,COUNTIFS($AK$3:$AK$98,$AK34,K$3:K$98,"&lt;"&amp;N34,L$3:L$98,"&gt;"&amp;M34)+COUNTIFS($AK$3:$AK$98,$AK34,M$3:M$98,"&lt;"&amp;N34,N$3:N$98,"&gt;"&amp;M34)+COUNTIFS($AK$3:$AK$98,$AK34,O$3:O$98,"&lt;"&amp;N34,P$3:P$98,"&gt;"&amp;M34)+COUNTIFS($AK$3:$AK$98,$AK34,Q$3:Q$98,"&lt;"&amp;N34,R$3:R$98,"&gt;"&amp;M34)+COUNTIFS($AK$3:$AK$98,$AK34,S$3:S$98,"&lt;"&amp;N34,T$3:T$98,"&gt;"&amp;M34)+COUNTIFS($AK$3:$AK$98,$AK34,U$3:U$98,"&lt;"&amp;N34,V$3:V$98,"&gt;"&amp;M34)+COUNTIFS($AK$3:$AK$98,$AK34,W$3:W$98,"&lt;"&amp;N34,X$3:X$98,"&gt;"&amp;M34)+COUNTIFS($AK$3:$AK$98,$AK34,Y$3:Y$98,"&lt;"&amp;N34,Z$3:Z$98,"&gt;"&amp;M34)+COUNTIFS($AK$3:$AK$98,$AK34,AA$3:AA$98,"&lt;"&amp;N34,AB$3:AB$98,"&gt;"&amp;M34)+COUNTIFS($AK$3:$AK$98,$AK34,AC$3:AC$98,"&lt;"&amp;N34,AD$3:AD$98,"&gt;"&amp;M34)+COUNTIFS($AK$3:$AK$98,$AK34,AE$3:AE$98,"&lt;"&amp;N34,AF$3:AF$98,"&gt;"&amp;M34)+COUNTIFS($AK$3:$AK$98,$AK34,AG$3:AG$98,"&lt;"&amp;N34,AH$3:AH$98,"&gt;"&amp;M34)-(M34&lt;N34))</f>
        <v>0</v>
      </c>
      <c r="AT34">
        <f>AS34</f>
        <v>0</v>
      </c>
      <c r="AU34">
        <f>IF(OR($AK34="",O34="",P34=""),0,COUNTIFS($AK$3:$AK$98,$AK34,K$3:K$98,"&lt;"&amp;P34,L$3:L$98,"&gt;"&amp;O34)+COUNTIFS($AK$3:$AK$98,$AK34,M$3:M$98,"&lt;"&amp;P34,N$3:N$98,"&gt;"&amp;O34)+COUNTIFS($AK$3:$AK$98,$AK34,O$3:O$98,"&lt;"&amp;P34,P$3:P$98,"&gt;"&amp;O34)+COUNTIFS($AK$3:$AK$98,$AK34,Q$3:Q$98,"&lt;"&amp;P34,R$3:R$98,"&gt;"&amp;O34)+COUNTIFS($AK$3:$AK$98,$AK34,S$3:S$98,"&lt;"&amp;P34,T$3:T$98,"&gt;"&amp;O34)+COUNTIFS($AK$3:$AK$98,$AK34,U$3:U$98,"&lt;"&amp;P34,V$3:V$98,"&gt;"&amp;O34)+COUNTIFS($AK$3:$AK$98,$AK34,W$3:W$98,"&lt;"&amp;P34,X$3:X$98,"&gt;"&amp;O34)+COUNTIFS($AK$3:$AK$98,$AK34,Y$3:Y$98,"&lt;"&amp;P34,Z$3:Z$98,"&gt;"&amp;O34)+COUNTIFS($AK$3:$AK$98,$AK34,AA$3:AA$98,"&lt;"&amp;P34,AB$3:AB$98,"&gt;"&amp;O34)+COUNTIFS($AK$3:$AK$98,$AK34,AC$3:AC$98,"&lt;"&amp;P34,AD$3:AD$98,"&gt;"&amp;O34)+COUNTIFS($AK$3:$AK$98,$AK34,AE$3:AE$98,"&lt;"&amp;P34,AF$3:AF$98,"&gt;"&amp;O34)+COUNTIFS($AK$3:$AK$98,$AK34,AG$3:AG$98,"&lt;"&amp;P34,AH$3:AH$98,"&gt;"&amp;O34)-(O34&lt;P34))</f>
        <v>0</v>
      </c>
      <c r="AV34">
        <f>AU34</f>
        <v>0</v>
      </c>
      <c r="AW34">
        <f>IF(OR($AK34="",Q34="",R34=""),0,COUNTIFS($AK$3:$AK$98,$AK34,K$3:K$98,"&lt;"&amp;R34,L$3:L$98,"&gt;"&amp;Q34)+COUNTIFS($AK$3:$AK$98,$AK34,M$3:M$98,"&lt;"&amp;R34,N$3:N$98,"&gt;"&amp;Q34)+COUNTIFS($AK$3:$AK$98,$AK34,O$3:O$98,"&lt;"&amp;R34,P$3:P$98,"&gt;"&amp;Q34)+COUNTIFS($AK$3:$AK$98,$AK34,Q$3:Q$98,"&lt;"&amp;R34,R$3:R$98,"&gt;"&amp;Q34)+COUNTIFS($AK$3:$AK$98,$AK34,S$3:S$98,"&lt;"&amp;R34,T$3:T$98,"&gt;"&amp;Q34)+COUNTIFS($AK$3:$AK$98,$AK34,U$3:U$98,"&lt;"&amp;R34,V$3:V$98,"&gt;"&amp;Q34)+COUNTIFS($AK$3:$AK$98,$AK34,W$3:W$98,"&lt;"&amp;R34,X$3:X$98,"&gt;"&amp;Q34)+COUNTIFS($AK$3:$AK$98,$AK34,Y$3:Y$98,"&lt;"&amp;R34,Z$3:Z$98,"&gt;"&amp;Q34)+COUNTIFS($AK$3:$AK$98,$AK34,AA$3:AA$98,"&lt;"&amp;R34,AB$3:AB$98,"&gt;"&amp;Q34)+COUNTIFS($AK$3:$AK$98,$AK34,AC$3:AC$98,"&lt;"&amp;R34,AD$3:AD$98,"&gt;"&amp;Q34)+COUNTIFS($AK$3:$AK$98,$AK34,AE$3:AE$98,"&lt;"&amp;R34,AF$3:AF$98,"&gt;"&amp;Q34)+COUNTIFS($AK$3:$AK$98,$AK34,AG$3:AG$98,"&lt;"&amp;R34,AH$3:AH$98,"&gt;"&amp;Q34)-(Q34&lt;R34))</f>
        <v>0</v>
      </c>
      <c r="AX34">
        <f>AW34</f>
        <v>0</v>
      </c>
      <c r="AY34">
        <f>IF(OR($AK34="",S34="",T34=""),0,COUNTIFS($AK$3:$AK$98,$AK34,K$3:K$98,"&lt;"&amp;T34,L$3:L$98,"&gt;"&amp;S34)+COUNTIFS($AK$3:$AK$98,$AK34,M$3:M$98,"&lt;"&amp;T34,N$3:N$98,"&gt;"&amp;S34)+COUNTIFS($AK$3:$AK$98,$AK34,O$3:O$98,"&lt;"&amp;T34,P$3:P$98,"&gt;"&amp;S34)+COUNTIFS($AK$3:$AK$98,$AK34,Q$3:Q$98,"&lt;"&amp;T34,R$3:R$98,"&gt;"&amp;S34)+COUNTIFS($AK$3:$AK$98,$AK34,S$3:S$98,"&lt;"&amp;T34,T$3:T$98,"&gt;"&amp;S34)+COUNTIFS($AK$3:$AK$98,$AK34,U$3:U$98,"&lt;"&amp;T34,V$3:V$98,"&gt;"&amp;S34)+COUNTIFS($AK$3:$AK$98,$AK34,W$3:W$98,"&lt;"&amp;T34,X$3:X$98,"&gt;"&amp;S34)+COUNTIFS($AK$3:$AK$98,$AK34,Y$3:Y$98,"&lt;"&amp;T34,Z$3:Z$98,"&gt;"&amp;S34)+COUNTIFS($AK$3:$AK$98,$AK34,AA$3:AA$98,"&lt;"&amp;T34,AB$3:AB$98,"&gt;"&amp;S34)+COUNTIFS($AK$3:$AK$98,$AK34,AC$3:AC$98,"&lt;"&amp;T34,AD$3:AD$98,"&gt;"&amp;S34)+COUNTIFS($AK$3:$AK$98,$AK34,AE$3:AE$98,"&lt;"&amp;T34,AF$3:AF$98,"&gt;"&amp;S34)+COUNTIFS($AK$3:$AK$98,$AK34,AG$3:AG$98,"&lt;"&amp;T34,AH$3:AH$98,"&gt;"&amp;S34)-(S34&lt;T34))</f>
        <v>0</v>
      </c>
      <c r="AZ34">
        <f>AY34</f>
        <v>0</v>
      </c>
      <c r="BA34">
        <f>IF(OR($AK34="",U34="",V34=""),0,COUNTIFS($AK$3:$AK$98,$AK34,K$3:K$98,"&lt;"&amp;V34,L$3:L$98,"&gt;"&amp;U34)+COUNTIFS($AK$3:$AK$98,$AK34,M$3:M$98,"&lt;"&amp;V34,N$3:N$98,"&gt;"&amp;U34)+COUNTIFS($AK$3:$AK$98,$AK34,O$3:O$98,"&lt;"&amp;V34,P$3:P$98,"&gt;"&amp;U34)+COUNTIFS($AK$3:$AK$98,$AK34,Q$3:Q$98,"&lt;"&amp;V34,R$3:R$98,"&gt;"&amp;U34)+COUNTIFS($AK$3:$AK$98,$AK34,S$3:S$98,"&lt;"&amp;V34,T$3:T$98,"&gt;"&amp;U34)+COUNTIFS($AK$3:$AK$98,$AK34,U$3:U$98,"&lt;"&amp;V34,V$3:V$98,"&gt;"&amp;U34)+COUNTIFS($AK$3:$AK$98,$AK34,W$3:W$98,"&lt;"&amp;V34,X$3:X$98,"&gt;"&amp;U34)+COUNTIFS($AK$3:$AK$98,$AK34,Y$3:Y$98,"&lt;"&amp;V34,Z$3:Z$98,"&gt;"&amp;U34)+COUNTIFS($AK$3:$AK$98,$AK34,AA$3:AA$98,"&lt;"&amp;V34,AB$3:AB$98,"&gt;"&amp;U34)+COUNTIFS($AK$3:$AK$98,$AK34,AC$3:AC$98,"&lt;"&amp;V34,AD$3:AD$98,"&gt;"&amp;U34)+COUNTIFS($AK$3:$AK$98,$AK34,AE$3:AE$98,"&lt;"&amp;V34,AF$3:AF$98,"&gt;"&amp;U34)+COUNTIFS($AK$3:$AK$98,$AK34,AG$3:AG$98,"&lt;"&amp;V34,AH$3:AH$98,"&gt;"&amp;U34)-(U34&lt;V34))</f>
        <v>0</v>
      </c>
      <c r="BB34">
        <f>BA34</f>
        <v>0</v>
      </c>
      <c r="BC34">
        <f>IF(OR($AK34="",W34="",X34=""),0,COUNTIFS($AK$3:$AK$98,$AK34,K$3:K$98,"&lt;"&amp;X34,L$3:L$98,"&gt;"&amp;W34)+COUNTIFS($AK$3:$AK$98,$AK34,M$3:M$98,"&lt;"&amp;X34,N$3:N$98,"&gt;"&amp;W34)+COUNTIFS($AK$3:$AK$98,$AK34,O$3:O$98,"&lt;"&amp;X34,P$3:P$98,"&gt;"&amp;W34)+COUNTIFS($AK$3:$AK$98,$AK34,Q$3:Q$98,"&lt;"&amp;X34,R$3:R$98,"&gt;"&amp;W34)+COUNTIFS($AK$3:$AK$98,$AK34,S$3:S$98,"&lt;"&amp;X34,T$3:T$98,"&gt;"&amp;W34)+COUNTIFS($AK$3:$AK$98,$AK34,U$3:U$98,"&lt;"&amp;X34,V$3:V$98,"&gt;"&amp;W34)+COUNTIFS($AK$3:$AK$98,$AK34,W$3:W$98,"&lt;"&amp;X34,X$3:X$98,"&gt;"&amp;W34)+COUNTIFS($AK$3:$AK$98,$AK34,Y$3:Y$98,"&lt;"&amp;X34,Z$3:Z$98,"&gt;"&amp;W34)+COUNTIFS($AK$3:$AK$98,$AK34,AA$3:AA$98,"&lt;"&amp;X34,AB$3:AB$98,"&gt;"&amp;W34)+COUNTIFS($AK$3:$AK$98,$AK34,AC$3:AC$98,"&lt;"&amp;X34,AD$3:AD$98,"&gt;"&amp;W34)+COUNTIFS($AK$3:$AK$98,$AK34,AE$3:AE$98,"&lt;"&amp;X34,AF$3:AF$98,"&gt;"&amp;W34)+COUNTIFS($AK$3:$AK$98,$AK34,AG$3:AG$98,"&lt;"&amp;X34,AH$3:AH$98,"&gt;"&amp;W34)-(W34&lt;X34))</f>
        <v>0</v>
      </c>
      <c r="BD34">
        <f>BC34</f>
        <v>0</v>
      </c>
      <c r="BE34">
        <f>IF(OR($AK34="",Y34="",Z34=""),0,COUNTIFS($AK$3:$AK$98,$AK34,K$3:K$98,"&lt;"&amp;Z34,L$3:L$98,"&gt;"&amp;Y34)+COUNTIFS($AK$3:$AK$98,$AK34,M$3:M$98,"&lt;"&amp;Z34,N$3:N$98,"&gt;"&amp;Y34)+COUNTIFS($AK$3:$AK$98,$AK34,O$3:O$98,"&lt;"&amp;Z34,P$3:P$98,"&gt;"&amp;Y34)+COUNTIFS($AK$3:$AK$98,$AK34,Q$3:Q$98,"&lt;"&amp;Z34,R$3:R$98,"&gt;"&amp;Y34)+COUNTIFS($AK$3:$AK$98,$AK34,S$3:S$98,"&lt;"&amp;Z34,T$3:T$98,"&gt;"&amp;Y34)+COUNTIFS($AK$3:$AK$98,$AK34,U$3:U$98,"&lt;"&amp;Z34,V$3:V$98,"&gt;"&amp;Y34)+COUNTIFS($AK$3:$AK$98,$AK34,W$3:W$98,"&lt;"&amp;Z34,X$3:X$98,"&gt;"&amp;Y34)+COUNTIFS($AK$3:$AK$98,$AK34,Y$3:Y$98,"&lt;"&amp;Z34,Z$3:Z$98,"&gt;"&amp;Y34)+COUNTIFS($AK$3:$AK$98,$AK34,AA$3:AA$98,"&lt;"&amp;Z34,AB$3:AB$98,"&gt;"&amp;Y34)+COUNTIFS($AK$3:$AK$98,$AK34,AC$3:AC$98,"&lt;"&amp;Z34,AD$3:AD$98,"&gt;"&amp;Y34)+COUNTIFS($AK$3:$AK$98,$AK34,AE$3:AE$98,"&lt;"&amp;Z34,AF$3:AF$98,"&gt;"&amp;Y34)+COUNTIFS($AK$3:$AK$98,$AK34,AG$3:AG$98,"&lt;"&amp;Z34,AH$3:AH$98,"&gt;"&amp;Y34)-(Y34&lt;Z34))</f>
        <v>0</v>
      </c>
      <c r="BF34">
        <f>BE34</f>
        <v>0</v>
      </c>
      <c r="BG34">
        <f>IF(OR($AK34="",AA34="",AB34=""),0,COUNTIFS($AK$3:$AK$98,$AK34,K$3:K$98,"&lt;"&amp;AB34,L$3:L$98,"&gt;"&amp;AA34)+COUNTIFS($AK$3:$AK$98,$AK34,M$3:M$98,"&lt;"&amp;AB34,N$3:N$98,"&gt;"&amp;AA34)+COUNTIFS($AK$3:$AK$98,$AK34,O$3:O$98,"&lt;"&amp;AB34,P$3:P$98,"&gt;"&amp;AA34)+COUNTIFS($AK$3:$AK$98,$AK34,Q$3:Q$98,"&lt;"&amp;AB34,R$3:R$98,"&gt;"&amp;AA34)+COUNTIFS($AK$3:$AK$98,$AK34,S$3:S$98,"&lt;"&amp;AB34,T$3:T$98,"&gt;"&amp;AA34)+COUNTIFS($AK$3:$AK$98,$AK34,U$3:U$98,"&lt;"&amp;AB34,V$3:V$98,"&gt;"&amp;AA34)+COUNTIFS($AK$3:$AK$98,$AK34,W$3:W$98,"&lt;"&amp;AB34,X$3:X$98,"&gt;"&amp;AA34)+COUNTIFS($AK$3:$AK$98,$AK34,Y$3:Y$98,"&lt;"&amp;AB34,Z$3:Z$98,"&gt;"&amp;AA34)+COUNTIFS($AK$3:$AK$98,$AK34,AA$3:AA$98,"&lt;"&amp;AB34,AB$3:AB$98,"&gt;"&amp;AA34)+COUNTIFS($AK$3:$AK$98,$AK34,AC$3:AC$98,"&lt;"&amp;AB34,AD$3:AD$98,"&gt;"&amp;AA34)+COUNTIFS($AK$3:$AK$98,$AK34,AE$3:AE$98,"&lt;"&amp;AB34,AF$3:AF$98,"&gt;"&amp;AA34)+COUNTIFS($AK$3:$AK$98,$AK34,AG$3:AG$98,"&lt;"&amp;AB34,AH$3:AH$98,"&gt;"&amp;AA34)-(AA34&lt;AB34))</f>
        <v>0</v>
      </c>
      <c r="BH34">
        <f>BG34</f>
        <v>0</v>
      </c>
      <c r="BI34">
        <f>IF(OR($AK34="",AC34="",AD34=""),0,COUNTIFS($AK$3:$AK$98,$AK34,K$3:K$98,"&lt;"&amp;AD34,L$3:L$98,"&gt;"&amp;AC34)+COUNTIFS($AK$3:$AK$98,$AK34,M$3:M$98,"&lt;"&amp;AD34,N$3:N$98,"&gt;"&amp;AC34)+COUNTIFS($AK$3:$AK$98,$AK34,O$3:O$98,"&lt;"&amp;AD34,P$3:P$98,"&gt;"&amp;AC34)+COUNTIFS($AK$3:$AK$98,$AK34,Q$3:Q$98,"&lt;"&amp;AD34,R$3:R$98,"&gt;"&amp;AC34)+COUNTIFS($AK$3:$AK$98,$AK34,S$3:S$98,"&lt;"&amp;AD34,T$3:T$98,"&gt;"&amp;AC34)+COUNTIFS($AK$3:$AK$98,$AK34,U$3:U$98,"&lt;"&amp;AD34,V$3:V$98,"&gt;"&amp;AC34)+COUNTIFS($AK$3:$AK$98,$AK34,W$3:W$98,"&lt;"&amp;AD34,X$3:X$98,"&gt;"&amp;AC34)+COUNTIFS($AK$3:$AK$98,$AK34,Y$3:Y$98,"&lt;"&amp;AD34,Z$3:Z$98,"&gt;"&amp;AC34)+COUNTIFS($AK$3:$AK$98,$AK34,AA$3:AA$98,"&lt;"&amp;AD34,AB$3:AB$98,"&gt;"&amp;AC34)+COUNTIFS($AK$3:$AK$98,$AK34,AC$3:AC$98,"&lt;"&amp;AD34,AD$3:AD$98,"&gt;"&amp;AC34)+COUNTIFS($AK$3:$AK$98,$AK34,AE$3:AE$98,"&lt;"&amp;AD34,AF$3:AF$98,"&gt;"&amp;AC34)+COUNTIFS($AK$3:$AK$98,$AK34,AG$3:AG$98,"&lt;"&amp;AD34,AH$3:AH$98,"&gt;"&amp;AC34)-(AC34&lt;AD34))</f>
        <v>0</v>
      </c>
      <c r="BJ34">
        <f>BI34</f>
        <v>0</v>
      </c>
      <c r="BK34">
        <f>IF(OR($AK34="",AE34="",AF34=""),0,COUNTIFS($AK$3:$AK$98,$AK34,K$3:K$98,"&lt;"&amp;AF34,L$3:L$98,"&gt;"&amp;AE34)+COUNTIFS($AK$3:$AK$98,$AK34,M$3:M$98,"&lt;"&amp;AF34,N$3:N$98,"&gt;"&amp;AE34)+COUNTIFS($AK$3:$AK$98,$AK34,O$3:O$98,"&lt;"&amp;AF34,P$3:P$98,"&gt;"&amp;AE34)+COUNTIFS($AK$3:$AK$98,$AK34,Q$3:Q$98,"&lt;"&amp;AF34,R$3:R$98,"&gt;"&amp;AE34)+COUNTIFS($AK$3:$AK$98,$AK34,S$3:S$98,"&lt;"&amp;AF34,T$3:T$98,"&gt;"&amp;AE34)+COUNTIFS($AK$3:$AK$98,$AK34,U$3:U$98,"&lt;"&amp;AF34,V$3:V$98,"&gt;"&amp;AE34)+COUNTIFS($AK$3:$AK$98,$AK34,W$3:W$98,"&lt;"&amp;AF34,X$3:X$98,"&gt;"&amp;AE34)+COUNTIFS($AK$3:$AK$98,$AK34,Y$3:Y$98,"&lt;"&amp;AF34,Z$3:Z$98,"&gt;"&amp;AE34)+COUNTIFS($AK$3:$AK$98,$AK34,AA$3:AA$98,"&lt;"&amp;AF34,AB$3:AB$98,"&gt;"&amp;AE34)+COUNTIFS($AK$3:$AK$98,$AK34,AC$3:AC$98,"&lt;"&amp;AF34,AD$3:AD$98,"&gt;"&amp;AE34)+COUNTIFS($AK$3:$AK$98,$AK34,AE$3:AE$98,"&lt;"&amp;AF34,AF$3:AF$98,"&gt;"&amp;AE34)+COUNTIFS($AK$3:$AK$98,$AK34,AG$3:AG$98,"&lt;"&amp;AF34,AH$3:AH$98,"&gt;"&amp;AE34)-(AE34&lt;AF34))</f>
        <v>0</v>
      </c>
      <c r="BL34">
        <f>BK34</f>
        <v>0</v>
      </c>
      <c r="BM34">
        <f>IF(OR($AK34="",AG34="",AH34=""),0,COUNTIFS($AK$3:$AK$98,$AK34,K$3:K$98,"&lt;"&amp;AH34,L$3:L$98,"&gt;"&amp;AG34)+COUNTIFS($AK$3:$AK$98,$AK34,M$3:M$98,"&lt;"&amp;AH34,N$3:N$98,"&gt;"&amp;AG34)+COUNTIFS($AK$3:$AK$98,$AK34,O$3:O$98,"&lt;"&amp;AH34,P$3:P$98,"&gt;"&amp;AG34)+COUNTIFS($AK$3:$AK$98,$AK34,Q$3:Q$98,"&lt;"&amp;AH34,R$3:R$98,"&gt;"&amp;AG34)+COUNTIFS($AK$3:$AK$98,$AK34,S$3:S$98,"&lt;"&amp;AH34,T$3:T$98,"&gt;"&amp;AG34)+COUNTIFS($AK$3:$AK$98,$AK34,U$3:U$98,"&lt;"&amp;AH34,V$3:V$98,"&gt;"&amp;AG34)+COUNTIFS($AK$3:$AK$98,$AK34,W$3:W$98,"&lt;"&amp;AH34,X$3:X$98,"&gt;"&amp;AG34)+COUNTIFS($AK$3:$AK$98,$AK34,Y$3:Y$98,"&lt;"&amp;AH34,Z$3:Z$98,"&gt;"&amp;AG34)+COUNTIFS($AK$3:$AK$98,$AK34,AA$3:AA$98,"&lt;"&amp;AH34,AB$3:AB$98,"&gt;"&amp;AG34)+COUNTIFS($AK$3:$AK$98,$AK34,AC$3:AC$98,"&lt;"&amp;AH34,AD$3:AD$98,"&gt;"&amp;AG34)+COUNTIFS($AK$3:$AK$98,$AK34,AE$3:AE$98,"&lt;"&amp;AH34,AF$3:AF$98,"&gt;"&amp;AG34)+COUNTIFS($AK$3:$AK$98,$AK34,AG$3:AG$98,"&lt;"&amp;AH34,AH$3:AH$98,"&gt;"&amp;AG34)-(AG34&lt;AH34))</f>
        <v>0</v>
      </c>
      <c r="BN34">
        <f>BM34</f>
        <v>0</v>
      </c>
      <c r="BO34">
        <f>IF(ISNUMBER($G34),$G34,"")</f>
        <v>1</v>
      </c>
      <c r="BP34">
        <f>IF(AND($A34&lt;&gt;"",COUNT($K34:$AH34)&gt;0),ROW(),"")</f>
        <v>34</v>
      </c>
    </row>
    <row r="35" spans="1:68" x14ac:dyDescent="0.15">
      <c r="A35" s="18" t="str">
        <f>IF($A33="","",$A33)</f>
        <v>chMobSaiyanC</v>
      </c>
      <c r="B35" s="19" t="str">
        <f>IF($A33="","","high")</f>
        <v>high</v>
      </c>
      <c r="C35" s="19"/>
      <c r="D35" s="20">
        <v>5</v>
      </c>
      <c r="E35" s="21">
        <f>IF(AND($D35="",COUNT($K35:$AH35)=0),"",IF(K35="",0,MAX(0,NETWORKDAYS(K35,IF(L35&lt;&gt;"",L35,IF($J35&lt;&gt;"",K35,$AI$1)),祝日!$A$2:$A$200)))+IF(M35="",0,MAX(0,NETWORKDAYS(M35,IF(N35&lt;&gt;"",N35,IF($J35&lt;&gt;"",M35,$AI$1)),祝日!$A$2:$A$200)))+IF(O35="",0,MAX(0,NETWORKDAYS(O35,IF(P35&lt;&gt;"",P35,IF($J35&lt;&gt;"",O35,$AI$1)),祝日!$A$2:$A$200)))+IF(Q35="",0,MAX(0,NETWORKDAYS(Q35,IF(R35&lt;&gt;"",R35,IF($J35&lt;&gt;"",Q35,$AI$1)),祝日!$A$2:$A$200)))+IF(S35="",0,MAX(0,NETWORKDAYS(S35,IF(T35&lt;&gt;"",T35,IF($J35&lt;&gt;"",S35,$AI$1)),祝日!$A$2:$A$200)))+IF(U35="",0,MAX(0,NETWORKDAYS(U35,IF(V35&lt;&gt;"",V35,IF($J35&lt;&gt;"",U35,$AI$1)),祝日!$A$2:$A$200)))+IF(W35="",0,MAX(0,NETWORKDAYS(W35,IF(X35&lt;&gt;"",X35,IF($J35&lt;&gt;"",W35,$AI$1)),祝日!$A$2:$A$200)))+IF(Y35="",0,MAX(0,NETWORKDAYS(Y35,IF(Z35&lt;&gt;"",Z35,IF($J35&lt;&gt;"",Y35,$AI$1)),祝日!$A$2:$A$200)))+IF(AA35="",0,MAX(0,NETWORKDAYS(AA35,IF(AB35&lt;&gt;"",AB35,IF($J35&lt;&gt;"",AA35,$AI$1)),祝日!$A$2:$A$200)))+IF(AC35="",0,MAX(0,NETWORKDAYS(AC35,IF(AD35&lt;&gt;"",AD35,IF($J35&lt;&gt;"",AC35,$AI$1)),祝日!$A$2:$A$200)))+IF(AE35="",0,MAX(0,NETWORKDAYS(AE35,IF(AF35&lt;&gt;"",AF35,IF($J35&lt;&gt;"",AE35,$AI$1)),祝日!$A$2:$A$200)))+IF(AG35="",0,MAX(0,NETWORKDAYS(AG35,IF(AH35&lt;&gt;"",AH35,IF($J35&lt;&gt;"",AG35,$AI$1)),祝日!$A$2:$A$200))))</f>
        <v>3</v>
      </c>
      <c r="F35" s="21">
        <f>IF($D35="","",$D35-$E35)</f>
        <v>2</v>
      </c>
      <c r="G35" s="22">
        <f>IF(OR($D35="",$D35=0),"",$E35/$D35)</f>
        <v>0.6</v>
      </c>
      <c r="H35" s="23" t="str">
        <f>IF($D35="","",IF($J35&lt;&gt;"","FIX",IF(AND(SUMPRODUCT((MOD(COLUMN($K35:$AH35)-COLUMN($K35),2)=0)*($K35:$AH35&lt;&gt;""))=0,SUMPRODUCT((MOD(COLUMN($K35:$AH35)-COLUMN($K35),2)=1)*($K35:$AH35&lt;&gt;""))=0),"未着手",IF(SUMPRODUCT((MOD(COLUMN($K35:$AH35)-COLUMN($K35),2)=0)*($K35:$AH35&lt;&gt;""))&gt;SUMPRODUCT((MOD(COLUMN($K35:$AH35)-COLUMN($K35),2)=1)*($K35:$AH35&lt;&gt;"")),"作業中","中断"))))</f>
        <v>FIX</v>
      </c>
      <c r="I35" s="23" t="str">
        <f>IF($H35="中断",MAX(0,$AI$1-MAX(L35,N35,P35,R35,T35,V35,X35,Z35,AB35,AD35,AF35,AH35)),"")</f>
        <v/>
      </c>
      <c r="J35" s="19" t="s">
        <v>37</v>
      </c>
      <c r="K35" s="24">
        <v>46283</v>
      </c>
      <c r="L35" s="24">
        <v>46290</v>
      </c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K35" t="str">
        <f>IF($A33="","",IF(LOOKUP(2,1/($AJ$3:$AJ35&lt;&gt;""),$AJ$3:$AJ35)="-","",LOOKUP(2,1/($AJ$3:$AJ35&lt;&gt;""),$AJ$3:$AJ35)))</f>
        <v>CH02</v>
      </c>
      <c r="AL35" t="str">
        <f>$H35</f>
        <v>FIX</v>
      </c>
      <c r="AM35">
        <f>IF(ISNUMBER($D35),$D35,0)</f>
        <v>5</v>
      </c>
      <c r="AN35">
        <f>IF(ISNUMBER($E35),$E35,0)</f>
        <v>3</v>
      </c>
      <c r="AO35">
        <f>IF(ISNUMBER($F35),$F35,0)</f>
        <v>2</v>
      </c>
      <c r="AQ35">
        <f>IF(OR($AK35="",K35="",L35=""),0,COUNTIFS($AK$3:$AK$98,$AK35,K$3:K$98,"&lt;"&amp;L35,L$3:L$98,"&gt;"&amp;K35)+COUNTIFS($AK$3:$AK$98,$AK35,M$3:M$98,"&lt;"&amp;L35,N$3:N$98,"&gt;"&amp;K35)+COUNTIFS($AK$3:$AK$98,$AK35,O$3:O$98,"&lt;"&amp;L35,P$3:P$98,"&gt;"&amp;K35)+COUNTIFS($AK$3:$AK$98,$AK35,Q$3:Q$98,"&lt;"&amp;L35,R$3:R$98,"&gt;"&amp;K35)+COUNTIFS($AK$3:$AK$98,$AK35,S$3:S$98,"&lt;"&amp;L35,T$3:T$98,"&gt;"&amp;K35)+COUNTIFS($AK$3:$AK$98,$AK35,U$3:U$98,"&lt;"&amp;L35,V$3:V$98,"&gt;"&amp;K35)+COUNTIFS($AK$3:$AK$98,$AK35,W$3:W$98,"&lt;"&amp;L35,X$3:X$98,"&gt;"&amp;K35)+COUNTIFS($AK$3:$AK$98,$AK35,Y$3:Y$98,"&lt;"&amp;L35,Z$3:Z$98,"&gt;"&amp;K35)+COUNTIFS($AK$3:$AK$98,$AK35,AA$3:AA$98,"&lt;"&amp;L35,AB$3:AB$98,"&gt;"&amp;K35)+COUNTIFS($AK$3:$AK$98,$AK35,AC$3:AC$98,"&lt;"&amp;L35,AD$3:AD$98,"&gt;"&amp;K35)+COUNTIFS($AK$3:$AK$98,$AK35,AE$3:AE$98,"&lt;"&amp;L35,AF$3:AF$98,"&gt;"&amp;K35)+COUNTIFS($AK$3:$AK$98,$AK35,AG$3:AG$98,"&lt;"&amp;L35,AH$3:AH$98,"&gt;"&amp;K35)-(K35&lt;L35))</f>
        <v>0</v>
      </c>
      <c r="AR35">
        <f>AQ35</f>
        <v>0</v>
      </c>
      <c r="AS35">
        <f>IF(OR($AK35="",M35="",N35=""),0,COUNTIFS($AK$3:$AK$98,$AK35,K$3:K$98,"&lt;"&amp;N35,L$3:L$98,"&gt;"&amp;M35)+COUNTIFS($AK$3:$AK$98,$AK35,M$3:M$98,"&lt;"&amp;N35,N$3:N$98,"&gt;"&amp;M35)+COUNTIFS($AK$3:$AK$98,$AK35,O$3:O$98,"&lt;"&amp;N35,P$3:P$98,"&gt;"&amp;M35)+COUNTIFS($AK$3:$AK$98,$AK35,Q$3:Q$98,"&lt;"&amp;N35,R$3:R$98,"&gt;"&amp;M35)+COUNTIFS($AK$3:$AK$98,$AK35,S$3:S$98,"&lt;"&amp;N35,T$3:T$98,"&gt;"&amp;M35)+COUNTIFS($AK$3:$AK$98,$AK35,U$3:U$98,"&lt;"&amp;N35,V$3:V$98,"&gt;"&amp;M35)+COUNTIFS($AK$3:$AK$98,$AK35,W$3:W$98,"&lt;"&amp;N35,X$3:X$98,"&gt;"&amp;M35)+COUNTIFS($AK$3:$AK$98,$AK35,Y$3:Y$98,"&lt;"&amp;N35,Z$3:Z$98,"&gt;"&amp;M35)+COUNTIFS($AK$3:$AK$98,$AK35,AA$3:AA$98,"&lt;"&amp;N35,AB$3:AB$98,"&gt;"&amp;M35)+COUNTIFS($AK$3:$AK$98,$AK35,AC$3:AC$98,"&lt;"&amp;N35,AD$3:AD$98,"&gt;"&amp;M35)+COUNTIFS($AK$3:$AK$98,$AK35,AE$3:AE$98,"&lt;"&amp;N35,AF$3:AF$98,"&gt;"&amp;M35)+COUNTIFS($AK$3:$AK$98,$AK35,AG$3:AG$98,"&lt;"&amp;N35,AH$3:AH$98,"&gt;"&amp;M35)-(M35&lt;N35))</f>
        <v>0</v>
      </c>
      <c r="AT35">
        <f>AS35</f>
        <v>0</v>
      </c>
      <c r="AU35">
        <f>IF(OR($AK35="",O35="",P35=""),0,COUNTIFS($AK$3:$AK$98,$AK35,K$3:K$98,"&lt;"&amp;P35,L$3:L$98,"&gt;"&amp;O35)+COUNTIFS($AK$3:$AK$98,$AK35,M$3:M$98,"&lt;"&amp;P35,N$3:N$98,"&gt;"&amp;O35)+COUNTIFS($AK$3:$AK$98,$AK35,O$3:O$98,"&lt;"&amp;P35,P$3:P$98,"&gt;"&amp;O35)+COUNTIFS($AK$3:$AK$98,$AK35,Q$3:Q$98,"&lt;"&amp;P35,R$3:R$98,"&gt;"&amp;O35)+COUNTIFS($AK$3:$AK$98,$AK35,S$3:S$98,"&lt;"&amp;P35,T$3:T$98,"&gt;"&amp;O35)+COUNTIFS($AK$3:$AK$98,$AK35,U$3:U$98,"&lt;"&amp;P35,V$3:V$98,"&gt;"&amp;O35)+COUNTIFS($AK$3:$AK$98,$AK35,W$3:W$98,"&lt;"&amp;P35,X$3:X$98,"&gt;"&amp;O35)+COUNTIFS($AK$3:$AK$98,$AK35,Y$3:Y$98,"&lt;"&amp;P35,Z$3:Z$98,"&gt;"&amp;O35)+COUNTIFS($AK$3:$AK$98,$AK35,AA$3:AA$98,"&lt;"&amp;P35,AB$3:AB$98,"&gt;"&amp;O35)+COUNTIFS($AK$3:$AK$98,$AK35,AC$3:AC$98,"&lt;"&amp;P35,AD$3:AD$98,"&gt;"&amp;O35)+COUNTIFS($AK$3:$AK$98,$AK35,AE$3:AE$98,"&lt;"&amp;P35,AF$3:AF$98,"&gt;"&amp;O35)+COUNTIFS($AK$3:$AK$98,$AK35,AG$3:AG$98,"&lt;"&amp;P35,AH$3:AH$98,"&gt;"&amp;O35)-(O35&lt;P35))</f>
        <v>0</v>
      </c>
      <c r="AV35">
        <f>AU35</f>
        <v>0</v>
      </c>
      <c r="AW35">
        <f>IF(OR($AK35="",Q35="",R35=""),0,COUNTIFS($AK$3:$AK$98,$AK35,K$3:K$98,"&lt;"&amp;R35,L$3:L$98,"&gt;"&amp;Q35)+COUNTIFS($AK$3:$AK$98,$AK35,M$3:M$98,"&lt;"&amp;R35,N$3:N$98,"&gt;"&amp;Q35)+COUNTIFS($AK$3:$AK$98,$AK35,O$3:O$98,"&lt;"&amp;R35,P$3:P$98,"&gt;"&amp;Q35)+COUNTIFS($AK$3:$AK$98,$AK35,Q$3:Q$98,"&lt;"&amp;R35,R$3:R$98,"&gt;"&amp;Q35)+COUNTIFS($AK$3:$AK$98,$AK35,S$3:S$98,"&lt;"&amp;R35,T$3:T$98,"&gt;"&amp;Q35)+COUNTIFS($AK$3:$AK$98,$AK35,U$3:U$98,"&lt;"&amp;R35,V$3:V$98,"&gt;"&amp;Q35)+COUNTIFS($AK$3:$AK$98,$AK35,W$3:W$98,"&lt;"&amp;R35,X$3:X$98,"&gt;"&amp;Q35)+COUNTIFS($AK$3:$AK$98,$AK35,Y$3:Y$98,"&lt;"&amp;R35,Z$3:Z$98,"&gt;"&amp;Q35)+COUNTIFS($AK$3:$AK$98,$AK35,AA$3:AA$98,"&lt;"&amp;R35,AB$3:AB$98,"&gt;"&amp;Q35)+COUNTIFS($AK$3:$AK$98,$AK35,AC$3:AC$98,"&lt;"&amp;R35,AD$3:AD$98,"&gt;"&amp;Q35)+COUNTIFS($AK$3:$AK$98,$AK35,AE$3:AE$98,"&lt;"&amp;R35,AF$3:AF$98,"&gt;"&amp;Q35)+COUNTIFS($AK$3:$AK$98,$AK35,AG$3:AG$98,"&lt;"&amp;R35,AH$3:AH$98,"&gt;"&amp;Q35)-(Q35&lt;R35))</f>
        <v>0</v>
      </c>
      <c r="AX35">
        <f>AW35</f>
        <v>0</v>
      </c>
      <c r="AY35">
        <f>IF(OR($AK35="",S35="",T35=""),0,COUNTIFS($AK$3:$AK$98,$AK35,K$3:K$98,"&lt;"&amp;T35,L$3:L$98,"&gt;"&amp;S35)+COUNTIFS($AK$3:$AK$98,$AK35,M$3:M$98,"&lt;"&amp;T35,N$3:N$98,"&gt;"&amp;S35)+COUNTIFS($AK$3:$AK$98,$AK35,O$3:O$98,"&lt;"&amp;T35,P$3:P$98,"&gt;"&amp;S35)+COUNTIFS($AK$3:$AK$98,$AK35,Q$3:Q$98,"&lt;"&amp;T35,R$3:R$98,"&gt;"&amp;S35)+COUNTIFS($AK$3:$AK$98,$AK35,S$3:S$98,"&lt;"&amp;T35,T$3:T$98,"&gt;"&amp;S35)+COUNTIFS($AK$3:$AK$98,$AK35,U$3:U$98,"&lt;"&amp;T35,V$3:V$98,"&gt;"&amp;S35)+COUNTIFS($AK$3:$AK$98,$AK35,W$3:W$98,"&lt;"&amp;T35,X$3:X$98,"&gt;"&amp;S35)+COUNTIFS($AK$3:$AK$98,$AK35,Y$3:Y$98,"&lt;"&amp;T35,Z$3:Z$98,"&gt;"&amp;S35)+COUNTIFS($AK$3:$AK$98,$AK35,AA$3:AA$98,"&lt;"&amp;T35,AB$3:AB$98,"&gt;"&amp;S35)+COUNTIFS($AK$3:$AK$98,$AK35,AC$3:AC$98,"&lt;"&amp;T35,AD$3:AD$98,"&gt;"&amp;S35)+COUNTIFS($AK$3:$AK$98,$AK35,AE$3:AE$98,"&lt;"&amp;T35,AF$3:AF$98,"&gt;"&amp;S35)+COUNTIFS($AK$3:$AK$98,$AK35,AG$3:AG$98,"&lt;"&amp;T35,AH$3:AH$98,"&gt;"&amp;S35)-(S35&lt;T35))</f>
        <v>0</v>
      </c>
      <c r="AZ35">
        <f>AY35</f>
        <v>0</v>
      </c>
      <c r="BA35">
        <f>IF(OR($AK35="",U35="",V35=""),0,COUNTIFS($AK$3:$AK$98,$AK35,K$3:K$98,"&lt;"&amp;V35,L$3:L$98,"&gt;"&amp;U35)+COUNTIFS($AK$3:$AK$98,$AK35,M$3:M$98,"&lt;"&amp;V35,N$3:N$98,"&gt;"&amp;U35)+COUNTIFS($AK$3:$AK$98,$AK35,O$3:O$98,"&lt;"&amp;V35,P$3:P$98,"&gt;"&amp;U35)+COUNTIFS($AK$3:$AK$98,$AK35,Q$3:Q$98,"&lt;"&amp;V35,R$3:R$98,"&gt;"&amp;U35)+COUNTIFS($AK$3:$AK$98,$AK35,S$3:S$98,"&lt;"&amp;V35,T$3:T$98,"&gt;"&amp;U35)+COUNTIFS($AK$3:$AK$98,$AK35,U$3:U$98,"&lt;"&amp;V35,V$3:V$98,"&gt;"&amp;U35)+COUNTIFS($AK$3:$AK$98,$AK35,W$3:W$98,"&lt;"&amp;V35,X$3:X$98,"&gt;"&amp;U35)+COUNTIFS($AK$3:$AK$98,$AK35,Y$3:Y$98,"&lt;"&amp;V35,Z$3:Z$98,"&gt;"&amp;U35)+COUNTIFS($AK$3:$AK$98,$AK35,AA$3:AA$98,"&lt;"&amp;V35,AB$3:AB$98,"&gt;"&amp;U35)+COUNTIFS($AK$3:$AK$98,$AK35,AC$3:AC$98,"&lt;"&amp;V35,AD$3:AD$98,"&gt;"&amp;U35)+COUNTIFS($AK$3:$AK$98,$AK35,AE$3:AE$98,"&lt;"&amp;V35,AF$3:AF$98,"&gt;"&amp;U35)+COUNTIFS($AK$3:$AK$98,$AK35,AG$3:AG$98,"&lt;"&amp;V35,AH$3:AH$98,"&gt;"&amp;U35)-(U35&lt;V35))</f>
        <v>0</v>
      </c>
      <c r="BB35">
        <f>BA35</f>
        <v>0</v>
      </c>
      <c r="BC35">
        <f>IF(OR($AK35="",W35="",X35=""),0,COUNTIFS($AK$3:$AK$98,$AK35,K$3:K$98,"&lt;"&amp;X35,L$3:L$98,"&gt;"&amp;W35)+COUNTIFS($AK$3:$AK$98,$AK35,M$3:M$98,"&lt;"&amp;X35,N$3:N$98,"&gt;"&amp;W35)+COUNTIFS($AK$3:$AK$98,$AK35,O$3:O$98,"&lt;"&amp;X35,P$3:P$98,"&gt;"&amp;W35)+COUNTIFS($AK$3:$AK$98,$AK35,Q$3:Q$98,"&lt;"&amp;X35,R$3:R$98,"&gt;"&amp;W35)+COUNTIFS($AK$3:$AK$98,$AK35,S$3:S$98,"&lt;"&amp;X35,T$3:T$98,"&gt;"&amp;W35)+COUNTIFS($AK$3:$AK$98,$AK35,U$3:U$98,"&lt;"&amp;X35,V$3:V$98,"&gt;"&amp;W35)+COUNTIFS($AK$3:$AK$98,$AK35,W$3:W$98,"&lt;"&amp;X35,X$3:X$98,"&gt;"&amp;W35)+COUNTIFS($AK$3:$AK$98,$AK35,Y$3:Y$98,"&lt;"&amp;X35,Z$3:Z$98,"&gt;"&amp;W35)+COUNTIFS($AK$3:$AK$98,$AK35,AA$3:AA$98,"&lt;"&amp;X35,AB$3:AB$98,"&gt;"&amp;W35)+COUNTIFS($AK$3:$AK$98,$AK35,AC$3:AC$98,"&lt;"&amp;X35,AD$3:AD$98,"&gt;"&amp;W35)+COUNTIFS($AK$3:$AK$98,$AK35,AE$3:AE$98,"&lt;"&amp;X35,AF$3:AF$98,"&gt;"&amp;W35)+COUNTIFS($AK$3:$AK$98,$AK35,AG$3:AG$98,"&lt;"&amp;X35,AH$3:AH$98,"&gt;"&amp;W35)-(W35&lt;X35))</f>
        <v>0</v>
      </c>
      <c r="BD35">
        <f>BC35</f>
        <v>0</v>
      </c>
      <c r="BE35">
        <f>IF(OR($AK35="",Y35="",Z35=""),0,COUNTIFS($AK$3:$AK$98,$AK35,K$3:K$98,"&lt;"&amp;Z35,L$3:L$98,"&gt;"&amp;Y35)+COUNTIFS($AK$3:$AK$98,$AK35,M$3:M$98,"&lt;"&amp;Z35,N$3:N$98,"&gt;"&amp;Y35)+COUNTIFS($AK$3:$AK$98,$AK35,O$3:O$98,"&lt;"&amp;Z35,P$3:P$98,"&gt;"&amp;Y35)+COUNTIFS($AK$3:$AK$98,$AK35,Q$3:Q$98,"&lt;"&amp;Z35,R$3:R$98,"&gt;"&amp;Y35)+COUNTIFS($AK$3:$AK$98,$AK35,S$3:S$98,"&lt;"&amp;Z35,T$3:T$98,"&gt;"&amp;Y35)+COUNTIFS($AK$3:$AK$98,$AK35,U$3:U$98,"&lt;"&amp;Z35,V$3:V$98,"&gt;"&amp;Y35)+COUNTIFS($AK$3:$AK$98,$AK35,W$3:W$98,"&lt;"&amp;Z35,X$3:X$98,"&gt;"&amp;Y35)+COUNTIFS($AK$3:$AK$98,$AK35,Y$3:Y$98,"&lt;"&amp;Z35,Z$3:Z$98,"&gt;"&amp;Y35)+COUNTIFS($AK$3:$AK$98,$AK35,AA$3:AA$98,"&lt;"&amp;Z35,AB$3:AB$98,"&gt;"&amp;Y35)+COUNTIFS($AK$3:$AK$98,$AK35,AC$3:AC$98,"&lt;"&amp;Z35,AD$3:AD$98,"&gt;"&amp;Y35)+COUNTIFS($AK$3:$AK$98,$AK35,AE$3:AE$98,"&lt;"&amp;Z35,AF$3:AF$98,"&gt;"&amp;Y35)+COUNTIFS($AK$3:$AK$98,$AK35,AG$3:AG$98,"&lt;"&amp;Z35,AH$3:AH$98,"&gt;"&amp;Y35)-(Y35&lt;Z35))</f>
        <v>0</v>
      </c>
      <c r="BF35">
        <f>BE35</f>
        <v>0</v>
      </c>
      <c r="BG35">
        <f>IF(OR($AK35="",AA35="",AB35=""),0,COUNTIFS($AK$3:$AK$98,$AK35,K$3:K$98,"&lt;"&amp;AB35,L$3:L$98,"&gt;"&amp;AA35)+COUNTIFS($AK$3:$AK$98,$AK35,M$3:M$98,"&lt;"&amp;AB35,N$3:N$98,"&gt;"&amp;AA35)+COUNTIFS($AK$3:$AK$98,$AK35,O$3:O$98,"&lt;"&amp;AB35,P$3:P$98,"&gt;"&amp;AA35)+COUNTIFS($AK$3:$AK$98,$AK35,Q$3:Q$98,"&lt;"&amp;AB35,R$3:R$98,"&gt;"&amp;AA35)+COUNTIFS($AK$3:$AK$98,$AK35,S$3:S$98,"&lt;"&amp;AB35,T$3:T$98,"&gt;"&amp;AA35)+COUNTIFS($AK$3:$AK$98,$AK35,U$3:U$98,"&lt;"&amp;AB35,V$3:V$98,"&gt;"&amp;AA35)+COUNTIFS($AK$3:$AK$98,$AK35,W$3:W$98,"&lt;"&amp;AB35,X$3:X$98,"&gt;"&amp;AA35)+COUNTIFS($AK$3:$AK$98,$AK35,Y$3:Y$98,"&lt;"&amp;AB35,Z$3:Z$98,"&gt;"&amp;AA35)+COUNTIFS($AK$3:$AK$98,$AK35,AA$3:AA$98,"&lt;"&amp;AB35,AB$3:AB$98,"&gt;"&amp;AA35)+COUNTIFS($AK$3:$AK$98,$AK35,AC$3:AC$98,"&lt;"&amp;AB35,AD$3:AD$98,"&gt;"&amp;AA35)+COUNTIFS($AK$3:$AK$98,$AK35,AE$3:AE$98,"&lt;"&amp;AB35,AF$3:AF$98,"&gt;"&amp;AA35)+COUNTIFS($AK$3:$AK$98,$AK35,AG$3:AG$98,"&lt;"&amp;AB35,AH$3:AH$98,"&gt;"&amp;AA35)-(AA35&lt;AB35))</f>
        <v>0</v>
      </c>
      <c r="BH35">
        <f>BG35</f>
        <v>0</v>
      </c>
      <c r="BI35">
        <f>IF(OR($AK35="",AC35="",AD35=""),0,COUNTIFS($AK$3:$AK$98,$AK35,K$3:K$98,"&lt;"&amp;AD35,L$3:L$98,"&gt;"&amp;AC35)+COUNTIFS($AK$3:$AK$98,$AK35,M$3:M$98,"&lt;"&amp;AD35,N$3:N$98,"&gt;"&amp;AC35)+COUNTIFS($AK$3:$AK$98,$AK35,O$3:O$98,"&lt;"&amp;AD35,P$3:P$98,"&gt;"&amp;AC35)+COUNTIFS($AK$3:$AK$98,$AK35,Q$3:Q$98,"&lt;"&amp;AD35,R$3:R$98,"&gt;"&amp;AC35)+COUNTIFS($AK$3:$AK$98,$AK35,S$3:S$98,"&lt;"&amp;AD35,T$3:T$98,"&gt;"&amp;AC35)+COUNTIFS($AK$3:$AK$98,$AK35,U$3:U$98,"&lt;"&amp;AD35,V$3:V$98,"&gt;"&amp;AC35)+COUNTIFS($AK$3:$AK$98,$AK35,W$3:W$98,"&lt;"&amp;AD35,X$3:X$98,"&gt;"&amp;AC35)+COUNTIFS($AK$3:$AK$98,$AK35,Y$3:Y$98,"&lt;"&amp;AD35,Z$3:Z$98,"&gt;"&amp;AC35)+COUNTIFS($AK$3:$AK$98,$AK35,AA$3:AA$98,"&lt;"&amp;AD35,AB$3:AB$98,"&gt;"&amp;AC35)+COUNTIFS($AK$3:$AK$98,$AK35,AC$3:AC$98,"&lt;"&amp;AD35,AD$3:AD$98,"&gt;"&amp;AC35)+COUNTIFS($AK$3:$AK$98,$AK35,AE$3:AE$98,"&lt;"&amp;AD35,AF$3:AF$98,"&gt;"&amp;AC35)+COUNTIFS($AK$3:$AK$98,$AK35,AG$3:AG$98,"&lt;"&amp;AD35,AH$3:AH$98,"&gt;"&amp;AC35)-(AC35&lt;AD35))</f>
        <v>0</v>
      </c>
      <c r="BJ35">
        <f>BI35</f>
        <v>0</v>
      </c>
      <c r="BK35">
        <f>IF(OR($AK35="",AE35="",AF35=""),0,COUNTIFS($AK$3:$AK$98,$AK35,K$3:K$98,"&lt;"&amp;AF35,L$3:L$98,"&gt;"&amp;AE35)+COUNTIFS($AK$3:$AK$98,$AK35,M$3:M$98,"&lt;"&amp;AF35,N$3:N$98,"&gt;"&amp;AE35)+COUNTIFS($AK$3:$AK$98,$AK35,O$3:O$98,"&lt;"&amp;AF35,P$3:P$98,"&gt;"&amp;AE35)+COUNTIFS($AK$3:$AK$98,$AK35,Q$3:Q$98,"&lt;"&amp;AF35,R$3:R$98,"&gt;"&amp;AE35)+COUNTIFS($AK$3:$AK$98,$AK35,S$3:S$98,"&lt;"&amp;AF35,T$3:T$98,"&gt;"&amp;AE35)+COUNTIFS($AK$3:$AK$98,$AK35,U$3:U$98,"&lt;"&amp;AF35,V$3:V$98,"&gt;"&amp;AE35)+COUNTIFS($AK$3:$AK$98,$AK35,W$3:W$98,"&lt;"&amp;AF35,X$3:X$98,"&gt;"&amp;AE35)+COUNTIFS($AK$3:$AK$98,$AK35,Y$3:Y$98,"&lt;"&amp;AF35,Z$3:Z$98,"&gt;"&amp;AE35)+COUNTIFS($AK$3:$AK$98,$AK35,AA$3:AA$98,"&lt;"&amp;AF35,AB$3:AB$98,"&gt;"&amp;AE35)+COUNTIFS($AK$3:$AK$98,$AK35,AC$3:AC$98,"&lt;"&amp;AF35,AD$3:AD$98,"&gt;"&amp;AE35)+COUNTIFS($AK$3:$AK$98,$AK35,AE$3:AE$98,"&lt;"&amp;AF35,AF$3:AF$98,"&gt;"&amp;AE35)+COUNTIFS($AK$3:$AK$98,$AK35,AG$3:AG$98,"&lt;"&amp;AF35,AH$3:AH$98,"&gt;"&amp;AE35)-(AE35&lt;AF35))</f>
        <v>0</v>
      </c>
      <c r="BL35">
        <f>BK35</f>
        <v>0</v>
      </c>
      <c r="BM35">
        <f>IF(OR($AK35="",AG35="",AH35=""),0,COUNTIFS($AK$3:$AK$98,$AK35,K$3:K$98,"&lt;"&amp;AH35,L$3:L$98,"&gt;"&amp;AG35)+COUNTIFS($AK$3:$AK$98,$AK35,M$3:M$98,"&lt;"&amp;AH35,N$3:N$98,"&gt;"&amp;AG35)+COUNTIFS($AK$3:$AK$98,$AK35,O$3:O$98,"&lt;"&amp;AH35,P$3:P$98,"&gt;"&amp;AG35)+COUNTIFS($AK$3:$AK$98,$AK35,Q$3:Q$98,"&lt;"&amp;AH35,R$3:R$98,"&gt;"&amp;AG35)+COUNTIFS($AK$3:$AK$98,$AK35,S$3:S$98,"&lt;"&amp;AH35,T$3:T$98,"&gt;"&amp;AG35)+COUNTIFS($AK$3:$AK$98,$AK35,U$3:U$98,"&lt;"&amp;AH35,V$3:V$98,"&gt;"&amp;AG35)+COUNTIFS($AK$3:$AK$98,$AK35,W$3:W$98,"&lt;"&amp;AH35,X$3:X$98,"&gt;"&amp;AG35)+COUNTIFS($AK$3:$AK$98,$AK35,Y$3:Y$98,"&lt;"&amp;AH35,Z$3:Z$98,"&gt;"&amp;AG35)+COUNTIFS($AK$3:$AK$98,$AK35,AA$3:AA$98,"&lt;"&amp;AH35,AB$3:AB$98,"&gt;"&amp;AG35)+COUNTIFS($AK$3:$AK$98,$AK35,AC$3:AC$98,"&lt;"&amp;AH35,AD$3:AD$98,"&gt;"&amp;AG35)+COUNTIFS($AK$3:$AK$98,$AK35,AE$3:AE$98,"&lt;"&amp;AH35,AF$3:AF$98,"&gt;"&amp;AG35)+COUNTIFS($AK$3:$AK$98,$AK35,AG$3:AG$98,"&lt;"&amp;AH35,AH$3:AH$98,"&gt;"&amp;AG35)-(AG35&lt;AH35))</f>
        <v>0</v>
      </c>
      <c r="BN35">
        <f>BM35</f>
        <v>0</v>
      </c>
      <c r="BO35">
        <f>IF(ISNUMBER($G35),$G35,"")</f>
        <v>0.6</v>
      </c>
      <c r="BP35">
        <f>IF(AND($A35&lt;&gt;"",COUNT($K35:$AH35)&gt;0),ROW(),"")</f>
        <v>35</v>
      </c>
    </row>
    <row r="36" spans="1:68" ht="14.25" customHeight="1" thickBot="1" x14ac:dyDescent="0.2">
      <c r="A36" s="25" t="str">
        <f>IF($A33="","",$A33)</f>
        <v>chMobSaiyanC</v>
      </c>
      <c r="B36" s="26" t="str">
        <f>IF($A33="","","fac")</f>
        <v>fac</v>
      </c>
      <c r="C36" s="26"/>
      <c r="D36" s="27">
        <v>4</v>
      </c>
      <c r="E36" s="28">
        <f>IF(AND($D36="",COUNT($K36:$AH36)=0),"",IF(K36="",0,MAX(0,NETWORKDAYS(K36,IF(L36&lt;&gt;"",L36,IF($J36&lt;&gt;"",K36,$AI$1)),祝日!$A$2:$A$200)))+IF(M36="",0,MAX(0,NETWORKDAYS(M36,IF(N36&lt;&gt;"",N36,IF($J36&lt;&gt;"",M36,$AI$1)),祝日!$A$2:$A$200)))+IF(O36="",0,MAX(0,NETWORKDAYS(O36,IF(P36&lt;&gt;"",P36,IF($J36&lt;&gt;"",O36,$AI$1)),祝日!$A$2:$A$200)))+IF(Q36="",0,MAX(0,NETWORKDAYS(Q36,IF(R36&lt;&gt;"",R36,IF($J36&lt;&gt;"",Q36,$AI$1)),祝日!$A$2:$A$200)))+IF(S36="",0,MAX(0,NETWORKDAYS(S36,IF(T36&lt;&gt;"",T36,IF($J36&lt;&gt;"",S36,$AI$1)),祝日!$A$2:$A$200)))+IF(U36="",0,MAX(0,NETWORKDAYS(U36,IF(V36&lt;&gt;"",V36,IF($J36&lt;&gt;"",U36,$AI$1)),祝日!$A$2:$A$200)))+IF(W36="",0,MAX(0,NETWORKDAYS(W36,IF(X36&lt;&gt;"",X36,IF($J36&lt;&gt;"",W36,$AI$1)),祝日!$A$2:$A$200)))+IF(Y36="",0,MAX(0,NETWORKDAYS(Y36,IF(Z36&lt;&gt;"",Z36,IF($J36&lt;&gt;"",Y36,$AI$1)),祝日!$A$2:$A$200)))+IF(AA36="",0,MAX(0,NETWORKDAYS(AA36,IF(AB36&lt;&gt;"",AB36,IF($J36&lt;&gt;"",AA36,$AI$1)),祝日!$A$2:$A$200)))+IF(AC36="",0,MAX(0,NETWORKDAYS(AC36,IF(AD36&lt;&gt;"",AD36,IF($J36&lt;&gt;"",AC36,$AI$1)),祝日!$A$2:$A$200)))+IF(AE36="",0,MAX(0,NETWORKDAYS(AE36,IF(AF36&lt;&gt;"",AF36,IF($J36&lt;&gt;"",AE36,$AI$1)),祝日!$A$2:$A$200)))+IF(AG36="",0,MAX(0,NETWORKDAYS(AG36,IF(AH36&lt;&gt;"",AH36,IF($J36&lt;&gt;"",AG36,$AI$1)),祝日!$A$2:$A$200))))</f>
        <v>3</v>
      </c>
      <c r="F36" s="28">
        <f>IF($D36="","",$D36-$E36)</f>
        <v>1</v>
      </c>
      <c r="G36" s="29">
        <f>IF(OR($D36="",$D36=0),"",$E36/$D36)</f>
        <v>0.75</v>
      </c>
      <c r="H36" s="30" t="str">
        <f>IF($D36="","",IF($J36&lt;&gt;"","FIX",IF(AND(SUMPRODUCT((MOD(COLUMN($K36:$AH36)-COLUMN($K36),2)=0)*($K36:$AH36&lt;&gt;""))=0,SUMPRODUCT((MOD(COLUMN($K36:$AH36)-COLUMN($K36),2)=1)*($K36:$AH36&lt;&gt;""))=0),"未着手",IF(SUMPRODUCT((MOD(COLUMN($K36:$AH36)-COLUMN($K36),2)=0)*($K36:$AH36&lt;&gt;""))&gt;SUMPRODUCT((MOD(COLUMN($K36:$AH36)-COLUMN($K36),2)=1)*($K36:$AH36&lt;&gt;"")),"作業中","中断"))))</f>
        <v>中断</v>
      </c>
      <c r="I36" s="30">
        <f ca="1">IF($H36="中断",MAX(0,$AI$1-MAX(L36,N36,P36,R36,T36,V36,X36,Z36,AB36,AD36,AF36,AH36)),"")</f>
        <v>0</v>
      </c>
      <c r="J36" s="26"/>
      <c r="K36" s="31">
        <v>46300</v>
      </c>
      <c r="L36" s="31">
        <v>46302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K36" t="str">
        <f>IF($A33="","",IF(LOOKUP(2,1/($AJ$3:$AJ36&lt;&gt;""),$AJ$3:$AJ36)="-","",LOOKUP(2,1/($AJ$3:$AJ36&lt;&gt;""),$AJ$3:$AJ36)))</f>
        <v>CH02</v>
      </c>
      <c r="AL36" t="str">
        <f>$H36</f>
        <v>中断</v>
      </c>
      <c r="AM36">
        <f>IF(ISNUMBER($D36),$D36,0)</f>
        <v>4</v>
      </c>
      <c r="AN36">
        <f>IF(ISNUMBER($E36),$E36,0)</f>
        <v>3</v>
      </c>
      <c r="AO36">
        <f>IF(ISNUMBER($F36),$F36,0)</f>
        <v>1</v>
      </c>
      <c r="AQ36">
        <f>IF(OR($AK36="",K36="",L36=""),0,COUNTIFS($AK$3:$AK$98,$AK36,K$3:K$98,"&lt;"&amp;L36,L$3:L$98,"&gt;"&amp;K36)+COUNTIFS($AK$3:$AK$98,$AK36,M$3:M$98,"&lt;"&amp;L36,N$3:N$98,"&gt;"&amp;K36)+COUNTIFS($AK$3:$AK$98,$AK36,O$3:O$98,"&lt;"&amp;L36,P$3:P$98,"&gt;"&amp;K36)+COUNTIFS($AK$3:$AK$98,$AK36,Q$3:Q$98,"&lt;"&amp;L36,R$3:R$98,"&gt;"&amp;K36)+COUNTIFS($AK$3:$AK$98,$AK36,S$3:S$98,"&lt;"&amp;L36,T$3:T$98,"&gt;"&amp;K36)+COUNTIFS($AK$3:$AK$98,$AK36,U$3:U$98,"&lt;"&amp;L36,V$3:V$98,"&gt;"&amp;K36)+COUNTIFS($AK$3:$AK$98,$AK36,W$3:W$98,"&lt;"&amp;L36,X$3:X$98,"&gt;"&amp;K36)+COUNTIFS($AK$3:$AK$98,$AK36,Y$3:Y$98,"&lt;"&amp;L36,Z$3:Z$98,"&gt;"&amp;K36)+COUNTIFS($AK$3:$AK$98,$AK36,AA$3:AA$98,"&lt;"&amp;L36,AB$3:AB$98,"&gt;"&amp;K36)+COUNTIFS($AK$3:$AK$98,$AK36,AC$3:AC$98,"&lt;"&amp;L36,AD$3:AD$98,"&gt;"&amp;K36)+COUNTIFS($AK$3:$AK$98,$AK36,AE$3:AE$98,"&lt;"&amp;L36,AF$3:AF$98,"&gt;"&amp;K36)+COUNTIFS($AK$3:$AK$98,$AK36,AG$3:AG$98,"&lt;"&amp;L36,AH$3:AH$98,"&gt;"&amp;K36)-(K36&lt;L36))</f>
        <v>0</v>
      </c>
      <c r="AR36">
        <f>AQ36</f>
        <v>0</v>
      </c>
      <c r="AS36">
        <f>IF(OR($AK36="",M36="",N36=""),0,COUNTIFS($AK$3:$AK$98,$AK36,K$3:K$98,"&lt;"&amp;N36,L$3:L$98,"&gt;"&amp;M36)+COUNTIFS($AK$3:$AK$98,$AK36,M$3:M$98,"&lt;"&amp;N36,N$3:N$98,"&gt;"&amp;M36)+COUNTIFS($AK$3:$AK$98,$AK36,O$3:O$98,"&lt;"&amp;N36,P$3:P$98,"&gt;"&amp;M36)+COUNTIFS($AK$3:$AK$98,$AK36,Q$3:Q$98,"&lt;"&amp;N36,R$3:R$98,"&gt;"&amp;M36)+COUNTIFS($AK$3:$AK$98,$AK36,S$3:S$98,"&lt;"&amp;N36,T$3:T$98,"&gt;"&amp;M36)+COUNTIFS($AK$3:$AK$98,$AK36,U$3:U$98,"&lt;"&amp;N36,V$3:V$98,"&gt;"&amp;M36)+COUNTIFS($AK$3:$AK$98,$AK36,W$3:W$98,"&lt;"&amp;N36,X$3:X$98,"&gt;"&amp;M36)+COUNTIFS($AK$3:$AK$98,$AK36,Y$3:Y$98,"&lt;"&amp;N36,Z$3:Z$98,"&gt;"&amp;M36)+COUNTIFS($AK$3:$AK$98,$AK36,AA$3:AA$98,"&lt;"&amp;N36,AB$3:AB$98,"&gt;"&amp;M36)+COUNTIFS($AK$3:$AK$98,$AK36,AC$3:AC$98,"&lt;"&amp;N36,AD$3:AD$98,"&gt;"&amp;M36)+COUNTIFS($AK$3:$AK$98,$AK36,AE$3:AE$98,"&lt;"&amp;N36,AF$3:AF$98,"&gt;"&amp;M36)+COUNTIFS($AK$3:$AK$98,$AK36,AG$3:AG$98,"&lt;"&amp;N36,AH$3:AH$98,"&gt;"&amp;M36)-(M36&lt;N36))</f>
        <v>0</v>
      </c>
      <c r="AT36">
        <f>AS36</f>
        <v>0</v>
      </c>
      <c r="AU36">
        <f>IF(OR($AK36="",O36="",P36=""),0,COUNTIFS($AK$3:$AK$98,$AK36,K$3:K$98,"&lt;"&amp;P36,L$3:L$98,"&gt;"&amp;O36)+COUNTIFS($AK$3:$AK$98,$AK36,M$3:M$98,"&lt;"&amp;P36,N$3:N$98,"&gt;"&amp;O36)+COUNTIFS($AK$3:$AK$98,$AK36,O$3:O$98,"&lt;"&amp;P36,P$3:P$98,"&gt;"&amp;O36)+COUNTIFS($AK$3:$AK$98,$AK36,Q$3:Q$98,"&lt;"&amp;P36,R$3:R$98,"&gt;"&amp;O36)+COUNTIFS($AK$3:$AK$98,$AK36,S$3:S$98,"&lt;"&amp;P36,T$3:T$98,"&gt;"&amp;O36)+COUNTIFS($AK$3:$AK$98,$AK36,U$3:U$98,"&lt;"&amp;P36,V$3:V$98,"&gt;"&amp;O36)+COUNTIFS($AK$3:$AK$98,$AK36,W$3:W$98,"&lt;"&amp;P36,X$3:X$98,"&gt;"&amp;O36)+COUNTIFS($AK$3:$AK$98,$AK36,Y$3:Y$98,"&lt;"&amp;P36,Z$3:Z$98,"&gt;"&amp;O36)+COUNTIFS($AK$3:$AK$98,$AK36,AA$3:AA$98,"&lt;"&amp;P36,AB$3:AB$98,"&gt;"&amp;O36)+COUNTIFS($AK$3:$AK$98,$AK36,AC$3:AC$98,"&lt;"&amp;P36,AD$3:AD$98,"&gt;"&amp;O36)+COUNTIFS($AK$3:$AK$98,$AK36,AE$3:AE$98,"&lt;"&amp;P36,AF$3:AF$98,"&gt;"&amp;O36)+COUNTIFS($AK$3:$AK$98,$AK36,AG$3:AG$98,"&lt;"&amp;P36,AH$3:AH$98,"&gt;"&amp;O36)-(O36&lt;P36))</f>
        <v>0</v>
      </c>
      <c r="AV36">
        <f>AU36</f>
        <v>0</v>
      </c>
      <c r="AW36">
        <f>IF(OR($AK36="",Q36="",R36=""),0,COUNTIFS($AK$3:$AK$98,$AK36,K$3:K$98,"&lt;"&amp;R36,L$3:L$98,"&gt;"&amp;Q36)+COUNTIFS($AK$3:$AK$98,$AK36,M$3:M$98,"&lt;"&amp;R36,N$3:N$98,"&gt;"&amp;Q36)+COUNTIFS($AK$3:$AK$98,$AK36,O$3:O$98,"&lt;"&amp;R36,P$3:P$98,"&gt;"&amp;Q36)+COUNTIFS($AK$3:$AK$98,$AK36,Q$3:Q$98,"&lt;"&amp;R36,R$3:R$98,"&gt;"&amp;Q36)+COUNTIFS($AK$3:$AK$98,$AK36,S$3:S$98,"&lt;"&amp;R36,T$3:T$98,"&gt;"&amp;Q36)+COUNTIFS($AK$3:$AK$98,$AK36,U$3:U$98,"&lt;"&amp;R36,V$3:V$98,"&gt;"&amp;Q36)+COUNTIFS($AK$3:$AK$98,$AK36,W$3:W$98,"&lt;"&amp;R36,X$3:X$98,"&gt;"&amp;Q36)+COUNTIFS($AK$3:$AK$98,$AK36,Y$3:Y$98,"&lt;"&amp;R36,Z$3:Z$98,"&gt;"&amp;Q36)+COUNTIFS($AK$3:$AK$98,$AK36,AA$3:AA$98,"&lt;"&amp;R36,AB$3:AB$98,"&gt;"&amp;Q36)+COUNTIFS($AK$3:$AK$98,$AK36,AC$3:AC$98,"&lt;"&amp;R36,AD$3:AD$98,"&gt;"&amp;Q36)+COUNTIFS($AK$3:$AK$98,$AK36,AE$3:AE$98,"&lt;"&amp;R36,AF$3:AF$98,"&gt;"&amp;Q36)+COUNTIFS($AK$3:$AK$98,$AK36,AG$3:AG$98,"&lt;"&amp;R36,AH$3:AH$98,"&gt;"&amp;Q36)-(Q36&lt;R36))</f>
        <v>0</v>
      </c>
      <c r="AX36">
        <f>AW36</f>
        <v>0</v>
      </c>
      <c r="AY36">
        <f>IF(OR($AK36="",S36="",T36=""),0,COUNTIFS($AK$3:$AK$98,$AK36,K$3:K$98,"&lt;"&amp;T36,L$3:L$98,"&gt;"&amp;S36)+COUNTIFS($AK$3:$AK$98,$AK36,M$3:M$98,"&lt;"&amp;T36,N$3:N$98,"&gt;"&amp;S36)+COUNTIFS($AK$3:$AK$98,$AK36,O$3:O$98,"&lt;"&amp;T36,P$3:P$98,"&gt;"&amp;S36)+COUNTIFS($AK$3:$AK$98,$AK36,Q$3:Q$98,"&lt;"&amp;T36,R$3:R$98,"&gt;"&amp;S36)+COUNTIFS($AK$3:$AK$98,$AK36,S$3:S$98,"&lt;"&amp;T36,T$3:T$98,"&gt;"&amp;S36)+COUNTIFS($AK$3:$AK$98,$AK36,U$3:U$98,"&lt;"&amp;T36,V$3:V$98,"&gt;"&amp;S36)+COUNTIFS($AK$3:$AK$98,$AK36,W$3:W$98,"&lt;"&amp;T36,X$3:X$98,"&gt;"&amp;S36)+COUNTIFS($AK$3:$AK$98,$AK36,Y$3:Y$98,"&lt;"&amp;T36,Z$3:Z$98,"&gt;"&amp;S36)+COUNTIFS($AK$3:$AK$98,$AK36,AA$3:AA$98,"&lt;"&amp;T36,AB$3:AB$98,"&gt;"&amp;S36)+COUNTIFS($AK$3:$AK$98,$AK36,AC$3:AC$98,"&lt;"&amp;T36,AD$3:AD$98,"&gt;"&amp;S36)+COUNTIFS($AK$3:$AK$98,$AK36,AE$3:AE$98,"&lt;"&amp;T36,AF$3:AF$98,"&gt;"&amp;S36)+COUNTIFS($AK$3:$AK$98,$AK36,AG$3:AG$98,"&lt;"&amp;T36,AH$3:AH$98,"&gt;"&amp;S36)-(S36&lt;T36))</f>
        <v>0</v>
      </c>
      <c r="AZ36">
        <f>AY36</f>
        <v>0</v>
      </c>
      <c r="BA36">
        <f>IF(OR($AK36="",U36="",V36=""),0,COUNTIFS($AK$3:$AK$98,$AK36,K$3:K$98,"&lt;"&amp;V36,L$3:L$98,"&gt;"&amp;U36)+COUNTIFS($AK$3:$AK$98,$AK36,M$3:M$98,"&lt;"&amp;V36,N$3:N$98,"&gt;"&amp;U36)+COUNTIFS($AK$3:$AK$98,$AK36,O$3:O$98,"&lt;"&amp;V36,P$3:P$98,"&gt;"&amp;U36)+COUNTIFS($AK$3:$AK$98,$AK36,Q$3:Q$98,"&lt;"&amp;V36,R$3:R$98,"&gt;"&amp;U36)+COUNTIFS($AK$3:$AK$98,$AK36,S$3:S$98,"&lt;"&amp;V36,T$3:T$98,"&gt;"&amp;U36)+COUNTIFS($AK$3:$AK$98,$AK36,U$3:U$98,"&lt;"&amp;V36,V$3:V$98,"&gt;"&amp;U36)+COUNTIFS($AK$3:$AK$98,$AK36,W$3:W$98,"&lt;"&amp;V36,X$3:X$98,"&gt;"&amp;U36)+COUNTIFS($AK$3:$AK$98,$AK36,Y$3:Y$98,"&lt;"&amp;V36,Z$3:Z$98,"&gt;"&amp;U36)+COUNTIFS($AK$3:$AK$98,$AK36,AA$3:AA$98,"&lt;"&amp;V36,AB$3:AB$98,"&gt;"&amp;U36)+COUNTIFS($AK$3:$AK$98,$AK36,AC$3:AC$98,"&lt;"&amp;V36,AD$3:AD$98,"&gt;"&amp;U36)+COUNTIFS($AK$3:$AK$98,$AK36,AE$3:AE$98,"&lt;"&amp;V36,AF$3:AF$98,"&gt;"&amp;U36)+COUNTIFS($AK$3:$AK$98,$AK36,AG$3:AG$98,"&lt;"&amp;V36,AH$3:AH$98,"&gt;"&amp;U36)-(U36&lt;V36))</f>
        <v>0</v>
      </c>
      <c r="BB36">
        <f>BA36</f>
        <v>0</v>
      </c>
      <c r="BC36">
        <f>IF(OR($AK36="",W36="",X36=""),0,COUNTIFS($AK$3:$AK$98,$AK36,K$3:K$98,"&lt;"&amp;X36,L$3:L$98,"&gt;"&amp;W36)+COUNTIFS($AK$3:$AK$98,$AK36,M$3:M$98,"&lt;"&amp;X36,N$3:N$98,"&gt;"&amp;W36)+COUNTIFS($AK$3:$AK$98,$AK36,O$3:O$98,"&lt;"&amp;X36,P$3:P$98,"&gt;"&amp;W36)+COUNTIFS($AK$3:$AK$98,$AK36,Q$3:Q$98,"&lt;"&amp;X36,R$3:R$98,"&gt;"&amp;W36)+COUNTIFS($AK$3:$AK$98,$AK36,S$3:S$98,"&lt;"&amp;X36,T$3:T$98,"&gt;"&amp;W36)+COUNTIFS($AK$3:$AK$98,$AK36,U$3:U$98,"&lt;"&amp;X36,V$3:V$98,"&gt;"&amp;W36)+COUNTIFS($AK$3:$AK$98,$AK36,W$3:W$98,"&lt;"&amp;X36,X$3:X$98,"&gt;"&amp;W36)+COUNTIFS($AK$3:$AK$98,$AK36,Y$3:Y$98,"&lt;"&amp;X36,Z$3:Z$98,"&gt;"&amp;W36)+COUNTIFS($AK$3:$AK$98,$AK36,AA$3:AA$98,"&lt;"&amp;X36,AB$3:AB$98,"&gt;"&amp;W36)+COUNTIFS($AK$3:$AK$98,$AK36,AC$3:AC$98,"&lt;"&amp;X36,AD$3:AD$98,"&gt;"&amp;W36)+COUNTIFS($AK$3:$AK$98,$AK36,AE$3:AE$98,"&lt;"&amp;X36,AF$3:AF$98,"&gt;"&amp;W36)+COUNTIFS($AK$3:$AK$98,$AK36,AG$3:AG$98,"&lt;"&amp;X36,AH$3:AH$98,"&gt;"&amp;W36)-(W36&lt;X36))</f>
        <v>0</v>
      </c>
      <c r="BD36">
        <f>BC36</f>
        <v>0</v>
      </c>
      <c r="BE36">
        <f>IF(OR($AK36="",Y36="",Z36=""),0,COUNTIFS($AK$3:$AK$98,$AK36,K$3:K$98,"&lt;"&amp;Z36,L$3:L$98,"&gt;"&amp;Y36)+COUNTIFS($AK$3:$AK$98,$AK36,M$3:M$98,"&lt;"&amp;Z36,N$3:N$98,"&gt;"&amp;Y36)+COUNTIFS($AK$3:$AK$98,$AK36,O$3:O$98,"&lt;"&amp;Z36,P$3:P$98,"&gt;"&amp;Y36)+COUNTIFS($AK$3:$AK$98,$AK36,Q$3:Q$98,"&lt;"&amp;Z36,R$3:R$98,"&gt;"&amp;Y36)+COUNTIFS($AK$3:$AK$98,$AK36,S$3:S$98,"&lt;"&amp;Z36,T$3:T$98,"&gt;"&amp;Y36)+COUNTIFS($AK$3:$AK$98,$AK36,U$3:U$98,"&lt;"&amp;Z36,V$3:V$98,"&gt;"&amp;Y36)+COUNTIFS($AK$3:$AK$98,$AK36,W$3:W$98,"&lt;"&amp;Z36,X$3:X$98,"&gt;"&amp;Y36)+COUNTIFS($AK$3:$AK$98,$AK36,Y$3:Y$98,"&lt;"&amp;Z36,Z$3:Z$98,"&gt;"&amp;Y36)+COUNTIFS($AK$3:$AK$98,$AK36,AA$3:AA$98,"&lt;"&amp;Z36,AB$3:AB$98,"&gt;"&amp;Y36)+COUNTIFS($AK$3:$AK$98,$AK36,AC$3:AC$98,"&lt;"&amp;Z36,AD$3:AD$98,"&gt;"&amp;Y36)+COUNTIFS($AK$3:$AK$98,$AK36,AE$3:AE$98,"&lt;"&amp;Z36,AF$3:AF$98,"&gt;"&amp;Y36)+COUNTIFS($AK$3:$AK$98,$AK36,AG$3:AG$98,"&lt;"&amp;Z36,AH$3:AH$98,"&gt;"&amp;Y36)-(Y36&lt;Z36))</f>
        <v>0</v>
      </c>
      <c r="BF36">
        <f>BE36</f>
        <v>0</v>
      </c>
      <c r="BG36">
        <f>IF(OR($AK36="",AA36="",AB36=""),0,COUNTIFS($AK$3:$AK$98,$AK36,K$3:K$98,"&lt;"&amp;AB36,L$3:L$98,"&gt;"&amp;AA36)+COUNTIFS($AK$3:$AK$98,$AK36,M$3:M$98,"&lt;"&amp;AB36,N$3:N$98,"&gt;"&amp;AA36)+COUNTIFS($AK$3:$AK$98,$AK36,O$3:O$98,"&lt;"&amp;AB36,P$3:P$98,"&gt;"&amp;AA36)+COUNTIFS($AK$3:$AK$98,$AK36,Q$3:Q$98,"&lt;"&amp;AB36,R$3:R$98,"&gt;"&amp;AA36)+COUNTIFS($AK$3:$AK$98,$AK36,S$3:S$98,"&lt;"&amp;AB36,T$3:T$98,"&gt;"&amp;AA36)+COUNTIFS($AK$3:$AK$98,$AK36,U$3:U$98,"&lt;"&amp;AB36,V$3:V$98,"&gt;"&amp;AA36)+COUNTIFS($AK$3:$AK$98,$AK36,W$3:W$98,"&lt;"&amp;AB36,X$3:X$98,"&gt;"&amp;AA36)+COUNTIFS($AK$3:$AK$98,$AK36,Y$3:Y$98,"&lt;"&amp;AB36,Z$3:Z$98,"&gt;"&amp;AA36)+COUNTIFS($AK$3:$AK$98,$AK36,AA$3:AA$98,"&lt;"&amp;AB36,AB$3:AB$98,"&gt;"&amp;AA36)+COUNTIFS($AK$3:$AK$98,$AK36,AC$3:AC$98,"&lt;"&amp;AB36,AD$3:AD$98,"&gt;"&amp;AA36)+COUNTIFS($AK$3:$AK$98,$AK36,AE$3:AE$98,"&lt;"&amp;AB36,AF$3:AF$98,"&gt;"&amp;AA36)+COUNTIFS($AK$3:$AK$98,$AK36,AG$3:AG$98,"&lt;"&amp;AB36,AH$3:AH$98,"&gt;"&amp;AA36)-(AA36&lt;AB36))</f>
        <v>0</v>
      </c>
      <c r="BH36">
        <f>BG36</f>
        <v>0</v>
      </c>
      <c r="BI36">
        <f>IF(OR($AK36="",AC36="",AD36=""),0,COUNTIFS($AK$3:$AK$98,$AK36,K$3:K$98,"&lt;"&amp;AD36,L$3:L$98,"&gt;"&amp;AC36)+COUNTIFS($AK$3:$AK$98,$AK36,M$3:M$98,"&lt;"&amp;AD36,N$3:N$98,"&gt;"&amp;AC36)+COUNTIFS($AK$3:$AK$98,$AK36,O$3:O$98,"&lt;"&amp;AD36,P$3:P$98,"&gt;"&amp;AC36)+COUNTIFS($AK$3:$AK$98,$AK36,Q$3:Q$98,"&lt;"&amp;AD36,R$3:R$98,"&gt;"&amp;AC36)+COUNTIFS($AK$3:$AK$98,$AK36,S$3:S$98,"&lt;"&amp;AD36,T$3:T$98,"&gt;"&amp;AC36)+COUNTIFS($AK$3:$AK$98,$AK36,U$3:U$98,"&lt;"&amp;AD36,V$3:V$98,"&gt;"&amp;AC36)+COUNTIFS($AK$3:$AK$98,$AK36,W$3:W$98,"&lt;"&amp;AD36,X$3:X$98,"&gt;"&amp;AC36)+COUNTIFS($AK$3:$AK$98,$AK36,Y$3:Y$98,"&lt;"&amp;AD36,Z$3:Z$98,"&gt;"&amp;AC36)+COUNTIFS($AK$3:$AK$98,$AK36,AA$3:AA$98,"&lt;"&amp;AD36,AB$3:AB$98,"&gt;"&amp;AC36)+COUNTIFS($AK$3:$AK$98,$AK36,AC$3:AC$98,"&lt;"&amp;AD36,AD$3:AD$98,"&gt;"&amp;AC36)+COUNTIFS($AK$3:$AK$98,$AK36,AE$3:AE$98,"&lt;"&amp;AD36,AF$3:AF$98,"&gt;"&amp;AC36)+COUNTIFS($AK$3:$AK$98,$AK36,AG$3:AG$98,"&lt;"&amp;AD36,AH$3:AH$98,"&gt;"&amp;AC36)-(AC36&lt;AD36))</f>
        <v>0</v>
      </c>
      <c r="BJ36">
        <f>BI36</f>
        <v>0</v>
      </c>
      <c r="BK36">
        <f>IF(OR($AK36="",AE36="",AF36=""),0,COUNTIFS($AK$3:$AK$98,$AK36,K$3:K$98,"&lt;"&amp;AF36,L$3:L$98,"&gt;"&amp;AE36)+COUNTIFS($AK$3:$AK$98,$AK36,M$3:M$98,"&lt;"&amp;AF36,N$3:N$98,"&gt;"&amp;AE36)+COUNTIFS($AK$3:$AK$98,$AK36,O$3:O$98,"&lt;"&amp;AF36,P$3:P$98,"&gt;"&amp;AE36)+COUNTIFS($AK$3:$AK$98,$AK36,Q$3:Q$98,"&lt;"&amp;AF36,R$3:R$98,"&gt;"&amp;AE36)+COUNTIFS($AK$3:$AK$98,$AK36,S$3:S$98,"&lt;"&amp;AF36,T$3:T$98,"&gt;"&amp;AE36)+COUNTIFS($AK$3:$AK$98,$AK36,U$3:U$98,"&lt;"&amp;AF36,V$3:V$98,"&gt;"&amp;AE36)+COUNTIFS($AK$3:$AK$98,$AK36,W$3:W$98,"&lt;"&amp;AF36,X$3:X$98,"&gt;"&amp;AE36)+COUNTIFS($AK$3:$AK$98,$AK36,Y$3:Y$98,"&lt;"&amp;AF36,Z$3:Z$98,"&gt;"&amp;AE36)+COUNTIFS($AK$3:$AK$98,$AK36,AA$3:AA$98,"&lt;"&amp;AF36,AB$3:AB$98,"&gt;"&amp;AE36)+COUNTIFS($AK$3:$AK$98,$AK36,AC$3:AC$98,"&lt;"&amp;AF36,AD$3:AD$98,"&gt;"&amp;AE36)+COUNTIFS($AK$3:$AK$98,$AK36,AE$3:AE$98,"&lt;"&amp;AF36,AF$3:AF$98,"&gt;"&amp;AE36)+COUNTIFS($AK$3:$AK$98,$AK36,AG$3:AG$98,"&lt;"&amp;AF36,AH$3:AH$98,"&gt;"&amp;AE36)-(AE36&lt;AF36))</f>
        <v>0</v>
      </c>
      <c r="BL36">
        <f>BK36</f>
        <v>0</v>
      </c>
      <c r="BM36">
        <f>IF(OR($AK36="",AG36="",AH36=""),0,COUNTIFS($AK$3:$AK$98,$AK36,K$3:K$98,"&lt;"&amp;AH36,L$3:L$98,"&gt;"&amp;AG36)+COUNTIFS($AK$3:$AK$98,$AK36,M$3:M$98,"&lt;"&amp;AH36,N$3:N$98,"&gt;"&amp;AG36)+COUNTIFS($AK$3:$AK$98,$AK36,O$3:O$98,"&lt;"&amp;AH36,P$3:P$98,"&gt;"&amp;AG36)+COUNTIFS($AK$3:$AK$98,$AK36,Q$3:Q$98,"&lt;"&amp;AH36,R$3:R$98,"&gt;"&amp;AG36)+COUNTIFS($AK$3:$AK$98,$AK36,S$3:S$98,"&lt;"&amp;AH36,T$3:T$98,"&gt;"&amp;AG36)+COUNTIFS($AK$3:$AK$98,$AK36,U$3:U$98,"&lt;"&amp;AH36,V$3:V$98,"&gt;"&amp;AG36)+COUNTIFS($AK$3:$AK$98,$AK36,W$3:W$98,"&lt;"&amp;AH36,X$3:X$98,"&gt;"&amp;AG36)+COUNTIFS($AK$3:$AK$98,$AK36,Y$3:Y$98,"&lt;"&amp;AH36,Z$3:Z$98,"&gt;"&amp;AG36)+COUNTIFS($AK$3:$AK$98,$AK36,AA$3:AA$98,"&lt;"&amp;AH36,AB$3:AB$98,"&gt;"&amp;AG36)+COUNTIFS($AK$3:$AK$98,$AK36,AC$3:AC$98,"&lt;"&amp;AH36,AD$3:AD$98,"&gt;"&amp;AG36)+COUNTIFS($AK$3:$AK$98,$AK36,AE$3:AE$98,"&lt;"&amp;AH36,AF$3:AF$98,"&gt;"&amp;AG36)+COUNTIFS($AK$3:$AK$98,$AK36,AG$3:AG$98,"&lt;"&amp;AH36,AH$3:AH$98,"&gt;"&amp;AG36)-(AG36&lt;AH36))</f>
        <v>0</v>
      </c>
      <c r="BN36">
        <f>BM36</f>
        <v>0</v>
      </c>
      <c r="BO36">
        <f>IF(ISNUMBER($G36),$G36,"")</f>
        <v>0.75</v>
      </c>
      <c r="BP36">
        <f>IF(AND($A36&lt;&gt;"",COUNT($K36:$AH36)&gt;0),ROW(),"")</f>
        <v>36</v>
      </c>
    </row>
    <row r="37" spans="1:68" x14ac:dyDescent="0.15">
      <c r="A37" s="13" t="s">
        <v>42</v>
      </c>
      <c r="B37" s="14" t="str">
        <f>IF($A37="","","total")</f>
        <v>total</v>
      </c>
      <c r="C37" s="14"/>
      <c r="D37" s="15">
        <f>IF($A37="","",SUM(D38:D40))</f>
        <v>26</v>
      </c>
      <c r="E37" s="15">
        <f ca="1">IF($A37="","",SUM(E38:E40))</f>
        <v>22</v>
      </c>
      <c r="F37" s="15">
        <f ca="1">IF($A37="","",D37-E37)</f>
        <v>4</v>
      </c>
      <c r="G37" s="16">
        <f>IF($A37="","",IFERROR(AVERAGEIFS(G38:G40,H38:H40,"&lt;&gt;未着手",H38:H40,"&lt;&gt;作業中"),""))</f>
        <v>1.05</v>
      </c>
      <c r="H37" s="14"/>
      <c r="I37" s="14"/>
      <c r="J37" s="14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</row>
    <row r="38" spans="1:68" x14ac:dyDescent="0.15">
      <c r="A38" s="18" t="str">
        <f>IF($A37="","",$A37)</f>
        <v>chMobAlienA</v>
      </c>
      <c r="B38" s="19" t="str">
        <f>IF($A37="","","low")</f>
        <v>low</v>
      </c>
      <c r="C38" s="19"/>
      <c r="D38" s="20">
        <v>11</v>
      </c>
      <c r="E38" s="21">
        <f>IF(AND($D38="",COUNT($K38:$AH38)=0),"",IF(K38="",0,MAX(0,NETWORKDAYS(K38,IF(L38&lt;&gt;"",L38,IF($J38&lt;&gt;"",K38,$AI$1)),祝日!$A$2:$A$200)))+IF(M38="",0,MAX(0,NETWORKDAYS(M38,IF(N38&lt;&gt;"",N38,IF($J38&lt;&gt;"",M38,$AI$1)),祝日!$A$2:$A$200)))+IF(O38="",0,MAX(0,NETWORKDAYS(O38,IF(P38&lt;&gt;"",P38,IF($J38&lt;&gt;"",O38,$AI$1)),祝日!$A$2:$A$200)))+IF(Q38="",0,MAX(0,NETWORKDAYS(Q38,IF(R38&lt;&gt;"",R38,IF($J38&lt;&gt;"",Q38,$AI$1)),祝日!$A$2:$A$200)))+IF(S38="",0,MAX(0,NETWORKDAYS(S38,IF(T38&lt;&gt;"",T38,IF($J38&lt;&gt;"",S38,$AI$1)),祝日!$A$2:$A$200)))+IF(U38="",0,MAX(0,NETWORKDAYS(U38,IF(V38&lt;&gt;"",V38,IF($J38&lt;&gt;"",U38,$AI$1)),祝日!$A$2:$A$200)))+IF(W38="",0,MAX(0,NETWORKDAYS(W38,IF(X38&lt;&gt;"",X38,IF($J38&lt;&gt;"",W38,$AI$1)),祝日!$A$2:$A$200)))+IF(Y38="",0,MAX(0,NETWORKDAYS(Y38,IF(Z38&lt;&gt;"",Z38,IF($J38&lt;&gt;"",Y38,$AI$1)),祝日!$A$2:$A$200)))+IF(AA38="",0,MAX(0,NETWORKDAYS(AA38,IF(AB38&lt;&gt;"",AB38,IF($J38&lt;&gt;"",AA38,$AI$1)),祝日!$A$2:$A$200)))+IF(AC38="",0,MAX(0,NETWORKDAYS(AC38,IF(AD38&lt;&gt;"",AD38,IF($J38&lt;&gt;"",AC38,$AI$1)),祝日!$A$2:$A$200)))+IF(AE38="",0,MAX(0,NETWORKDAYS(AE38,IF(AF38&lt;&gt;"",AF38,IF($J38&lt;&gt;"",AE38,$AI$1)),祝日!$A$2:$A$200)))+IF(AG38="",0,MAX(0,NETWORKDAYS(AG38,IF(AH38&lt;&gt;"",AH38,IF($J38&lt;&gt;"",AG38,$AI$1)),祝日!$A$2:$A$200))))</f>
        <v>11</v>
      </c>
      <c r="F38" s="21">
        <f>IF($D38="","",$D38-$E38)</f>
        <v>0</v>
      </c>
      <c r="G38" s="22">
        <f>IF(OR($D38="",$D38=0),"",$E38/$D38)</f>
        <v>1</v>
      </c>
      <c r="H38" s="23" t="str">
        <f>IF($D38="","",IF($J38&lt;&gt;"","FIX",IF(AND(SUMPRODUCT((MOD(COLUMN($K38:$AH38)-COLUMN($K38),2)=0)*($K38:$AH38&lt;&gt;""))=0,SUMPRODUCT((MOD(COLUMN($K38:$AH38)-COLUMN($K38),2)=1)*($K38:$AH38&lt;&gt;""))=0),"未着手",IF(SUMPRODUCT((MOD(COLUMN($K38:$AH38)-COLUMN($K38),2)=0)*($K38:$AH38&lt;&gt;""))&gt;SUMPRODUCT((MOD(COLUMN($K38:$AH38)-COLUMN($K38),2)=1)*($K38:$AH38&lt;&gt;"")),"作業中","中断"))))</f>
        <v>FIX</v>
      </c>
      <c r="I38" s="23" t="str">
        <f>IF($H38="中断",MAX(0,$AI$1-MAX(L38,N38,P38,R38,T38,V38,X38,Z38,AB38,AD38,AF38,AH38)),"")</f>
        <v/>
      </c>
      <c r="J38" s="19" t="s">
        <v>37</v>
      </c>
      <c r="K38" s="24">
        <v>46237</v>
      </c>
      <c r="L38" s="24">
        <v>46254</v>
      </c>
      <c r="M38" s="24">
        <v>46295</v>
      </c>
      <c r="N38" s="24">
        <v>46295</v>
      </c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K38" t="str">
        <f>IF($A37="","",IF(LOOKUP(2,1/($AJ$3:$AJ38&lt;&gt;""),$AJ$3:$AJ38)="-","",LOOKUP(2,1/($AJ$3:$AJ38&lt;&gt;""),$AJ$3:$AJ38)))</f>
        <v>CH02</v>
      </c>
      <c r="AL38" t="str">
        <f>$H38</f>
        <v>FIX</v>
      </c>
      <c r="AM38">
        <f>IF(ISNUMBER($D38),$D38,0)</f>
        <v>11</v>
      </c>
      <c r="AN38">
        <f>IF(ISNUMBER($E38),$E38,0)</f>
        <v>11</v>
      </c>
      <c r="AO38">
        <f>IF(ISNUMBER($F38),$F38,0)</f>
        <v>0</v>
      </c>
      <c r="AQ38">
        <f>IF(OR($AK38="",K38="",L38=""),0,COUNTIFS($AK$3:$AK$98,$AK38,K$3:K$98,"&lt;"&amp;L38,L$3:L$98,"&gt;"&amp;K38)+COUNTIFS($AK$3:$AK$98,$AK38,M$3:M$98,"&lt;"&amp;L38,N$3:N$98,"&gt;"&amp;K38)+COUNTIFS($AK$3:$AK$98,$AK38,O$3:O$98,"&lt;"&amp;L38,P$3:P$98,"&gt;"&amp;K38)+COUNTIFS($AK$3:$AK$98,$AK38,Q$3:Q$98,"&lt;"&amp;L38,R$3:R$98,"&gt;"&amp;K38)+COUNTIFS($AK$3:$AK$98,$AK38,S$3:S$98,"&lt;"&amp;L38,T$3:T$98,"&gt;"&amp;K38)+COUNTIFS($AK$3:$AK$98,$AK38,U$3:U$98,"&lt;"&amp;L38,V$3:V$98,"&gt;"&amp;K38)+COUNTIFS($AK$3:$AK$98,$AK38,W$3:W$98,"&lt;"&amp;L38,X$3:X$98,"&gt;"&amp;K38)+COUNTIFS($AK$3:$AK$98,$AK38,Y$3:Y$98,"&lt;"&amp;L38,Z$3:Z$98,"&gt;"&amp;K38)+COUNTIFS($AK$3:$AK$98,$AK38,AA$3:AA$98,"&lt;"&amp;L38,AB$3:AB$98,"&gt;"&amp;K38)+COUNTIFS($AK$3:$AK$98,$AK38,AC$3:AC$98,"&lt;"&amp;L38,AD$3:AD$98,"&gt;"&amp;K38)+COUNTIFS($AK$3:$AK$98,$AK38,AE$3:AE$98,"&lt;"&amp;L38,AF$3:AF$98,"&gt;"&amp;K38)+COUNTIFS($AK$3:$AK$98,$AK38,AG$3:AG$98,"&lt;"&amp;L38,AH$3:AH$98,"&gt;"&amp;K38)-(K38&lt;L38))</f>
        <v>0</v>
      </c>
      <c r="AR38">
        <f>AQ38</f>
        <v>0</v>
      </c>
      <c r="AS38">
        <f>IF(OR($AK38="",M38="",N38=""),0,COUNTIFS($AK$3:$AK$98,$AK38,K$3:K$98,"&lt;"&amp;N38,L$3:L$98,"&gt;"&amp;M38)+COUNTIFS($AK$3:$AK$98,$AK38,M$3:M$98,"&lt;"&amp;N38,N$3:N$98,"&gt;"&amp;M38)+COUNTIFS($AK$3:$AK$98,$AK38,O$3:O$98,"&lt;"&amp;N38,P$3:P$98,"&gt;"&amp;M38)+COUNTIFS($AK$3:$AK$98,$AK38,Q$3:Q$98,"&lt;"&amp;N38,R$3:R$98,"&gt;"&amp;M38)+COUNTIFS($AK$3:$AK$98,$AK38,S$3:S$98,"&lt;"&amp;N38,T$3:T$98,"&gt;"&amp;M38)+COUNTIFS($AK$3:$AK$98,$AK38,U$3:U$98,"&lt;"&amp;N38,V$3:V$98,"&gt;"&amp;M38)+COUNTIFS($AK$3:$AK$98,$AK38,W$3:W$98,"&lt;"&amp;N38,X$3:X$98,"&gt;"&amp;M38)+COUNTIFS($AK$3:$AK$98,$AK38,Y$3:Y$98,"&lt;"&amp;N38,Z$3:Z$98,"&gt;"&amp;M38)+COUNTIFS($AK$3:$AK$98,$AK38,AA$3:AA$98,"&lt;"&amp;N38,AB$3:AB$98,"&gt;"&amp;M38)+COUNTIFS($AK$3:$AK$98,$AK38,AC$3:AC$98,"&lt;"&amp;N38,AD$3:AD$98,"&gt;"&amp;M38)+COUNTIFS($AK$3:$AK$98,$AK38,AE$3:AE$98,"&lt;"&amp;N38,AF$3:AF$98,"&gt;"&amp;M38)+COUNTIFS($AK$3:$AK$98,$AK38,AG$3:AG$98,"&lt;"&amp;N38,AH$3:AH$98,"&gt;"&amp;M38)-(M38&lt;N38))</f>
        <v>0</v>
      </c>
      <c r="AT38">
        <f>AS38</f>
        <v>0</v>
      </c>
      <c r="AU38">
        <f>IF(OR($AK38="",O38="",P38=""),0,COUNTIFS($AK$3:$AK$98,$AK38,K$3:K$98,"&lt;"&amp;P38,L$3:L$98,"&gt;"&amp;O38)+COUNTIFS($AK$3:$AK$98,$AK38,M$3:M$98,"&lt;"&amp;P38,N$3:N$98,"&gt;"&amp;O38)+COUNTIFS($AK$3:$AK$98,$AK38,O$3:O$98,"&lt;"&amp;P38,P$3:P$98,"&gt;"&amp;O38)+COUNTIFS($AK$3:$AK$98,$AK38,Q$3:Q$98,"&lt;"&amp;P38,R$3:R$98,"&gt;"&amp;O38)+COUNTIFS($AK$3:$AK$98,$AK38,S$3:S$98,"&lt;"&amp;P38,T$3:T$98,"&gt;"&amp;O38)+COUNTIFS($AK$3:$AK$98,$AK38,U$3:U$98,"&lt;"&amp;P38,V$3:V$98,"&gt;"&amp;O38)+COUNTIFS($AK$3:$AK$98,$AK38,W$3:W$98,"&lt;"&amp;P38,X$3:X$98,"&gt;"&amp;O38)+COUNTIFS($AK$3:$AK$98,$AK38,Y$3:Y$98,"&lt;"&amp;P38,Z$3:Z$98,"&gt;"&amp;O38)+COUNTIFS($AK$3:$AK$98,$AK38,AA$3:AA$98,"&lt;"&amp;P38,AB$3:AB$98,"&gt;"&amp;O38)+COUNTIFS($AK$3:$AK$98,$AK38,AC$3:AC$98,"&lt;"&amp;P38,AD$3:AD$98,"&gt;"&amp;O38)+COUNTIFS($AK$3:$AK$98,$AK38,AE$3:AE$98,"&lt;"&amp;P38,AF$3:AF$98,"&gt;"&amp;O38)+COUNTIFS($AK$3:$AK$98,$AK38,AG$3:AG$98,"&lt;"&amp;P38,AH$3:AH$98,"&gt;"&amp;O38)-(O38&lt;P38))</f>
        <v>0</v>
      </c>
      <c r="AV38">
        <f>AU38</f>
        <v>0</v>
      </c>
      <c r="AW38">
        <f>IF(OR($AK38="",Q38="",R38=""),0,COUNTIFS($AK$3:$AK$98,$AK38,K$3:K$98,"&lt;"&amp;R38,L$3:L$98,"&gt;"&amp;Q38)+COUNTIFS($AK$3:$AK$98,$AK38,M$3:M$98,"&lt;"&amp;R38,N$3:N$98,"&gt;"&amp;Q38)+COUNTIFS($AK$3:$AK$98,$AK38,O$3:O$98,"&lt;"&amp;R38,P$3:P$98,"&gt;"&amp;Q38)+COUNTIFS($AK$3:$AK$98,$AK38,Q$3:Q$98,"&lt;"&amp;R38,R$3:R$98,"&gt;"&amp;Q38)+COUNTIFS($AK$3:$AK$98,$AK38,S$3:S$98,"&lt;"&amp;R38,T$3:T$98,"&gt;"&amp;Q38)+COUNTIFS($AK$3:$AK$98,$AK38,U$3:U$98,"&lt;"&amp;R38,V$3:V$98,"&gt;"&amp;Q38)+COUNTIFS($AK$3:$AK$98,$AK38,W$3:W$98,"&lt;"&amp;R38,X$3:X$98,"&gt;"&amp;Q38)+COUNTIFS($AK$3:$AK$98,$AK38,Y$3:Y$98,"&lt;"&amp;R38,Z$3:Z$98,"&gt;"&amp;Q38)+COUNTIFS($AK$3:$AK$98,$AK38,AA$3:AA$98,"&lt;"&amp;R38,AB$3:AB$98,"&gt;"&amp;Q38)+COUNTIFS($AK$3:$AK$98,$AK38,AC$3:AC$98,"&lt;"&amp;R38,AD$3:AD$98,"&gt;"&amp;Q38)+COUNTIFS($AK$3:$AK$98,$AK38,AE$3:AE$98,"&lt;"&amp;R38,AF$3:AF$98,"&gt;"&amp;Q38)+COUNTIFS($AK$3:$AK$98,$AK38,AG$3:AG$98,"&lt;"&amp;R38,AH$3:AH$98,"&gt;"&amp;Q38)-(Q38&lt;R38))</f>
        <v>0</v>
      </c>
      <c r="AX38">
        <f>AW38</f>
        <v>0</v>
      </c>
      <c r="AY38">
        <f>IF(OR($AK38="",S38="",T38=""),0,COUNTIFS($AK$3:$AK$98,$AK38,K$3:K$98,"&lt;"&amp;T38,L$3:L$98,"&gt;"&amp;S38)+COUNTIFS($AK$3:$AK$98,$AK38,M$3:M$98,"&lt;"&amp;T38,N$3:N$98,"&gt;"&amp;S38)+COUNTIFS($AK$3:$AK$98,$AK38,O$3:O$98,"&lt;"&amp;T38,P$3:P$98,"&gt;"&amp;S38)+COUNTIFS($AK$3:$AK$98,$AK38,Q$3:Q$98,"&lt;"&amp;T38,R$3:R$98,"&gt;"&amp;S38)+COUNTIFS($AK$3:$AK$98,$AK38,S$3:S$98,"&lt;"&amp;T38,T$3:T$98,"&gt;"&amp;S38)+COUNTIFS($AK$3:$AK$98,$AK38,U$3:U$98,"&lt;"&amp;T38,V$3:V$98,"&gt;"&amp;S38)+COUNTIFS($AK$3:$AK$98,$AK38,W$3:W$98,"&lt;"&amp;T38,X$3:X$98,"&gt;"&amp;S38)+COUNTIFS($AK$3:$AK$98,$AK38,Y$3:Y$98,"&lt;"&amp;T38,Z$3:Z$98,"&gt;"&amp;S38)+COUNTIFS($AK$3:$AK$98,$AK38,AA$3:AA$98,"&lt;"&amp;T38,AB$3:AB$98,"&gt;"&amp;S38)+COUNTIFS($AK$3:$AK$98,$AK38,AC$3:AC$98,"&lt;"&amp;T38,AD$3:AD$98,"&gt;"&amp;S38)+COUNTIFS($AK$3:$AK$98,$AK38,AE$3:AE$98,"&lt;"&amp;T38,AF$3:AF$98,"&gt;"&amp;S38)+COUNTIFS($AK$3:$AK$98,$AK38,AG$3:AG$98,"&lt;"&amp;T38,AH$3:AH$98,"&gt;"&amp;S38)-(S38&lt;T38))</f>
        <v>0</v>
      </c>
      <c r="AZ38">
        <f>AY38</f>
        <v>0</v>
      </c>
      <c r="BA38">
        <f>IF(OR($AK38="",U38="",V38=""),0,COUNTIFS($AK$3:$AK$98,$AK38,K$3:K$98,"&lt;"&amp;V38,L$3:L$98,"&gt;"&amp;U38)+COUNTIFS($AK$3:$AK$98,$AK38,M$3:M$98,"&lt;"&amp;V38,N$3:N$98,"&gt;"&amp;U38)+COUNTIFS($AK$3:$AK$98,$AK38,O$3:O$98,"&lt;"&amp;V38,P$3:P$98,"&gt;"&amp;U38)+COUNTIFS($AK$3:$AK$98,$AK38,Q$3:Q$98,"&lt;"&amp;V38,R$3:R$98,"&gt;"&amp;U38)+COUNTIFS($AK$3:$AK$98,$AK38,S$3:S$98,"&lt;"&amp;V38,T$3:T$98,"&gt;"&amp;U38)+COUNTIFS($AK$3:$AK$98,$AK38,U$3:U$98,"&lt;"&amp;V38,V$3:V$98,"&gt;"&amp;U38)+COUNTIFS($AK$3:$AK$98,$AK38,W$3:W$98,"&lt;"&amp;V38,X$3:X$98,"&gt;"&amp;U38)+COUNTIFS($AK$3:$AK$98,$AK38,Y$3:Y$98,"&lt;"&amp;V38,Z$3:Z$98,"&gt;"&amp;U38)+COUNTIFS($AK$3:$AK$98,$AK38,AA$3:AA$98,"&lt;"&amp;V38,AB$3:AB$98,"&gt;"&amp;U38)+COUNTIFS($AK$3:$AK$98,$AK38,AC$3:AC$98,"&lt;"&amp;V38,AD$3:AD$98,"&gt;"&amp;U38)+COUNTIFS($AK$3:$AK$98,$AK38,AE$3:AE$98,"&lt;"&amp;V38,AF$3:AF$98,"&gt;"&amp;U38)+COUNTIFS($AK$3:$AK$98,$AK38,AG$3:AG$98,"&lt;"&amp;V38,AH$3:AH$98,"&gt;"&amp;U38)-(U38&lt;V38))</f>
        <v>0</v>
      </c>
      <c r="BB38">
        <f>BA38</f>
        <v>0</v>
      </c>
      <c r="BC38">
        <f>IF(OR($AK38="",W38="",X38=""),0,COUNTIFS($AK$3:$AK$98,$AK38,K$3:K$98,"&lt;"&amp;X38,L$3:L$98,"&gt;"&amp;W38)+COUNTIFS($AK$3:$AK$98,$AK38,M$3:M$98,"&lt;"&amp;X38,N$3:N$98,"&gt;"&amp;W38)+COUNTIFS($AK$3:$AK$98,$AK38,O$3:O$98,"&lt;"&amp;X38,P$3:P$98,"&gt;"&amp;W38)+COUNTIFS($AK$3:$AK$98,$AK38,Q$3:Q$98,"&lt;"&amp;X38,R$3:R$98,"&gt;"&amp;W38)+COUNTIFS($AK$3:$AK$98,$AK38,S$3:S$98,"&lt;"&amp;X38,T$3:T$98,"&gt;"&amp;W38)+COUNTIFS($AK$3:$AK$98,$AK38,U$3:U$98,"&lt;"&amp;X38,V$3:V$98,"&gt;"&amp;W38)+COUNTIFS($AK$3:$AK$98,$AK38,W$3:W$98,"&lt;"&amp;X38,X$3:X$98,"&gt;"&amp;W38)+COUNTIFS($AK$3:$AK$98,$AK38,Y$3:Y$98,"&lt;"&amp;X38,Z$3:Z$98,"&gt;"&amp;W38)+COUNTIFS($AK$3:$AK$98,$AK38,AA$3:AA$98,"&lt;"&amp;X38,AB$3:AB$98,"&gt;"&amp;W38)+COUNTIFS($AK$3:$AK$98,$AK38,AC$3:AC$98,"&lt;"&amp;X38,AD$3:AD$98,"&gt;"&amp;W38)+COUNTIFS($AK$3:$AK$98,$AK38,AE$3:AE$98,"&lt;"&amp;X38,AF$3:AF$98,"&gt;"&amp;W38)+COUNTIFS($AK$3:$AK$98,$AK38,AG$3:AG$98,"&lt;"&amp;X38,AH$3:AH$98,"&gt;"&amp;W38)-(W38&lt;X38))</f>
        <v>0</v>
      </c>
      <c r="BD38">
        <f>BC38</f>
        <v>0</v>
      </c>
      <c r="BE38">
        <f>IF(OR($AK38="",Y38="",Z38=""),0,COUNTIFS($AK$3:$AK$98,$AK38,K$3:K$98,"&lt;"&amp;Z38,L$3:L$98,"&gt;"&amp;Y38)+COUNTIFS($AK$3:$AK$98,$AK38,M$3:M$98,"&lt;"&amp;Z38,N$3:N$98,"&gt;"&amp;Y38)+COUNTIFS($AK$3:$AK$98,$AK38,O$3:O$98,"&lt;"&amp;Z38,P$3:P$98,"&gt;"&amp;Y38)+COUNTIFS($AK$3:$AK$98,$AK38,Q$3:Q$98,"&lt;"&amp;Z38,R$3:R$98,"&gt;"&amp;Y38)+COUNTIFS($AK$3:$AK$98,$AK38,S$3:S$98,"&lt;"&amp;Z38,T$3:T$98,"&gt;"&amp;Y38)+COUNTIFS($AK$3:$AK$98,$AK38,U$3:U$98,"&lt;"&amp;Z38,V$3:V$98,"&gt;"&amp;Y38)+COUNTIFS($AK$3:$AK$98,$AK38,W$3:W$98,"&lt;"&amp;Z38,X$3:X$98,"&gt;"&amp;Y38)+COUNTIFS($AK$3:$AK$98,$AK38,Y$3:Y$98,"&lt;"&amp;Z38,Z$3:Z$98,"&gt;"&amp;Y38)+COUNTIFS($AK$3:$AK$98,$AK38,AA$3:AA$98,"&lt;"&amp;Z38,AB$3:AB$98,"&gt;"&amp;Y38)+COUNTIFS($AK$3:$AK$98,$AK38,AC$3:AC$98,"&lt;"&amp;Z38,AD$3:AD$98,"&gt;"&amp;Y38)+COUNTIFS($AK$3:$AK$98,$AK38,AE$3:AE$98,"&lt;"&amp;Z38,AF$3:AF$98,"&gt;"&amp;Y38)+COUNTIFS($AK$3:$AK$98,$AK38,AG$3:AG$98,"&lt;"&amp;Z38,AH$3:AH$98,"&gt;"&amp;Y38)-(Y38&lt;Z38))</f>
        <v>0</v>
      </c>
      <c r="BF38">
        <f>BE38</f>
        <v>0</v>
      </c>
      <c r="BG38">
        <f>IF(OR($AK38="",AA38="",AB38=""),0,COUNTIFS($AK$3:$AK$98,$AK38,K$3:K$98,"&lt;"&amp;AB38,L$3:L$98,"&gt;"&amp;AA38)+COUNTIFS($AK$3:$AK$98,$AK38,M$3:M$98,"&lt;"&amp;AB38,N$3:N$98,"&gt;"&amp;AA38)+COUNTIFS($AK$3:$AK$98,$AK38,O$3:O$98,"&lt;"&amp;AB38,P$3:P$98,"&gt;"&amp;AA38)+COUNTIFS($AK$3:$AK$98,$AK38,Q$3:Q$98,"&lt;"&amp;AB38,R$3:R$98,"&gt;"&amp;AA38)+COUNTIFS($AK$3:$AK$98,$AK38,S$3:S$98,"&lt;"&amp;AB38,T$3:T$98,"&gt;"&amp;AA38)+COUNTIFS($AK$3:$AK$98,$AK38,U$3:U$98,"&lt;"&amp;AB38,V$3:V$98,"&gt;"&amp;AA38)+COUNTIFS($AK$3:$AK$98,$AK38,W$3:W$98,"&lt;"&amp;AB38,X$3:X$98,"&gt;"&amp;AA38)+COUNTIFS($AK$3:$AK$98,$AK38,Y$3:Y$98,"&lt;"&amp;AB38,Z$3:Z$98,"&gt;"&amp;AA38)+COUNTIFS($AK$3:$AK$98,$AK38,AA$3:AA$98,"&lt;"&amp;AB38,AB$3:AB$98,"&gt;"&amp;AA38)+COUNTIFS($AK$3:$AK$98,$AK38,AC$3:AC$98,"&lt;"&amp;AB38,AD$3:AD$98,"&gt;"&amp;AA38)+COUNTIFS($AK$3:$AK$98,$AK38,AE$3:AE$98,"&lt;"&amp;AB38,AF$3:AF$98,"&gt;"&amp;AA38)+COUNTIFS($AK$3:$AK$98,$AK38,AG$3:AG$98,"&lt;"&amp;AB38,AH$3:AH$98,"&gt;"&amp;AA38)-(AA38&lt;AB38))</f>
        <v>0</v>
      </c>
      <c r="BH38">
        <f>BG38</f>
        <v>0</v>
      </c>
      <c r="BI38">
        <f>IF(OR($AK38="",AC38="",AD38=""),0,COUNTIFS($AK$3:$AK$98,$AK38,K$3:K$98,"&lt;"&amp;AD38,L$3:L$98,"&gt;"&amp;AC38)+COUNTIFS($AK$3:$AK$98,$AK38,M$3:M$98,"&lt;"&amp;AD38,N$3:N$98,"&gt;"&amp;AC38)+COUNTIFS($AK$3:$AK$98,$AK38,O$3:O$98,"&lt;"&amp;AD38,P$3:P$98,"&gt;"&amp;AC38)+COUNTIFS($AK$3:$AK$98,$AK38,Q$3:Q$98,"&lt;"&amp;AD38,R$3:R$98,"&gt;"&amp;AC38)+COUNTIFS($AK$3:$AK$98,$AK38,S$3:S$98,"&lt;"&amp;AD38,T$3:T$98,"&gt;"&amp;AC38)+COUNTIFS($AK$3:$AK$98,$AK38,U$3:U$98,"&lt;"&amp;AD38,V$3:V$98,"&gt;"&amp;AC38)+COUNTIFS($AK$3:$AK$98,$AK38,W$3:W$98,"&lt;"&amp;AD38,X$3:X$98,"&gt;"&amp;AC38)+COUNTIFS($AK$3:$AK$98,$AK38,Y$3:Y$98,"&lt;"&amp;AD38,Z$3:Z$98,"&gt;"&amp;AC38)+COUNTIFS($AK$3:$AK$98,$AK38,AA$3:AA$98,"&lt;"&amp;AD38,AB$3:AB$98,"&gt;"&amp;AC38)+COUNTIFS($AK$3:$AK$98,$AK38,AC$3:AC$98,"&lt;"&amp;AD38,AD$3:AD$98,"&gt;"&amp;AC38)+COUNTIFS($AK$3:$AK$98,$AK38,AE$3:AE$98,"&lt;"&amp;AD38,AF$3:AF$98,"&gt;"&amp;AC38)+COUNTIFS($AK$3:$AK$98,$AK38,AG$3:AG$98,"&lt;"&amp;AD38,AH$3:AH$98,"&gt;"&amp;AC38)-(AC38&lt;AD38))</f>
        <v>0</v>
      </c>
      <c r="BJ38">
        <f>BI38</f>
        <v>0</v>
      </c>
      <c r="BK38">
        <f>IF(OR($AK38="",AE38="",AF38=""),0,COUNTIFS($AK$3:$AK$98,$AK38,K$3:K$98,"&lt;"&amp;AF38,L$3:L$98,"&gt;"&amp;AE38)+COUNTIFS($AK$3:$AK$98,$AK38,M$3:M$98,"&lt;"&amp;AF38,N$3:N$98,"&gt;"&amp;AE38)+COUNTIFS($AK$3:$AK$98,$AK38,O$3:O$98,"&lt;"&amp;AF38,P$3:P$98,"&gt;"&amp;AE38)+COUNTIFS($AK$3:$AK$98,$AK38,Q$3:Q$98,"&lt;"&amp;AF38,R$3:R$98,"&gt;"&amp;AE38)+COUNTIFS($AK$3:$AK$98,$AK38,S$3:S$98,"&lt;"&amp;AF38,T$3:T$98,"&gt;"&amp;AE38)+COUNTIFS($AK$3:$AK$98,$AK38,U$3:U$98,"&lt;"&amp;AF38,V$3:V$98,"&gt;"&amp;AE38)+COUNTIFS($AK$3:$AK$98,$AK38,W$3:W$98,"&lt;"&amp;AF38,X$3:X$98,"&gt;"&amp;AE38)+COUNTIFS($AK$3:$AK$98,$AK38,Y$3:Y$98,"&lt;"&amp;AF38,Z$3:Z$98,"&gt;"&amp;AE38)+COUNTIFS($AK$3:$AK$98,$AK38,AA$3:AA$98,"&lt;"&amp;AF38,AB$3:AB$98,"&gt;"&amp;AE38)+COUNTIFS($AK$3:$AK$98,$AK38,AC$3:AC$98,"&lt;"&amp;AF38,AD$3:AD$98,"&gt;"&amp;AE38)+COUNTIFS($AK$3:$AK$98,$AK38,AE$3:AE$98,"&lt;"&amp;AF38,AF$3:AF$98,"&gt;"&amp;AE38)+COUNTIFS($AK$3:$AK$98,$AK38,AG$3:AG$98,"&lt;"&amp;AF38,AH$3:AH$98,"&gt;"&amp;AE38)-(AE38&lt;AF38))</f>
        <v>0</v>
      </c>
      <c r="BL38">
        <f>BK38</f>
        <v>0</v>
      </c>
      <c r="BM38">
        <f>IF(OR($AK38="",AG38="",AH38=""),0,COUNTIFS($AK$3:$AK$98,$AK38,K$3:K$98,"&lt;"&amp;AH38,L$3:L$98,"&gt;"&amp;AG38)+COUNTIFS($AK$3:$AK$98,$AK38,M$3:M$98,"&lt;"&amp;AH38,N$3:N$98,"&gt;"&amp;AG38)+COUNTIFS($AK$3:$AK$98,$AK38,O$3:O$98,"&lt;"&amp;AH38,P$3:P$98,"&gt;"&amp;AG38)+COUNTIFS($AK$3:$AK$98,$AK38,Q$3:Q$98,"&lt;"&amp;AH38,R$3:R$98,"&gt;"&amp;AG38)+COUNTIFS($AK$3:$AK$98,$AK38,S$3:S$98,"&lt;"&amp;AH38,T$3:T$98,"&gt;"&amp;AG38)+COUNTIFS($AK$3:$AK$98,$AK38,U$3:U$98,"&lt;"&amp;AH38,V$3:V$98,"&gt;"&amp;AG38)+COUNTIFS($AK$3:$AK$98,$AK38,W$3:W$98,"&lt;"&amp;AH38,X$3:X$98,"&gt;"&amp;AG38)+COUNTIFS($AK$3:$AK$98,$AK38,Y$3:Y$98,"&lt;"&amp;AH38,Z$3:Z$98,"&gt;"&amp;AG38)+COUNTIFS($AK$3:$AK$98,$AK38,AA$3:AA$98,"&lt;"&amp;AH38,AB$3:AB$98,"&gt;"&amp;AG38)+COUNTIFS($AK$3:$AK$98,$AK38,AC$3:AC$98,"&lt;"&amp;AH38,AD$3:AD$98,"&gt;"&amp;AG38)+COUNTIFS($AK$3:$AK$98,$AK38,AE$3:AE$98,"&lt;"&amp;AH38,AF$3:AF$98,"&gt;"&amp;AG38)+COUNTIFS($AK$3:$AK$98,$AK38,AG$3:AG$98,"&lt;"&amp;AH38,AH$3:AH$98,"&gt;"&amp;AG38)-(AG38&lt;AH38))</f>
        <v>0</v>
      </c>
      <c r="BN38">
        <f>BM38</f>
        <v>0</v>
      </c>
      <c r="BO38">
        <f>IF(ISNUMBER($G38),$G38,"")</f>
        <v>1</v>
      </c>
      <c r="BP38">
        <f>IF(AND($A38&lt;&gt;"",COUNT($K38:$AH38)&gt;0),ROW(),"")</f>
        <v>38</v>
      </c>
    </row>
    <row r="39" spans="1:68" x14ac:dyDescent="0.15">
      <c r="A39" s="18" t="str">
        <f>IF($A37="","",$A37)</f>
        <v>chMobAlienA</v>
      </c>
      <c r="B39" s="19" t="str">
        <f>IF($A37="","","high")</f>
        <v>high</v>
      </c>
      <c r="C39" s="19"/>
      <c r="D39" s="20">
        <v>10</v>
      </c>
      <c r="E39" s="21">
        <f>IF(AND($D39="",COUNT($K39:$AH39)=0),"",IF(K39="",0,MAX(0,NETWORKDAYS(K39,IF(L39&lt;&gt;"",L39,IF($J39&lt;&gt;"",K39,$AI$1)),祝日!$A$2:$A$200)))+IF(M39="",0,MAX(0,NETWORKDAYS(M39,IF(N39&lt;&gt;"",N39,IF($J39&lt;&gt;"",M39,$AI$1)),祝日!$A$2:$A$200)))+IF(O39="",0,MAX(0,NETWORKDAYS(O39,IF(P39&lt;&gt;"",P39,IF($J39&lt;&gt;"",O39,$AI$1)),祝日!$A$2:$A$200)))+IF(Q39="",0,MAX(0,NETWORKDAYS(Q39,IF(R39&lt;&gt;"",R39,IF($J39&lt;&gt;"",Q39,$AI$1)),祝日!$A$2:$A$200)))+IF(S39="",0,MAX(0,NETWORKDAYS(S39,IF(T39&lt;&gt;"",T39,IF($J39&lt;&gt;"",S39,$AI$1)),祝日!$A$2:$A$200)))+IF(U39="",0,MAX(0,NETWORKDAYS(U39,IF(V39&lt;&gt;"",V39,IF($J39&lt;&gt;"",U39,$AI$1)),祝日!$A$2:$A$200)))+IF(W39="",0,MAX(0,NETWORKDAYS(W39,IF(X39&lt;&gt;"",X39,IF($J39&lt;&gt;"",W39,$AI$1)),祝日!$A$2:$A$200)))+IF(Y39="",0,MAX(0,NETWORKDAYS(Y39,IF(Z39&lt;&gt;"",Z39,IF($J39&lt;&gt;"",Y39,$AI$1)),祝日!$A$2:$A$200)))+IF(AA39="",0,MAX(0,NETWORKDAYS(AA39,IF(AB39&lt;&gt;"",AB39,IF($J39&lt;&gt;"",AA39,$AI$1)),祝日!$A$2:$A$200)))+IF(AC39="",0,MAX(0,NETWORKDAYS(AC39,IF(AD39&lt;&gt;"",AD39,IF($J39&lt;&gt;"",AC39,$AI$1)),祝日!$A$2:$A$200)))+IF(AE39="",0,MAX(0,NETWORKDAYS(AE39,IF(AF39&lt;&gt;"",AF39,IF($J39&lt;&gt;"",AE39,$AI$1)),祝日!$A$2:$A$200)))+IF(AG39="",0,MAX(0,NETWORKDAYS(AG39,IF(AH39&lt;&gt;"",AH39,IF($J39&lt;&gt;"",AG39,$AI$1)),祝日!$A$2:$A$200))))</f>
        <v>11</v>
      </c>
      <c r="F39" s="21">
        <f>IF($D39="","",$D39-$E39)</f>
        <v>-1</v>
      </c>
      <c r="G39" s="22">
        <f>IF(OR($D39="",$D39=0),"",$E39/$D39)</f>
        <v>1.1000000000000001</v>
      </c>
      <c r="H39" s="23" t="str">
        <f>IF($D39="","",IF($J39&lt;&gt;"","FIX",IF(AND(SUMPRODUCT((MOD(COLUMN($K39:$AH39)-COLUMN($K39),2)=0)*($K39:$AH39&lt;&gt;""))=0,SUMPRODUCT((MOD(COLUMN($K39:$AH39)-COLUMN($K39),2)=1)*($K39:$AH39&lt;&gt;""))=0),"未着手",IF(SUMPRODUCT((MOD(COLUMN($K39:$AH39)-COLUMN($K39),2)=0)*($K39:$AH39&lt;&gt;""))&gt;SUMPRODUCT((MOD(COLUMN($K39:$AH39)-COLUMN($K39),2)=1)*($K39:$AH39&lt;&gt;"")),"作業中","中断"))))</f>
        <v>FIX</v>
      </c>
      <c r="I39" s="23" t="str">
        <f>IF($H39="中断",MAX(0,$AI$1-MAX(L39,N39,P39,R39,T39,V39,X39,Z39,AB39,AD39,AF39,AH39)),"")</f>
        <v/>
      </c>
      <c r="J39" s="19" t="s">
        <v>37</v>
      </c>
      <c r="K39" s="24">
        <v>46255</v>
      </c>
      <c r="L39" s="24">
        <v>46266</v>
      </c>
      <c r="M39" s="24">
        <v>46268</v>
      </c>
      <c r="N39" s="24">
        <v>46269</v>
      </c>
      <c r="O39" s="24">
        <v>46297</v>
      </c>
      <c r="P39" s="24">
        <v>46299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K39" t="str">
        <f>IF($A37="","",IF(LOOKUP(2,1/($AJ$3:$AJ39&lt;&gt;""),$AJ$3:$AJ39)="-","",LOOKUP(2,1/($AJ$3:$AJ39&lt;&gt;""),$AJ$3:$AJ39)))</f>
        <v>CH02</v>
      </c>
      <c r="AL39" t="str">
        <f>$H39</f>
        <v>FIX</v>
      </c>
      <c r="AM39">
        <f>IF(ISNUMBER($D39),$D39,0)</f>
        <v>10</v>
      </c>
      <c r="AN39">
        <f>IF(ISNUMBER($E39),$E39,0)</f>
        <v>11</v>
      </c>
      <c r="AO39">
        <f>IF(ISNUMBER($F39),$F39,0)</f>
        <v>-1</v>
      </c>
      <c r="AQ39">
        <f>IF(OR($AK39="",K39="",L39=""),0,COUNTIFS($AK$3:$AK$98,$AK39,K$3:K$98,"&lt;"&amp;L39,L$3:L$98,"&gt;"&amp;K39)+COUNTIFS($AK$3:$AK$98,$AK39,M$3:M$98,"&lt;"&amp;L39,N$3:N$98,"&gt;"&amp;K39)+COUNTIFS($AK$3:$AK$98,$AK39,O$3:O$98,"&lt;"&amp;L39,P$3:P$98,"&gt;"&amp;K39)+COUNTIFS($AK$3:$AK$98,$AK39,Q$3:Q$98,"&lt;"&amp;L39,R$3:R$98,"&gt;"&amp;K39)+COUNTIFS($AK$3:$AK$98,$AK39,S$3:S$98,"&lt;"&amp;L39,T$3:T$98,"&gt;"&amp;K39)+COUNTIFS($AK$3:$AK$98,$AK39,U$3:U$98,"&lt;"&amp;L39,V$3:V$98,"&gt;"&amp;K39)+COUNTIFS($AK$3:$AK$98,$AK39,W$3:W$98,"&lt;"&amp;L39,X$3:X$98,"&gt;"&amp;K39)+COUNTIFS($AK$3:$AK$98,$AK39,Y$3:Y$98,"&lt;"&amp;L39,Z$3:Z$98,"&gt;"&amp;K39)+COUNTIFS($AK$3:$AK$98,$AK39,AA$3:AA$98,"&lt;"&amp;L39,AB$3:AB$98,"&gt;"&amp;K39)+COUNTIFS($AK$3:$AK$98,$AK39,AC$3:AC$98,"&lt;"&amp;L39,AD$3:AD$98,"&gt;"&amp;K39)+COUNTIFS($AK$3:$AK$98,$AK39,AE$3:AE$98,"&lt;"&amp;L39,AF$3:AF$98,"&gt;"&amp;K39)+COUNTIFS($AK$3:$AK$98,$AK39,AG$3:AG$98,"&lt;"&amp;L39,AH$3:AH$98,"&gt;"&amp;K39)-(K39&lt;L39))</f>
        <v>0</v>
      </c>
      <c r="AR39">
        <f>AQ39</f>
        <v>0</v>
      </c>
      <c r="AS39">
        <f>IF(OR($AK39="",M39="",N39=""),0,COUNTIFS($AK$3:$AK$98,$AK39,K$3:K$98,"&lt;"&amp;N39,L$3:L$98,"&gt;"&amp;M39)+COUNTIFS($AK$3:$AK$98,$AK39,M$3:M$98,"&lt;"&amp;N39,N$3:N$98,"&gt;"&amp;M39)+COUNTIFS($AK$3:$AK$98,$AK39,O$3:O$98,"&lt;"&amp;N39,P$3:P$98,"&gt;"&amp;M39)+COUNTIFS($AK$3:$AK$98,$AK39,Q$3:Q$98,"&lt;"&amp;N39,R$3:R$98,"&gt;"&amp;M39)+COUNTIFS($AK$3:$AK$98,$AK39,S$3:S$98,"&lt;"&amp;N39,T$3:T$98,"&gt;"&amp;M39)+COUNTIFS($AK$3:$AK$98,$AK39,U$3:U$98,"&lt;"&amp;N39,V$3:V$98,"&gt;"&amp;M39)+COUNTIFS($AK$3:$AK$98,$AK39,W$3:W$98,"&lt;"&amp;N39,X$3:X$98,"&gt;"&amp;M39)+COUNTIFS($AK$3:$AK$98,$AK39,Y$3:Y$98,"&lt;"&amp;N39,Z$3:Z$98,"&gt;"&amp;M39)+COUNTIFS($AK$3:$AK$98,$AK39,AA$3:AA$98,"&lt;"&amp;N39,AB$3:AB$98,"&gt;"&amp;M39)+COUNTIFS($AK$3:$AK$98,$AK39,AC$3:AC$98,"&lt;"&amp;N39,AD$3:AD$98,"&gt;"&amp;M39)+COUNTIFS($AK$3:$AK$98,$AK39,AE$3:AE$98,"&lt;"&amp;N39,AF$3:AF$98,"&gt;"&amp;M39)+COUNTIFS($AK$3:$AK$98,$AK39,AG$3:AG$98,"&lt;"&amp;N39,AH$3:AH$98,"&gt;"&amp;M39)-(M39&lt;N39))</f>
        <v>0</v>
      </c>
      <c r="AT39">
        <f>AS39</f>
        <v>0</v>
      </c>
      <c r="AU39">
        <f>IF(OR($AK39="",O39="",P39=""),0,COUNTIFS($AK$3:$AK$98,$AK39,K$3:K$98,"&lt;"&amp;P39,L$3:L$98,"&gt;"&amp;O39)+COUNTIFS($AK$3:$AK$98,$AK39,M$3:M$98,"&lt;"&amp;P39,N$3:N$98,"&gt;"&amp;O39)+COUNTIFS($AK$3:$AK$98,$AK39,O$3:O$98,"&lt;"&amp;P39,P$3:P$98,"&gt;"&amp;O39)+COUNTIFS($AK$3:$AK$98,$AK39,Q$3:Q$98,"&lt;"&amp;P39,R$3:R$98,"&gt;"&amp;O39)+COUNTIFS($AK$3:$AK$98,$AK39,S$3:S$98,"&lt;"&amp;P39,T$3:T$98,"&gt;"&amp;O39)+COUNTIFS($AK$3:$AK$98,$AK39,U$3:U$98,"&lt;"&amp;P39,V$3:V$98,"&gt;"&amp;O39)+COUNTIFS($AK$3:$AK$98,$AK39,W$3:W$98,"&lt;"&amp;P39,X$3:X$98,"&gt;"&amp;O39)+COUNTIFS($AK$3:$AK$98,$AK39,Y$3:Y$98,"&lt;"&amp;P39,Z$3:Z$98,"&gt;"&amp;O39)+COUNTIFS($AK$3:$AK$98,$AK39,AA$3:AA$98,"&lt;"&amp;P39,AB$3:AB$98,"&gt;"&amp;O39)+COUNTIFS($AK$3:$AK$98,$AK39,AC$3:AC$98,"&lt;"&amp;P39,AD$3:AD$98,"&gt;"&amp;O39)+COUNTIFS($AK$3:$AK$98,$AK39,AE$3:AE$98,"&lt;"&amp;P39,AF$3:AF$98,"&gt;"&amp;O39)+COUNTIFS($AK$3:$AK$98,$AK39,AG$3:AG$98,"&lt;"&amp;P39,AH$3:AH$98,"&gt;"&amp;O39)-(O39&lt;P39))</f>
        <v>0</v>
      </c>
      <c r="AV39">
        <f>AU39</f>
        <v>0</v>
      </c>
      <c r="AW39">
        <f>IF(OR($AK39="",Q39="",R39=""),0,COUNTIFS($AK$3:$AK$98,$AK39,K$3:K$98,"&lt;"&amp;R39,L$3:L$98,"&gt;"&amp;Q39)+COUNTIFS($AK$3:$AK$98,$AK39,M$3:M$98,"&lt;"&amp;R39,N$3:N$98,"&gt;"&amp;Q39)+COUNTIFS($AK$3:$AK$98,$AK39,O$3:O$98,"&lt;"&amp;R39,P$3:P$98,"&gt;"&amp;Q39)+COUNTIFS($AK$3:$AK$98,$AK39,Q$3:Q$98,"&lt;"&amp;R39,R$3:R$98,"&gt;"&amp;Q39)+COUNTIFS($AK$3:$AK$98,$AK39,S$3:S$98,"&lt;"&amp;R39,T$3:T$98,"&gt;"&amp;Q39)+COUNTIFS($AK$3:$AK$98,$AK39,U$3:U$98,"&lt;"&amp;R39,V$3:V$98,"&gt;"&amp;Q39)+COUNTIFS($AK$3:$AK$98,$AK39,W$3:W$98,"&lt;"&amp;R39,X$3:X$98,"&gt;"&amp;Q39)+COUNTIFS($AK$3:$AK$98,$AK39,Y$3:Y$98,"&lt;"&amp;R39,Z$3:Z$98,"&gt;"&amp;Q39)+COUNTIFS($AK$3:$AK$98,$AK39,AA$3:AA$98,"&lt;"&amp;R39,AB$3:AB$98,"&gt;"&amp;Q39)+COUNTIFS($AK$3:$AK$98,$AK39,AC$3:AC$98,"&lt;"&amp;R39,AD$3:AD$98,"&gt;"&amp;Q39)+COUNTIFS($AK$3:$AK$98,$AK39,AE$3:AE$98,"&lt;"&amp;R39,AF$3:AF$98,"&gt;"&amp;Q39)+COUNTIFS($AK$3:$AK$98,$AK39,AG$3:AG$98,"&lt;"&amp;R39,AH$3:AH$98,"&gt;"&amp;Q39)-(Q39&lt;R39))</f>
        <v>0</v>
      </c>
      <c r="AX39">
        <f>AW39</f>
        <v>0</v>
      </c>
      <c r="AY39">
        <f>IF(OR($AK39="",S39="",T39=""),0,COUNTIFS($AK$3:$AK$98,$AK39,K$3:K$98,"&lt;"&amp;T39,L$3:L$98,"&gt;"&amp;S39)+COUNTIFS($AK$3:$AK$98,$AK39,M$3:M$98,"&lt;"&amp;T39,N$3:N$98,"&gt;"&amp;S39)+COUNTIFS($AK$3:$AK$98,$AK39,O$3:O$98,"&lt;"&amp;T39,P$3:P$98,"&gt;"&amp;S39)+COUNTIFS($AK$3:$AK$98,$AK39,Q$3:Q$98,"&lt;"&amp;T39,R$3:R$98,"&gt;"&amp;S39)+COUNTIFS($AK$3:$AK$98,$AK39,S$3:S$98,"&lt;"&amp;T39,T$3:T$98,"&gt;"&amp;S39)+COUNTIFS($AK$3:$AK$98,$AK39,U$3:U$98,"&lt;"&amp;T39,V$3:V$98,"&gt;"&amp;S39)+COUNTIFS($AK$3:$AK$98,$AK39,W$3:W$98,"&lt;"&amp;T39,X$3:X$98,"&gt;"&amp;S39)+COUNTIFS($AK$3:$AK$98,$AK39,Y$3:Y$98,"&lt;"&amp;T39,Z$3:Z$98,"&gt;"&amp;S39)+COUNTIFS($AK$3:$AK$98,$AK39,AA$3:AA$98,"&lt;"&amp;T39,AB$3:AB$98,"&gt;"&amp;S39)+COUNTIFS($AK$3:$AK$98,$AK39,AC$3:AC$98,"&lt;"&amp;T39,AD$3:AD$98,"&gt;"&amp;S39)+COUNTIFS($AK$3:$AK$98,$AK39,AE$3:AE$98,"&lt;"&amp;T39,AF$3:AF$98,"&gt;"&amp;S39)+COUNTIFS($AK$3:$AK$98,$AK39,AG$3:AG$98,"&lt;"&amp;T39,AH$3:AH$98,"&gt;"&amp;S39)-(S39&lt;T39))</f>
        <v>0</v>
      </c>
      <c r="AZ39">
        <f>AY39</f>
        <v>0</v>
      </c>
      <c r="BA39">
        <f>IF(OR($AK39="",U39="",V39=""),0,COUNTIFS($AK$3:$AK$98,$AK39,K$3:K$98,"&lt;"&amp;V39,L$3:L$98,"&gt;"&amp;U39)+COUNTIFS($AK$3:$AK$98,$AK39,M$3:M$98,"&lt;"&amp;V39,N$3:N$98,"&gt;"&amp;U39)+COUNTIFS($AK$3:$AK$98,$AK39,O$3:O$98,"&lt;"&amp;V39,P$3:P$98,"&gt;"&amp;U39)+COUNTIFS($AK$3:$AK$98,$AK39,Q$3:Q$98,"&lt;"&amp;V39,R$3:R$98,"&gt;"&amp;U39)+COUNTIFS($AK$3:$AK$98,$AK39,S$3:S$98,"&lt;"&amp;V39,T$3:T$98,"&gt;"&amp;U39)+COUNTIFS($AK$3:$AK$98,$AK39,U$3:U$98,"&lt;"&amp;V39,V$3:V$98,"&gt;"&amp;U39)+COUNTIFS($AK$3:$AK$98,$AK39,W$3:W$98,"&lt;"&amp;V39,X$3:X$98,"&gt;"&amp;U39)+COUNTIFS($AK$3:$AK$98,$AK39,Y$3:Y$98,"&lt;"&amp;V39,Z$3:Z$98,"&gt;"&amp;U39)+COUNTIFS($AK$3:$AK$98,$AK39,AA$3:AA$98,"&lt;"&amp;V39,AB$3:AB$98,"&gt;"&amp;U39)+COUNTIFS($AK$3:$AK$98,$AK39,AC$3:AC$98,"&lt;"&amp;V39,AD$3:AD$98,"&gt;"&amp;U39)+COUNTIFS($AK$3:$AK$98,$AK39,AE$3:AE$98,"&lt;"&amp;V39,AF$3:AF$98,"&gt;"&amp;U39)+COUNTIFS($AK$3:$AK$98,$AK39,AG$3:AG$98,"&lt;"&amp;V39,AH$3:AH$98,"&gt;"&amp;U39)-(U39&lt;V39))</f>
        <v>0</v>
      </c>
      <c r="BB39">
        <f>BA39</f>
        <v>0</v>
      </c>
      <c r="BC39">
        <f>IF(OR($AK39="",W39="",X39=""),0,COUNTIFS($AK$3:$AK$98,$AK39,K$3:K$98,"&lt;"&amp;X39,L$3:L$98,"&gt;"&amp;W39)+COUNTIFS($AK$3:$AK$98,$AK39,M$3:M$98,"&lt;"&amp;X39,N$3:N$98,"&gt;"&amp;W39)+COUNTIFS($AK$3:$AK$98,$AK39,O$3:O$98,"&lt;"&amp;X39,P$3:P$98,"&gt;"&amp;W39)+COUNTIFS($AK$3:$AK$98,$AK39,Q$3:Q$98,"&lt;"&amp;X39,R$3:R$98,"&gt;"&amp;W39)+COUNTIFS($AK$3:$AK$98,$AK39,S$3:S$98,"&lt;"&amp;X39,T$3:T$98,"&gt;"&amp;W39)+COUNTIFS($AK$3:$AK$98,$AK39,U$3:U$98,"&lt;"&amp;X39,V$3:V$98,"&gt;"&amp;W39)+COUNTIFS($AK$3:$AK$98,$AK39,W$3:W$98,"&lt;"&amp;X39,X$3:X$98,"&gt;"&amp;W39)+COUNTIFS($AK$3:$AK$98,$AK39,Y$3:Y$98,"&lt;"&amp;X39,Z$3:Z$98,"&gt;"&amp;W39)+COUNTIFS($AK$3:$AK$98,$AK39,AA$3:AA$98,"&lt;"&amp;X39,AB$3:AB$98,"&gt;"&amp;W39)+COUNTIFS($AK$3:$AK$98,$AK39,AC$3:AC$98,"&lt;"&amp;X39,AD$3:AD$98,"&gt;"&amp;W39)+COUNTIFS($AK$3:$AK$98,$AK39,AE$3:AE$98,"&lt;"&amp;X39,AF$3:AF$98,"&gt;"&amp;W39)+COUNTIFS($AK$3:$AK$98,$AK39,AG$3:AG$98,"&lt;"&amp;X39,AH$3:AH$98,"&gt;"&amp;W39)-(W39&lt;X39))</f>
        <v>0</v>
      </c>
      <c r="BD39">
        <f>BC39</f>
        <v>0</v>
      </c>
      <c r="BE39">
        <f>IF(OR($AK39="",Y39="",Z39=""),0,COUNTIFS($AK$3:$AK$98,$AK39,K$3:K$98,"&lt;"&amp;Z39,L$3:L$98,"&gt;"&amp;Y39)+COUNTIFS($AK$3:$AK$98,$AK39,M$3:M$98,"&lt;"&amp;Z39,N$3:N$98,"&gt;"&amp;Y39)+COUNTIFS($AK$3:$AK$98,$AK39,O$3:O$98,"&lt;"&amp;Z39,P$3:P$98,"&gt;"&amp;Y39)+COUNTIFS($AK$3:$AK$98,$AK39,Q$3:Q$98,"&lt;"&amp;Z39,R$3:R$98,"&gt;"&amp;Y39)+COUNTIFS($AK$3:$AK$98,$AK39,S$3:S$98,"&lt;"&amp;Z39,T$3:T$98,"&gt;"&amp;Y39)+COUNTIFS($AK$3:$AK$98,$AK39,U$3:U$98,"&lt;"&amp;Z39,V$3:V$98,"&gt;"&amp;Y39)+COUNTIFS($AK$3:$AK$98,$AK39,W$3:W$98,"&lt;"&amp;Z39,X$3:X$98,"&gt;"&amp;Y39)+COUNTIFS($AK$3:$AK$98,$AK39,Y$3:Y$98,"&lt;"&amp;Z39,Z$3:Z$98,"&gt;"&amp;Y39)+COUNTIFS($AK$3:$AK$98,$AK39,AA$3:AA$98,"&lt;"&amp;Z39,AB$3:AB$98,"&gt;"&amp;Y39)+COUNTIFS($AK$3:$AK$98,$AK39,AC$3:AC$98,"&lt;"&amp;Z39,AD$3:AD$98,"&gt;"&amp;Y39)+COUNTIFS($AK$3:$AK$98,$AK39,AE$3:AE$98,"&lt;"&amp;Z39,AF$3:AF$98,"&gt;"&amp;Y39)+COUNTIFS($AK$3:$AK$98,$AK39,AG$3:AG$98,"&lt;"&amp;Z39,AH$3:AH$98,"&gt;"&amp;Y39)-(Y39&lt;Z39))</f>
        <v>0</v>
      </c>
      <c r="BF39">
        <f>BE39</f>
        <v>0</v>
      </c>
      <c r="BG39">
        <f>IF(OR($AK39="",AA39="",AB39=""),0,COUNTIFS($AK$3:$AK$98,$AK39,K$3:K$98,"&lt;"&amp;AB39,L$3:L$98,"&gt;"&amp;AA39)+COUNTIFS($AK$3:$AK$98,$AK39,M$3:M$98,"&lt;"&amp;AB39,N$3:N$98,"&gt;"&amp;AA39)+COUNTIFS($AK$3:$AK$98,$AK39,O$3:O$98,"&lt;"&amp;AB39,P$3:P$98,"&gt;"&amp;AA39)+COUNTIFS($AK$3:$AK$98,$AK39,Q$3:Q$98,"&lt;"&amp;AB39,R$3:R$98,"&gt;"&amp;AA39)+COUNTIFS($AK$3:$AK$98,$AK39,S$3:S$98,"&lt;"&amp;AB39,T$3:T$98,"&gt;"&amp;AA39)+COUNTIFS($AK$3:$AK$98,$AK39,U$3:U$98,"&lt;"&amp;AB39,V$3:V$98,"&gt;"&amp;AA39)+COUNTIFS($AK$3:$AK$98,$AK39,W$3:W$98,"&lt;"&amp;AB39,X$3:X$98,"&gt;"&amp;AA39)+COUNTIFS($AK$3:$AK$98,$AK39,Y$3:Y$98,"&lt;"&amp;AB39,Z$3:Z$98,"&gt;"&amp;AA39)+COUNTIFS($AK$3:$AK$98,$AK39,AA$3:AA$98,"&lt;"&amp;AB39,AB$3:AB$98,"&gt;"&amp;AA39)+COUNTIFS($AK$3:$AK$98,$AK39,AC$3:AC$98,"&lt;"&amp;AB39,AD$3:AD$98,"&gt;"&amp;AA39)+COUNTIFS($AK$3:$AK$98,$AK39,AE$3:AE$98,"&lt;"&amp;AB39,AF$3:AF$98,"&gt;"&amp;AA39)+COUNTIFS($AK$3:$AK$98,$AK39,AG$3:AG$98,"&lt;"&amp;AB39,AH$3:AH$98,"&gt;"&amp;AA39)-(AA39&lt;AB39))</f>
        <v>0</v>
      </c>
      <c r="BH39">
        <f>BG39</f>
        <v>0</v>
      </c>
      <c r="BI39">
        <f>IF(OR($AK39="",AC39="",AD39=""),0,COUNTIFS($AK$3:$AK$98,$AK39,K$3:K$98,"&lt;"&amp;AD39,L$3:L$98,"&gt;"&amp;AC39)+COUNTIFS($AK$3:$AK$98,$AK39,M$3:M$98,"&lt;"&amp;AD39,N$3:N$98,"&gt;"&amp;AC39)+COUNTIFS($AK$3:$AK$98,$AK39,O$3:O$98,"&lt;"&amp;AD39,P$3:P$98,"&gt;"&amp;AC39)+COUNTIFS($AK$3:$AK$98,$AK39,Q$3:Q$98,"&lt;"&amp;AD39,R$3:R$98,"&gt;"&amp;AC39)+COUNTIFS($AK$3:$AK$98,$AK39,S$3:S$98,"&lt;"&amp;AD39,T$3:T$98,"&gt;"&amp;AC39)+COUNTIFS($AK$3:$AK$98,$AK39,U$3:U$98,"&lt;"&amp;AD39,V$3:V$98,"&gt;"&amp;AC39)+COUNTIFS($AK$3:$AK$98,$AK39,W$3:W$98,"&lt;"&amp;AD39,X$3:X$98,"&gt;"&amp;AC39)+COUNTIFS($AK$3:$AK$98,$AK39,Y$3:Y$98,"&lt;"&amp;AD39,Z$3:Z$98,"&gt;"&amp;AC39)+COUNTIFS($AK$3:$AK$98,$AK39,AA$3:AA$98,"&lt;"&amp;AD39,AB$3:AB$98,"&gt;"&amp;AC39)+COUNTIFS($AK$3:$AK$98,$AK39,AC$3:AC$98,"&lt;"&amp;AD39,AD$3:AD$98,"&gt;"&amp;AC39)+COUNTIFS($AK$3:$AK$98,$AK39,AE$3:AE$98,"&lt;"&amp;AD39,AF$3:AF$98,"&gt;"&amp;AC39)+COUNTIFS($AK$3:$AK$98,$AK39,AG$3:AG$98,"&lt;"&amp;AD39,AH$3:AH$98,"&gt;"&amp;AC39)-(AC39&lt;AD39))</f>
        <v>0</v>
      </c>
      <c r="BJ39">
        <f>BI39</f>
        <v>0</v>
      </c>
      <c r="BK39">
        <f>IF(OR($AK39="",AE39="",AF39=""),0,COUNTIFS($AK$3:$AK$98,$AK39,K$3:K$98,"&lt;"&amp;AF39,L$3:L$98,"&gt;"&amp;AE39)+COUNTIFS($AK$3:$AK$98,$AK39,M$3:M$98,"&lt;"&amp;AF39,N$3:N$98,"&gt;"&amp;AE39)+COUNTIFS($AK$3:$AK$98,$AK39,O$3:O$98,"&lt;"&amp;AF39,P$3:P$98,"&gt;"&amp;AE39)+COUNTIFS($AK$3:$AK$98,$AK39,Q$3:Q$98,"&lt;"&amp;AF39,R$3:R$98,"&gt;"&amp;AE39)+COUNTIFS($AK$3:$AK$98,$AK39,S$3:S$98,"&lt;"&amp;AF39,T$3:T$98,"&gt;"&amp;AE39)+COUNTIFS($AK$3:$AK$98,$AK39,U$3:U$98,"&lt;"&amp;AF39,V$3:V$98,"&gt;"&amp;AE39)+COUNTIFS($AK$3:$AK$98,$AK39,W$3:W$98,"&lt;"&amp;AF39,X$3:X$98,"&gt;"&amp;AE39)+COUNTIFS($AK$3:$AK$98,$AK39,Y$3:Y$98,"&lt;"&amp;AF39,Z$3:Z$98,"&gt;"&amp;AE39)+COUNTIFS($AK$3:$AK$98,$AK39,AA$3:AA$98,"&lt;"&amp;AF39,AB$3:AB$98,"&gt;"&amp;AE39)+COUNTIFS($AK$3:$AK$98,$AK39,AC$3:AC$98,"&lt;"&amp;AF39,AD$3:AD$98,"&gt;"&amp;AE39)+COUNTIFS($AK$3:$AK$98,$AK39,AE$3:AE$98,"&lt;"&amp;AF39,AF$3:AF$98,"&gt;"&amp;AE39)+COUNTIFS($AK$3:$AK$98,$AK39,AG$3:AG$98,"&lt;"&amp;AF39,AH$3:AH$98,"&gt;"&amp;AE39)-(AE39&lt;AF39))</f>
        <v>0</v>
      </c>
      <c r="BL39">
        <f>BK39</f>
        <v>0</v>
      </c>
      <c r="BM39">
        <f>IF(OR($AK39="",AG39="",AH39=""),0,COUNTIFS($AK$3:$AK$98,$AK39,K$3:K$98,"&lt;"&amp;AH39,L$3:L$98,"&gt;"&amp;AG39)+COUNTIFS($AK$3:$AK$98,$AK39,M$3:M$98,"&lt;"&amp;AH39,N$3:N$98,"&gt;"&amp;AG39)+COUNTIFS($AK$3:$AK$98,$AK39,O$3:O$98,"&lt;"&amp;AH39,P$3:P$98,"&gt;"&amp;AG39)+COUNTIFS($AK$3:$AK$98,$AK39,Q$3:Q$98,"&lt;"&amp;AH39,R$3:R$98,"&gt;"&amp;AG39)+COUNTIFS($AK$3:$AK$98,$AK39,S$3:S$98,"&lt;"&amp;AH39,T$3:T$98,"&gt;"&amp;AG39)+COUNTIFS($AK$3:$AK$98,$AK39,U$3:U$98,"&lt;"&amp;AH39,V$3:V$98,"&gt;"&amp;AG39)+COUNTIFS($AK$3:$AK$98,$AK39,W$3:W$98,"&lt;"&amp;AH39,X$3:X$98,"&gt;"&amp;AG39)+COUNTIFS($AK$3:$AK$98,$AK39,Y$3:Y$98,"&lt;"&amp;AH39,Z$3:Z$98,"&gt;"&amp;AG39)+COUNTIFS($AK$3:$AK$98,$AK39,AA$3:AA$98,"&lt;"&amp;AH39,AB$3:AB$98,"&gt;"&amp;AG39)+COUNTIFS($AK$3:$AK$98,$AK39,AC$3:AC$98,"&lt;"&amp;AH39,AD$3:AD$98,"&gt;"&amp;AG39)+COUNTIFS($AK$3:$AK$98,$AK39,AE$3:AE$98,"&lt;"&amp;AH39,AF$3:AF$98,"&gt;"&amp;AG39)+COUNTIFS($AK$3:$AK$98,$AK39,AG$3:AG$98,"&lt;"&amp;AH39,AH$3:AH$98,"&gt;"&amp;AG39)-(AG39&lt;AH39))</f>
        <v>0</v>
      </c>
      <c r="BN39">
        <f>BM39</f>
        <v>0</v>
      </c>
      <c r="BO39">
        <f>IF(ISNUMBER($G39),$G39,"")</f>
        <v>1.1000000000000001</v>
      </c>
      <c r="BP39">
        <f>IF(AND($A39&lt;&gt;"",COUNT($K39:$AH39)&gt;0),ROW(),"")</f>
        <v>39</v>
      </c>
    </row>
    <row r="40" spans="1:68" ht="14.25" customHeight="1" thickBot="1" x14ac:dyDescent="0.2">
      <c r="A40" s="25" t="str">
        <f>IF($A37="","",$A37)</f>
        <v>chMobAlienA</v>
      </c>
      <c r="B40" s="26" t="str">
        <f>IF($A37="","","fac")</f>
        <v>fac</v>
      </c>
      <c r="C40" s="26"/>
      <c r="D40" s="27">
        <v>5</v>
      </c>
      <c r="E40" s="28">
        <f ca="1">IF(AND($D40="",COUNT($K40:$AH40)=0),"",IF(K40="",0,MAX(0,NETWORKDAYS(K40,IF(L40&lt;&gt;"",L40,IF($J40&lt;&gt;"",K40,$AI$1)),祝日!$A$2:$A$200)))+IF(M40="",0,MAX(0,NETWORKDAYS(M40,IF(N40&lt;&gt;"",N40,IF($J40&lt;&gt;"",M40,$AI$1)),祝日!$A$2:$A$200)))+IF(O40="",0,MAX(0,NETWORKDAYS(O40,IF(P40&lt;&gt;"",P40,IF($J40&lt;&gt;"",O40,$AI$1)),祝日!$A$2:$A$200)))+IF(Q40="",0,MAX(0,NETWORKDAYS(Q40,IF(R40&lt;&gt;"",R40,IF($J40&lt;&gt;"",Q40,$AI$1)),祝日!$A$2:$A$200)))+IF(S40="",0,MAX(0,NETWORKDAYS(S40,IF(T40&lt;&gt;"",T40,IF($J40&lt;&gt;"",S40,$AI$1)),祝日!$A$2:$A$200)))+IF(U40="",0,MAX(0,NETWORKDAYS(U40,IF(V40&lt;&gt;"",V40,IF($J40&lt;&gt;"",U40,$AI$1)),祝日!$A$2:$A$200)))+IF(W40="",0,MAX(0,NETWORKDAYS(W40,IF(X40&lt;&gt;"",X40,IF($J40&lt;&gt;"",W40,$AI$1)),祝日!$A$2:$A$200)))+IF(Y40="",0,MAX(0,NETWORKDAYS(Y40,IF(Z40&lt;&gt;"",Z40,IF($J40&lt;&gt;"",Y40,$AI$1)),祝日!$A$2:$A$200)))+IF(AA40="",0,MAX(0,NETWORKDAYS(AA40,IF(AB40&lt;&gt;"",AB40,IF($J40&lt;&gt;"",AA40,$AI$1)),祝日!$A$2:$A$200)))+IF(AC40="",0,MAX(0,NETWORKDAYS(AC40,IF(AD40&lt;&gt;"",AD40,IF($J40&lt;&gt;"",AC40,$AI$1)),祝日!$A$2:$A$200)))+IF(AE40="",0,MAX(0,NETWORKDAYS(AE40,IF(AF40&lt;&gt;"",AF40,IF($J40&lt;&gt;"",AE40,$AI$1)),祝日!$A$2:$A$200)))+IF(AG40="",0,MAX(0,NETWORKDAYS(AG40,IF(AH40&lt;&gt;"",AH40,IF($J40&lt;&gt;"",AG40,$AI$1)),祝日!$A$2:$A$200))))</f>
        <v>0</v>
      </c>
      <c r="F40" s="28">
        <f ca="1">IF($D40="","",$D40-$E40)</f>
        <v>5</v>
      </c>
      <c r="G40" s="29">
        <f ca="1">IF(OR($D40="",$D40=0),"",$E40/$D40)</f>
        <v>0</v>
      </c>
      <c r="H40" s="30" t="str">
        <f>IF($D40="","",IF($J40&lt;&gt;"","FIX",IF(AND(SUMPRODUCT((MOD(COLUMN($K40:$AH40)-COLUMN($K40),2)=0)*($K40:$AH40&lt;&gt;""))=0,SUMPRODUCT((MOD(COLUMN($K40:$AH40)-COLUMN($K40),2)=1)*($K40:$AH40&lt;&gt;""))=0),"未着手",IF(SUMPRODUCT((MOD(COLUMN($K40:$AH40)-COLUMN($K40),2)=0)*($K40:$AH40&lt;&gt;""))&gt;SUMPRODUCT((MOD(COLUMN($K40:$AH40)-COLUMN($K40),2)=1)*($K40:$AH40&lt;&gt;"")),"作業中","中断"))))</f>
        <v>作業中</v>
      </c>
      <c r="I40" s="30" t="str">
        <f>IF($H40="中断",MAX(0,$AI$1-MAX(L40,N40,P40,R40,T40,V40,X40,Z40,AB40,AD40,AF40,AH40)),"")</f>
        <v/>
      </c>
      <c r="J40" s="26"/>
      <c r="K40" s="31">
        <v>46303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K40" t="str">
        <f>IF($A37="","",IF(LOOKUP(2,1/($AJ$3:$AJ40&lt;&gt;""),$AJ$3:$AJ40)="-","",LOOKUP(2,1/($AJ$3:$AJ40&lt;&gt;""),$AJ$3:$AJ40)))</f>
        <v>CH02</v>
      </c>
      <c r="AL40" t="str">
        <f>$H40</f>
        <v>作業中</v>
      </c>
      <c r="AM40">
        <f>IF(ISNUMBER($D40),$D40,0)</f>
        <v>5</v>
      </c>
      <c r="AN40">
        <f ca="1">IF(ISNUMBER($E40),$E40,0)</f>
        <v>0</v>
      </c>
      <c r="AO40">
        <f ca="1">IF(ISNUMBER($F40),$F40,0)</f>
        <v>5</v>
      </c>
      <c r="AQ40">
        <f>IF(OR($AK40="",K40="",L40=""),0,COUNTIFS($AK$3:$AK$98,$AK40,K$3:K$98,"&lt;"&amp;L40,L$3:L$98,"&gt;"&amp;K40)+COUNTIFS($AK$3:$AK$98,$AK40,M$3:M$98,"&lt;"&amp;L40,N$3:N$98,"&gt;"&amp;K40)+COUNTIFS($AK$3:$AK$98,$AK40,O$3:O$98,"&lt;"&amp;L40,P$3:P$98,"&gt;"&amp;K40)+COUNTIFS($AK$3:$AK$98,$AK40,Q$3:Q$98,"&lt;"&amp;L40,R$3:R$98,"&gt;"&amp;K40)+COUNTIFS($AK$3:$AK$98,$AK40,S$3:S$98,"&lt;"&amp;L40,T$3:T$98,"&gt;"&amp;K40)+COUNTIFS($AK$3:$AK$98,$AK40,U$3:U$98,"&lt;"&amp;L40,V$3:V$98,"&gt;"&amp;K40)+COUNTIFS($AK$3:$AK$98,$AK40,W$3:W$98,"&lt;"&amp;L40,X$3:X$98,"&gt;"&amp;K40)+COUNTIFS($AK$3:$AK$98,$AK40,Y$3:Y$98,"&lt;"&amp;L40,Z$3:Z$98,"&gt;"&amp;K40)+COUNTIFS($AK$3:$AK$98,$AK40,AA$3:AA$98,"&lt;"&amp;L40,AB$3:AB$98,"&gt;"&amp;K40)+COUNTIFS($AK$3:$AK$98,$AK40,AC$3:AC$98,"&lt;"&amp;L40,AD$3:AD$98,"&gt;"&amp;K40)+COUNTIFS($AK$3:$AK$98,$AK40,AE$3:AE$98,"&lt;"&amp;L40,AF$3:AF$98,"&gt;"&amp;K40)+COUNTIFS($AK$3:$AK$98,$AK40,AG$3:AG$98,"&lt;"&amp;L40,AH$3:AH$98,"&gt;"&amp;K40)-(K40&lt;L40))</f>
        <v>0</v>
      </c>
      <c r="AR40">
        <f>AQ40</f>
        <v>0</v>
      </c>
      <c r="AS40">
        <f>IF(OR($AK40="",M40="",N40=""),0,COUNTIFS($AK$3:$AK$98,$AK40,K$3:K$98,"&lt;"&amp;N40,L$3:L$98,"&gt;"&amp;M40)+COUNTIFS($AK$3:$AK$98,$AK40,M$3:M$98,"&lt;"&amp;N40,N$3:N$98,"&gt;"&amp;M40)+COUNTIFS($AK$3:$AK$98,$AK40,O$3:O$98,"&lt;"&amp;N40,P$3:P$98,"&gt;"&amp;M40)+COUNTIFS($AK$3:$AK$98,$AK40,Q$3:Q$98,"&lt;"&amp;N40,R$3:R$98,"&gt;"&amp;M40)+COUNTIFS($AK$3:$AK$98,$AK40,S$3:S$98,"&lt;"&amp;N40,T$3:T$98,"&gt;"&amp;M40)+COUNTIFS($AK$3:$AK$98,$AK40,U$3:U$98,"&lt;"&amp;N40,V$3:V$98,"&gt;"&amp;M40)+COUNTIFS($AK$3:$AK$98,$AK40,W$3:W$98,"&lt;"&amp;N40,X$3:X$98,"&gt;"&amp;M40)+COUNTIFS($AK$3:$AK$98,$AK40,Y$3:Y$98,"&lt;"&amp;N40,Z$3:Z$98,"&gt;"&amp;M40)+COUNTIFS($AK$3:$AK$98,$AK40,AA$3:AA$98,"&lt;"&amp;N40,AB$3:AB$98,"&gt;"&amp;M40)+COUNTIFS($AK$3:$AK$98,$AK40,AC$3:AC$98,"&lt;"&amp;N40,AD$3:AD$98,"&gt;"&amp;M40)+COUNTIFS($AK$3:$AK$98,$AK40,AE$3:AE$98,"&lt;"&amp;N40,AF$3:AF$98,"&gt;"&amp;M40)+COUNTIFS($AK$3:$AK$98,$AK40,AG$3:AG$98,"&lt;"&amp;N40,AH$3:AH$98,"&gt;"&amp;M40)-(M40&lt;N40))</f>
        <v>0</v>
      </c>
      <c r="AT40">
        <f>AS40</f>
        <v>0</v>
      </c>
      <c r="AU40">
        <f>IF(OR($AK40="",O40="",P40=""),0,COUNTIFS($AK$3:$AK$98,$AK40,K$3:K$98,"&lt;"&amp;P40,L$3:L$98,"&gt;"&amp;O40)+COUNTIFS($AK$3:$AK$98,$AK40,M$3:M$98,"&lt;"&amp;P40,N$3:N$98,"&gt;"&amp;O40)+COUNTIFS($AK$3:$AK$98,$AK40,O$3:O$98,"&lt;"&amp;P40,P$3:P$98,"&gt;"&amp;O40)+COUNTIFS($AK$3:$AK$98,$AK40,Q$3:Q$98,"&lt;"&amp;P40,R$3:R$98,"&gt;"&amp;O40)+COUNTIFS($AK$3:$AK$98,$AK40,S$3:S$98,"&lt;"&amp;P40,T$3:T$98,"&gt;"&amp;O40)+COUNTIFS($AK$3:$AK$98,$AK40,U$3:U$98,"&lt;"&amp;P40,V$3:V$98,"&gt;"&amp;O40)+COUNTIFS($AK$3:$AK$98,$AK40,W$3:W$98,"&lt;"&amp;P40,X$3:X$98,"&gt;"&amp;O40)+COUNTIFS($AK$3:$AK$98,$AK40,Y$3:Y$98,"&lt;"&amp;P40,Z$3:Z$98,"&gt;"&amp;O40)+COUNTIFS($AK$3:$AK$98,$AK40,AA$3:AA$98,"&lt;"&amp;P40,AB$3:AB$98,"&gt;"&amp;O40)+COUNTIFS($AK$3:$AK$98,$AK40,AC$3:AC$98,"&lt;"&amp;P40,AD$3:AD$98,"&gt;"&amp;O40)+COUNTIFS($AK$3:$AK$98,$AK40,AE$3:AE$98,"&lt;"&amp;P40,AF$3:AF$98,"&gt;"&amp;O40)+COUNTIFS($AK$3:$AK$98,$AK40,AG$3:AG$98,"&lt;"&amp;P40,AH$3:AH$98,"&gt;"&amp;O40)-(O40&lt;P40))</f>
        <v>0</v>
      </c>
      <c r="AV40">
        <f>AU40</f>
        <v>0</v>
      </c>
      <c r="AW40">
        <f>IF(OR($AK40="",Q40="",R40=""),0,COUNTIFS($AK$3:$AK$98,$AK40,K$3:K$98,"&lt;"&amp;R40,L$3:L$98,"&gt;"&amp;Q40)+COUNTIFS($AK$3:$AK$98,$AK40,M$3:M$98,"&lt;"&amp;R40,N$3:N$98,"&gt;"&amp;Q40)+COUNTIFS($AK$3:$AK$98,$AK40,O$3:O$98,"&lt;"&amp;R40,P$3:P$98,"&gt;"&amp;Q40)+COUNTIFS($AK$3:$AK$98,$AK40,Q$3:Q$98,"&lt;"&amp;R40,R$3:R$98,"&gt;"&amp;Q40)+COUNTIFS($AK$3:$AK$98,$AK40,S$3:S$98,"&lt;"&amp;R40,T$3:T$98,"&gt;"&amp;Q40)+COUNTIFS($AK$3:$AK$98,$AK40,U$3:U$98,"&lt;"&amp;R40,V$3:V$98,"&gt;"&amp;Q40)+COUNTIFS($AK$3:$AK$98,$AK40,W$3:W$98,"&lt;"&amp;R40,X$3:X$98,"&gt;"&amp;Q40)+COUNTIFS($AK$3:$AK$98,$AK40,Y$3:Y$98,"&lt;"&amp;R40,Z$3:Z$98,"&gt;"&amp;Q40)+COUNTIFS($AK$3:$AK$98,$AK40,AA$3:AA$98,"&lt;"&amp;R40,AB$3:AB$98,"&gt;"&amp;Q40)+COUNTIFS($AK$3:$AK$98,$AK40,AC$3:AC$98,"&lt;"&amp;R40,AD$3:AD$98,"&gt;"&amp;Q40)+COUNTIFS($AK$3:$AK$98,$AK40,AE$3:AE$98,"&lt;"&amp;R40,AF$3:AF$98,"&gt;"&amp;Q40)+COUNTIFS($AK$3:$AK$98,$AK40,AG$3:AG$98,"&lt;"&amp;R40,AH$3:AH$98,"&gt;"&amp;Q40)-(Q40&lt;R40))</f>
        <v>0</v>
      </c>
      <c r="AX40">
        <f>AW40</f>
        <v>0</v>
      </c>
      <c r="AY40">
        <f>IF(OR($AK40="",S40="",T40=""),0,COUNTIFS($AK$3:$AK$98,$AK40,K$3:K$98,"&lt;"&amp;T40,L$3:L$98,"&gt;"&amp;S40)+COUNTIFS($AK$3:$AK$98,$AK40,M$3:M$98,"&lt;"&amp;T40,N$3:N$98,"&gt;"&amp;S40)+COUNTIFS($AK$3:$AK$98,$AK40,O$3:O$98,"&lt;"&amp;T40,P$3:P$98,"&gt;"&amp;S40)+COUNTIFS($AK$3:$AK$98,$AK40,Q$3:Q$98,"&lt;"&amp;T40,R$3:R$98,"&gt;"&amp;S40)+COUNTIFS($AK$3:$AK$98,$AK40,S$3:S$98,"&lt;"&amp;T40,T$3:T$98,"&gt;"&amp;S40)+COUNTIFS($AK$3:$AK$98,$AK40,U$3:U$98,"&lt;"&amp;T40,V$3:V$98,"&gt;"&amp;S40)+COUNTIFS($AK$3:$AK$98,$AK40,W$3:W$98,"&lt;"&amp;T40,X$3:X$98,"&gt;"&amp;S40)+COUNTIFS($AK$3:$AK$98,$AK40,Y$3:Y$98,"&lt;"&amp;T40,Z$3:Z$98,"&gt;"&amp;S40)+COUNTIFS($AK$3:$AK$98,$AK40,AA$3:AA$98,"&lt;"&amp;T40,AB$3:AB$98,"&gt;"&amp;S40)+COUNTIFS($AK$3:$AK$98,$AK40,AC$3:AC$98,"&lt;"&amp;T40,AD$3:AD$98,"&gt;"&amp;S40)+COUNTIFS($AK$3:$AK$98,$AK40,AE$3:AE$98,"&lt;"&amp;T40,AF$3:AF$98,"&gt;"&amp;S40)+COUNTIFS($AK$3:$AK$98,$AK40,AG$3:AG$98,"&lt;"&amp;T40,AH$3:AH$98,"&gt;"&amp;S40)-(S40&lt;T40))</f>
        <v>0</v>
      </c>
      <c r="AZ40">
        <f>AY40</f>
        <v>0</v>
      </c>
      <c r="BA40">
        <f>IF(OR($AK40="",U40="",V40=""),0,COUNTIFS($AK$3:$AK$98,$AK40,K$3:K$98,"&lt;"&amp;V40,L$3:L$98,"&gt;"&amp;U40)+COUNTIFS($AK$3:$AK$98,$AK40,M$3:M$98,"&lt;"&amp;V40,N$3:N$98,"&gt;"&amp;U40)+COUNTIFS($AK$3:$AK$98,$AK40,O$3:O$98,"&lt;"&amp;V40,P$3:P$98,"&gt;"&amp;U40)+COUNTIFS($AK$3:$AK$98,$AK40,Q$3:Q$98,"&lt;"&amp;V40,R$3:R$98,"&gt;"&amp;U40)+COUNTIFS($AK$3:$AK$98,$AK40,S$3:S$98,"&lt;"&amp;V40,T$3:T$98,"&gt;"&amp;U40)+COUNTIFS($AK$3:$AK$98,$AK40,U$3:U$98,"&lt;"&amp;V40,V$3:V$98,"&gt;"&amp;U40)+COUNTIFS($AK$3:$AK$98,$AK40,W$3:W$98,"&lt;"&amp;V40,X$3:X$98,"&gt;"&amp;U40)+COUNTIFS($AK$3:$AK$98,$AK40,Y$3:Y$98,"&lt;"&amp;V40,Z$3:Z$98,"&gt;"&amp;U40)+COUNTIFS($AK$3:$AK$98,$AK40,AA$3:AA$98,"&lt;"&amp;V40,AB$3:AB$98,"&gt;"&amp;U40)+COUNTIFS($AK$3:$AK$98,$AK40,AC$3:AC$98,"&lt;"&amp;V40,AD$3:AD$98,"&gt;"&amp;U40)+COUNTIFS($AK$3:$AK$98,$AK40,AE$3:AE$98,"&lt;"&amp;V40,AF$3:AF$98,"&gt;"&amp;U40)+COUNTIFS($AK$3:$AK$98,$AK40,AG$3:AG$98,"&lt;"&amp;V40,AH$3:AH$98,"&gt;"&amp;U40)-(U40&lt;V40))</f>
        <v>0</v>
      </c>
      <c r="BB40">
        <f>BA40</f>
        <v>0</v>
      </c>
      <c r="BC40">
        <f>IF(OR($AK40="",W40="",X40=""),0,COUNTIFS($AK$3:$AK$98,$AK40,K$3:K$98,"&lt;"&amp;X40,L$3:L$98,"&gt;"&amp;W40)+COUNTIFS($AK$3:$AK$98,$AK40,M$3:M$98,"&lt;"&amp;X40,N$3:N$98,"&gt;"&amp;W40)+COUNTIFS($AK$3:$AK$98,$AK40,O$3:O$98,"&lt;"&amp;X40,P$3:P$98,"&gt;"&amp;W40)+COUNTIFS($AK$3:$AK$98,$AK40,Q$3:Q$98,"&lt;"&amp;X40,R$3:R$98,"&gt;"&amp;W40)+COUNTIFS($AK$3:$AK$98,$AK40,S$3:S$98,"&lt;"&amp;X40,T$3:T$98,"&gt;"&amp;W40)+COUNTIFS($AK$3:$AK$98,$AK40,U$3:U$98,"&lt;"&amp;X40,V$3:V$98,"&gt;"&amp;W40)+COUNTIFS($AK$3:$AK$98,$AK40,W$3:W$98,"&lt;"&amp;X40,X$3:X$98,"&gt;"&amp;W40)+COUNTIFS($AK$3:$AK$98,$AK40,Y$3:Y$98,"&lt;"&amp;X40,Z$3:Z$98,"&gt;"&amp;W40)+COUNTIFS($AK$3:$AK$98,$AK40,AA$3:AA$98,"&lt;"&amp;X40,AB$3:AB$98,"&gt;"&amp;W40)+COUNTIFS($AK$3:$AK$98,$AK40,AC$3:AC$98,"&lt;"&amp;X40,AD$3:AD$98,"&gt;"&amp;W40)+COUNTIFS($AK$3:$AK$98,$AK40,AE$3:AE$98,"&lt;"&amp;X40,AF$3:AF$98,"&gt;"&amp;W40)+COUNTIFS($AK$3:$AK$98,$AK40,AG$3:AG$98,"&lt;"&amp;X40,AH$3:AH$98,"&gt;"&amp;W40)-(W40&lt;X40))</f>
        <v>0</v>
      </c>
      <c r="BD40">
        <f>BC40</f>
        <v>0</v>
      </c>
      <c r="BE40">
        <f>IF(OR($AK40="",Y40="",Z40=""),0,COUNTIFS($AK$3:$AK$98,$AK40,K$3:K$98,"&lt;"&amp;Z40,L$3:L$98,"&gt;"&amp;Y40)+COUNTIFS($AK$3:$AK$98,$AK40,M$3:M$98,"&lt;"&amp;Z40,N$3:N$98,"&gt;"&amp;Y40)+COUNTIFS($AK$3:$AK$98,$AK40,O$3:O$98,"&lt;"&amp;Z40,P$3:P$98,"&gt;"&amp;Y40)+COUNTIFS($AK$3:$AK$98,$AK40,Q$3:Q$98,"&lt;"&amp;Z40,R$3:R$98,"&gt;"&amp;Y40)+COUNTIFS($AK$3:$AK$98,$AK40,S$3:S$98,"&lt;"&amp;Z40,T$3:T$98,"&gt;"&amp;Y40)+COUNTIFS($AK$3:$AK$98,$AK40,U$3:U$98,"&lt;"&amp;Z40,V$3:V$98,"&gt;"&amp;Y40)+COUNTIFS($AK$3:$AK$98,$AK40,W$3:W$98,"&lt;"&amp;Z40,X$3:X$98,"&gt;"&amp;Y40)+COUNTIFS($AK$3:$AK$98,$AK40,Y$3:Y$98,"&lt;"&amp;Z40,Z$3:Z$98,"&gt;"&amp;Y40)+COUNTIFS($AK$3:$AK$98,$AK40,AA$3:AA$98,"&lt;"&amp;Z40,AB$3:AB$98,"&gt;"&amp;Y40)+COUNTIFS($AK$3:$AK$98,$AK40,AC$3:AC$98,"&lt;"&amp;Z40,AD$3:AD$98,"&gt;"&amp;Y40)+COUNTIFS($AK$3:$AK$98,$AK40,AE$3:AE$98,"&lt;"&amp;Z40,AF$3:AF$98,"&gt;"&amp;Y40)+COUNTIFS($AK$3:$AK$98,$AK40,AG$3:AG$98,"&lt;"&amp;Z40,AH$3:AH$98,"&gt;"&amp;Y40)-(Y40&lt;Z40))</f>
        <v>0</v>
      </c>
      <c r="BF40">
        <f>BE40</f>
        <v>0</v>
      </c>
      <c r="BG40">
        <f>IF(OR($AK40="",AA40="",AB40=""),0,COUNTIFS($AK$3:$AK$98,$AK40,K$3:K$98,"&lt;"&amp;AB40,L$3:L$98,"&gt;"&amp;AA40)+COUNTIFS($AK$3:$AK$98,$AK40,M$3:M$98,"&lt;"&amp;AB40,N$3:N$98,"&gt;"&amp;AA40)+COUNTIFS($AK$3:$AK$98,$AK40,O$3:O$98,"&lt;"&amp;AB40,P$3:P$98,"&gt;"&amp;AA40)+COUNTIFS($AK$3:$AK$98,$AK40,Q$3:Q$98,"&lt;"&amp;AB40,R$3:R$98,"&gt;"&amp;AA40)+COUNTIFS($AK$3:$AK$98,$AK40,S$3:S$98,"&lt;"&amp;AB40,T$3:T$98,"&gt;"&amp;AA40)+COUNTIFS($AK$3:$AK$98,$AK40,U$3:U$98,"&lt;"&amp;AB40,V$3:V$98,"&gt;"&amp;AA40)+COUNTIFS($AK$3:$AK$98,$AK40,W$3:W$98,"&lt;"&amp;AB40,X$3:X$98,"&gt;"&amp;AA40)+COUNTIFS($AK$3:$AK$98,$AK40,Y$3:Y$98,"&lt;"&amp;AB40,Z$3:Z$98,"&gt;"&amp;AA40)+COUNTIFS($AK$3:$AK$98,$AK40,AA$3:AA$98,"&lt;"&amp;AB40,AB$3:AB$98,"&gt;"&amp;AA40)+COUNTIFS($AK$3:$AK$98,$AK40,AC$3:AC$98,"&lt;"&amp;AB40,AD$3:AD$98,"&gt;"&amp;AA40)+COUNTIFS($AK$3:$AK$98,$AK40,AE$3:AE$98,"&lt;"&amp;AB40,AF$3:AF$98,"&gt;"&amp;AA40)+COUNTIFS($AK$3:$AK$98,$AK40,AG$3:AG$98,"&lt;"&amp;AB40,AH$3:AH$98,"&gt;"&amp;AA40)-(AA40&lt;AB40))</f>
        <v>0</v>
      </c>
      <c r="BH40">
        <f>BG40</f>
        <v>0</v>
      </c>
      <c r="BI40">
        <f>IF(OR($AK40="",AC40="",AD40=""),0,COUNTIFS($AK$3:$AK$98,$AK40,K$3:K$98,"&lt;"&amp;AD40,L$3:L$98,"&gt;"&amp;AC40)+COUNTIFS($AK$3:$AK$98,$AK40,M$3:M$98,"&lt;"&amp;AD40,N$3:N$98,"&gt;"&amp;AC40)+COUNTIFS($AK$3:$AK$98,$AK40,O$3:O$98,"&lt;"&amp;AD40,P$3:P$98,"&gt;"&amp;AC40)+COUNTIFS($AK$3:$AK$98,$AK40,Q$3:Q$98,"&lt;"&amp;AD40,R$3:R$98,"&gt;"&amp;AC40)+COUNTIFS($AK$3:$AK$98,$AK40,S$3:S$98,"&lt;"&amp;AD40,T$3:T$98,"&gt;"&amp;AC40)+COUNTIFS($AK$3:$AK$98,$AK40,U$3:U$98,"&lt;"&amp;AD40,V$3:V$98,"&gt;"&amp;AC40)+COUNTIFS($AK$3:$AK$98,$AK40,W$3:W$98,"&lt;"&amp;AD40,X$3:X$98,"&gt;"&amp;AC40)+COUNTIFS($AK$3:$AK$98,$AK40,Y$3:Y$98,"&lt;"&amp;AD40,Z$3:Z$98,"&gt;"&amp;AC40)+COUNTIFS($AK$3:$AK$98,$AK40,AA$3:AA$98,"&lt;"&amp;AD40,AB$3:AB$98,"&gt;"&amp;AC40)+COUNTIFS($AK$3:$AK$98,$AK40,AC$3:AC$98,"&lt;"&amp;AD40,AD$3:AD$98,"&gt;"&amp;AC40)+COUNTIFS($AK$3:$AK$98,$AK40,AE$3:AE$98,"&lt;"&amp;AD40,AF$3:AF$98,"&gt;"&amp;AC40)+COUNTIFS($AK$3:$AK$98,$AK40,AG$3:AG$98,"&lt;"&amp;AD40,AH$3:AH$98,"&gt;"&amp;AC40)-(AC40&lt;AD40))</f>
        <v>0</v>
      </c>
      <c r="BJ40">
        <f>BI40</f>
        <v>0</v>
      </c>
      <c r="BK40">
        <f>IF(OR($AK40="",AE40="",AF40=""),0,COUNTIFS($AK$3:$AK$98,$AK40,K$3:K$98,"&lt;"&amp;AF40,L$3:L$98,"&gt;"&amp;AE40)+COUNTIFS($AK$3:$AK$98,$AK40,M$3:M$98,"&lt;"&amp;AF40,N$3:N$98,"&gt;"&amp;AE40)+COUNTIFS($AK$3:$AK$98,$AK40,O$3:O$98,"&lt;"&amp;AF40,P$3:P$98,"&gt;"&amp;AE40)+COUNTIFS($AK$3:$AK$98,$AK40,Q$3:Q$98,"&lt;"&amp;AF40,R$3:R$98,"&gt;"&amp;AE40)+COUNTIFS($AK$3:$AK$98,$AK40,S$3:S$98,"&lt;"&amp;AF40,T$3:T$98,"&gt;"&amp;AE40)+COUNTIFS($AK$3:$AK$98,$AK40,U$3:U$98,"&lt;"&amp;AF40,V$3:V$98,"&gt;"&amp;AE40)+COUNTIFS($AK$3:$AK$98,$AK40,W$3:W$98,"&lt;"&amp;AF40,X$3:X$98,"&gt;"&amp;AE40)+COUNTIFS($AK$3:$AK$98,$AK40,Y$3:Y$98,"&lt;"&amp;AF40,Z$3:Z$98,"&gt;"&amp;AE40)+COUNTIFS($AK$3:$AK$98,$AK40,AA$3:AA$98,"&lt;"&amp;AF40,AB$3:AB$98,"&gt;"&amp;AE40)+COUNTIFS($AK$3:$AK$98,$AK40,AC$3:AC$98,"&lt;"&amp;AF40,AD$3:AD$98,"&gt;"&amp;AE40)+COUNTIFS($AK$3:$AK$98,$AK40,AE$3:AE$98,"&lt;"&amp;AF40,AF$3:AF$98,"&gt;"&amp;AE40)+COUNTIFS($AK$3:$AK$98,$AK40,AG$3:AG$98,"&lt;"&amp;AF40,AH$3:AH$98,"&gt;"&amp;AE40)-(AE40&lt;AF40))</f>
        <v>0</v>
      </c>
      <c r="BL40">
        <f>BK40</f>
        <v>0</v>
      </c>
      <c r="BM40">
        <f>IF(OR($AK40="",AG40="",AH40=""),0,COUNTIFS($AK$3:$AK$98,$AK40,K$3:K$98,"&lt;"&amp;AH40,L$3:L$98,"&gt;"&amp;AG40)+COUNTIFS($AK$3:$AK$98,$AK40,M$3:M$98,"&lt;"&amp;AH40,N$3:N$98,"&gt;"&amp;AG40)+COUNTIFS($AK$3:$AK$98,$AK40,O$3:O$98,"&lt;"&amp;AH40,P$3:P$98,"&gt;"&amp;AG40)+COUNTIFS($AK$3:$AK$98,$AK40,Q$3:Q$98,"&lt;"&amp;AH40,R$3:R$98,"&gt;"&amp;AG40)+COUNTIFS($AK$3:$AK$98,$AK40,S$3:S$98,"&lt;"&amp;AH40,T$3:T$98,"&gt;"&amp;AG40)+COUNTIFS($AK$3:$AK$98,$AK40,U$3:U$98,"&lt;"&amp;AH40,V$3:V$98,"&gt;"&amp;AG40)+COUNTIFS($AK$3:$AK$98,$AK40,W$3:W$98,"&lt;"&amp;AH40,X$3:X$98,"&gt;"&amp;AG40)+COUNTIFS($AK$3:$AK$98,$AK40,Y$3:Y$98,"&lt;"&amp;AH40,Z$3:Z$98,"&gt;"&amp;AG40)+COUNTIFS($AK$3:$AK$98,$AK40,AA$3:AA$98,"&lt;"&amp;AH40,AB$3:AB$98,"&gt;"&amp;AG40)+COUNTIFS($AK$3:$AK$98,$AK40,AC$3:AC$98,"&lt;"&amp;AH40,AD$3:AD$98,"&gt;"&amp;AG40)+COUNTIFS($AK$3:$AK$98,$AK40,AE$3:AE$98,"&lt;"&amp;AH40,AF$3:AF$98,"&gt;"&amp;AG40)+COUNTIFS($AK$3:$AK$98,$AK40,AG$3:AG$98,"&lt;"&amp;AH40,AH$3:AH$98,"&gt;"&amp;AG40)-(AG40&lt;AH40))</f>
        <v>0</v>
      </c>
      <c r="BN40">
        <f>BM40</f>
        <v>0</v>
      </c>
      <c r="BO40">
        <f ca="1">IF(ISNUMBER($G40),$G40,"")</f>
        <v>0</v>
      </c>
      <c r="BP40">
        <f>IF(AND($A40&lt;&gt;"",COUNT($K40:$AH40)&gt;0),ROW(),"")</f>
        <v>40</v>
      </c>
    </row>
    <row r="41" spans="1:68" x14ac:dyDescent="0.15">
      <c r="A41" s="13" t="s">
        <v>43</v>
      </c>
      <c r="B41" s="14" t="str">
        <f>IF($A41="","","total")</f>
        <v>total</v>
      </c>
      <c r="C41" s="14"/>
      <c r="D41" s="15">
        <f>IF($A41="","",SUM(D42:D44))</f>
        <v>22</v>
      </c>
      <c r="E41" s="15">
        <f>IF($A41="","",SUM(E42:E44))</f>
        <v>22</v>
      </c>
      <c r="F41" s="15">
        <f>IF($A41="","",D41-E41)</f>
        <v>0</v>
      </c>
      <c r="G41" s="16">
        <f>IF($A41="","",IFERROR(AVERAGEIFS(G42:G44,H42:H44,"&lt;&gt;未着手",H42:H44,"&lt;&gt;作業中"),""))</f>
        <v>1</v>
      </c>
      <c r="H41" s="14"/>
      <c r="I41" s="14"/>
      <c r="J41" s="14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</row>
    <row r="42" spans="1:68" x14ac:dyDescent="0.15">
      <c r="A42" s="18" t="str">
        <f>IF($A41="","",$A41)</f>
        <v>chMobSaiyanA</v>
      </c>
      <c r="B42" s="19" t="str">
        <f>IF($A41="","","low")</f>
        <v>low</v>
      </c>
      <c r="C42" s="19"/>
      <c r="D42" s="20">
        <v>10</v>
      </c>
      <c r="E42" s="21">
        <f>IF(AND($D42="",COUNT($K42:$AH42)=0),"",IF(K42="",0,MAX(0,NETWORKDAYS(K42,IF(L42&lt;&gt;"",L42,IF($J42&lt;&gt;"",K42,$AI$1)),祝日!$A$2:$A$200)))+IF(M42="",0,MAX(0,NETWORKDAYS(M42,IF(N42&lt;&gt;"",N42,IF($J42&lt;&gt;"",M42,$AI$1)),祝日!$A$2:$A$200)))+IF(O42="",0,MAX(0,NETWORKDAYS(O42,IF(P42&lt;&gt;"",P42,IF($J42&lt;&gt;"",O42,$AI$1)),祝日!$A$2:$A$200)))+IF(Q42="",0,MAX(0,NETWORKDAYS(Q42,IF(R42&lt;&gt;"",R42,IF($J42&lt;&gt;"",Q42,$AI$1)),祝日!$A$2:$A$200)))+IF(S42="",0,MAX(0,NETWORKDAYS(S42,IF(T42&lt;&gt;"",T42,IF($J42&lt;&gt;"",S42,$AI$1)),祝日!$A$2:$A$200)))+IF(U42="",0,MAX(0,NETWORKDAYS(U42,IF(V42&lt;&gt;"",V42,IF($J42&lt;&gt;"",U42,$AI$1)),祝日!$A$2:$A$200)))+IF(W42="",0,MAX(0,NETWORKDAYS(W42,IF(X42&lt;&gt;"",X42,IF($J42&lt;&gt;"",W42,$AI$1)),祝日!$A$2:$A$200)))+IF(Y42="",0,MAX(0,NETWORKDAYS(Y42,IF(Z42&lt;&gt;"",Z42,IF($J42&lt;&gt;"",Y42,$AI$1)),祝日!$A$2:$A$200)))+IF(AA42="",0,MAX(0,NETWORKDAYS(AA42,IF(AB42&lt;&gt;"",AB42,IF($J42&lt;&gt;"",AA42,$AI$1)),祝日!$A$2:$A$200)))+IF(AC42="",0,MAX(0,NETWORKDAYS(AC42,IF(AD42&lt;&gt;"",AD42,IF($J42&lt;&gt;"",AC42,$AI$1)),祝日!$A$2:$A$200)))+IF(AE42="",0,MAX(0,NETWORKDAYS(AE42,IF(AF42&lt;&gt;"",AF42,IF($J42&lt;&gt;"",AE42,$AI$1)),祝日!$A$2:$A$200)))+IF(AG42="",0,MAX(0,NETWORKDAYS(AG42,IF(AH42&lt;&gt;"",AH42,IF($J42&lt;&gt;"",AG42,$AI$1)),祝日!$A$2:$A$200))))</f>
        <v>10</v>
      </c>
      <c r="F42" s="21">
        <f>IF($D42="","",$D42-$E42)</f>
        <v>0</v>
      </c>
      <c r="G42" s="22">
        <f>IF(OR($D42="",$D42=0),"",$E42/$D42)</f>
        <v>1</v>
      </c>
      <c r="H42" s="23" t="str">
        <f>IF($D42="","",IF($J42&lt;&gt;"","FIX",IF(AND(SUMPRODUCT((MOD(COLUMN($K42:$AH42)-COLUMN($K42),2)=0)*($K42:$AH42&lt;&gt;""))=0,SUMPRODUCT((MOD(COLUMN($K42:$AH42)-COLUMN($K42),2)=1)*($K42:$AH42&lt;&gt;""))=0),"未着手",IF(SUMPRODUCT((MOD(COLUMN($K42:$AH42)-COLUMN($K42),2)=0)*($K42:$AH42&lt;&gt;""))&gt;SUMPRODUCT((MOD(COLUMN($K42:$AH42)-COLUMN($K42),2)=1)*($K42:$AH42&lt;&gt;"")),"作業中","中断"))))</f>
        <v>FIX</v>
      </c>
      <c r="I42" s="23" t="str">
        <f>IF($H42="中断",MAX(0,$AI$1-MAX(L42,N42,P42,R42,T42,V42,X42,Z42,AB42,AD42,AF42,AH42)),"")</f>
        <v/>
      </c>
      <c r="J42" s="19" t="s">
        <v>37</v>
      </c>
      <c r="K42" s="24">
        <v>46204</v>
      </c>
      <c r="L42" s="24">
        <v>46217</v>
      </c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K42" t="str">
        <f>IF($A41="","",IF(LOOKUP(2,1/($AJ$3:$AJ42&lt;&gt;""),$AJ$3:$AJ42)="-","",LOOKUP(2,1/($AJ$3:$AJ42&lt;&gt;""),$AJ$3:$AJ42)))</f>
        <v>CH02</v>
      </c>
      <c r="AL42" t="str">
        <f>$H42</f>
        <v>FIX</v>
      </c>
      <c r="AM42">
        <f>IF(ISNUMBER($D42),$D42,0)</f>
        <v>10</v>
      </c>
      <c r="AN42">
        <f>IF(ISNUMBER($E42),$E42,0)</f>
        <v>10</v>
      </c>
      <c r="AO42">
        <f>IF(ISNUMBER($F42),$F42,0)</f>
        <v>0</v>
      </c>
      <c r="AQ42">
        <f>IF(OR($AK42="",K42="",L42=""),0,COUNTIFS($AK$3:$AK$98,$AK42,K$3:K$98,"&lt;"&amp;L42,L$3:L$98,"&gt;"&amp;K42)+COUNTIFS($AK$3:$AK$98,$AK42,M$3:M$98,"&lt;"&amp;L42,N$3:N$98,"&gt;"&amp;K42)+COUNTIFS($AK$3:$AK$98,$AK42,O$3:O$98,"&lt;"&amp;L42,P$3:P$98,"&gt;"&amp;K42)+COUNTIFS($AK$3:$AK$98,$AK42,Q$3:Q$98,"&lt;"&amp;L42,R$3:R$98,"&gt;"&amp;K42)+COUNTIFS($AK$3:$AK$98,$AK42,S$3:S$98,"&lt;"&amp;L42,T$3:T$98,"&gt;"&amp;K42)+COUNTIFS($AK$3:$AK$98,$AK42,U$3:U$98,"&lt;"&amp;L42,V$3:V$98,"&gt;"&amp;K42)+COUNTIFS($AK$3:$AK$98,$AK42,W$3:W$98,"&lt;"&amp;L42,X$3:X$98,"&gt;"&amp;K42)+COUNTIFS($AK$3:$AK$98,$AK42,Y$3:Y$98,"&lt;"&amp;L42,Z$3:Z$98,"&gt;"&amp;K42)+COUNTIFS($AK$3:$AK$98,$AK42,AA$3:AA$98,"&lt;"&amp;L42,AB$3:AB$98,"&gt;"&amp;K42)+COUNTIFS($AK$3:$AK$98,$AK42,AC$3:AC$98,"&lt;"&amp;L42,AD$3:AD$98,"&gt;"&amp;K42)+COUNTIFS($AK$3:$AK$98,$AK42,AE$3:AE$98,"&lt;"&amp;L42,AF$3:AF$98,"&gt;"&amp;K42)+COUNTIFS($AK$3:$AK$98,$AK42,AG$3:AG$98,"&lt;"&amp;L42,AH$3:AH$98,"&gt;"&amp;K42)-(K42&lt;L42))</f>
        <v>0</v>
      </c>
      <c r="AR42">
        <f>AQ42</f>
        <v>0</v>
      </c>
      <c r="AS42">
        <f>IF(OR($AK42="",M42="",N42=""),0,COUNTIFS($AK$3:$AK$98,$AK42,K$3:K$98,"&lt;"&amp;N42,L$3:L$98,"&gt;"&amp;M42)+COUNTIFS($AK$3:$AK$98,$AK42,M$3:M$98,"&lt;"&amp;N42,N$3:N$98,"&gt;"&amp;M42)+COUNTIFS($AK$3:$AK$98,$AK42,O$3:O$98,"&lt;"&amp;N42,P$3:P$98,"&gt;"&amp;M42)+COUNTIFS($AK$3:$AK$98,$AK42,Q$3:Q$98,"&lt;"&amp;N42,R$3:R$98,"&gt;"&amp;M42)+COUNTIFS($AK$3:$AK$98,$AK42,S$3:S$98,"&lt;"&amp;N42,T$3:T$98,"&gt;"&amp;M42)+COUNTIFS($AK$3:$AK$98,$AK42,U$3:U$98,"&lt;"&amp;N42,V$3:V$98,"&gt;"&amp;M42)+COUNTIFS($AK$3:$AK$98,$AK42,W$3:W$98,"&lt;"&amp;N42,X$3:X$98,"&gt;"&amp;M42)+COUNTIFS($AK$3:$AK$98,$AK42,Y$3:Y$98,"&lt;"&amp;N42,Z$3:Z$98,"&gt;"&amp;M42)+COUNTIFS($AK$3:$AK$98,$AK42,AA$3:AA$98,"&lt;"&amp;N42,AB$3:AB$98,"&gt;"&amp;M42)+COUNTIFS($AK$3:$AK$98,$AK42,AC$3:AC$98,"&lt;"&amp;N42,AD$3:AD$98,"&gt;"&amp;M42)+COUNTIFS($AK$3:$AK$98,$AK42,AE$3:AE$98,"&lt;"&amp;N42,AF$3:AF$98,"&gt;"&amp;M42)+COUNTIFS($AK$3:$AK$98,$AK42,AG$3:AG$98,"&lt;"&amp;N42,AH$3:AH$98,"&gt;"&amp;M42)-(M42&lt;N42))</f>
        <v>0</v>
      </c>
      <c r="AT42">
        <f>AS42</f>
        <v>0</v>
      </c>
      <c r="AU42">
        <f>IF(OR($AK42="",O42="",P42=""),0,COUNTIFS($AK$3:$AK$98,$AK42,K$3:K$98,"&lt;"&amp;P42,L$3:L$98,"&gt;"&amp;O42)+COUNTIFS($AK$3:$AK$98,$AK42,M$3:M$98,"&lt;"&amp;P42,N$3:N$98,"&gt;"&amp;O42)+COUNTIFS($AK$3:$AK$98,$AK42,O$3:O$98,"&lt;"&amp;P42,P$3:P$98,"&gt;"&amp;O42)+COUNTIFS($AK$3:$AK$98,$AK42,Q$3:Q$98,"&lt;"&amp;P42,R$3:R$98,"&gt;"&amp;O42)+COUNTIFS($AK$3:$AK$98,$AK42,S$3:S$98,"&lt;"&amp;P42,T$3:T$98,"&gt;"&amp;O42)+COUNTIFS($AK$3:$AK$98,$AK42,U$3:U$98,"&lt;"&amp;P42,V$3:V$98,"&gt;"&amp;O42)+COUNTIFS($AK$3:$AK$98,$AK42,W$3:W$98,"&lt;"&amp;P42,X$3:X$98,"&gt;"&amp;O42)+COUNTIFS($AK$3:$AK$98,$AK42,Y$3:Y$98,"&lt;"&amp;P42,Z$3:Z$98,"&gt;"&amp;O42)+COUNTIFS($AK$3:$AK$98,$AK42,AA$3:AA$98,"&lt;"&amp;P42,AB$3:AB$98,"&gt;"&amp;O42)+COUNTIFS($AK$3:$AK$98,$AK42,AC$3:AC$98,"&lt;"&amp;P42,AD$3:AD$98,"&gt;"&amp;O42)+COUNTIFS($AK$3:$AK$98,$AK42,AE$3:AE$98,"&lt;"&amp;P42,AF$3:AF$98,"&gt;"&amp;O42)+COUNTIFS($AK$3:$AK$98,$AK42,AG$3:AG$98,"&lt;"&amp;P42,AH$3:AH$98,"&gt;"&amp;O42)-(O42&lt;P42))</f>
        <v>0</v>
      </c>
      <c r="AV42">
        <f>AU42</f>
        <v>0</v>
      </c>
      <c r="AW42">
        <f>IF(OR($AK42="",Q42="",R42=""),0,COUNTIFS($AK$3:$AK$98,$AK42,K$3:K$98,"&lt;"&amp;R42,L$3:L$98,"&gt;"&amp;Q42)+COUNTIFS($AK$3:$AK$98,$AK42,M$3:M$98,"&lt;"&amp;R42,N$3:N$98,"&gt;"&amp;Q42)+COUNTIFS($AK$3:$AK$98,$AK42,O$3:O$98,"&lt;"&amp;R42,P$3:P$98,"&gt;"&amp;Q42)+COUNTIFS($AK$3:$AK$98,$AK42,Q$3:Q$98,"&lt;"&amp;R42,R$3:R$98,"&gt;"&amp;Q42)+COUNTIFS($AK$3:$AK$98,$AK42,S$3:S$98,"&lt;"&amp;R42,T$3:T$98,"&gt;"&amp;Q42)+COUNTIFS($AK$3:$AK$98,$AK42,U$3:U$98,"&lt;"&amp;R42,V$3:V$98,"&gt;"&amp;Q42)+COUNTIFS($AK$3:$AK$98,$AK42,W$3:W$98,"&lt;"&amp;R42,X$3:X$98,"&gt;"&amp;Q42)+COUNTIFS($AK$3:$AK$98,$AK42,Y$3:Y$98,"&lt;"&amp;R42,Z$3:Z$98,"&gt;"&amp;Q42)+COUNTIFS($AK$3:$AK$98,$AK42,AA$3:AA$98,"&lt;"&amp;R42,AB$3:AB$98,"&gt;"&amp;Q42)+COUNTIFS($AK$3:$AK$98,$AK42,AC$3:AC$98,"&lt;"&amp;R42,AD$3:AD$98,"&gt;"&amp;Q42)+COUNTIFS($AK$3:$AK$98,$AK42,AE$3:AE$98,"&lt;"&amp;R42,AF$3:AF$98,"&gt;"&amp;Q42)+COUNTIFS($AK$3:$AK$98,$AK42,AG$3:AG$98,"&lt;"&amp;R42,AH$3:AH$98,"&gt;"&amp;Q42)-(Q42&lt;R42))</f>
        <v>0</v>
      </c>
      <c r="AX42">
        <f>AW42</f>
        <v>0</v>
      </c>
      <c r="AY42">
        <f>IF(OR($AK42="",S42="",T42=""),0,COUNTIFS($AK$3:$AK$98,$AK42,K$3:K$98,"&lt;"&amp;T42,L$3:L$98,"&gt;"&amp;S42)+COUNTIFS($AK$3:$AK$98,$AK42,M$3:M$98,"&lt;"&amp;T42,N$3:N$98,"&gt;"&amp;S42)+COUNTIFS($AK$3:$AK$98,$AK42,O$3:O$98,"&lt;"&amp;T42,P$3:P$98,"&gt;"&amp;S42)+COUNTIFS($AK$3:$AK$98,$AK42,Q$3:Q$98,"&lt;"&amp;T42,R$3:R$98,"&gt;"&amp;S42)+COUNTIFS($AK$3:$AK$98,$AK42,S$3:S$98,"&lt;"&amp;T42,T$3:T$98,"&gt;"&amp;S42)+COUNTIFS($AK$3:$AK$98,$AK42,U$3:U$98,"&lt;"&amp;T42,V$3:V$98,"&gt;"&amp;S42)+COUNTIFS($AK$3:$AK$98,$AK42,W$3:W$98,"&lt;"&amp;T42,X$3:X$98,"&gt;"&amp;S42)+COUNTIFS($AK$3:$AK$98,$AK42,Y$3:Y$98,"&lt;"&amp;T42,Z$3:Z$98,"&gt;"&amp;S42)+COUNTIFS($AK$3:$AK$98,$AK42,AA$3:AA$98,"&lt;"&amp;T42,AB$3:AB$98,"&gt;"&amp;S42)+COUNTIFS($AK$3:$AK$98,$AK42,AC$3:AC$98,"&lt;"&amp;T42,AD$3:AD$98,"&gt;"&amp;S42)+COUNTIFS($AK$3:$AK$98,$AK42,AE$3:AE$98,"&lt;"&amp;T42,AF$3:AF$98,"&gt;"&amp;S42)+COUNTIFS($AK$3:$AK$98,$AK42,AG$3:AG$98,"&lt;"&amp;T42,AH$3:AH$98,"&gt;"&amp;S42)-(S42&lt;T42))</f>
        <v>0</v>
      </c>
      <c r="AZ42">
        <f>AY42</f>
        <v>0</v>
      </c>
      <c r="BA42">
        <f>IF(OR($AK42="",U42="",V42=""),0,COUNTIFS($AK$3:$AK$98,$AK42,K$3:K$98,"&lt;"&amp;V42,L$3:L$98,"&gt;"&amp;U42)+COUNTIFS($AK$3:$AK$98,$AK42,M$3:M$98,"&lt;"&amp;V42,N$3:N$98,"&gt;"&amp;U42)+COUNTIFS($AK$3:$AK$98,$AK42,O$3:O$98,"&lt;"&amp;V42,P$3:P$98,"&gt;"&amp;U42)+COUNTIFS($AK$3:$AK$98,$AK42,Q$3:Q$98,"&lt;"&amp;V42,R$3:R$98,"&gt;"&amp;U42)+COUNTIFS($AK$3:$AK$98,$AK42,S$3:S$98,"&lt;"&amp;V42,T$3:T$98,"&gt;"&amp;U42)+COUNTIFS($AK$3:$AK$98,$AK42,U$3:U$98,"&lt;"&amp;V42,V$3:V$98,"&gt;"&amp;U42)+COUNTIFS($AK$3:$AK$98,$AK42,W$3:W$98,"&lt;"&amp;V42,X$3:X$98,"&gt;"&amp;U42)+COUNTIFS($AK$3:$AK$98,$AK42,Y$3:Y$98,"&lt;"&amp;V42,Z$3:Z$98,"&gt;"&amp;U42)+COUNTIFS($AK$3:$AK$98,$AK42,AA$3:AA$98,"&lt;"&amp;V42,AB$3:AB$98,"&gt;"&amp;U42)+COUNTIFS($AK$3:$AK$98,$AK42,AC$3:AC$98,"&lt;"&amp;V42,AD$3:AD$98,"&gt;"&amp;U42)+COUNTIFS($AK$3:$AK$98,$AK42,AE$3:AE$98,"&lt;"&amp;V42,AF$3:AF$98,"&gt;"&amp;U42)+COUNTIFS($AK$3:$AK$98,$AK42,AG$3:AG$98,"&lt;"&amp;V42,AH$3:AH$98,"&gt;"&amp;U42)-(U42&lt;V42))</f>
        <v>0</v>
      </c>
      <c r="BB42">
        <f>BA42</f>
        <v>0</v>
      </c>
      <c r="BC42">
        <f>IF(OR($AK42="",W42="",X42=""),0,COUNTIFS($AK$3:$AK$98,$AK42,K$3:K$98,"&lt;"&amp;X42,L$3:L$98,"&gt;"&amp;W42)+COUNTIFS($AK$3:$AK$98,$AK42,M$3:M$98,"&lt;"&amp;X42,N$3:N$98,"&gt;"&amp;W42)+COUNTIFS($AK$3:$AK$98,$AK42,O$3:O$98,"&lt;"&amp;X42,P$3:P$98,"&gt;"&amp;W42)+COUNTIFS($AK$3:$AK$98,$AK42,Q$3:Q$98,"&lt;"&amp;X42,R$3:R$98,"&gt;"&amp;W42)+COUNTIFS($AK$3:$AK$98,$AK42,S$3:S$98,"&lt;"&amp;X42,T$3:T$98,"&gt;"&amp;W42)+COUNTIFS($AK$3:$AK$98,$AK42,U$3:U$98,"&lt;"&amp;X42,V$3:V$98,"&gt;"&amp;W42)+COUNTIFS($AK$3:$AK$98,$AK42,W$3:W$98,"&lt;"&amp;X42,X$3:X$98,"&gt;"&amp;W42)+COUNTIFS($AK$3:$AK$98,$AK42,Y$3:Y$98,"&lt;"&amp;X42,Z$3:Z$98,"&gt;"&amp;W42)+COUNTIFS($AK$3:$AK$98,$AK42,AA$3:AA$98,"&lt;"&amp;X42,AB$3:AB$98,"&gt;"&amp;W42)+COUNTIFS($AK$3:$AK$98,$AK42,AC$3:AC$98,"&lt;"&amp;X42,AD$3:AD$98,"&gt;"&amp;W42)+COUNTIFS($AK$3:$AK$98,$AK42,AE$3:AE$98,"&lt;"&amp;X42,AF$3:AF$98,"&gt;"&amp;W42)+COUNTIFS($AK$3:$AK$98,$AK42,AG$3:AG$98,"&lt;"&amp;X42,AH$3:AH$98,"&gt;"&amp;W42)-(W42&lt;X42))</f>
        <v>0</v>
      </c>
      <c r="BD42">
        <f>BC42</f>
        <v>0</v>
      </c>
      <c r="BE42">
        <f>IF(OR($AK42="",Y42="",Z42=""),0,COUNTIFS($AK$3:$AK$98,$AK42,K$3:K$98,"&lt;"&amp;Z42,L$3:L$98,"&gt;"&amp;Y42)+COUNTIFS($AK$3:$AK$98,$AK42,M$3:M$98,"&lt;"&amp;Z42,N$3:N$98,"&gt;"&amp;Y42)+COUNTIFS($AK$3:$AK$98,$AK42,O$3:O$98,"&lt;"&amp;Z42,P$3:P$98,"&gt;"&amp;Y42)+COUNTIFS($AK$3:$AK$98,$AK42,Q$3:Q$98,"&lt;"&amp;Z42,R$3:R$98,"&gt;"&amp;Y42)+COUNTIFS($AK$3:$AK$98,$AK42,S$3:S$98,"&lt;"&amp;Z42,T$3:T$98,"&gt;"&amp;Y42)+COUNTIFS($AK$3:$AK$98,$AK42,U$3:U$98,"&lt;"&amp;Z42,V$3:V$98,"&gt;"&amp;Y42)+COUNTIFS($AK$3:$AK$98,$AK42,W$3:W$98,"&lt;"&amp;Z42,X$3:X$98,"&gt;"&amp;Y42)+COUNTIFS($AK$3:$AK$98,$AK42,Y$3:Y$98,"&lt;"&amp;Z42,Z$3:Z$98,"&gt;"&amp;Y42)+COUNTIFS($AK$3:$AK$98,$AK42,AA$3:AA$98,"&lt;"&amp;Z42,AB$3:AB$98,"&gt;"&amp;Y42)+COUNTIFS($AK$3:$AK$98,$AK42,AC$3:AC$98,"&lt;"&amp;Z42,AD$3:AD$98,"&gt;"&amp;Y42)+COUNTIFS($AK$3:$AK$98,$AK42,AE$3:AE$98,"&lt;"&amp;Z42,AF$3:AF$98,"&gt;"&amp;Y42)+COUNTIFS($AK$3:$AK$98,$AK42,AG$3:AG$98,"&lt;"&amp;Z42,AH$3:AH$98,"&gt;"&amp;Y42)-(Y42&lt;Z42))</f>
        <v>0</v>
      </c>
      <c r="BF42">
        <f>BE42</f>
        <v>0</v>
      </c>
      <c r="BG42">
        <f>IF(OR($AK42="",AA42="",AB42=""),0,COUNTIFS($AK$3:$AK$98,$AK42,K$3:K$98,"&lt;"&amp;AB42,L$3:L$98,"&gt;"&amp;AA42)+COUNTIFS($AK$3:$AK$98,$AK42,M$3:M$98,"&lt;"&amp;AB42,N$3:N$98,"&gt;"&amp;AA42)+COUNTIFS($AK$3:$AK$98,$AK42,O$3:O$98,"&lt;"&amp;AB42,P$3:P$98,"&gt;"&amp;AA42)+COUNTIFS($AK$3:$AK$98,$AK42,Q$3:Q$98,"&lt;"&amp;AB42,R$3:R$98,"&gt;"&amp;AA42)+COUNTIFS($AK$3:$AK$98,$AK42,S$3:S$98,"&lt;"&amp;AB42,T$3:T$98,"&gt;"&amp;AA42)+COUNTIFS($AK$3:$AK$98,$AK42,U$3:U$98,"&lt;"&amp;AB42,V$3:V$98,"&gt;"&amp;AA42)+COUNTIFS($AK$3:$AK$98,$AK42,W$3:W$98,"&lt;"&amp;AB42,X$3:X$98,"&gt;"&amp;AA42)+COUNTIFS($AK$3:$AK$98,$AK42,Y$3:Y$98,"&lt;"&amp;AB42,Z$3:Z$98,"&gt;"&amp;AA42)+COUNTIFS($AK$3:$AK$98,$AK42,AA$3:AA$98,"&lt;"&amp;AB42,AB$3:AB$98,"&gt;"&amp;AA42)+COUNTIFS($AK$3:$AK$98,$AK42,AC$3:AC$98,"&lt;"&amp;AB42,AD$3:AD$98,"&gt;"&amp;AA42)+COUNTIFS($AK$3:$AK$98,$AK42,AE$3:AE$98,"&lt;"&amp;AB42,AF$3:AF$98,"&gt;"&amp;AA42)+COUNTIFS($AK$3:$AK$98,$AK42,AG$3:AG$98,"&lt;"&amp;AB42,AH$3:AH$98,"&gt;"&amp;AA42)-(AA42&lt;AB42))</f>
        <v>0</v>
      </c>
      <c r="BH42">
        <f>BG42</f>
        <v>0</v>
      </c>
      <c r="BI42">
        <f>IF(OR($AK42="",AC42="",AD42=""),0,COUNTIFS($AK$3:$AK$98,$AK42,K$3:K$98,"&lt;"&amp;AD42,L$3:L$98,"&gt;"&amp;AC42)+COUNTIFS($AK$3:$AK$98,$AK42,M$3:M$98,"&lt;"&amp;AD42,N$3:N$98,"&gt;"&amp;AC42)+COUNTIFS($AK$3:$AK$98,$AK42,O$3:O$98,"&lt;"&amp;AD42,P$3:P$98,"&gt;"&amp;AC42)+COUNTIFS($AK$3:$AK$98,$AK42,Q$3:Q$98,"&lt;"&amp;AD42,R$3:R$98,"&gt;"&amp;AC42)+COUNTIFS($AK$3:$AK$98,$AK42,S$3:S$98,"&lt;"&amp;AD42,T$3:T$98,"&gt;"&amp;AC42)+COUNTIFS($AK$3:$AK$98,$AK42,U$3:U$98,"&lt;"&amp;AD42,V$3:V$98,"&gt;"&amp;AC42)+COUNTIFS($AK$3:$AK$98,$AK42,W$3:W$98,"&lt;"&amp;AD42,X$3:X$98,"&gt;"&amp;AC42)+COUNTIFS($AK$3:$AK$98,$AK42,Y$3:Y$98,"&lt;"&amp;AD42,Z$3:Z$98,"&gt;"&amp;AC42)+COUNTIFS($AK$3:$AK$98,$AK42,AA$3:AA$98,"&lt;"&amp;AD42,AB$3:AB$98,"&gt;"&amp;AC42)+COUNTIFS($AK$3:$AK$98,$AK42,AC$3:AC$98,"&lt;"&amp;AD42,AD$3:AD$98,"&gt;"&amp;AC42)+COUNTIFS($AK$3:$AK$98,$AK42,AE$3:AE$98,"&lt;"&amp;AD42,AF$3:AF$98,"&gt;"&amp;AC42)+COUNTIFS($AK$3:$AK$98,$AK42,AG$3:AG$98,"&lt;"&amp;AD42,AH$3:AH$98,"&gt;"&amp;AC42)-(AC42&lt;AD42))</f>
        <v>0</v>
      </c>
      <c r="BJ42">
        <f>BI42</f>
        <v>0</v>
      </c>
      <c r="BK42">
        <f>IF(OR($AK42="",AE42="",AF42=""),0,COUNTIFS($AK$3:$AK$98,$AK42,K$3:K$98,"&lt;"&amp;AF42,L$3:L$98,"&gt;"&amp;AE42)+COUNTIFS($AK$3:$AK$98,$AK42,M$3:M$98,"&lt;"&amp;AF42,N$3:N$98,"&gt;"&amp;AE42)+COUNTIFS($AK$3:$AK$98,$AK42,O$3:O$98,"&lt;"&amp;AF42,P$3:P$98,"&gt;"&amp;AE42)+COUNTIFS($AK$3:$AK$98,$AK42,Q$3:Q$98,"&lt;"&amp;AF42,R$3:R$98,"&gt;"&amp;AE42)+COUNTIFS($AK$3:$AK$98,$AK42,S$3:S$98,"&lt;"&amp;AF42,T$3:T$98,"&gt;"&amp;AE42)+COUNTIFS($AK$3:$AK$98,$AK42,U$3:U$98,"&lt;"&amp;AF42,V$3:V$98,"&gt;"&amp;AE42)+COUNTIFS($AK$3:$AK$98,$AK42,W$3:W$98,"&lt;"&amp;AF42,X$3:X$98,"&gt;"&amp;AE42)+COUNTIFS($AK$3:$AK$98,$AK42,Y$3:Y$98,"&lt;"&amp;AF42,Z$3:Z$98,"&gt;"&amp;AE42)+COUNTIFS($AK$3:$AK$98,$AK42,AA$3:AA$98,"&lt;"&amp;AF42,AB$3:AB$98,"&gt;"&amp;AE42)+COUNTIFS($AK$3:$AK$98,$AK42,AC$3:AC$98,"&lt;"&amp;AF42,AD$3:AD$98,"&gt;"&amp;AE42)+COUNTIFS($AK$3:$AK$98,$AK42,AE$3:AE$98,"&lt;"&amp;AF42,AF$3:AF$98,"&gt;"&amp;AE42)+COUNTIFS($AK$3:$AK$98,$AK42,AG$3:AG$98,"&lt;"&amp;AF42,AH$3:AH$98,"&gt;"&amp;AE42)-(AE42&lt;AF42))</f>
        <v>0</v>
      </c>
      <c r="BL42">
        <f>BK42</f>
        <v>0</v>
      </c>
      <c r="BM42">
        <f>IF(OR($AK42="",AG42="",AH42=""),0,COUNTIFS($AK$3:$AK$98,$AK42,K$3:K$98,"&lt;"&amp;AH42,L$3:L$98,"&gt;"&amp;AG42)+COUNTIFS($AK$3:$AK$98,$AK42,M$3:M$98,"&lt;"&amp;AH42,N$3:N$98,"&gt;"&amp;AG42)+COUNTIFS($AK$3:$AK$98,$AK42,O$3:O$98,"&lt;"&amp;AH42,P$3:P$98,"&gt;"&amp;AG42)+COUNTIFS($AK$3:$AK$98,$AK42,Q$3:Q$98,"&lt;"&amp;AH42,R$3:R$98,"&gt;"&amp;AG42)+COUNTIFS($AK$3:$AK$98,$AK42,S$3:S$98,"&lt;"&amp;AH42,T$3:T$98,"&gt;"&amp;AG42)+COUNTIFS($AK$3:$AK$98,$AK42,U$3:U$98,"&lt;"&amp;AH42,V$3:V$98,"&gt;"&amp;AG42)+COUNTIFS($AK$3:$AK$98,$AK42,W$3:W$98,"&lt;"&amp;AH42,X$3:X$98,"&gt;"&amp;AG42)+COUNTIFS($AK$3:$AK$98,$AK42,Y$3:Y$98,"&lt;"&amp;AH42,Z$3:Z$98,"&gt;"&amp;AG42)+COUNTIFS($AK$3:$AK$98,$AK42,AA$3:AA$98,"&lt;"&amp;AH42,AB$3:AB$98,"&gt;"&amp;AG42)+COUNTIFS($AK$3:$AK$98,$AK42,AC$3:AC$98,"&lt;"&amp;AH42,AD$3:AD$98,"&gt;"&amp;AG42)+COUNTIFS($AK$3:$AK$98,$AK42,AE$3:AE$98,"&lt;"&amp;AH42,AF$3:AF$98,"&gt;"&amp;AG42)+COUNTIFS($AK$3:$AK$98,$AK42,AG$3:AG$98,"&lt;"&amp;AH42,AH$3:AH$98,"&gt;"&amp;AG42)-(AG42&lt;AH42))</f>
        <v>0</v>
      </c>
      <c r="BN42">
        <f>BM42</f>
        <v>0</v>
      </c>
      <c r="BO42">
        <f>IF(ISNUMBER($G42),$G42,"")</f>
        <v>1</v>
      </c>
      <c r="BP42">
        <f>IF(AND($A42&lt;&gt;"",COUNT($K42:$AH42)&gt;0),ROW(),"")</f>
        <v>42</v>
      </c>
    </row>
    <row r="43" spans="1:68" x14ac:dyDescent="0.15">
      <c r="A43" s="18" t="str">
        <f>IF($A41="","",$A41)</f>
        <v>chMobSaiyanA</v>
      </c>
      <c r="B43" s="19" t="str">
        <f>IF($A41="","","high")</f>
        <v>high</v>
      </c>
      <c r="C43" s="19"/>
      <c r="D43" s="20">
        <v>7</v>
      </c>
      <c r="E43" s="21">
        <f>IF(AND($D43="",COUNT($K43:$AH43)=0),"",IF(K43="",0,MAX(0,NETWORKDAYS(K43,IF(L43&lt;&gt;"",L43,IF($J43&lt;&gt;"",K43,$AI$1)),祝日!$A$2:$A$200)))+IF(M43="",0,MAX(0,NETWORKDAYS(M43,IF(N43&lt;&gt;"",N43,IF($J43&lt;&gt;"",M43,$AI$1)),祝日!$A$2:$A$200)))+IF(O43="",0,MAX(0,NETWORKDAYS(O43,IF(P43&lt;&gt;"",P43,IF($J43&lt;&gt;"",O43,$AI$1)),祝日!$A$2:$A$200)))+IF(Q43="",0,MAX(0,NETWORKDAYS(Q43,IF(R43&lt;&gt;"",R43,IF($J43&lt;&gt;"",Q43,$AI$1)),祝日!$A$2:$A$200)))+IF(S43="",0,MAX(0,NETWORKDAYS(S43,IF(T43&lt;&gt;"",T43,IF($J43&lt;&gt;"",S43,$AI$1)),祝日!$A$2:$A$200)))+IF(U43="",0,MAX(0,NETWORKDAYS(U43,IF(V43&lt;&gt;"",V43,IF($J43&lt;&gt;"",U43,$AI$1)),祝日!$A$2:$A$200)))+IF(W43="",0,MAX(0,NETWORKDAYS(W43,IF(X43&lt;&gt;"",X43,IF($J43&lt;&gt;"",W43,$AI$1)),祝日!$A$2:$A$200)))+IF(Y43="",0,MAX(0,NETWORKDAYS(Y43,IF(Z43&lt;&gt;"",Z43,IF($J43&lt;&gt;"",Y43,$AI$1)),祝日!$A$2:$A$200)))+IF(AA43="",0,MAX(0,NETWORKDAYS(AA43,IF(AB43&lt;&gt;"",AB43,IF($J43&lt;&gt;"",AA43,$AI$1)),祝日!$A$2:$A$200)))+IF(AC43="",0,MAX(0,NETWORKDAYS(AC43,IF(AD43&lt;&gt;"",AD43,IF($J43&lt;&gt;"",AC43,$AI$1)),祝日!$A$2:$A$200)))+IF(AE43="",0,MAX(0,NETWORKDAYS(AE43,IF(AF43&lt;&gt;"",AF43,IF($J43&lt;&gt;"",AE43,$AI$1)),祝日!$A$2:$A$200)))+IF(AG43="",0,MAX(0,NETWORKDAYS(AG43,IF(AH43&lt;&gt;"",AH43,IF($J43&lt;&gt;"",AG43,$AI$1)),祝日!$A$2:$A$200))))</f>
        <v>7</v>
      </c>
      <c r="F43" s="21">
        <f>IF($D43="","",$D43-$E43)</f>
        <v>0</v>
      </c>
      <c r="G43" s="22">
        <f>IF(OR($D43="",$D43=0),"",$E43/$D43)</f>
        <v>1</v>
      </c>
      <c r="H43" s="23" t="str">
        <f>IF($D43="","",IF($J43&lt;&gt;"","FIX",IF(AND(SUMPRODUCT((MOD(COLUMN($K43:$AH43)-COLUMN($K43),2)=0)*($K43:$AH43&lt;&gt;""))=0,SUMPRODUCT((MOD(COLUMN($K43:$AH43)-COLUMN($K43),2)=1)*($K43:$AH43&lt;&gt;""))=0),"未着手",IF(SUMPRODUCT((MOD(COLUMN($K43:$AH43)-COLUMN($K43),2)=0)*($K43:$AH43&lt;&gt;""))&gt;SUMPRODUCT((MOD(COLUMN($K43:$AH43)-COLUMN($K43),2)=1)*($K43:$AH43&lt;&gt;"")),"作業中","中断"))))</f>
        <v>FIX</v>
      </c>
      <c r="I43" s="23" t="str">
        <f>IF($H43="中断",MAX(0,$AI$1-MAX(L43,N43,P43,R43,T43,V43,X43,Z43,AB43,AD43,AF43,AH43)),"")</f>
        <v/>
      </c>
      <c r="J43" s="19" t="s">
        <v>37</v>
      </c>
      <c r="K43" s="24">
        <v>46218</v>
      </c>
      <c r="L43" s="24">
        <v>46227</v>
      </c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K43" t="str">
        <f>IF($A41="","",IF(LOOKUP(2,1/($AJ$3:$AJ43&lt;&gt;""),$AJ$3:$AJ43)="-","",LOOKUP(2,1/($AJ$3:$AJ43&lt;&gt;""),$AJ$3:$AJ43)))</f>
        <v>CH02</v>
      </c>
      <c r="AL43" t="str">
        <f>$H43</f>
        <v>FIX</v>
      </c>
      <c r="AM43">
        <f>IF(ISNUMBER($D43),$D43,0)</f>
        <v>7</v>
      </c>
      <c r="AN43">
        <f>IF(ISNUMBER($E43),$E43,0)</f>
        <v>7</v>
      </c>
      <c r="AO43">
        <f>IF(ISNUMBER($F43),$F43,0)</f>
        <v>0</v>
      </c>
      <c r="AQ43">
        <f>IF(OR($AK43="",K43="",L43=""),0,COUNTIFS($AK$3:$AK$98,$AK43,K$3:K$98,"&lt;"&amp;L43,L$3:L$98,"&gt;"&amp;K43)+COUNTIFS($AK$3:$AK$98,$AK43,M$3:M$98,"&lt;"&amp;L43,N$3:N$98,"&gt;"&amp;K43)+COUNTIFS($AK$3:$AK$98,$AK43,O$3:O$98,"&lt;"&amp;L43,P$3:P$98,"&gt;"&amp;K43)+COUNTIFS($AK$3:$AK$98,$AK43,Q$3:Q$98,"&lt;"&amp;L43,R$3:R$98,"&gt;"&amp;K43)+COUNTIFS($AK$3:$AK$98,$AK43,S$3:S$98,"&lt;"&amp;L43,T$3:T$98,"&gt;"&amp;K43)+COUNTIFS($AK$3:$AK$98,$AK43,U$3:U$98,"&lt;"&amp;L43,V$3:V$98,"&gt;"&amp;K43)+COUNTIFS($AK$3:$AK$98,$AK43,W$3:W$98,"&lt;"&amp;L43,X$3:X$98,"&gt;"&amp;K43)+COUNTIFS($AK$3:$AK$98,$AK43,Y$3:Y$98,"&lt;"&amp;L43,Z$3:Z$98,"&gt;"&amp;K43)+COUNTIFS($AK$3:$AK$98,$AK43,AA$3:AA$98,"&lt;"&amp;L43,AB$3:AB$98,"&gt;"&amp;K43)+COUNTIFS($AK$3:$AK$98,$AK43,AC$3:AC$98,"&lt;"&amp;L43,AD$3:AD$98,"&gt;"&amp;K43)+COUNTIFS($AK$3:$AK$98,$AK43,AE$3:AE$98,"&lt;"&amp;L43,AF$3:AF$98,"&gt;"&amp;K43)+COUNTIFS($AK$3:$AK$98,$AK43,AG$3:AG$98,"&lt;"&amp;L43,AH$3:AH$98,"&gt;"&amp;K43)-(K43&lt;L43))</f>
        <v>0</v>
      </c>
      <c r="AR43">
        <f>AQ43</f>
        <v>0</v>
      </c>
      <c r="AS43">
        <f>IF(OR($AK43="",M43="",N43=""),0,COUNTIFS($AK$3:$AK$98,$AK43,K$3:K$98,"&lt;"&amp;N43,L$3:L$98,"&gt;"&amp;M43)+COUNTIFS($AK$3:$AK$98,$AK43,M$3:M$98,"&lt;"&amp;N43,N$3:N$98,"&gt;"&amp;M43)+COUNTIFS($AK$3:$AK$98,$AK43,O$3:O$98,"&lt;"&amp;N43,P$3:P$98,"&gt;"&amp;M43)+COUNTIFS($AK$3:$AK$98,$AK43,Q$3:Q$98,"&lt;"&amp;N43,R$3:R$98,"&gt;"&amp;M43)+COUNTIFS($AK$3:$AK$98,$AK43,S$3:S$98,"&lt;"&amp;N43,T$3:T$98,"&gt;"&amp;M43)+COUNTIFS($AK$3:$AK$98,$AK43,U$3:U$98,"&lt;"&amp;N43,V$3:V$98,"&gt;"&amp;M43)+COUNTIFS($AK$3:$AK$98,$AK43,W$3:W$98,"&lt;"&amp;N43,X$3:X$98,"&gt;"&amp;M43)+COUNTIFS($AK$3:$AK$98,$AK43,Y$3:Y$98,"&lt;"&amp;N43,Z$3:Z$98,"&gt;"&amp;M43)+COUNTIFS($AK$3:$AK$98,$AK43,AA$3:AA$98,"&lt;"&amp;N43,AB$3:AB$98,"&gt;"&amp;M43)+COUNTIFS($AK$3:$AK$98,$AK43,AC$3:AC$98,"&lt;"&amp;N43,AD$3:AD$98,"&gt;"&amp;M43)+COUNTIFS($AK$3:$AK$98,$AK43,AE$3:AE$98,"&lt;"&amp;N43,AF$3:AF$98,"&gt;"&amp;M43)+COUNTIFS($AK$3:$AK$98,$AK43,AG$3:AG$98,"&lt;"&amp;N43,AH$3:AH$98,"&gt;"&amp;M43)-(M43&lt;N43))</f>
        <v>0</v>
      </c>
      <c r="AT43">
        <f>AS43</f>
        <v>0</v>
      </c>
      <c r="AU43">
        <f>IF(OR($AK43="",O43="",P43=""),0,COUNTIFS($AK$3:$AK$98,$AK43,K$3:K$98,"&lt;"&amp;P43,L$3:L$98,"&gt;"&amp;O43)+COUNTIFS($AK$3:$AK$98,$AK43,M$3:M$98,"&lt;"&amp;P43,N$3:N$98,"&gt;"&amp;O43)+COUNTIFS($AK$3:$AK$98,$AK43,O$3:O$98,"&lt;"&amp;P43,P$3:P$98,"&gt;"&amp;O43)+COUNTIFS($AK$3:$AK$98,$AK43,Q$3:Q$98,"&lt;"&amp;P43,R$3:R$98,"&gt;"&amp;O43)+COUNTIFS($AK$3:$AK$98,$AK43,S$3:S$98,"&lt;"&amp;P43,T$3:T$98,"&gt;"&amp;O43)+COUNTIFS($AK$3:$AK$98,$AK43,U$3:U$98,"&lt;"&amp;P43,V$3:V$98,"&gt;"&amp;O43)+COUNTIFS($AK$3:$AK$98,$AK43,W$3:W$98,"&lt;"&amp;P43,X$3:X$98,"&gt;"&amp;O43)+COUNTIFS($AK$3:$AK$98,$AK43,Y$3:Y$98,"&lt;"&amp;P43,Z$3:Z$98,"&gt;"&amp;O43)+COUNTIFS($AK$3:$AK$98,$AK43,AA$3:AA$98,"&lt;"&amp;P43,AB$3:AB$98,"&gt;"&amp;O43)+COUNTIFS($AK$3:$AK$98,$AK43,AC$3:AC$98,"&lt;"&amp;P43,AD$3:AD$98,"&gt;"&amp;O43)+COUNTIFS($AK$3:$AK$98,$AK43,AE$3:AE$98,"&lt;"&amp;P43,AF$3:AF$98,"&gt;"&amp;O43)+COUNTIFS($AK$3:$AK$98,$AK43,AG$3:AG$98,"&lt;"&amp;P43,AH$3:AH$98,"&gt;"&amp;O43)-(O43&lt;P43))</f>
        <v>0</v>
      </c>
      <c r="AV43">
        <f>AU43</f>
        <v>0</v>
      </c>
      <c r="AW43">
        <f>IF(OR($AK43="",Q43="",R43=""),0,COUNTIFS($AK$3:$AK$98,$AK43,K$3:K$98,"&lt;"&amp;R43,L$3:L$98,"&gt;"&amp;Q43)+COUNTIFS($AK$3:$AK$98,$AK43,M$3:M$98,"&lt;"&amp;R43,N$3:N$98,"&gt;"&amp;Q43)+COUNTIFS($AK$3:$AK$98,$AK43,O$3:O$98,"&lt;"&amp;R43,P$3:P$98,"&gt;"&amp;Q43)+COUNTIFS($AK$3:$AK$98,$AK43,Q$3:Q$98,"&lt;"&amp;R43,R$3:R$98,"&gt;"&amp;Q43)+COUNTIFS($AK$3:$AK$98,$AK43,S$3:S$98,"&lt;"&amp;R43,T$3:T$98,"&gt;"&amp;Q43)+COUNTIFS($AK$3:$AK$98,$AK43,U$3:U$98,"&lt;"&amp;R43,V$3:V$98,"&gt;"&amp;Q43)+COUNTIFS($AK$3:$AK$98,$AK43,W$3:W$98,"&lt;"&amp;R43,X$3:X$98,"&gt;"&amp;Q43)+COUNTIFS($AK$3:$AK$98,$AK43,Y$3:Y$98,"&lt;"&amp;R43,Z$3:Z$98,"&gt;"&amp;Q43)+COUNTIFS($AK$3:$AK$98,$AK43,AA$3:AA$98,"&lt;"&amp;R43,AB$3:AB$98,"&gt;"&amp;Q43)+COUNTIFS($AK$3:$AK$98,$AK43,AC$3:AC$98,"&lt;"&amp;R43,AD$3:AD$98,"&gt;"&amp;Q43)+COUNTIFS($AK$3:$AK$98,$AK43,AE$3:AE$98,"&lt;"&amp;R43,AF$3:AF$98,"&gt;"&amp;Q43)+COUNTIFS($AK$3:$AK$98,$AK43,AG$3:AG$98,"&lt;"&amp;R43,AH$3:AH$98,"&gt;"&amp;Q43)-(Q43&lt;R43))</f>
        <v>0</v>
      </c>
      <c r="AX43">
        <f>AW43</f>
        <v>0</v>
      </c>
      <c r="AY43">
        <f>IF(OR($AK43="",S43="",T43=""),0,COUNTIFS($AK$3:$AK$98,$AK43,K$3:K$98,"&lt;"&amp;T43,L$3:L$98,"&gt;"&amp;S43)+COUNTIFS($AK$3:$AK$98,$AK43,M$3:M$98,"&lt;"&amp;T43,N$3:N$98,"&gt;"&amp;S43)+COUNTIFS($AK$3:$AK$98,$AK43,O$3:O$98,"&lt;"&amp;T43,P$3:P$98,"&gt;"&amp;S43)+COUNTIFS($AK$3:$AK$98,$AK43,Q$3:Q$98,"&lt;"&amp;T43,R$3:R$98,"&gt;"&amp;S43)+COUNTIFS($AK$3:$AK$98,$AK43,S$3:S$98,"&lt;"&amp;T43,T$3:T$98,"&gt;"&amp;S43)+COUNTIFS($AK$3:$AK$98,$AK43,U$3:U$98,"&lt;"&amp;T43,V$3:V$98,"&gt;"&amp;S43)+COUNTIFS($AK$3:$AK$98,$AK43,W$3:W$98,"&lt;"&amp;T43,X$3:X$98,"&gt;"&amp;S43)+COUNTIFS($AK$3:$AK$98,$AK43,Y$3:Y$98,"&lt;"&amp;T43,Z$3:Z$98,"&gt;"&amp;S43)+COUNTIFS($AK$3:$AK$98,$AK43,AA$3:AA$98,"&lt;"&amp;T43,AB$3:AB$98,"&gt;"&amp;S43)+COUNTIFS($AK$3:$AK$98,$AK43,AC$3:AC$98,"&lt;"&amp;T43,AD$3:AD$98,"&gt;"&amp;S43)+COUNTIFS($AK$3:$AK$98,$AK43,AE$3:AE$98,"&lt;"&amp;T43,AF$3:AF$98,"&gt;"&amp;S43)+COUNTIFS($AK$3:$AK$98,$AK43,AG$3:AG$98,"&lt;"&amp;T43,AH$3:AH$98,"&gt;"&amp;S43)-(S43&lt;T43))</f>
        <v>0</v>
      </c>
      <c r="AZ43">
        <f>AY43</f>
        <v>0</v>
      </c>
      <c r="BA43">
        <f>IF(OR($AK43="",U43="",V43=""),0,COUNTIFS($AK$3:$AK$98,$AK43,K$3:K$98,"&lt;"&amp;V43,L$3:L$98,"&gt;"&amp;U43)+COUNTIFS($AK$3:$AK$98,$AK43,M$3:M$98,"&lt;"&amp;V43,N$3:N$98,"&gt;"&amp;U43)+COUNTIFS($AK$3:$AK$98,$AK43,O$3:O$98,"&lt;"&amp;V43,P$3:P$98,"&gt;"&amp;U43)+COUNTIFS($AK$3:$AK$98,$AK43,Q$3:Q$98,"&lt;"&amp;V43,R$3:R$98,"&gt;"&amp;U43)+COUNTIFS($AK$3:$AK$98,$AK43,S$3:S$98,"&lt;"&amp;V43,T$3:T$98,"&gt;"&amp;U43)+COUNTIFS($AK$3:$AK$98,$AK43,U$3:U$98,"&lt;"&amp;V43,V$3:V$98,"&gt;"&amp;U43)+COUNTIFS($AK$3:$AK$98,$AK43,W$3:W$98,"&lt;"&amp;V43,X$3:X$98,"&gt;"&amp;U43)+COUNTIFS($AK$3:$AK$98,$AK43,Y$3:Y$98,"&lt;"&amp;V43,Z$3:Z$98,"&gt;"&amp;U43)+COUNTIFS($AK$3:$AK$98,$AK43,AA$3:AA$98,"&lt;"&amp;V43,AB$3:AB$98,"&gt;"&amp;U43)+COUNTIFS($AK$3:$AK$98,$AK43,AC$3:AC$98,"&lt;"&amp;V43,AD$3:AD$98,"&gt;"&amp;U43)+COUNTIFS($AK$3:$AK$98,$AK43,AE$3:AE$98,"&lt;"&amp;V43,AF$3:AF$98,"&gt;"&amp;U43)+COUNTIFS($AK$3:$AK$98,$AK43,AG$3:AG$98,"&lt;"&amp;V43,AH$3:AH$98,"&gt;"&amp;U43)-(U43&lt;V43))</f>
        <v>0</v>
      </c>
      <c r="BB43">
        <f>BA43</f>
        <v>0</v>
      </c>
      <c r="BC43">
        <f>IF(OR($AK43="",W43="",X43=""),0,COUNTIFS($AK$3:$AK$98,$AK43,K$3:K$98,"&lt;"&amp;X43,L$3:L$98,"&gt;"&amp;W43)+COUNTIFS($AK$3:$AK$98,$AK43,M$3:M$98,"&lt;"&amp;X43,N$3:N$98,"&gt;"&amp;W43)+COUNTIFS($AK$3:$AK$98,$AK43,O$3:O$98,"&lt;"&amp;X43,P$3:P$98,"&gt;"&amp;W43)+COUNTIFS($AK$3:$AK$98,$AK43,Q$3:Q$98,"&lt;"&amp;X43,R$3:R$98,"&gt;"&amp;W43)+COUNTIFS($AK$3:$AK$98,$AK43,S$3:S$98,"&lt;"&amp;X43,T$3:T$98,"&gt;"&amp;W43)+COUNTIFS($AK$3:$AK$98,$AK43,U$3:U$98,"&lt;"&amp;X43,V$3:V$98,"&gt;"&amp;W43)+COUNTIFS($AK$3:$AK$98,$AK43,W$3:W$98,"&lt;"&amp;X43,X$3:X$98,"&gt;"&amp;W43)+COUNTIFS($AK$3:$AK$98,$AK43,Y$3:Y$98,"&lt;"&amp;X43,Z$3:Z$98,"&gt;"&amp;W43)+COUNTIFS($AK$3:$AK$98,$AK43,AA$3:AA$98,"&lt;"&amp;X43,AB$3:AB$98,"&gt;"&amp;W43)+COUNTIFS($AK$3:$AK$98,$AK43,AC$3:AC$98,"&lt;"&amp;X43,AD$3:AD$98,"&gt;"&amp;W43)+COUNTIFS($AK$3:$AK$98,$AK43,AE$3:AE$98,"&lt;"&amp;X43,AF$3:AF$98,"&gt;"&amp;W43)+COUNTIFS($AK$3:$AK$98,$AK43,AG$3:AG$98,"&lt;"&amp;X43,AH$3:AH$98,"&gt;"&amp;W43)-(W43&lt;X43))</f>
        <v>0</v>
      </c>
      <c r="BD43">
        <f>BC43</f>
        <v>0</v>
      </c>
      <c r="BE43">
        <f>IF(OR($AK43="",Y43="",Z43=""),0,COUNTIFS($AK$3:$AK$98,$AK43,K$3:K$98,"&lt;"&amp;Z43,L$3:L$98,"&gt;"&amp;Y43)+COUNTIFS($AK$3:$AK$98,$AK43,M$3:M$98,"&lt;"&amp;Z43,N$3:N$98,"&gt;"&amp;Y43)+COUNTIFS($AK$3:$AK$98,$AK43,O$3:O$98,"&lt;"&amp;Z43,P$3:P$98,"&gt;"&amp;Y43)+COUNTIFS($AK$3:$AK$98,$AK43,Q$3:Q$98,"&lt;"&amp;Z43,R$3:R$98,"&gt;"&amp;Y43)+COUNTIFS($AK$3:$AK$98,$AK43,S$3:S$98,"&lt;"&amp;Z43,T$3:T$98,"&gt;"&amp;Y43)+COUNTIFS($AK$3:$AK$98,$AK43,U$3:U$98,"&lt;"&amp;Z43,V$3:V$98,"&gt;"&amp;Y43)+COUNTIFS($AK$3:$AK$98,$AK43,W$3:W$98,"&lt;"&amp;Z43,X$3:X$98,"&gt;"&amp;Y43)+COUNTIFS($AK$3:$AK$98,$AK43,Y$3:Y$98,"&lt;"&amp;Z43,Z$3:Z$98,"&gt;"&amp;Y43)+COUNTIFS($AK$3:$AK$98,$AK43,AA$3:AA$98,"&lt;"&amp;Z43,AB$3:AB$98,"&gt;"&amp;Y43)+COUNTIFS($AK$3:$AK$98,$AK43,AC$3:AC$98,"&lt;"&amp;Z43,AD$3:AD$98,"&gt;"&amp;Y43)+COUNTIFS($AK$3:$AK$98,$AK43,AE$3:AE$98,"&lt;"&amp;Z43,AF$3:AF$98,"&gt;"&amp;Y43)+COUNTIFS($AK$3:$AK$98,$AK43,AG$3:AG$98,"&lt;"&amp;Z43,AH$3:AH$98,"&gt;"&amp;Y43)-(Y43&lt;Z43))</f>
        <v>0</v>
      </c>
      <c r="BF43">
        <f>BE43</f>
        <v>0</v>
      </c>
      <c r="BG43">
        <f>IF(OR($AK43="",AA43="",AB43=""),0,COUNTIFS($AK$3:$AK$98,$AK43,K$3:K$98,"&lt;"&amp;AB43,L$3:L$98,"&gt;"&amp;AA43)+COUNTIFS($AK$3:$AK$98,$AK43,M$3:M$98,"&lt;"&amp;AB43,N$3:N$98,"&gt;"&amp;AA43)+COUNTIFS($AK$3:$AK$98,$AK43,O$3:O$98,"&lt;"&amp;AB43,P$3:P$98,"&gt;"&amp;AA43)+COUNTIFS($AK$3:$AK$98,$AK43,Q$3:Q$98,"&lt;"&amp;AB43,R$3:R$98,"&gt;"&amp;AA43)+COUNTIFS($AK$3:$AK$98,$AK43,S$3:S$98,"&lt;"&amp;AB43,T$3:T$98,"&gt;"&amp;AA43)+COUNTIFS($AK$3:$AK$98,$AK43,U$3:U$98,"&lt;"&amp;AB43,V$3:V$98,"&gt;"&amp;AA43)+COUNTIFS($AK$3:$AK$98,$AK43,W$3:W$98,"&lt;"&amp;AB43,X$3:X$98,"&gt;"&amp;AA43)+COUNTIFS($AK$3:$AK$98,$AK43,Y$3:Y$98,"&lt;"&amp;AB43,Z$3:Z$98,"&gt;"&amp;AA43)+COUNTIFS($AK$3:$AK$98,$AK43,AA$3:AA$98,"&lt;"&amp;AB43,AB$3:AB$98,"&gt;"&amp;AA43)+COUNTIFS($AK$3:$AK$98,$AK43,AC$3:AC$98,"&lt;"&amp;AB43,AD$3:AD$98,"&gt;"&amp;AA43)+COUNTIFS($AK$3:$AK$98,$AK43,AE$3:AE$98,"&lt;"&amp;AB43,AF$3:AF$98,"&gt;"&amp;AA43)+COUNTIFS($AK$3:$AK$98,$AK43,AG$3:AG$98,"&lt;"&amp;AB43,AH$3:AH$98,"&gt;"&amp;AA43)-(AA43&lt;AB43))</f>
        <v>0</v>
      </c>
      <c r="BH43">
        <f>BG43</f>
        <v>0</v>
      </c>
      <c r="BI43">
        <f>IF(OR($AK43="",AC43="",AD43=""),0,COUNTIFS($AK$3:$AK$98,$AK43,K$3:K$98,"&lt;"&amp;AD43,L$3:L$98,"&gt;"&amp;AC43)+COUNTIFS($AK$3:$AK$98,$AK43,M$3:M$98,"&lt;"&amp;AD43,N$3:N$98,"&gt;"&amp;AC43)+COUNTIFS($AK$3:$AK$98,$AK43,O$3:O$98,"&lt;"&amp;AD43,P$3:P$98,"&gt;"&amp;AC43)+COUNTIFS($AK$3:$AK$98,$AK43,Q$3:Q$98,"&lt;"&amp;AD43,R$3:R$98,"&gt;"&amp;AC43)+COUNTIFS($AK$3:$AK$98,$AK43,S$3:S$98,"&lt;"&amp;AD43,T$3:T$98,"&gt;"&amp;AC43)+COUNTIFS($AK$3:$AK$98,$AK43,U$3:U$98,"&lt;"&amp;AD43,V$3:V$98,"&gt;"&amp;AC43)+COUNTIFS($AK$3:$AK$98,$AK43,W$3:W$98,"&lt;"&amp;AD43,X$3:X$98,"&gt;"&amp;AC43)+COUNTIFS($AK$3:$AK$98,$AK43,Y$3:Y$98,"&lt;"&amp;AD43,Z$3:Z$98,"&gt;"&amp;AC43)+COUNTIFS($AK$3:$AK$98,$AK43,AA$3:AA$98,"&lt;"&amp;AD43,AB$3:AB$98,"&gt;"&amp;AC43)+COUNTIFS($AK$3:$AK$98,$AK43,AC$3:AC$98,"&lt;"&amp;AD43,AD$3:AD$98,"&gt;"&amp;AC43)+COUNTIFS($AK$3:$AK$98,$AK43,AE$3:AE$98,"&lt;"&amp;AD43,AF$3:AF$98,"&gt;"&amp;AC43)+COUNTIFS($AK$3:$AK$98,$AK43,AG$3:AG$98,"&lt;"&amp;AD43,AH$3:AH$98,"&gt;"&amp;AC43)-(AC43&lt;AD43))</f>
        <v>0</v>
      </c>
      <c r="BJ43">
        <f>BI43</f>
        <v>0</v>
      </c>
      <c r="BK43">
        <f>IF(OR($AK43="",AE43="",AF43=""),0,COUNTIFS($AK$3:$AK$98,$AK43,K$3:K$98,"&lt;"&amp;AF43,L$3:L$98,"&gt;"&amp;AE43)+COUNTIFS($AK$3:$AK$98,$AK43,M$3:M$98,"&lt;"&amp;AF43,N$3:N$98,"&gt;"&amp;AE43)+COUNTIFS($AK$3:$AK$98,$AK43,O$3:O$98,"&lt;"&amp;AF43,P$3:P$98,"&gt;"&amp;AE43)+COUNTIFS($AK$3:$AK$98,$AK43,Q$3:Q$98,"&lt;"&amp;AF43,R$3:R$98,"&gt;"&amp;AE43)+COUNTIFS($AK$3:$AK$98,$AK43,S$3:S$98,"&lt;"&amp;AF43,T$3:T$98,"&gt;"&amp;AE43)+COUNTIFS($AK$3:$AK$98,$AK43,U$3:U$98,"&lt;"&amp;AF43,V$3:V$98,"&gt;"&amp;AE43)+COUNTIFS($AK$3:$AK$98,$AK43,W$3:W$98,"&lt;"&amp;AF43,X$3:X$98,"&gt;"&amp;AE43)+COUNTIFS($AK$3:$AK$98,$AK43,Y$3:Y$98,"&lt;"&amp;AF43,Z$3:Z$98,"&gt;"&amp;AE43)+COUNTIFS($AK$3:$AK$98,$AK43,AA$3:AA$98,"&lt;"&amp;AF43,AB$3:AB$98,"&gt;"&amp;AE43)+COUNTIFS($AK$3:$AK$98,$AK43,AC$3:AC$98,"&lt;"&amp;AF43,AD$3:AD$98,"&gt;"&amp;AE43)+COUNTIFS($AK$3:$AK$98,$AK43,AE$3:AE$98,"&lt;"&amp;AF43,AF$3:AF$98,"&gt;"&amp;AE43)+COUNTIFS($AK$3:$AK$98,$AK43,AG$3:AG$98,"&lt;"&amp;AF43,AH$3:AH$98,"&gt;"&amp;AE43)-(AE43&lt;AF43))</f>
        <v>0</v>
      </c>
      <c r="BL43">
        <f>BK43</f>
        <v>0</v>
      </c>
      <c r="BM43">
        <f>IF(OR($AK43="",AG43="",AH43=""),0,COUNTIFS($AK$3:$AK$98,$AK43,K$3:K$98,"&lt;"&amp;AH43,L$3:L$98,"&gt;"&amp;AG43)+COUNTIFS($AK$3:$AK$98,$AK43,M$3:M$98,"&lt;"&amp;AH43,N$3:N$98,"&gt;"&amp;AG43)+COUNTIFS($AK$3:$AK$98,$AK43,O$3:O$98,"&lt;"&amp;AH43,P$3:P$98,"&gt;"&amp;AG43)+COUNTIFS($AK$3:$AK$98,$AK43,Q$3:Q$98,"&lt;"&amp;AH43,R$3:R$98,"&gt;"&amp;AG43)+COUNTIFS($AK$3:$AK$98,$AK43,S$3:S$98,"&lt;"&amp;AH43,T$3:T$98,"&gt;"&amp;AG43)+COUNTIFS($AK$3:$AK$98,$AK43,U$3:U$98,"&lt;"&amp;AH43,V$3:V$98,"&gt;"&amp;AG43)+COUNTIFS($AK$3:$AK$98,$AK43,W$3:W$98,"&lt;"&amp;AH43,X$3:X$98,"&gt;"&amp;AG43)+COUNTIFS($AK$3:$AK$98,$AK43,Y$3:Y$98,"&lt;"&amp;AH43,Z$3:Z$98,"&gt;"&amp;AG43)+COUNTIFS($AK$3:$AK$98,$AK43,AA$3:AA$98,"&lt;"&amp;AH43,AB$3:AB$98,"&gt;"&amp;AG43)+COUNTIFS($AK$3:$AK$98,$AK43,AC$3:AC$98,"&lt;"&amp;AH43,AD$3:AD$98,"&gt;"&amp;AG43)+COUNTIFS($AK$3:$AK$98,$AK43,AE$3:AE$98,"&lt;"&amp;AH43,AF$3:AF$98,"&gt;"&amp;AG43)+COUNTIFS($AK$3:$AK$98,$AK43,AG$3:AG$98,"&lt;"&amp;AH43,AH$3:AH$98,"&gt;"&amp;AG43)-(AG43&lt;AH43))</f>
        <v>0</v>
      </c>
      <c r="BN43">
        <f>BM43</f>
        <v>0</v>
      </c>
      <c r="BO43">
        <f>IF(ISNUMBER($G43),$G43,"")</f>
        <v>1</v>
      </c>
      <c r="BP43">
        <f>IF(AND($A43&lt;&gt;"",COUNT($K43:$AH43)&gt;0),ROW(),"")</f>
        <v>43</v>
      </c>
    </row>
    <row r="44" spans="1:68" x14ac:dyDescent="0.15">
      <c r="A44" s="25" t="str">
        <f>IF($A41="","",$A41)</f>
        <v>chMobSaiyanA</v>
      </c>
      <c r="B44" s="26" t="str">
        <f>IF($A41="","","fac")</f>
        <v>fac</v>
      </c>
      <c r="C44" s="26"/>
      <c r="D44" s="27">
        <v>5</v>
      </c>
      <c r="E44" s="28">
        <f>IF(AND($D44="",COUNT($K44:$AH44)=0),"",IF(K44="",0,MAX(0,NETWORKDAYS(K44,IF(L44&lt;&gt;"",L44,IF($J44&lt;&gt;"",K44,$AI$1)),祝日!$A$2:$A$200)))+IF(M44="",0,MAX(0,NETWORKDAYS(M44,IF(N44&lt;&gt;"",N44,IF($J44&lt;&gt;"",M44,$AI$1)),祝日!$A$2:$A$200)))+IF(O44="",0,MAX(0,NETWORKDAYS(O44,IF(P44&lt;&gt;"",P44,IF($J44&lt;&gt;"",O44,$AI$1)),祝日!$A$2:$A$200)))+IF(Q44="",0,MAX(0,NETWORKDAYS(Q44,IF(R44&lt;&gt;"",R44,IF($J44&lt;&gt;"",Q44,$AI$1)),祝日!$A$2:$A$200)))+IF(S44="",0,MAX(0,NETWORKDAYS(S44,IF(T44&lt;&gt;"",T44,IF($J44&lt;&gt;"",S44,$AI$1)),祝日!$A$2:$A$200)))+IF(U44="",0,MAX(0,NETWORKDAYS(U44,IF(V44&lt;&gt;"",V44,IF($J44&lt;&gt;"",U44,$AI$1)),祝日!$A$2:$A$200)))+IF(W44="",0,MAX(0,NETWORKDAYS(W44,IF(X44&lt;&gt;"",X44,IF($J44&lt;&gt;"",W44,$AI$1)),祝日!$A$2:$A$200)))+IF(Y44="",0,MAX(0,NETWORKDAYS(Y44,IF(Z44&lt;&gt;"",Z44,IF($J44&lt;&gt;"",Y44,$AI$1)),祝日!$A$2:$A$200)))+IF(AA44="",0,MAX(0,NETWORKDAYS(AA44,IF(AB44&lt;&gt;"",AB44,IF($J44&lt;&gt;"",AA44,$AI$1)),祝日!$A$2:$A$200)))+IF(AC44="",0,MAX(0,NETWORKDAYS(AC44,IF(AD44&lt;&gt;"",AD44,IF($J44&lt;&gt;"",AC44,$AI$1)),祝日!$A$2:$A$200)))+IF(AE44="",0,MAX(0,NETWORKDAYS(AE44,IF(AF44&lt;&gt;"",AF44,IF($J44&lt;&gt;"",AE44,$AI$1)),祝日!$A$2:$A$200)))+IF(AG44="",0,MAX(0,NETWORKDAYS(AG44,IF(AH44&lt;&gt;"",AH44,IF($J44&lt;&gt;"",AG44,$AI$1)),祝日!$A$2:$A$200))))</f>
        <v>5</v>
      </c>
      <c r="F44" s="28">
        <f>IF($D44="","",$D44-$E44)</f>
        <v>0</v>
      </c>
      <c r="G44" s="29">
        <f>IF(OR($D44="",$D44=0),"",$E44/$D44)</f>
        <v>1</v>
      </c>
      <c r="H44" s="30" t="str">
        <f>IF($D44="","",IF($J44&lt;&gt;"","FIX",IF(AND(SUMPRODUCT((MOD(COLUMN($K44:$AH44)-COLUMN($K44),2)=0)*($K44:$AH44&lt;&gt;""))=0,SUMPRODUCT((MOD(COLUMN($K44:$AH44)-COLUMN($K44),2)=1)*($K44:$AH44&lt;&gt;""))=0),"未着手",IF(SUMPRODUCT((MOD(COLUMN($K44:$AH44)-COLUMN($K44),2)=0)*($K44:$AH44&lt;&gt;""))&gt;SUMPRODUCT((MOD(COLUMN($K44:$AH44)-COLUMN($K44),2)=1)*($K44:$AH44&lt;&gt;"")),"作業中","中断"))))</f>
        <v>FIX</v>
      </c>
      <c r="I44" s="30" t="str">
        <f>IF($H44="中断",MAX(0,$AI$1-MAX(L44,N44,P44,R44,T44,V44,X44,Z44,AB44,AD44,AF44,AH44)),"")</f>
        <v/>
      </c>
      <c r="J44" s="26" t="s">
        <v>37</v>
      </c>
      <c r="K44" s="31">
        <v>46230</v>
      </c>
      <c r="L44" s="31">
        <v>46234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K44" t="str">
        <f>IF($A41="","",IF(LOOKUP(2,1/($AJ$3:$AJ44&lt;&gt;""),$AJ$3:$AJ44)="-","",LOOKUP(2,1/($AJ$3:$AJ44&lt;&gt;""),$AJ$3:$AJ44)))</f>
        <v>CH02</v>
      </c>
      <c r="AL44" t="str">
        <f>$H44</f>
        <v>FIX</v>
      </c>
      <c r="AM44">
        <f>IF(ISNUMBER($D44),$D44,0)</f>
        <v>5</v>
      </c>
      <c r="AN44">
        <f>IF(ISNUMBER($E44),$E44,0)</f>
        <v>5</v>
      </c>
      <c r="AO44">
        <f>IF(ISNUMBER($F44),$F44,0)</f>
        <v>0</v>
      </c>
      <c r="AQ44">
        <f>IF(OR($AK44="",K44="",L44=""),0,COUNTIFS($AK$3:$AK$98,$AK44,K$3:K$98,"&lt;"&amp;L44,L$3:L$98,"&gt;"&amp;K44)+COUNTIFS($AK$3:$AK$98,$AK44,M$3:M$98,"&lt;"&amp;L44,N$3:N$98,"&gt;"&amp;K44)+COUNTIFS($AK$3:$AK$98,$AK44,O$3:O$98,"&lt;"&amp;L44,P$3:P$98,"&gt;"&amp;K44)+COUNTIFS($AK$3:$AK$98,$AK44,Q$3:Q$98,"&lt;"&amp;L44,R$3:R$98,"&gt;"&amp;K44)+COUNTIFS($AK$3:$AK$98,$AK44,S$3:S$98,"&lt;"&amp;L44,T$3:T$98,"&gt;"&amp;K44)+COUNTIFS($AK$3:$AK$98,$AK44,U$3:U$98,"&lt;"&amp;L44,V$3:V$98,"&gt;"&amp;K44)+COUNTIFS($AK$3:$AK$98,$AK44,W$3:W$98,"&lt;"&amp;L44,X$3:X$98,"&gt;"&amp;K44)+COUNTIFS($AK$3:$AK$98,$AK44,Y$3:Y$98,"&lt;"&amp;L44,Z$3:Z$98,"&gt;"&amp;K44)+COUNTIFS($AK$3:$AK$98,$AK44,AA$3:AA$98,"&lt;"&amp;L44,AB$3:AB$98,"&gt;"&amp;K44)+COUNTIFS($AK$3:$AK$98,$AK44,AC$3:AC$98,"&lt;"&amp;L44,AD$3:AD$98,"&gt;"&amp;K44)+COUNTIFS($AK$3:$AK$98,$AK44,AE$3:AE$98,"&lt;"&amp;L44,AF$3:AF$98,"&gt;"&amp;K44)+COUNTIFS($AK$3:$AK$98,$AK44,AG$3:AG$98,"&lt;"&amp;L44,AH$3:AH$98,"&gt;"&amp;K44)-(K44&lt;L44))</f>
        <v>0</v>
      </c>
      <c r="AR44">
        <f>AQ44</f>
        <v>0</v>
      </c>
      <c r="AS44">
        <f>IF(OR($AK44="",M44="",N44=""),0,COUNTIFS($AK$3:$AK$98,$AK44,K$3:K$98,"&lt;"&amp;N44,L$3:L$98,"&gt;"&amp;M44)+COUNTIFS($AK$3:$AK$98,$AK44,M$3:M$98,"&lt;"&amp;N44,N$3:N$98,"&gt;"&amp;M44)+COUNTIFS($AK$3:$AK$98,$AK44,O$3:O$98,"&lt;"&amp;N44,P$3:P$98,"&gt;"&amp;M44)+COUNTIFS($AK$3:$AK$98,$AK44,Q$3:Q$98,"&lt;"&amp;N44,R$3:R$98,"&gt;"&amp;M44)+COUNTIFS($AK$3:$AK$98,$AK44,S$3:S$98,"&lt;"&amp;N44,T$3:T$98,"&gt;"&amp;M44)+COUNTIFS($AK$3:$AK$98,$AK44,U$3:U$98,"&lt;"&amp;N44,V$3:V$98,"&gt;"&amp;M44)+COUNTIFS($AK$3:$AK$98,$AK44,W$3:W$98,"&lt;"&amp;N44,X$3:X$98,"&gt;"&amp;M44)+COUNTIFS($AK$3:$AK$98,$AK44,Y$3:Y$98,"&lt;"&amp;N44,Z$3:Z$98,"&gt;"&amp;M44)+COUNTIFS($AK$3:$AK$98,$AK44,AA$3:AA$98,"&lt;"&amp;N44,AB$3:AB$98,"&gt;"&amp;M44)+COUNTIFS($AK$3:$AK$98,$AK44,AC$3:AC$98,"&lt;"&amp;N44,AD$3:AD$98,"&gt;"&amp;M44)+COUNTIFS($AK$3:$AK$98,$AK44,AE$3:AE$98,"&lt;"&amp;N44,AF$3:AF$98,"&gt;"&amp;M44)+COUNTIFS($AK$3:$AK$98,$AK44,AG$3:AG$98,"&lt;"&amp;N44,AH$3:AH$98,"&gt;"&amp;M44)-(M44&lt;N44))</f>
        <v>0</v>
      </c>
      <c r="AT44">
        <f>AS44</f>
        <v>0</v>
      </c>
      <c r="AU44">
        <f>IF(OR($AK44="",O44="",P44=""),0,COUNTIFS($AK$3:$AK$98,$AK44,K$3:K$98,"&lt;"&amp;P44,L$3:L$98,"&gt;"&amp;O44)+COUNTIFS($AK$3:$AK$98,$AK44,M$3:M$98,"&lt;"&amp;P44,N$3:N$98,"&gt;"&amp;O44)+COUNTIFS($AK$3:$AK$98,$AK44,O$3:O$98,"&lt;"&amp;P44,P$3:P$98,"&gt;"&amp;O44)+COUNTIFS($AK$3:$AK$98,$AK44,Q$3:Q$98,"&lt;"&amp;P44,R$3:R$98,"&gt;"&amp;O44)+COUNTIFS($AK$3:$AK$98,$AK44,S$3:S$98,"&lt;"&amp;P44,T$3:T$98,"&gt;"&amp;O44)+COUNTIFS($AK$3:$AK$98,$AK44,U$3:U$98,"&lt;"&amp;P44,V$3:V$98,"&gt;"&amp;O44)+COUNTIFS($AK$3:$AK$98,$AK44,W$3:W$98,"&lt;"&amp;P44,X$3:X$98,"&gt;"&amp;O44)+COUNTIFS($AK$3:$AK$98,$AK44,Y$3:Y$98,"&lt;"&amp;P44,Z$3:Z$98,"&gt;"&amp;O44)+COUNTIFS($AK$3:$AK$98,$AK44,AA$3:AA$98,"&lt;"&amp;P44,AB$3:AB$98,"&gt;"&amp;O44)+COUNTIFS($AK$3:$AK$98,$AK44,AC$3:AC$98,"&lt;"&amp;P44,AD$3:AD$98,"&gt;"&amp;O44)+COUNTIFS($AK$3:$AK$98,$AK44,AE$3:AE$98,"&lt;"&amp;P44,AF$3:AF$98,"&gt;"&amp;O44)+COUNTIFS($AK$3:$AK$98,$AK44,AG$3:AG$98,"&lt;"&amp;P44,AH$3:AH$98,"&gt;"&amp;O44)-(O44&lt;P44))</f>
        <v>0</v>
      </c>
      <c r="AV44">
        <f>AU44</f>
        <v>0</v>
      </c>
      <c r="AW44">
        <f>IF(OR($AK44="",Q44="",R44=""),0,COUNTIFS($AK$3:$AK$98,$AK44,K$3:K$98,"&lt;"&amp;R44,L$3:L$98,"&gt;"&amp;Q44)+COUNTIFS($AK$3:$AK$98,$AK44,M$3:M$98,"&lt;"&amp;R44,N$3:N$98,"&gt;"&amp;Q44)+COUNTIFS($AK$3:$AK$98,$AK44,O$3:O$98,"&lt;"&amp;R44,P$3:P$98,"&gt;"&amp;Q44)+COUNTIFS($AK$3:$AK$98,$AK44,Q$3:Q$98,"&lt;"&amp;R44,R$3:R$98,"&gt;"&amp;Q44)+COUNTIFS($AK$3:$AK$98,$AK44,S$3:S$98,"&lt;"&amp;R44,T$3:T$98,"&gt;"&amp;Q44)+COUNTIFS($AK$3:$AK$98,$AK44,U$3:U$98,"&lt;"&amp;R44,V$3:V$98,"&gt;"&amp;Q44)+COUNTIFS($AK$3:$AK$98,$AK44,W$3:W$98,"&lt;"&amp;R44,X$3:X$98,"&gt;"&amp;Q44)+COUNTIFS($AK$3:$AK$98,$AK44,Y$3:Y$98,"&lt;"&amp;R44,Z$3:Z$98,"&gt;"&amp;Q44)+COUNTIFS($AK$3:$AK$98,$AK44,AA$3:AA$98,"&lt;"&amp;R44,AB$3:AB$98,"&gt;"&amp;Q44)+COUNTIFS($AK$3:$AK$98,$AK44,AC$3:AC$98,"&lt;"&amp;R44,AD$3:AD$98,"&gt;"&amp;Q44)+COUNTIFS($AK$3:$AK$98,$AK44,AE$3:AE$98,"&lt;"&amp;R44,AF$3:AF$98,"&gt;"&amp;Q44)+COUNTIFS($AK$3:$AK$98,$AK44,AG$3:AG$98,"&lt;"&amp;R44,AH$3:AH$98,"&gt;"&amp;Q44)-(Q44&lt;R44))</f>
        <v>0</v>
      </c>
      <c r="AX44">
        <f>AW44</f>
        <v>0</v>
      </c>
      <c r="AY44">
        <f>IF(OR($AK44="",S44="",T44=""),0,COUNTIFS($AK$3:$AK$98,$AK44,K$3:K$98,"&lt;"&amp;T44,L$3:L$98,"&gt;"&amp;S44)+COUNTIFS($AK$3:$AK$98,$AK44,M$3:M$98,"&lt;"&amp;T44,N$3:N$98,"&gt;"&amp;S44)+COUNTIFS($AK$3:$AK$98,$AK44,O$3:O$98,"&lt;"&amp;T44,P$3:P$98,"&gt;"&amp;S44)+COUNTIFS($AK$3:$AK$98,$AK44,Q$3:Q$98,"&lt;"&amp;T44,R$3:R$98,"&gt;"&amp;S44)+COUNTIFS($AK$3:$AK$98,$AK44,S$3:S$98,"&lt;"&amp;T44,T$3:T$98,"&gt;"&amp;S44)+COUNTIFS($AK$3:$AK$98,$AK44,U$3:U$98,"&lt;"&amp;T44,V$3:V$98,"&gt;"&amp;S44)+COUNTIFS($AK$3:$AK$98,$AK44,W$3:W$98,"&lt;"&amp;T44,X$3:X$98,"&gt;"&amp;S44)+COUNTIFS($AK$3:$AK$98,$AK44,Y$3:Y$98,"&lt;"&amp;T44,Z$3:Z$98,"&gt;"&amp;S44)+COUNTIFS($AK$3:$AK$98,$AK44,AA$3:AA$98,"&lt;"&amp;T44,AB$3:AB$98,"&gt;"&amp;S44)+COUNTIFS($AK$3:$AK$98,$AK44,AC$3:AC$98,"&lt;"&amp;T44,AD$3:AD$98,"&gt;"&amp;S44)+COUNTIFS($AK$3:$AK$98,$AK44,AE$3:AE$98,"&lt;"&amp;T44,AF$3:AF$98,"&gt;"&amp;S44)+COUNTIFS($AK$3:$AK$98,$AK44,AG$3:AG$98,"&lt;"&amp;T44,AH$3:AH$98,"&gt;"&amp;S44)-(S44&lt;T44))</f>
        <v>0</v>
      </c>
      <c r="AZ44">
        <f>AY44</f>
        <v>0</v>
      </c>
      <c r="BA44">
        <f>IF(OR($AK44="",U44="",V44=""),0,COUNTIFS($AK$3:$AK$98,$AK44,K$3:K$98,"&lt;"&amp;V44,L$3:L$98,"&gt;"&amp;U44)+COUNTIFS($AK$3:$AK$98,$AK44,M$3:M$98,"&lt;"&amp;V44,N$3:N$98,"&gt;"&amp;U44)+COUNTIFS($AK$3:$AK$98,$AK44,O$3:O$98,"&lt;"&amp;V44,P$3:P$98,"&gt;"&amp;U44)+COUNTIFS($AK$3:$AK$98,$AK44,Q$3:Q$98,"&lt;"&amp;V44,R$3:R$98,"&gt;"&amp;U44)+COUNTIFS($AK$3:$AK$98,$AK44,S$3:S$98,"&lt;"&amp;V44,T$3:T$98,"&gt;"&amp;U44)+COUNTIFS($AK$3:$AK$98,$AK44,U$3:U$98,"&lt;"&amp;V44,V$3:V$98,"&gt;"&amp;U44)+COUNTIFS($AK$3:$AK$98,$AK44,W$3:W$98,"&lt;"&amp;V44,X$3:X$98,"&gt;"&amp;U44)+COUNTIFS($AK$3:$AK$98,$AK44,Y$3:Y$98,"&lt;"&amp;V44,Z$3:Z$98,"&gt;"&amp;U44)+COUNTIFS($AK$3:$AK$98,$AK44,AA$3:AA$98,"&lt;"&amp;V44,AB$3:AB$98,"&gt;"&amp;U44)+COUNTIFS($AK$3:$AK$98,$AK44,AC$3:AC$98,"&lt;"&amp;V44,AD$3:AD$98,"&gt;"&amp;U44)+COUNTIFS($AK$3:$AK$98,$AK44,AE$3:AE$98,"&lt;"&amp;V44,AF$3:AF$98,"&gt;"&amp;U44)+COUNTIFS($AK$3:$AK$98,$AK44,AG$3:AG$98,"&lt;"&amp;V44,AH$3:AH$98,"&gt;"&amp;U44)-(U44&lt;V44))</f>
        <v>0</v>
      </c>
      <c r="BB44">
        <f>BA44</f>
        <v>0</v>
      </c>
      <c r="BC44">
        <f>IF(OR($AK44="",W44="",X44=""),0,COUNTIFS($AK$3:$AK$98,$AK44,K$3:K$98,"&lt;"&amp;X44,L$3:L$98,"&gt;"&amp;W44)+COUNTIFS($AK$3:$AK$98,$AK44,M$3:M$98,"&lt;"&amp;X44,N$3:N$98,"&gt;"&amp;W44)+COUNTIFS($AK$3:$AK$98,$AK44,O$3:O$98,"&lt;"&amp;X44,P$3:P$98,"&gt;"&amp;W44)+COUNTIFS($AK$3:$AK$98,$AK44,Q$3:Q$98,"&lt;"&amp;X44,R$3:R$98,"&gt;"&amp;W44)+COUNTIFS($AK$3:$AK$98,$AK44,S$3:S$98,"&lt;"&amp;X44,T$3:T$98,"&gt;"&amp;W44)+COUNTIFS($AK$3:$AK$98,$AK44,U$3:U$98,"&lt;"&amp;X44,V$3:V$98,"&gt;"&amp;W44)+COUNTIFS($AK$3:$AK$98,$AK44,W$3:W$98,"&lt;"&amp;X44,X$3:X$98,"&gt;"&amp;W44)+COUNTIFS($AK$3:$AK$98,$AK44,Y$3:Y$98,"&lt;"&amp;X44,Z$3:Z$98,"&gt;"&amp;W44)+COUNTIFS($AK$3:$AK$98,$AK44,AA$3:AA$98,"&lt;"&amp;X44,AB$3:AB$98,"&gt;"&amp;W44)+COUNTIFS($AK$3:$AK$98,$AK44,AC$3:AC$98,"&lt;"&amp;X44,AD$3:AD$98,"&gt;"&amp;W44)+COUNTIFS($AK$3:$AK$98,$AK44,AE$3:AE$98,"&lt;"&amp;X44,AF$3:AF$98,"&gt;"&amp;W44)+COUNTIFS($AK$3:$AK$98,$AK44,AG$3:AG$98,"&lt;"&amp;X44,AH$3:AH$98,"&gt;"&amp;W44)-(W44&lt;X44))</f>
        <v>0</v>
      </c>
      <c r="BD44">
        <f>BC44</f>
        <v>0</v>
      </c>
      <c r="BE44">
        <f>IF(OR($AK44="",Y44="",Z44=""),0,COUNTIFS($AK$3:$AK$98,$AK44,K$3:K$98,"&lt;"&amp;Z44,L$3:L$98,"&gt;"&amp;Y44)+COUNTIFS($AK$3:$AK$98,$AK44,M$3:M$98,"&lt;"&amp;Z44,N$3:N$98,"&gt;"&amp;Y44)+COUNTIFS($AK$3:$AK$98,$AK44,O$3:O$98,"&lt;"&amp;Z44,P$3:P$98,"&gt;"&amp;Y44)+COUNTIFS($AK$3:$AK$98,$AK44,Q$3:Q$98,"&lt;"&amp;Z44,R$3:R$98,"&gt;"&amp;Y44)+COUNTIFS($AK$3:$AK$98,$AK44,S$3:S$98,"&lt;"&amp;Z44,T$3:T$98,"&gt;"&amp;Y44)+COUNTIFS($AK$3:$AK$98,$AK44,U$3:U$98,"&lt;"&amp;Z44,V$3:V$98,"&gt;"&amp;Y44)+COUNTIFS($AK$3:$AK$98,$AK44,W$3:W$98,"&lt;"&amp;Z44,X$3:X$98,"&gt;"&amp;Y44)+COUNTIFS($AK$3:$AK$98,$AK44,Y$3:Y$98,"&lt;"&amp;Z44,Z$3:Z$98,"&gt;"&amp;Y44)+COUNTIFS($AK$3:$AK$98,$AK44,AA$3:AA$98,"&lt;"&amp;Z44,AB$3:AB$98,"&gt;"&amp;Y44)+COUNTIFS($AK$3:$AK$98,$AK44,AC$3:AC$98,"&lt;"&amp;Z44,AD$3:AD$98,"&gt;"&amp;Y44)+COUNTIFS($AK$3:$AK$98,$AK44,AE$3:AE$98,"&lt;"&amp;Z44,AF$3:AF$98,"&gt;"&amp;Y44)+COUNTIFS($AK$3:$AK$98,$AK44,AG$3:AG$98,"&lt;"&amp;Z44,AH$3:AH$98,"&gt;"&amp;Y44)-(Y44&lt;Z44))</f>
        <v>0</v>
      </c>
      <c r="BF44">
        <f>BE44</f>
        <v>0</v>
      </c>
      <c r="BG44">
        <f>IF(OR($AK44="",AA44="",AB44=""),0,COUNTIFS($AK$3:$AK$98,$AK44,K$3:K$98,"&lt;"&amp;AB44,L$3:L$98,"&gt;"&amp;AA44)+COUNTIFS($AK$3:$AK$98,$AK44,M$3:M$98,"&lt;"&amp;AB44,N$3:N$98,"&gt;"&amp;AA44)+COUNTIFS($AK$3:$AK$98,$AK44,O$3:O$98,"&lt;"&amp;AB44,P$3:P$98,"&gt;"&amp;AA44)+COUNTIFS($AK$3:$AK$98,$AK44,Q$3:Q$98,"&lt;"&amp;AB44,R$3:R$98,"&gt;"&amp;AA44)+COUNTIFS($AK$3:$AK$98,$AK44,S$3:S$98,"&lt;"&amp;AB44,T$3:T$98,"&gt;"&amp;AA44)+COUNTIFS($AK$3:$AK$98,$AK44,U$3:U$98,"&lt;"&amp;AB44,V$3:V$98,"&gt;"&amp;AA44)+COUNTIFS($AK$3:$AK$98,$AK44,W$3:W$98,"&lt;"&amp;AB44,X$3:X$98,"&gt;"&amp;AA44)+COUNTIFS($AK$3:$AK$98,$AK44,Y$3:Y$98,"&lt;"&amp;AB44,Z$3:Z$98,"&gt;"&amp;AA44)+COUNTIFS($AK$3:$AK$98,$AK44,AA$3:AA$98,"&lt;"&amp;AB44,AB$3:AB$98,"&gt;"&amp;AA44)+COUNTIFS($AK$3:$AK$98,$AK44,AC$3:AC$98,"&lt;"&amp;AB44,AD$3:AD$98,"&gt;"&amp;AA44)+COUNTIFS($AK$3:$AK$98,$AK44,AE$3:AE$98,"&lt;"&amp;AB44,AF$3:AF$98,"&gt;"&amp;AA44)+COUNTIFS($AK$3:$AK$98,$AK44,AG$3:AG$98,"&lt;"&amp;AB44,AH$3:AH$98,"&gt;"&amp;AA44)-(AA44&lt;AB44))</f>
        <v>0</v>
      </c>
      <c r="BH44">
        <f>BG44</f>
        <v>0</v>
      </c>
      <c r="BI44">
        <f>IF(OR($AK44="",AC44="",AD44=""),0,COUNTIFS($AK$3:$AK$98,$AK44,K$3:K$98,"&lt;"&amp;AD44,L$3:L$98,"&gt;"&amp;AC44)+COUNTIFS($AK$3:$AK$98,$AK44,M$3:M$98,"&lt;"&amp;AD44,N$3:N$98,"&gt;"&amp;AC44)+COUNTIFS($AK$3:$AK$98,$AK44,O$3:O$98,"&lt;"&amp;AD44,P$3:P$98,"&gt;"&amp;AC44)+COUNTIFS($AK$3:$AK$98,$AK44,Q$3:Q$98,"&lt;"&amp;AD44,R$3:R$98,"&gt;"&amp;AC44)+COUNTIFS($AK$3:$AK$98,$AK44,S$3:S$98,"&lt;"&amp;AD44,T$3:T$98,"&gt;"&amp;AC44)+COUNTIFS($AK$3:$AK$98,$AK44,U$3:U$98,"&lt;"&amp;AD44,V$3:V$98,"&gt;"&amp;AC44)+COUNTIFS($AK$3:$AK$98,$AK44,W$3:W$98,"&lt;"&amp;AD44,X$3:X$98,"&gt;"&amp;AC44)+COUNTIFS($AK$3:$AK$98,$AK44,Y$3:Y$98,"&lt;"&amp;AD44,Z$3:Z$98,"&gt;"&amp;AC44)+COUNTIFS($AK$3:$AK$98,$AK44,AA$3:AA$98,"&lt;"&amp;AD44,AB$3:AB$98,"&gt;"&amp;AC44)+COUNTIFS($AK$3:$AK$98,$AK44,AC$3:AC$98,"&lt;"&amp;AD44,AD$3:AD$98,"&gt;"&amp;AC44)+COUNTIFS($AK$3:$AK$98,$AK44,AE$3:AE$98,"&lt;"&amp;AD44,AF$3:AF$98,"&gt;"&amp;AC44)+COUNTIFS($AK$3:$AK$98,$AK44,AG$3:AG$98,"&lt;"&amp;AD44,AH$3:AH$98,"&gt;"&amp;AC44)-(AC44&lt;AD44))</f>
        <v>0</v>
      </c>
      <c r="BJ44">
        <f>BI44</f>
        <v>0</v>
      </c>
      <c r="BK44">
        <f>IF(OR($AK44="",AE44="",AF44=""),0,COUNTIFS($AK$3:$AK$98,$AK44,K$3:K$98,"&lt;"&amp;AF44,L$3:L$98,"&gt;"&amp;AE44)+COUNTIFS($AK$3:$AK$98,$AK44,M$3:M$98,"&lt;"&amp;AF44,N$3:N$98,"&gt;"&amp;AE44)+COUNTIFS($AK$3:$AK$98,$AK44,O$3:O$98,"&lt;"&amp;AF44,P$3:P$98,"&gt;"&amp;AE44)+COUNTIFS($AK$3:$AK$98,$AK44,Q$3:Q$98,"&lt;"&amp;AF44,R$3:R$98,"&gt;"&amp;AE44)+COUNTIFS($AK$3:$AK$98,$AK44,S$3:S$98,"&lt;"&amp;AF44,T$3:T$98,"&gt;"&amp;AE44)+COUNTIFS($AK$3:$AK$98,$AK44,U$3:U$98,"&lt;"&amp;AF44,V$3:V$98,"&gt;"&amp;AE44)+COUNTIFS($AK$3:$AK$98,$AK44,W$3:W$98,"&lt;"&amp;AF44,X$3:X$98,"&gt;"&amp;AE44)+COUNTIFS($AK$3:$AK$98,$AK44,Y$3:Y$98,"&lt;"&amp;AF44,Z$3:Z$98,"&gt;"&amp;AE44)+COUNTIFS($AK$3:$AK$98,$AK44,AA$3:AA$98,"&lt;"&amp;AF44,AB$3:AB$98,"&gt;"&amp;AE44)+COUNTIFS($AK$3:$AK$98,$AK44,AC$3:AC$98,"&lt;"&amp;AF44,AD$3:AD$98,"&gt;"&amp;AE44)+COUNTIFS($AK$3:$AK$98,$AK44,AE$3:AE$98,"&lt;"&amp;AF44,AF$3:AF$98,"&gt;"&amp;AE44)+COUNTIFS($AK$3:$AK$98,$AK44,AG$3:AG$98,"&lt;"&amp;AF44,AH$3:AH$98,"&gt;"&amp;AE44)-(AE44&lt;AF44))</f>
        <v>0</v>
      </c>
      <c r="BL44">
        <f>BK44</f>
        <v>0</v>
      </c>
      <c r="BM44">
        <f>IF(OR($AK44="",AG44="",AH44=""),0,COUNTIFS($AK$3:$AK$98,$AK44,K$3:K$98,"&lt;"&amp;AH44,L$3:L$98,"&gt;"&amp;AG44)+COUNTIFS($AK$3:$AK$98,$AK44,M$3:M$98,"&lt;"&amp;AH44,N$3:N$98,"&gt;"&amp;AG44)+COUNTIFS($AK$3:$AK$98,$AK44,O$3:O$98,"&lt;"&amp;AH44,P$3:P$98,"&gt;"&amp;AG44)+COUNTIFS($AK$3:$AK$98,$AK44,Q$3:Q$98,"&lt;"&amp;AH44,R$3:R$98,"&gt;"&amp;AG44)+COUNTIFS($AK$3:$AK$98,$AK44,S$3:S$98,"&lt;"&amp;AH44,T$3:T$98,"&gt;"&amp;AG44)+COUNTIFS($AK$3:$AK$98,$AK44,U$3:U$98,"&lt;"&amp;AH44,V$3:V$98,"&gt;"&amp;AG44)+COUNTIFS($AK$3:$AK$98,$AK44,W$3:W$98,"&lt;"&amp;AH44,X$3:X$98,"&gt;"&amp;AG44)+COUNTIFS($AK$3:$AK$98,$AK44,Y$3:Y$98,"&lt;"&amp;AH44,Z$3:Z$98,"&gt;"&amp;AG44)+COUNTIFS($AK$3:$AK$98,$AK44,AA$3:AA$98,"&lt;"&amp;AH44,AB$3:AB$98,"&gt;"&amp;AG44)+COUNTIFS($AK$3:$AK$98,$AK44,AC$3:AC$98,"&lt;"&amp;AH44,AD$3:AD$98,"&gt;"&amp;AG44)+COUNTIFS($AK$3:$AK$98,$AK44,AE$3:AE$98,"&lt;"&amp;AH44,AF$3:AF$98,"&gt;"&amp;AG44)+COUNTIFS($AK$3:$AK$98,$AK44,AG$3:AG$98,"&lt;"&amp;AH44,AH$3:AH$98,"&gt;"&amp;AG44)-(AG44&lt;AH44))</f>
        <v>0</v>
      </c>
      <c r="BN44">
        <f>BM44</f>
        <v>0</v>
      </c>
      <c r="BO44">
        <f>IF(ISNUMBER($G44),$G44,"")</f>
        <v>1</v>
      </c>
      <c r="BP44">
        <f>IF(AND($A44&lt;&gt;"",COUNT($K44:$AH44)&gt;0),ROW(),"")</f>
        <v>44</v>
      </c>
    </row>
    <row r="45" spans="1:68" ht="14.25" customHeight="1" x14ac:dyDescent="0.15">
      <c r="A45" s="9" t="s">
        <v>44</v>
      </c>
      <c r="B45" s="32">
        <f>IF($A45="","",COUNTIFS($AK$3:$AK$98,$A45,$AL$3:$AL$98,"作業中"))</f>
        <v>1</v>
      </c>
      <c r="C45" s="33"/>
      <c r="D45" s="10">
        <f>IF($A45="","",SUMIFS($AM$3:$AM$98,$AK$3:$AK$98,$A45))</f>
        <v>90</v>
      </c>
      <c r="E45" s="10">
        <f ca="1">IF($A45="","",SUMIFS($AN$3:$AN$98,$AK$3:$AK$98,$A45))</f>
        <v>63</v>
      </c>
      <c r="F45" s="10">
        <f ca="1">IF($A45="","",SUMIFS($AO$3:$AO$98,$AK$3:$AK$98,$A45,$AL$3:$AL$98,"&lt;&gt;FIX"))</f>
        <v>25</v>
      </c>
      <c r="G45" s="11">
        <f>IF($A45="","",IFERROR(AVERAGEIFS($BO$3:$BO$98,$AK$3:$AK$98,$A45,$AL$3:$AL$98,"FIX"),""))</f>
        <v>0.97222222222222221</v>
      </c>
      <c r="H45" s="12" t="str">
        <f ca="1">IF($A45="","",IF(COUNTIFS($AK$3:$AK$98,$A45,$AL$3:$AL$98,"作業中")&gt;0,IF(SUMIFS($AO$3:$AO$98,$AK$3:$AK$98,$A45,$AL$3:$AL$98,"作業中")&lt;=0,"工数超過","作業中"),IF(COUNTIFS($AK$3:$AK$98,$A45,$AL$3:$AL$98,"中断")&gt;0,"作業待ち",IF(COUNTIFS($AK$3:$AK$98,$A45,$AL$3:$AL$98,"未着手")&gt;0,"着手待ち","空き"))))</f>
        <v>作業中</v>
      </c>
      <c r="I45" s="34">
        <f ca="1">IF($A45="","",祝日!L4)</f>
        <v>0</v>
      </c>
      <c r="J45" s="9"/>
      <c r="AJ45" t="str">
        <f>IF($A45="","-",$A45)</f>
        <v>CH03</v>
      </c>
      <c r="BP45">
        <f>ROW()</f>
        <v>45</v>
      </c>
    </row>
    <row r="46" spans="1:68" x14ac:dyDescent="0.15">
      <c r="A46" s="13"/>
      <c r="B46" s="14" t="str">
        <f>IF($A46="","","total")</f>
        <v/>
      </c>
      <c r="C46" s="14"/>
      <c r="D46" s="15" t="str">
        <f>IF($A46="","",SUM(D47:D49))</f>
        <v/>
      </c>
      <c r="E46" s="15" t="str">
        <f>IF($A46="","",SUM(E47:E49))</f>
        <v/>
      </c>
      <c r="F46" s="15" t="str">
        <f>IF($A46="","",D46-E46)</f>
        <v/>
      </c>
      <c r="G46" s="16" t="str">
        <f>IF($A46="","",IFERROR(AVERAGEIFS(G47:G49,H47:H49,"&lt;&gt;未着手",H47:H49,"&lt;&gt;作業中"),""))</f>
        <v/>
      </c>
      <c r="H46" s="14"/>
      <c r="I46" s="14"/>
      <c r="J46" s="14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</row>
    <row r="47" spans="1:68" x14ac:dyDescent="0.15">
      <c r="A47" s="18" t="str">
        <f>IF($A46="","",$A46)</f>
        <v/>
      </c>
      <c r="B47" s="19" t="str">
        <f>IF($A46="","","low")</f>
        <v/>
      </c>
      <c r="C47" s="19"/>
      <c r="D47" s="20"/>
      <c r="E47" s="21" t="str">
        <f>IF(AND($D47="",COUNT($K47:$AH47)=0),"",IF(K47="",0,MAX(0,NETWORKDAYS(K47,IF(L47&lt;&gt;"",L47,IF($J47&lt;&gt;"",K47,$AI$1)),祝日!$A$2:$A$200)))+IF(M47="",0,MAX(0,NETWORKDAYS(M47,IF(N47&lt;&gt;"",N47,IF($J47&lt;&gt;"",M47,$AI$1)),祝日!$A$2:$A$200)))+IF(O47="",0,MAX(0,NETWORKDAYS(O47,IF(P47&lt;&gt;"",P47,IF($J47&lt;&gt;"",O47,$AI$1)),祝日!$A$2:$A$200)))+IF(Q47="",0,MAX(0,NETWORKDAYS(Q47,IF(R47&lt;&gt;"",R47,IF($J47&lt;&gt;"",Q47,$AI$1)),祝日!$A$2:$A$200)))+IF(S47="",0,MAX(0,NETWORKDAYS(S47,IF(T47&lt;&gt;"",T47,IF($J47&lt;&gt;"",S47,$AI$1)),祝日!$A$2:$A$200)))+IF(U47="",0,MAX(0,NETWORKDAYS(U47,IF(V47&lt;&gt;"",V47,IF($J47&lt;&gt;"",U47,$AI$1)),祝日!$A$2:$A$200)))+IF(W47="",0,MAX(0,NETWORKDAYS(W47,IF(X47&lt;&gt;"",X47,IF($J47&lt;&gt;"",W47,$AI$1)),祝日!$A$2:$A$200)))+IF(Y47="",0,MAX(0,NETWORKDAYS(Y47,IF(Z47&lt;&gt;"",Z47,IF($J47&lt;&gt;"",Y47,$AI$1)),祝日!$A$2:$A$200)))+IF(AA47="",0,MAX(0,NETWORKDAYS(AA47,IF(AB47&lt;&gt;"",AB47,IF($J47&lt;&gt;"",AA47,$AI$1)),祝日!$A$2:$A$200)))+IF(AC47="",0,MAX(0,NETWORKDAYS(AC47,IF(AD47&lt;&gt;"",AD47,IF($J47&lt;&gt;"",AC47,$AI$1)),祝日!$A$2:$A$200)))+IF(AE47="",0,MAX(0,NETWORKDAYS(AE47,IF(AF47&lt;&gt;"",AF47,IF($J47&lt;&gt;"",AE47,$AI$1)),祝日!$A$2:$A$200)))+IF(AG47="",0,MAX(0,NETWORKDAYS(AG47,IF(AH47&lt;&gt;"",AH47,IF($J47&lt;&gt;"",AG47,$AI$1)),祝日!$A$2:$A$200))))</f>
        <v/>
      </c>
      <c r="F47" s="21" t="str">
        <f>IF($D47="","",$D47-$E47)</f>
        <v/>
      </c>
      <c r="G47" s="22" t="str">
        <f>IF(OR($D47="",$D47=0),"",$E47/$D47)</f>
        <v/>
      </c>
      <c r="H47" s="23" t="str">
        <f>IF($D47="","",IF($J47&lt;&gt;"","FIX",IF(AND(SUMPRODUCT((MOD(COLUMN($K47:$AH47)-COLUMN($K47),2)=0)*($K47:$AH47&lt;&gt;""))=0,SUMPRODUCT((MOD(COLUMN($K47:$AH47)-COLUMN($K47),2)=1)*($K47:$AH47&lt;&gt;""))=0),"未着手",IF(SUMPRODUCT((MOD(COLUMN($K47:$AH47)-COLUMN($K47),2)=0)*($K47:$AH47&lt;&gt;""))&gt;SUMPRODUCT((MOD(COLUMN($K47:$AH47)-COLUMN($K47),2)=1)*($K47:$AH47&lt;&gt;"")),"作業中","中断"))))</f>
        <v/>
      </c>
      <c r="I47" s="23" t="str">
        <f>IF($H47="中断",MAX(0,$AI$1-MAX(L47,N47,P47,R47,T47,V47,X47,Z47,AB47,AD47,AF47,AH47)),"")</f>
        <v/>
      </c>
      <c r="J47" s="19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K47" t="str">
        <f>IF($A46="","",IF(LOOKUP(2,1/($AJ$3:$AJ47&lt;&gt;""),$AJ$3:$AJ47)="-","",LOOKUP(2,1/($AJ$3:$AJ47&lt;&gt;""),$AJ$3:$AJ47)))</f>
        <v/>
      </c>
      <c r="AL47" t="str">
        <f>$H47</f>
        <v/>
      </c>
      <c r="AM47">
        <f>IF(ISNUMBER($D47),$D47,0)</f>
        <v>0</v>
      </c>
      <c r="AN47">
        <f>IF(ISNUMBER($E47),$E47,0)</f>
        <v>0</v>
      </c>
      <c r="AO47">
        <f>IF(ISNUMBER($F47),$F47,0)</f>
        <v>0</v>
      </c>
      <c r="AQ47">
        <f>IF(OR($AK47="",K47="",L47=""),0,COUNTIFS($AK$3:$AK$98,$AK47,K$3:K$98,"&lt;"&amp;L47,L$3:L$98,"&gt;"&amp;K47)+COUNTIFS($AK$3:$AK$98,$AK47,M$3:M$98,"&lt;"&amp;L47,N$3:N$98,"&gt;"&amp;K47)+COUNTIFS($AK$3:$AK$98,$AK47,O$3:O$98,"&lt;"&amp;L47,P$3:P$98,"&gt;"&amp;K47)+COUNTIFS($AK$3:$AK$98,$AK47,Q$3:Q$98,"&lt;"&amp;L47,R$3:R$98,"&gt;"&amp;K47)+COUNTIFS($AK$3:$AK$98,$AK47,S$3:S$98,"&lt;"&amp;L47,T$3:T$98,"&gt;"&amp;K47)+COUNTIFS($AK$3:$AK$98,$AK47,U$3:U$98,"&lt;"&amp;L47,V$3:V$98,"&gt;"&amp;K47)+COUNTIFS($AK$3:$AK$98,$AK47,W$3:W$98,"&lt;"&amp;L47,X$3:X$98,"&gt;"&amp;K47)+COUNTIFS($AK$3:$AK$98,$AK47,Y$3:Y$98,"&lt;"&amp;L47,Z$3:Z$98,"&gt;"&amp;K47)+COUNTIFS($AK$3:$AK$98,$AK47,AA$3:AA$98,"&lt;"&amp;L47,AB$3:AB$98,"&gt;"&amp;K47)+COUNTIFS($AK$3:$AK$98,$AK47,AC$3:AC$98,"&lt;"&amp;L47,AD$3:AD$98,"&gt;"&amp;K47)+COUNTIFS($AK$3:$AK$98,$AK47,AE$3:AE$98,"&lt;"&amp;L47,AF$3:AF$98,"&gt;"&amp;K47)+COUNTIFS($AK$3:$AK$98,$AK47,AG$3:AG$98,"&lt;"&amp;L47,AH$3:AH$98,"&gt;"&amp;K47)-(K47&lt;L47))</f>
        <v>0</v>
      </c>
      <c r="AR47">
        <f>AQ47</f>
        <v>0</v>
      </c>
      <c r="AS47">
        <f>IF(OR($AK47="",M47="",N47=""),0,COUNTIFS($AK$3:$AK$98,$AK47,K$3:K$98,"&lt;"&amp;N47,L$3:L$98,"&gt;"&amp;M47)+COUNTIFS($AK$3:$AK$98,$AK47,M$3:M$98,"&lt;"&amp;N47,N$3:N$98,"&gt;"&amp;M47)+COUNTIFS($AK$3:$AK$98,$AK47,O$3:O$98,"&lt;"&amp;N47,P$3:P$98,"&gt;"&amp;M47)+COUNTIFS($AK$3:$AK$98,$AK47,Q$3:Q$98,"&lt;"&amp;N47,R$3:R$98,"&gt;"&amp;M47)+COUNTIFS($AK$3:$AK$98,$AK47,S$3:S$98,"&lt;"&amp;N47,T$3:T$98,"&gt;"&amp;M47)+COUNTIFS($AK$3:$AK$98,$AK47,U$3:U$98,"&lt;"&amp;N47,V$3:V$98,"&gt;"&amp;M47)+COUNTIFS($AK$3:$AK$98,$AK47,W$3:W$98,"&lt;"&amp;N47,X$3:X$98,"&gt;"&amp;M47)+COUNTIFS($AK$3:$AK$98,$AK47,Y$3:Y$98,"&lt;"&amp;N47,Z$3:Z$98,"&gt;"&amp;M47)+COUNTIFS($AK$3:$AK$98,$AK47,AA$3:AA$98,"&lt;"&amp;N47,AB$3:AB$98,"&gt;"&amp;M47)+COUNTIFS($AK$3:$AK$98,$AK47,AC$3:AC$98,"&lt;"&amp;N47,AD$3:AD$98,"&gt;"&amp;M47)+COUNTIFS($AK$3:$AK$98,$AK47,AE$3:AE$98,"&lt;"&amp;N47,AF$3:AF$98,"&gt;"&amp;M47)+COUNTIFS($AK$3:$AK$98,$AK47,AG$3:AG$98,"&lt;"&amp;N47,AH$3:AH$98,"&gt;"&amp;M47)-(M47&lt;N47))</f>
        <v>0</v>
      </c>
      <c r="AT47">
        <f>AS47</f>
        <v>0</v>
      </c>
      <c r="AU47">
        <f>IF(OR($AK47="",O47="",P47=""),0,COUNTIFS($AK$3:$AK$98,$AK47,K$3:K$98,"&lt;"&amp;P47,L$3:L$98,"&gt;"&amp;O47)+COUNTIFS($AK$3:$AK$98,$AK47,M$3:M$98,"&lt;"&amp;P47,N$3:N$98,"&gt;"&amp;O47)+COUNTIFS($AK$3:$AK$98,$AK47,O$3:O$98,"&lt;"&amp;P47,P$3:P$98,"&gt;"&amp;O47)+COUNTIFS($AK$3:$AK$98,$AK47,Q$3:Q$98,"&lt;"&amp;P47,R$3:R$98,"&gt;"&amp;O47)+COUNTIFS($AK$3:$AK$98,$AK47,S$3:S$98,"&lt;"&amp;P47,T$3:T$98,"&gt;"&amp;O47)+COUNTIFS($AK$3:$AK$98,$AK47,U$3:U$98,"&lt;"&amp;P47,V$3:V$98,"&gt;"&amp;O47)+COUNTIFS($AK$3:$AK$98,$AK47,W$3:W$98,"&lt;"&amp;P47,X$3:X$98,"&gt;"&amp;O47)+COUNTIFS($AK$3:$AK$98,$AK47,Y$3:Y$98,"&lt;"&amp;P47,Z$3:Z$98,"&gt;"&amp;O47)+COUNTIFS($AK$3:$AK$98,$AK47,AA$3:AA$98,"&lt;"&amp;P47,AB$3:AB$98,"&gt;"&amp;O47)+COUNTIFS($AK$3:$AK$98,$AK47,AC$3:AC$98,"&lt;"&amp;P47,AD$3:AD$98,"&gt;"&amp;O47)+COUNTIFS($AK$3:$AK$98,$AK47,AE$3:AE$98,"&lt;"&amp;P47,AF$3:AF$98,"&gt;"&amp;O47)+COUNTIFS($AK$3:$AK$98,$AK47,AG$3:AG$98,"&lt;"&amp;P47,AH$3:AH$98,"&gt;"&amp;O47)-(O47&lt;P47))</f>
        <v>0</v>
      </c>
      <c r="AV47">
        <f>AU47</f>
        <v>0</v>
      </c>
      <c r="AW47">
        <f>IF(OR($AK47="",Q47="",R47=""),0,COUNTIFS($AK$3:$AK$98,$AK47,K$3:K$98,"&lt;"&amp;R47,L$3:L$98,"&gt;"&amp;Q47)+COUNTIFS($AK$3:$AK$98,$AK47,M$3:M$98,"&lt;"&amp;R47,N$3:N$98,"&gt;"&amp;Q47)+COUNTIFS($AK$3:$AK$98,$AK47,O$3:O$98,"&lt;"&amp;R47,P$3:P$98,"&gt;"&amp;Q47)+COUNTIFS($AK$3:$AK$98,$AK47,Q$3:Q$98,"&lt;"&amp;R47,R$3:R$98,"&gt;"&amp;Q47)+COUNTIFS($AK$3:$AK$98,$AK47,S$3:S$98,"&lt;"&amp;R47,T$3:T$98,"&gt;"&amp;Q47)+COUNTIFS($AK$3:$AK$98,$AK47,U$3:U$98,"&lt;"&amp;R47,V$3:V$98,"&gt;"&amp;Q47)+COUNTIFS($AK$3:$AK$98,$AK47,W$3:W$98,"&lt;"&amp;R47,X$3:X$98,"&gt;"&amp;Q47)+COUNTIFS($AK$3:$AK$98,$AK47,Y$3:Y$98,"&lt;"&amp;R47,Z$3:Z$98,"&gt;"&amp;Q47)+COUNTIFS($AK$3:$AK$98,$AK47,AA$3:AA$98,"&lt;"&amp;R47,AB$3:AB$98,"&gt;"&amp;Q47)+COUNTIFS($AK$3:$AK$98,$AK47,AC$3:AC$98,"&lt;"&amp;R47,AD$3:AD$98,"&gt;"&amp;Q47)+COUNTIFS($AK$3:$AK$98,$AK47,AE$3:AE$98,"&lt;"&amp;R47,AF$3:AF$98,"&gt;"&amp;Q47)+COUNTIFS($AK$3:$AK$98,$AK47,AG$3:AG$98,"&lt;"&amp;R47,AH$3:AH$98,"&gt;"&amp;Q47)-(Q47&lt;R47))</f>
        <v>0</v>
      </c>
      <c r="AX47">
        <f>AW47</f>
        <v>0</v>
      </c>
      <c r="AY47">
        <f>IF(OR($AK47="",S47="",T47=""),0,COUNTIFS($AK$3:$AK$98,$AK47,K$3:K$98,"&lt;"&amp;T47,L$3:L$98,"&gt;"&amp;S47)+COUNTIFS($AK$3:$AK$98,$AK47,M$3:M$98,"&lt;"&amp;T47,N$3:N$98,"&gt;"&amp;S47)+COUNTIFS($AK$3:$AK$98,$AK47,O$3:O$98,"&lt;"&amp;T47,P$3:P$98,"&gt;"&amp;S47)+COUNTIFS($AK$3:$AK$98,$AK47,Q$3:Q$98,"&lt;"&amp;T47,R$3:R$98,"&gt;"&amp;S47)+COUNTIFS($AK$3:$AK$98,$AK47,S$3:S$98,"&lt;"&amp;T47,T$3:T$98,"&gt;"&amp;S47)+COUNTIFS($AK$3:$AK$98,$AK47,U$3:U$98,"&lt;"&amp;T47,V$3:V$98,"&gt;"&amp;S47)+COUNTIFS($AK$3:$AK$98,$AK47,W$3:W$98,"&lt;"&amp;T47,X$3:X$98,"&gt;"&amp;S47)+COUNTIFS($AK$3:$AK$98,$AK47,Y$3:Y$98,"&lt;"&amp;T47,Z$3:Z$98,"&gt;"&amp;S47)+COUNTIFS($AK$3:$AK$98,$AK47,AA$3:AA$98,"&lt;"&amp;T47,AB$3:AB$98,"&gt;"&amp;S47)+COUNTIFS($AK$3:$AK$98,$AK47,AC$3:AC$98,"&lt;"&amp;T47,AD$3:AD$98,"&gt;"&amp;S47)+COUNTIFS($AK$3:$AK$98,$AK47,AE$3:AE$98,"&lt;"&amp;T47,AF$3:AF$98,"&gt;"&amp;S47)+COUNTIFS($AK$3:$AK$98,$AK47,AG$3:AG$98,"&lt;"&amp;T47,AH$3:AH$98,"&gt;"&amp;S47)-(S47&lt;T47))</f>
        <v>0</v>
      </c>
      <c r="AZ47">
        <f>AY47</f>
        <v>0</v>
      </c>
      <c r="BA47">
        <f>IF(OR($AK47="",U47="",V47=""),0,COUNTIFS($AK$3:$AK$98,$AK47,K$3:K$98,"&lt;"&amp;V47,L$3:L$98,"&gt;"&amp;U47)+COUNTIFS($AK$3:$AK$98,$AK47,M$3:M$98,"&lt;"&amp;V47,N$3:N$98,"&gt;"&amp;U47)+COUNTIFS($AK$3:$AK$98,$AK47,O$3:O$98,"&lt;"&amp;V47,P$3:P$98,"&gt;"&amp;U47)+COUNTIFS($AK$3:$AK$98,$AK47,Q$3:Q$98,"&lt;"&amp;V47,R$3:R$98,"&gt;"&amp;U47)+COUNTIFS($AK$3:$AK$98,$AK47,S$3:S$98,"&lt;"&amp;V47,T$3:T$98,"&gt;"&amp;U47)+COUNTIFS($AK$3:$AK$98,$AK47,U$3:U$98,"&lt;"&amp;V47,V$3:V$98,"&gt;"&amp;U47)+COUNTIFS($AK$3:$AK$98,$AK47,W$3:W$98,"&lt;"&amp;V47,X$3:X$98,"&gt;"&amp;U47)+COUNTIFS($AK$3:$AK$98,$AK47,Y$3:Y$98,"&lt;"&amp;V47,Z$3:Z$98,"&gt;"&amp;U47)+COUNTIFS($AK$3:$AK$98,$AK47,AA$3:AA$98,"&lt;"&amp;V47,AB$3:AB$98,"&gt;"&amp;U47)+COUNTIFS($AK$3:$AK$98,$AK47,AC$3:AC$98,"&lt;"&amp;V47,AD$3:AD$98,"&gt;"&amp;U47)+COUNTIFS($AK$3:$AK$98,$AK47,AE$3:AE$98,"&lt;"&amp;V47,AF$3:AF$98,"&gt;"&amp;U47)+COUNTIFS($AK$3:$AK$98,$AK47,AG$3:AG$98,"&lt;"&amp;V47,AH$3:AH$98,"&gt;"&amp;U47)-(U47&lt;V47))</f>
        <v>0</v>
      </c>
      <c r="BB47">
        <f>BA47</f>
        <v>0</v>
      </c>
      <c r="BC47">
        <f>IF(OR($AK47="",W47="",X47=""),0,COUNTIFS($AK$3:$AK$98,$AK47,K$3:K$98,"&lt;"&amp;X47,L$3:L$98,"&gt;"&amp;W47)+COUNTIFS($AK$3:$AK$98,$AK47,M$3:M$98,"&lt;"&amp;X47,N$3:N$98,"&gt;"&amp;W47)+COUNTIFS($AK$3:$AK$98,$AK47,O$3:O$98,"&lt;"&amp;X47,P$3:P$98,"&gt;"&amp;W47)+COUNTIFS($AK$3:$AK$98,$AK47,Q$3:Q$98,"&lt;"&amp;X47,R$3:R$98,"&gt;"&amp;W47)+COUNTIFS($AK$3:$AK$98,$AK47,S$3:S$98,"&lt;"&amp;X47,T$3:T$98,"&gt;"&amp;W47)+COUNTIFS($AK$3:$AK$98,$AK47,U$3:U$98,"&lt;"&amp;X47,V$3:V$98,"&gt;"&amp;W47)+COUNTIFS($AK$3:$AK$98,$AK47,W$3:W$98,"&lt;"&amp;X47,X$3:X$98,"&gt;"&amp;W47)+COUNTIFS($AK$3:$AK$98,$AK47,Y$3:Y$98,"&lt;"&amp;X47,Z$3:Z$98,"&gt;"&amp;W47)+COUNTIFS($AK$3:$AK$98,$AK47,AA$3:AA$98,"&lt;"&amp;X47,AB$3:AB$98,"&gt;"&amp;W47)+COUNTIFS($AK$3:$AK$98,$AK47,AC$3:AC$98,"&lt;"&amp;X47,AD$3:AD$98,"&gt;"&amp;W47)+COUNTIFS($AK$3:$AK$98,$AK47,AE$3:AE$98,"&lt;"&amp;X47,AF$3:AF$98,"&gt;"&amp;W47)+COUNTIFS($AK$3:$AK$98,$AK47,AG$3:AG$98,"&lt;"&amp;X47,AH$3:AH$98,"&gt;"&amp;W47)-(W47&lt;X47))</f>
        <v>0</v>
      </c>
      <c r="BD47">
        <f>BC47</f>
        <v>0</v>
      </c>
      <c r="BE47">
        <f>IF(OR($AK47="",Y47="",Z47=""),0,COUNTIFS($AK$3:$AK$98,$AK47,K$3:K$98,"&lt;"&amp;Z47,L$3:L$98,"&gt;"&amp;Y47)+COUNTIFS($AK$3:$AK$98,$AK47,M$3:M$98,"&lt;"&amp;Z47,N$3:N$98,"&gt;"&amp;Y47)+COUNTIFS($AK$3:$AK$98,$AK47,O$3:O$98,"&lt;"&amp;Z47,P$3:P$98,"&gt;"&amp;Y47)+COUNTIFS($AK$3:$AK$98,$AK47,Q$3:Q$98,"&lt;"&amp;Z47,R$3:R$98,"&gt;"&amp;Y47)+COUNTIFS($AK$3:$AK$98,$AK47,S$3:S$98,"&lt;"&amp;Z47,T$3:T$98,"&gt;"&amp;Y47)+COUNTIFS($AK$3:$AK$98,$AK47,U$3:U$98,"&lt;"&amp;Z47,V$3:V$98,"&gt;"&amp;Y47)+COUNTIFS($AK$3:$AK$98,$AK47,W$3:W$98,"&lt;"&amp;Z47,X$3:X$98,"&gt;"&amp;Y47)+COUNTIFS($AK$3:$AK$98,$AK47,Y$3:Y$98,"&lt;"&amp;Z47,Z$3:Z$98,"&gt;"&amp;Y47)+COUNTIFS($AK$3:$AK$98,$AK47,AA$3:AA$98,"&lt;"&amp;Z47,AB$3:AB$98,"&gt;"&amp;Y47)+COUNTIFS($AK$3:$AK$98,$AK47,AC$3:AC$98,"&lt;"&amp;Z47,AD$3:AD$98,"&gt;"&amp;Y47)+COUNTIFS($AK$3:$AK$98,$AK47,AE$3:AE$98,"&lt;"&amp;Z47,AF$3:AF$98,"&gt;"&amp;Y47)+COUNTIFS($AK$3:$AK$98,$AK47,AG$3:AG$98,"&lt;"&amp;Z47,AH$3:AH$98,"&gt;"&amp;Y47)-(Y47&lt;Z47))</f>
        <v>0</v>
      </c>
      <c r="BF47">
        <f>BE47</f>
        <v>0</v>
      </c>
      <c r="BG47">
        <f>IF(OR($AK47="",AA47="",AB47=""),0,COUNTIFS($AK$3:$AK$98,$AK47,K$3:K$98,"&lt;"&amp;AB47,L$3:L$98,"&gt;"&amp;AA47)+COUNTIFS($AK$3:$AK$98,$AK47,M$3:M$98,"&lt;"&amp;AB47,N$3:N$98,"&gt;"&amp;AA47)+COUNTIFS($AK$3:$AK$98,$AK47,O$3:O$98,"&lt;"&amp;AB47,P$3:P$98,"&gt;"&amp;AA47)+COUNTIFS($AK$3:$AK$98,$AK47,Q$3:Q$98,"&lt;"&amp;AB47,R$3:R$98,"&gt;"&amp;AA47)+COUNTIFS($AK$3:$AK$98,$AK47,S$3:S$98,"&lt;"&amp;AB47,T$3:T$98,"&gt;"&amp;AA47)+COUNTIFS($AK$3:$AK$98,$AK47,U$3:U$98,"&lt;"&amp;AB47,V$3:V$98,"&gt;"&amp;AA47)+COUNTIFS($AK$3:$AK$98,$AK47,W$3:W$98,"&lt;"&amp;AB47,X$3:X$98,"&gt;"&amp;AA47)+COUNTIFS($AK$3:$AK$98,$AK47,Y$3:Y$98,"&lt;"&amp;AB47,Z$3:Z$98,"&gt;"&amp;AA47)+COUNTIFS($AK$3:$AK$98,$AK47,AA$3:AA$98,"&lt;"&amp;AB47,AB$3:AB$98,"&gt;"&amp;AA47)+COUNTIFS($AK$3:$AK$98,$AK47,AC$3:AC$98,"&lt;"&amp;AB47,AD$3:AD$98,"&gt;"&amp;AA47)+COUNTIFS($AK$3:$AK$98,$AK47,AE$3:AE$98,"&lt;"&amp;AB47,AF$3:AF$98,"&gt;"&amp;AA47)+COUNTIFS($AK$3:$AK$98,$AK47,AG$3:AG$98,"&lt;"&amp;AB47,AH$3:AH$98,"&gt;"&amp;AA47)-(AA47&lt;AB47))</f>
        <v>0</v>
      </c>
      <c r="BH47">
        <f>BG47</f>
        <v>0</v>
      </c>
      <c r="BI47">
        <f>IF(OR($AK47="",AC47="",AD47=""),0,COUNTIFS($AK$3:$AK$98,$AK47,K$3:K$98,"&lt;"&amp;AD47,L$3:L$98,"&gt;"&amp;AC47)+COUNTIFS($AK$3:$AK$98,$AK47,M$3:M$98,"&lt;"&amp;AD47,N$3:N$98,"&gt;"&amp;AC47)+COUNTIFS($AK$3:$AK$98,$AK47,O$3:O$98,"&lt;"&amp;AD47,P$3:P$98,"&gt;"&amp;AC47)+COUNTIFS($AK$3:$AK$98,$AK47,Q$3:Q$98,"&lt;"&amp;AD47,R$3:R$98,"&gt;"&amp;AC47)+COUNTIFS($AK$3:$AK$98,$AK47,S$3:S$98,"&lt;"&amp;AD47,T$3:T$98,"&gt;"&amp;AC47)+COUNTIFS($AK$3:$AK$98,$AK47,U$3:U$98,"&lt;"&amp;AD47,V$3:V$98,"&gt;"&amp;AC47)+COUNTIFS($AK$3:$AK$98,$AK47,W$3:W$98,"&lt;"&amp;AD47,X$3:X$98,"&gt;"&amp;AC47)+COUNTIFS($AK$3:$AK$98,$AK47,Y$3:Y$98,"&lt;"&amp;AD47,Z$3:Z$98,"&gt;"&amp;AC47)+COUNTIFS($AK$3:$AK$98,$AK47,AA$3:AA$98,"&lt;"&amp;AD47,AB$3:AB$98,"&gt;"&amp;AC47)+COUNTIFS($AK$3:$AK$98,$AK47,AC$3:AC$98,"&lt;"&amp;AD47,AD$3:AD$98,"&gt;"&amp;AC47)+COUNTIFS($AK$3:$AK$98,$AK47,AE$3:AE$98,"&lt;"&amp;AD47,AF$3:AF$98,"&gt;"&amp;AC47)+COUNTIFS($AK$3:$AK$98,$AK47,AG$3:AG$98,"&lt;"&amp;AD47,AH$3:AH$98,"&gt;"&amp;AC47)-(AC47&lt;AD47))</f>
        <v>0</v>
      </c>
      <c r="BJ47">
        <f>BI47</f>
        <v>0</v>
      </c>
      <c r="BK47">
        <f>IF(OR($AK47="",AE47="",AF47=""),0,COUNTIFS($AK$3:$AK$98,$AK47,K$3:K$98,"&lt;"&amp;AF47,L$3:L$98,"&gt;"&amp;AE47)+COUNTIFS($AK$3:$AK$98,$AK47,M$3:M$98,"&lt;"&amp;AF47,N$3:N$98,"&gt;"&amp;AE47)+COUNTIFS($AK$3:$AK$98,$AK47,O$3:O$98,"&lt;"&amp;AF47,P$3:P$98,"&gt;"&amp;AE47)+COUNTIFS($AK$3:$AK$98,$AK47,Q$3:Q$98,"&lt;"&amp;AF47,R$3:R$98,"&gt;"&amp;AE47)+COUNTIFS($AK$3:$AK$98,$AK47,S$3:S$98,"&lt;"&amp;AF47,T$3:T$98,"&gt;"&amp;AE47)+COUNTIFS($AK$3:$AK$98,$AK47,U$3:U$98,"&lt;"&amp;AF47,V$3:V$98,"&gt;"&amp;AE47)+COUNTIFS($AK$3:$AK$98,$AK47,W$3:W$98,"&lt;"&amp;AF47,X$3:X$98,"&gt;"&amp;AE47)+COUNTIFS($AK$3:$AK$98,$AK47,Y$3:Y$98,"&lt;"&amp;AF47,Z$3:Z$98,"&gt;"&amp;AE47)+COUNTIFS($AK$3:$AK$98,$AK47,AA$3:AA$98,"&lt;"&amp;AF47,AB$3:AB$98,"&gt;"&amp;AE47)+COUNTIFS($AK$3:$AK$98,$AK47,AC$3:AC$98,"&lt;"&amp;AF47,AD$3:AD$98,"&gt;"&amp;AE47)+COUNTIFS($AK$3:$AK$98,$AK47,AE$3:AE$98,"&lt;"&amp;AF47,AF$3:AF$98,"&gt;"&amp;AE47)+COUNTIFS($AK$3:$AK$98,$AK47,AG$3:AG$98,"&lt;"&amp;AF47,AH$3:AH$98,"&gt;"&amp;AE47)-(AE47&lt;AF47))</f>
        <v>0</v>
      </c>
      <c r="BL47">
        <f>BK47</f>
        <v>0</v>
      </c>
      <c r="BM47">
        <f>IF(OR($AK47="",AG47="",AH47=""),0,COUNTIFS($AK$3:$AK$98,$AK47,K$3:K$98,"&lt;"&amp;AH47,L$3:L$98,"&gt;"&amp;AG47)+COUNTIFS($AK$3:$AK$98,$AK47,M$3:M$98,"&lt;"&amp;AH47,N$3:N$98,"&gt;"&amp;AG47)+COUNTIFS($AK$3:$AK$98,$AK47,O$3:O$98,"&lt;"&amp;AH47,P$3:P$98,"&gt;"&amp;AG47)+COUNTIFS($AK$3:$AK$98,$AK47,Q$3:Q$98,"&lt;"&amp;AH47,R$3:R$98,"&gt;"&amp;AG47)+COUNTIFS($AK$3:$AK$98,$AK47,S$3:S$98,"&lt;"&amp;AH47,T$3:T$98,"&gt;"&amp;AG47)+COUNTIFS($AK$3:$AK$98,$AK47,U$3:U$98,"&lt;"&amp;AH47,V$3:V$98,"&gt;"&amp;AG47)+COUNTIFS($AK$3:$AK$98,$AK47,W$3:W$98,"&lt;"&amp;AH47,X$3:X$98,"&gt;"&amp;AG47)+COUNTIFS($AK$3:$AK$98,$AK47,Y$3:Y$98,"&lt;"&amp;AH47,Z$3:Z$98,"&gt;"&amp;AG47)+COUNTIFS($AK$3:$AK$98,$AK47,AA$3:AA$98,"&lt;"&amp;AH47,AB$3:AB$98,"&gt;"&amp;AG47)+COUNTIFS($AK$3:$AK$98,$AK47,AC$3:AC$98,"&lt;"&amp;AH47,AD$3:AD$98,"&gt;"&amp;AG47)+COUNTIFS($AK$3:$AK$98,$AK47,AE$3:AE$98,"&lt;"&amp;AH47,AF$3:AF$98,"&gt;"&amp;AG47)+COUNTIFS($AK$3:$AK$98,$AK47,AG$3:AG$98,"&lt;"&amp;AH47,AH$3:AH$98,"&gt;"&amp;AG47)-(AG47&lt;AH47))</f>
        <v>0</v>
      </c>
      <c r="BN47">
        <f>BM47</f>
        <v>0</v>
      </c>
      <c r="BO47" t="str">
        <f>IF(ISNUMBER($G47),$G47,"")</f>
        <v/>
      </c>
      <c r="BP47" t="str">
        <f>IF(AND($A47&lt;&gt;"",COUNT($K47:$AH47)&gt;0),ROW(),"")</f>
        <v/>
      </c>
    </row>
    <row r="48" spans="1:68" x14ac:dyDescent="0.15">
      <c r="A48" s="18" t="str">
        <f>IF($A46="","",$A46)</f>
        <v/>
      </c>
      <c r="B48" s="19" t="str">
        <f>IF($A46="","","high")</f>
        <v/>
      </c>
      <c r="C48" s="19"/>
      <c r="D48" s="20"/>
      <c r="E48" s="21" t="str">
        <f>IF(AND($D48="",COUNT($K48:$AH48)=0),"",IF(K48="",0,MAX(0,NETWORKDAYS(K48,IF(L48&lt;&gt;"",L48,IF($J48&lt;&gt;"",K48,$AI$1)),祝日!$A$2:$A$200)))+IF(M48="",0,MAX(0,NETWORKDAYS(M48,IF(N48&lt;&gt;"",N48,IF($J48&lt;&gt;"",M48,$AI$1)),祝日!$A$2:$A$200)))+IF(O48="",0,MAX(0,NETWORKDAYS(O48,IF(P48&lt;&gt;"",P48,IF($J48&lt;&gt;"",O48,$AI$1)),祝日!$A$2:$A$200)))+IF(Q48="",0,MAX(0,NETWORKDAYS(Q48,IF(R48&lt;&gt;"",R48,IF($J48&lt;&gt;"",Q48,$AI$1)),祝日!$A$2:$A$200)))+IF(S48="",0,MAX(0,NETWORKDAYS(S48,IF(T48&lt;&gt;"",T48,IF($J48&lt;&gt;"",S48,$AI$1)),祝日!$A$2:$A$200)))+IF(U48="",0,MAX(0,NETWORKDAYS(U48,IF(V48&lt;&gt;"",V48,IF($J48&lt;&gt;"",U48,$AI$1)),祝日!$A$2:$A$200)))+IF(W48="",0,MAX(0,NETWORKDAYS(W48,IF(X48&lt;&gt;"",X48,IF($J48&lt;&gt;"",W48,$AI$1)),祝日!$A$2:$A$200)))+IF(Y48="",0,MAX(0,NETWORKDAYS(Y48,IF(Z48&lt;&gt;"",Z48,IF($J48&lt;&gt;"",Y48,$AI$1)),祝日!$A$2:$A$200)))+IF(AA48="",0,MAX(0,NETWORKDAYS(AA48,IF(AB48&lt;&gt;"",AB48,IF($J48&lt;&gt;"",AA48,$AI$1)),祝日!$A$2:$A$200)))+IF(AC48="",0,MAX(0,NETWORKDAYS(AC48,IF(AD48&lt;&gt;"",AD48,IF($J48&lt;&gt;"",AC48,$AI$1)),祝日!$A$2:$A$200)))+IF(AE48="",0,MAX(0,NETWORKDAYS(AE48,IF(AF48&lt;&gt;"",AF48,IF($J48&lt;&gt;"",AE48,$AI$1)),祝日!$A$2:$A$200)))+IF(AG48="",0,MAX(0,NETWORKDAYS(AG48,IF(AH48&lt;&gt;"",AH48,IF($J48&lt;&gt;"",AG48,$AI$1)),祝日!$A$2:$A$200))))</f>
        <v/>
      </c>
      <c r="F48" s="21" t="str">
        <f>IF($D48="","",$D48-$E48)</f>
        <v/>
      </c>
      <c r="G48" s="22" t="str">
        <f>IF(OR($D48="",$D48=0),"",$E48/$D48)</f>
        <v/>
      </c>
      <c r="H48" s="23" t="str">
        <f>IF($D48="","",IF($J48&lt;&gt;"","FIX",IF(AND(SUMPRODUCT((MOD(COLUMN($K48:$AH48)-COLUMN($K48),2)=0)*($K48:$AH48&lt;&gt;""))=0,SUMPRODUCT((MOD(COLUMN($K48:$AH48)-COLUMN($K48),2)=1)*($K48:$AH48&lt;&gt;""))=0),"未着手",IF(SUMPRODUCT((MOD(COLUMN($K48:$AH48)-COLUMN($K48),2)=0)*($K48:$AH48&lt;&gt;""))&gt;SUMPRODUCT((MOD(COLUMN($K48:$AH48)-COLUMN($K48),2)=1)*($K48:$AH48&lt;&gt;"")),"作業中","中断"))))</f>
        <v/>
      </c>
      <c r="I48" s="23" t="str">
        <f>IF($H48="中断",MAX(0,$AI$1-MAX(L48,N48,P48,R48,T48,V48,X48,Z48,AB48,AD48,AF48,AH48)),"")</f>
        <v/>
      </c>
      <c r="J48" s="19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K48" t="str">
        <f>IF($A46="","",IF(LOOKUP(2,1/($AJ$3:$AJ48&lt;&gt;""),$AJ$3:$AJ48)="-","",LOOKUP(2,1/($AJ$3:$AJ48&lt;&gt;""),$AJ$3:$AJ48)))</f>
        <v/>
      </c>
      <c r="AL48" t="str">
        <f>$H48</f>
        <v/>
      </c>
      <c r="AM48">
        <f>IF(ISNUMBER($D48),$D48,0)</f>
        <v>0</v>
      </c>
      <c r="AN48">
        <f>IF(ISNUMBER($E48),$E48,0)</f>
        <v>0</v>
      </c>
      <c r="AO48">
        <f>IF(ISNUMBER($F48),$F48,0)</f>
        <v>0</v>
      </c>
      <c r="AQ48">
        <f>IF(OR($AK48="",K48="",L48=""),0,COUNTIFS($AK$3:$AK$98,$AK48,K$3:K$98,"&lt;"&amp;L48,L$3:L$98,"&gt;"&amp;K48)+COUNTIFS($AK$3:$AK$98,$AK48,M$3:M$98,"&lt;"&amp;L48,N$3:N$98,"&gt;"&amp;K48)+COUNTIFS($AK$3:$AK$98,$AK48,O$3:O$98,"&lt;"&amp;L48,P$3:P$98,"&gt;"&amp;K48)+COUNTIFS($AK$3:$AK$98,$AK48,Q$3:Q$98,"&lt;"&amp;L48,R$3:R$98,"&gt;"&amp;K48)+COUNTIFS($AK$3:$AK$98,$AK48,S$3:S$98,"&lt;"&amp;L48,T$3:T$98,"&gt;"&amp;K48)+COUNTIFS($AK$3:$AK$98,$AK48,U$3:U$98,"&lt;"&amp;L48,V$3:V$98,"&gt;"&amp;K48)+COUNTIFS($AK$3:$AK$98,$AK48,W$3:W$98,"&lt;"&amp;L48,X$3:X$98,"&gt;"&amp;K48)+COUNTIFS($AK$3:$AK$98,$AK48,Y$3:Y$98,"&lt;"&amp;L48,Z$3:Z$98,"&gt;"&amp;K48)+COUNTIFS($AK$3:$AK$98,$AK48,AA$3:AA$98,"&lt;"&amp;L48,AB$3:AB$98,"&gt;"&amp;K48)+COUNTIFS($AK$3:$AK$98,$AK48,AC$3:AC$98,"&lt;"&amp;L48,AD$3:AD$98,"&gt;"&amp;K48)+COUNTIFS($AK$3:$AK$98,$AK48,AE$3:AE$98,"&lt;"&amp;L48,AF$3:AF$98,"&gt;"&amp;K48)+COUNTIFS($AK$3:$AK$98,$AK48,AG$3:AG$98,"&lt;"&amp;L48,AH$3:AH$98,"&gt;"&amp;K48)-(K48&lt;L48))</f>
        <v>0</v>
      </c>
      <c r="AR48">
        <f>AQ48</f>
        <v>0</v>
      </c>
      <c r="AS48">
        <f>IF(OR($AK48="",M48="",N48=""),0,COUNTIFS($AK$3:$AK$98,$AK48,K$3:K$98,"&lt;"&amp;N48,L$3:L$98,"&gt;"&amp;M48)+COUNTIFS($AK$3:$AK$98,$AK48,M$3:M$98,"&lt;"&amp;N48,N$3:N$98,"&gt;"&amp;M48)+COUNTIFS($AK$3:$AK$98,$AK48,O$3:O$98,"&lt;"&amp;N48,P$3:P$98,"&gt;"&amp;M48)+COUNTIFS($AK$3:$AK$98,$AK48,Q$3:Q$98,"&lt;"&amp;N48,R$3:R$98,"&gt;"&amp;M48)+COUNTIFS($AK$3:$AK$98,$AK48,S$3:S$98,"&lt;"&amp;N48,T$3:T$98,"&gt;"&amp;M48)+COUNTIFS($AK$3:$AK$98,$AK48,U$3:U$98,"&lt;"&amp;N48,V$3:V$98,"&gt;"&amp;M48)+COUNTIFS($AK$3:$AK$98,$AK48,W$3:W$98,"&lt;"&amp;N48,X$3:X$98,"&gt;"&amp;M48)+COUNTIFS($AK$3:$AK$98,$AK48,Y$3:Y$98,"&lt;"&amp;N48,Z$3:Z$98,"&gt;"&amp;M48)+COUNTIFS($AK$3:$AK$98,$AK48,AA$3:AA$98,"&lt;"&amp;N48,AB$3:AB$98,"&gt;"&amp;M48)+COUNTIFS($AK$3:$AK$98,$AK48,AC$3:AC$98,"&lt;"&amp;N48,AD$3:AD$98,"&gt;"&amp;M48)+COUNTIFS($AK$3:$AK$98,$AK48,AE$3:AE$98,"&lt;"&amp;N48,AF$3:AF$98,"&gt;"&amp;M48)+COUNTIFS($AK$3:$AK$98,$AK48,AG$3:AG$98,"&lt;"&amp;N48,AH$3:AH$98,"&gt;"&amp;M48)-(M48&lt;N48))</f>
        <v>0</v>
      </c>
      <c r="AT48">
        <f>AS48</f>
        <v>0</v>
      </c>
      <c r="AU48">
        <f>IF(OR($AK48="",O48="",P48=""),0,COUNTIFS($AK$3:$AK$98,$AK48,K$3:K$98,"&lt;"&amp;P48,L$3:L$98,"&gt;"&amp;O48)+COUNTIFS($AK$3:$AK$98,$AK48,M$3:M$98,"&lt;"&amp;P48,N$3:N$98,"&gt;"&amp;O48)+COUNTIFS($AK$3:$AK$98,$AK48,O$3:O$98,"&lt;"&amp;P48,P$3:P$98,"&gt;"&amp;O48)+COUNTIFS($AK$3:$AK$98,$AK48,Q$3:Q$98,"&lt;"&amp;P48,R$3:R$98,"&gt;"&amp;O48)+COUNTIFS($AK$3:$AK$98,$AK48,S$3:S$98,"&lt;"&amp;P48,T$3:T$98,"&gt;"&amp;O48)+COUNTIFS($AK$3:$AK$98,$AK48,U$3:U$98,"&lt;"&amp;P48,V$3:V$98,"&gt;"&amp;O48)+COUNTIFS($AK$3:$AK$98,$AK48,W$3:W$98,"&lt;"&amp;P48,X$3:X$98,"&gt;"&amp;O48)+COUNTIFS($AK$3:$AK$98,$AK48,Y$3:Y$98,"&lt;"&amp;P48,Z$3:Z$98,"&gt;"&amp;O48)+COUNTIFS($AK$3:$AK$98,$AK48,AA$3:AA$98,"&lt;"&amp;P48,AB$3:AB$98,"&gt;"&amp;O48)+COUNTIFS($AK$3:$AK$98,$AK48,AC$3:AC$98,"&lt;"&amp;P48,AD$3:AD$98,"&gt;"&amp;O48)+COUNTIFS($AK$3:$AK$98,$AK48,AE$3:AE$98,"&lt;"&amp;P48,AF$3:AF$98,"&gt;"&amp;O48)+COUNTIFS($AK$3:$AK$98,$AK48,AG$3:AG$98,"&lt;"&amp;P48,AH$3:AH$98,"&gt;"&amp;O48)-(O48&lt;P48))</f>
        <v>0</v>
      </c>
      <c r="AV48">
        <f>AU48</f>
        <v>0</v>
      </c>
      <c r="AW48">
        <f>IF(OR($AK48="",Q48="",R48=""),0,COUNTIFS($AK$3:$AK$98,$AK48,K$3:K$98,"&lt;"&amp;R48,L$3:L$98,"&gt;"&amp;Q48)+COUNTIFS($AK$3:$AK$98,$AK48,M$3:M$98,"&lt;"&amp;R48,N$3:N$98,"&gt;"&amp;Q48)+COUNTIFS($AK$3:$AK$98,$AK48,O$3:O$98,"&lt;"&amp;R48,P$3:P$98,"&gt;"&amp;Q48)+COUNTIFS($AK$3:$AK$98,$AK48,Q$3:Q$98,"&lt;"&amp;R48,R$3:R$98,"&gt;"&amp;Q48)+COUNTIFS($AK$3:$AK$98,$AK48,S$3:S$98,"&lt;"&amp;R48,T$3:T$98,"&gt;"&amp;Q48)+COUNTIFS($AK$3:$AK$98,$AK48,U$3:U$98,"&lt;"&amp;R48,V$3:V$98,"&gt;"&amp;Q48)+COUNTIFS($AK$3:$AK$98,$AK48,W$3:W$98,"&lt;"&amp;R48,X$3:X$98,"&gt;"&amp;Q48)+COUNTIFS($AK$3:$AK$98,$AK48,Y$3:Y$98,"&lt;"&amp;R48,Z$3:Z$98,"&gt;"&amp;Q48)+COUNTIFS($AK$3:$AK$98,$AK48,AA$3:AA$98,"&lt;"&amp;R48,AB$3:AB$98,"&gt;"&amp;Q48)+COUNTIFS($AK$3:$AK$98,$AK48,AC$3:AC$98,"&lt;"&amp;R48,AD$3:AD$98,"&gt;"&amp;Q48)+COUNTIFS($AK$3:$AK$98,$AK48,AE$3:AE$98,"&lt;"&amp;R48,AF$3:AF$98,"&gt;"&amp;Q48)+COUNTIFS($AK$3:$AK$98,$AK48,AG$3:AG$98,"&lt;"&amp;R48,AH$3:AH$98,"&gt;"&amp;Q48)-(Q48&lt;R48))</f>
        <v>0</v>
      </c>
      <c r="AX48">
        <f>AW48</f>
        <v>0</v>
      </c>
      <c r="AY48">
        <f>IF(OR($AK48="",S48="",T48=""),0,COUNTIFS($AK$3:$AK$98,$AK48,K$3:K$98,"&lt;"&amp;T48,L$3:L$98,"&gt;"&amp;S48)+COUNTIFS($AK$3:$AK$98,$AK48,M$3:M$98,"&lt;"&amp;T48,N$3:N$98,"&gt;"&amp;S48)+COUNTIFS($AK$3:$AK$98,$AK48,O$3:O$98,"&lt;"&amp;T48,P$3:P$98,"&gt;"&amp;S48)+COUNTIFS($AK$3:$AK$98,$AK48,Q$3:Q$98,"&lt;"&amp;T48,R$3:R$98,"&gt;"&amp;S48)+COUNTIFS($AK$3:$AK$98,$AK48,S$3:S$98,"&lt;"&amp;T48,T$3:T$98,"&gt;"&amp;S48)+COUNTIFS($AK$3:$AK$98,$AK48,U$3:U$98,"&lt;"&amp;T48,V$3:V$98,"&gt;"&amp;S48)+COUNTIFS($AK$3:$AK$98,$AK48,W$3:W$98,"&lt;"&amp;T48,X$3:X$98,"&gt;"&amp;S48)+COUNTIFS($AK$3:$AK$98,$AK48,Y$3:Y$98,"&lt;"&amp;T48,Z$3:Z$98,"&gt;"&amp;S48)+COUNTIFS($AK$3:$AK$98,$AK48,AA$3:AA$98,"&lt;"&amp;T48,AB$3:AB$98,"&gt;"&amp;S48)+COUNTIFS($AK$3:$AK$98,$AK48,AC$3:AC$98,"&lt;"&amp;T48,AD$3:AD$98,"&gt;"&amp;S48)+COUNTIFS($AK$3:$AK$98,$AK48,AE$3:AE$98,"&lt;"&amp;T48,AF$3:AF$98,"&gt;"&amp;S48)+COUNTIFS($AK$3:$AK$98,$AK48,AG$3:AG$98,"&lt;"&amp;T48,AH$3:AH$98,"&gt;"&amp;S48)-(S48&lt;T48))</f>
        <v>0</v>
      </c>
      <c r="AZ48">
        <f>AY48</f>
        <v>0</v>
      </c>
      <c r="BA48">
        <f>IF(OR($AK48="",U48="",V48=""),0,COUNTIFS($AK$3:$AK$98,$AK48,K$3:K$98,"&lt;"&amp;V48,L$3:L$98,"&gt;"&amp;U48)+COUNTIFS($AK$3:$AK$98,$AK48,M$3:M$98,"&lt;"&amp;V48,N$3:N$98,"&gt;"&amp;U48)+COUNTIFS($AK$3:$AK$98,$AK48,O$3:O$98,"&lt;"&amp;V48,P$3:P$98,"&gt;"&amp;U48)+COUNTIFS($AK$3:$AK$98,$AK48,Q$3:Q$98,"&lt;"&amp;V48,R$3:R$98,"&gt;"&amp;U48)+COUNTIFS($AK$3:$AK$98,$AK48,S$3:S$98,"&lt;"&amp;V48,T$3:T$98,"&gt;"&amp;U48)+COUNTIFS($AK$3:$AK$98,$AK48,U$3:U$98,"&lt;"&amp;V48,V$3:V$98,"&gt;"&amp;U48)+COUNTIFS($AK$3:$AK$98,$AK48,W$3:W$98,"&lt;"&amp;V48,X$3:X$98,"&gt;"&amp;U48)+COUNTIFS($AK$3:$AK$98,$AK48,Y$3:Y$98,"&lt;"&amp;V48,Z$3:Z$98,"&gt;"&amp;U48)+COUNTIFS($AK$3:$AK$98,$AK48,AA$3:AA$98,"&lt;"&amp;V48,AB$3:AB$98,"&gt;"&amp;U48)+COUNTIFS($AK$3:$AK$98,$AK48,AC$3:AC$98,"&lt;"&amp;V48,AD$3:AD$98,"&gt;"&amp;U48)+COUNTIFS($AK$3:$AK$98,$AK48,AE$3:AE$98,"&lt;"&amp;V48,AF$3:AF$98,"&gt;"&amp;U48)+COUNTIFS($AK$3:$AK$98,$AK48,AG$3:AG$98,"&lt;"&amp;V48,AH$3:AH$98,"&gt;"&amp;U48)-(U48&lt;V48))</f>
        <v>0</v>
      </c>
      <c r="BB48">
        <f>BA48</f>
        <v>0</v>
      </c>
      <c r="BC48">
        <f>IF(OR($AK48="",W48="",X48=""),0,COUNTIFS($AK$3:$AK$98,$AK48,K$3:K$98,"&lt;"&amp;X48,L$3:L$98,"&gt;"&amp;W48)+COUNTIFS($AK$3:$AK$98,$AK48,M$3:M$98,"&lt;"&amp;X48,N$3:N$98,"&gt;"&amp;W48)+COUNTIFS($AK$3:$AK$98,$AK48,O$3:O$98,"&lt;"&amp;X48,P$3:P$98,"&gt;"&amp;W48)+COUNTIFS($AK$3:$AK$98,$AK48,Q$3:Q$98,"&lt;"&amp;X48,R$3:R$98,"&gt;"&amp;W48)+COUNTIFS($AK$3:$AK$98,$AK48,S$3:S$98,"&lt;"&amp;X48,T$3:T$98,"&gt;"&amp;W48)+COUNTIFS($AK$3:$AK$98,$AK48,U$3:U$98,"&lt;"&amp;X48,V$3:V$98,"&gt;"&amp;W48)+COUNTIFS($AK$3:$AK$98,$AK48,W$3:W$98,"&lt;"&amp;X48,X$3:X$98,"&gt;"&amp;W48)+COUNTIFS($AK$3:$AK$98,$AK48,Y$3:Y$98,"&lt;"&amp;X48,Z$3:Z$98,"&gt;"&amp;W48)+COUNTIFS($AK$3:$AK$98,$AK48,AA$3:AA$98,"&lt;"&amp;X48,AB$3:AB$98,"&gt;"&amp;W48)+COUNTIFS($AK$3:$AK$98,$AK48,AC$3:AC$98,"&lt;"&amp;X48,AD$3:AD$98,"&gt;"&amp;W48)+COUNTIFS($AK$3:$AK$98,$AK48,AE$3:AE$98,"&lt;"&amp;X48,AF$3:AF$98,"&gt;"&amp;W48)+COUNTIFS($AK$3:$AK$98,$AK48,AG$3:AG$98,"&lt;"&amp;X48,AH$3:AH$98,"&gt;"&amp;W48)-(W48&lt;X48))</f>
        <v>0</v>
      </c>
      <c r="BD48">
        <f>BC48</f>
        <v>0</v>
      </c>
      <c r="BE48">
        <f>IF(OR($AK48="",Y48="",Z48=""),0,COUNTIFS($AK$3:$AK$98,$AK48,K$3:K$98,"&lt;"&amp;Z48,L$3:L$98,"&gt;"&amp;Y48)+COUNTIFS($AK$3:$AK$98,$AK48,M$3:M$98,"&lt;"&amp;Z48,N$3:N$98,"&gt;"&amp;Y48)+COUNTIFS($AK$3:$AK$98,$AK48,O$3:O$98,"&lt;"&amp;Z48,P$3:P$98,"&gt;"&amp;Y48)+COUNTIFS($AK$3:$AK$98,$AK48,Q$3:Q$98,"&lt;"&amp;Z48,R$3:R$98,"&gt;"&amp;Y48)+COUNTIFS($AK$3:$AK$98,$AK48,S$3:S$98,"&lt;"&amp;Z48,T$3:T$98,"&gt;"&amp;Y48)+COUNTIFS($AK$3:$AK$98,$AK48,U$3:U$98,"&lt;"&amp;Z48,V$3:V$98,"&gt;"&amp;Y48)+COUNTIFS($AK$3:$AK$98,$AK48,W$3:W$98,"&lt;"&amp;Z48,X$3:X$98,"&gt;"&amp;Y48)+COUNTIFS($AK$3:$AK$98,$AK48,Y$3:Y$98,"&lt;"&amp;Z48,Z$3:Z$98,"&gt;"&amp;Y48)+COUNTIFS($AK$3:$AK$98,$AK48,AA$3:AA$98,"&lt;"&amp;Z48,AB$3:AB$98,"&gt;"&amp;Y48)+COUNTIFS($AK$3:$AK$98,$AK48,AC$3:AC$98,"&lt;"&amp;Z48,AD$3:AD$98,"&gt;"&amp;Y48)+COUNTIFS($AK$3:$AK$98,$AK48,AE$3:AE$98,"&lt;"&amp;Z48,AF$3:AF$98,"&gt;"&amp;Y48)+COUNTIFS($AK$3:$AK$98,$AK48,AG$3:AG$98,"&lt;"&amp;Z48,AH$3:AH$98,"&gt;"&amp;Y48)-(Y48&lt;Z48))</f>
        <v>0</v>
      </c>
      <c r="BF48">
        <f>BE48</f>
        <v>0</v>
      </c>
      <c r="BG48">
        <f>IF(OR($AK48="",AA48="",AB48=""),0,COUNTIFS($AK$3:$AK$98,$AK48,K$3:K$98,"&lt;"&amp;AB48,L$3:L$98,"&gt;"&amp;AA48)+COUNTIFS($AK$3:$AK$98,$AK48,M$3:M$98,"&lt;"&amp;AB48,N$3:N$98,"&gt;"&amp;AA48)+COUNTIFS($AK$3:$AK$98,$AK48,O$3:O$98,"&lt;"&amp;AB48,P$3:P$98,"&gt;"&amp;AA48)+COUNTIFS($AK$3:$AK$98,$AK48,Q$3:Q$98,"&lt;"&amp;AB48,R$3:R$98,"&gt;"&amp;AA48)+COUNTIFS($AK$3:$AK$98,$AK48,S$3:S$98,"&lt;"&amp;AB48,T$3:T$98,"&gt;"&amp;AA48)+COUNTIFS($AK$3:$AK$98,$AK48,U$3:U$98,"&lt;"&amp;AB48,V$3:V$98,"&gt;"&amp;AA48)+COUNTIFS($AK$3:$AK$98,$AK48,W$3:W$98,"&lt;"&amp;AB48,X$3:X$98,"&gt;"&amp;AA48)+COUNTIFS($AK$3:$AK$98,$AK48,Y$3:Y$98,"&lt;"&amp;AB48,Z$3:Z$98,"&gt;"&amp;AA48)+COUNTIFS($AK$3:$AK$98,$AK48,AA$3:AA$98,"&lt;"&amp;AB48,AB$3:AB$98,"&gt;"&amp;AA48)+COUNTIFS($AK$3:$AK$98,$AK48,AC$3:AC$98,"&lt;"&amp;AB48,AD$3:AD$98,"&gt;"&amp;AA48)+COUNTIFS($AK$3:$AK$98,$AK48,AE$3:AE$98,"&lt;"&amp;AB48,AF$3:AF$98,"&gt;"&amp;AA48)+COUNTIFS($AK$3:$AK$98,$AK48,AG$3:AG$98,"&lt;"&amp;AB48,AH$3:AH$98,"&gt;"&amp;AA48)-(AA48&lt;AB48))</f>
        <v>0</v>
      </c>
      <c r="BH48">
        <f>BG48</f>
        <v>0</v>
      </c>
      <c r="BI48">
        <f>IF(OR($AK48="",AC48="",AD48=""),0,COUNTIFS($AK$3:$AK$98,$AK48,K$3:K$98,"&lt;"&amp;AD48,L$3:L$98,"&gt;"&amp;AC48)+COUNTIFS($AK$3:$AK$98,$AK48,M$3:M$98,"&lt;"&amp;AD48,N$3:N$98,"&gt;"&amp;AC48)+COUNTIFS($AK$3:$AK$98,$AK48,O$3:O$98,"&lt;"&amp;AD48,P$3:P$98,"&gt;"&amp;AC48)+COUNTIFS($AK$3:$AK$98,$AK48,Q$3:Q$98,"&lt;"&amp;AD48,R$3:R$98,"&gt;"&amp;AC48)+COUNTIFS($AK$3:$AK$98,$AK48,S$3:S$98,"&lt;"&amp;AD48,T$3:T$98,"&gt;"&amp;AC48)+COUNTIFS($AK$3:$AK$98,$AK48,U$3:U$98,"&lt;"&amp;AD48,V$3:V$98,"&gt;"&amp;AC48)+COUNTIFS($AK$3:$AK$98,$AK48,W$3:W$98,"&lt;"&amp;AD48,X$3:X$98,"&gt;"&amp;AC48)+COUNTIFS($AK$3:$AK$98,$AK48,Y$3:Y$98,"&lt;"&amp;AD48,Z$3:Z$98,"&gt;"&amp;AC48)+COUNTIFS($AK$3:$AK$98,$AK48,AA$3:AA$98,"&lt;"&amp;AD48,AB$3:AB$98,"&gt;"&amp;AC48)+COUNTIFS($AK$3:$AK$98,$AK48,AC$3:AC$98,"&lt;"&amp;AD48,AD$3:AD$98,"&gt;"&amp;AC48)+COUNTIFS($AK$3:$AK$98,$AK48,AE$3:AE$98,"&lt;"&amp;AD48,AF$3:AF$98,"&gt;"&amp;AC48)+COUNTIFS($AK$3:$AK$98,$AK48,AG$3:AG$98,"&lt;"&amp;AD48,AH$3:AH$98,"&gt;"&amp;AC48)-(AC48&lt;AD48))</f>
        <v>0</v>
      </c>
      <c r="BJ48">
        <f>BI48</f>
        <v>0</v>
      </c>
      <c r="BK48">
        <f>IF(OR($AK48="",AE48="",AF48=""),0,COUNTIFS($AK$3:$AK$98,$AK48,K$3:K$98,"&lt;"&amp;AF48,L$3:L$98,"&gt;"&amp;AE48)+COUNTIFS($AK$3:$AK$98,$AK48,M$3:M$98,"&lt;"&amp;AF48,N$3:N$98,"&gt;"&amp;AE48)+COUNTIFS($AK$3:$AK$98,$AK48,O$3:O$98,"&lt;"&amp;AF48,P$3:P$98,"&gt;"&amp;AE48)+COUNTIFS($AK$3:$AK$98,$AK48,Q$3:Q$98,"&lt;"&amp;AF48,R$3:R$98,"&gt;"&amp;AE48)+COUNTIFS($AK$3:$AK$98,$AK48,S$3:S$98,"&lt;"&amp;AF48,T$3:T$98,"&gt;"&amp;AE48)+COUNTIFS($AK$3:$AK$98,$AK48,U$3:U$98,"&lt;"&amp;AF48,V$3:V$98,"&gt;"&amp;AE48)+COUNTIFS($AK$3:$AK$98,$AK48,W$3:W$98,"&lt;"&amp;AF48,X$3:X$98,"&gt;"&amp;AE48)+COUNTIFS($AK$3:$AK$98,$AK48,Y$3:Y$98,"&lt;"&amp;AF48,Z$3:Z$98,"&gt;"&amp;AE48)+COUNTIFS($AK$3:$AK$98,$AK48,AA$3:AA$98,"&lt;"&amp;AF48,AB$3:AB$98,"&gt;"&amp;AE48)+COUNTIFS($AK$3:$AK$98,$AK48,AC$3:AC$98,"&lt;"&amp;AF48,AD$3:AD$98,"&gt;"&amp;AE48)+COUNTIFS($AK$3:$AK$98,$AK48,AE$3:AE$98,"&lt;"&amp;AF48,AF$3:AF$98,"&gt;"&amp;AE48)+COUNTIFS($AK$3:$AK$98,$AK48,AG$3:AG$98,"&lt;"&amp;AF48,AH$3:AH$98,"&gt;"&amp;AE48)-(AE48&lt;AF48))</f>
        <v>0</v>
      </c>
      <c r="BL48">
        <f>BK48</f>
        <v>0</v>
      </c>
      <c r="BM48">
        <f>IF(OR($AK48="",AG48="",AH48=""),0,COUNTIFS($AK$3:$AK$98,$AK48,K$3:K$98,"&lt;"&amp;AH48,L$3:L$98,"&gt;"&amp;AG48)+COUNTIFS($AK$3:$AK$98,$AK48,M$3:M$98,"&lt;"&amp;AH48,N$3:N$98,"&gt;"&amp;AG48)+COUNTIFS($AK$3:$AK$98,$AK48,O$3:O$98,"&lt;"&amp;AH48,P$3:P$98,"&gt;"&amp;AG48)+COUNTIFS($AK$3:$AK$98,$AK48,Q$3:Q$98,"&lt;"&amp;AH48,R$3:R$98,"&gt;"&amp;AG48)+COUNTIFS($AK$3:$AK$98,$AK48,S$3:S$98,"&lt;"&amp;AH48,T$3:T$98,"&gt;"&amp;AG48)+COUNTIFS($AK$3:$AK$98,$AK48,U$3:U$98,"&lt;"&amp;AH48,V$3:V$98,"&gt;"&amp;AG48)+COUNTIFS($AK$3:$AK$98,$AK48,W$3:W$98,"&lt;"&amp;AH48,X$3:X$98,"&gt;"&amp;AG48)+COUNTIFS($AK$3:$AK$98,$AK48,Y$3:Y$98,"&lt;"&amp;AH48,Z$3:Z$98,"&gt;"&amp;AG48)+COUNTIFS($AK$3:$AK$98,$AK48,AA$3:AA$98,"&lt;"&amp;AH48,AB$3:AB$98,"&gt;"&amp;AG48)+COUNTIFS($AK$3:$AK$98,$AK48,AC$3:AC$98,"&lt;"&amp;AH48,AD$3:AD$98,"&gt;"&amp;AG48)+COUNTIFS($AK$3:$AK$98,$AK48,AE$3:AE$98,"&lt;"&amp;AH48,AF$3:AF$98,"&gt;"&amp;AG48)+COUNTIFS($AK$3:$AK$98,$AK48,AG$3:AG$98,"&lt;"&amp;AH48,AH$3:AH$98,"&gt;"&amp;AG48)-(AG48&lt;AH48))</f>
        <v>0</v>
      </c>
      <c r="BN48">
        <f>BM48</f>
        <v>0</v>
      </c>
      <c r="BO48" t="str">
        <f>IF(ISNUMBER($G48),$G48,"")</f>
        <v/>
      </c>
      <c r="BP48" t="str">
        <f>IF(AND($A48&lt;&gt;"",COUNT($K48:$AH48)&gt;0),ROW(),"")</f>
        <v/>
      </c>
    </row>
    <row r="49" spans="1:68" x14ac:dyDescent="0.15">
      <c r="A49" s="25" t="str">
        <f>IF($A46="","",$A46)</f>
        <v/>
      </c>
      <c r="B49" s="26" t="str">
        <f>IF($A46="","","fac")</f>
        <v/>
      </c>
      <c r="C49" s="26"/>
      <c r="D49" s="27"/>
      <c r="E49" s="28" t="str">
        <f>IF(AND($D49="",COUNT($K49:$AH49)=0),"",IF(K49="",0,MAX(0,NETWORKDAYS(K49,IF(L49&lt;&gt;"",L49,IF($J49&lt;&gt;"",K49,$AI$1)),祝日!$A$2:$A$200)))+IF(M49="",0,MAX(0,NETWORKDAYS(M49,IF(N49&lt;&gt;"",N49,IF($J49&lt;&gt;"",M49,$AI$1)),祝日!$A$2:$A$200)))+IF(O49="",0,MAX(0,NETWORKDAYS(O49,IF(P49&lt;&gt;"",P49,IF($J49&lt;&gt;"",O49,$AI$1)),祝日!$A$2:$A$200)))+IF(Q49="",0,MAX(0,NETWORKDAYS(Q49,IF(R49&lt;&gt;"",R49,IF($J49&lt;&gt;"",Q49,$AI$1)),祝日!$A$2:$A$200)))+IF(S49="",0,MAX(0,NETWORKDAYS(S49,IF(T49&lt;&gt;"",T49,IF($J49&lt;&gt;"",S49,$AI$1)),祝日!$A$2:$A$200)))+IF(U49="",0,MAX(0,NETWORKDAYS(U49,IF(V49&lt;&gt;"",V49,IF($J49&lt;&gt;"",U49,$AI$1)),祝日!$A$2:$A$200)))+IF(W49="",0,MAX(0,NETWORKDAYS(W49,IF(X49&lt;&gt;"",X49,IF($J49&lt;&gt;"",W49,$AI$1)),祝日!$A$2:$A$200)))+IF(Y49="",0,MAX(0,NETWORKDAYS(Y49,IF(Z49&lt;&gt;"",Z49,IF($J49&lt;&gt;"",Y49,$AI$1)),祝日!$A$2:$A$200)))+IF(AA49="",0,MAX(0,NETWORKDAYS(AA49,IF(AB49&lt;&gt;"",AB49,IF($J49&lt;&gt;"",AA49,$AI$1)),祝日!$A$2:$A$200)))+IF(AC49="",0,MAX(0,NETWORKDAYS(AC49,IF(AD49&lt;&gt;"",AD49,IF($J49&lt;&gt;"",AC49,$AI$1)),祝日!$A$2:$A$200)))+IF(AE49="",0,MAX(0,NETWORKDAYS(AE49,IF(AF49&lt;&gt;"",AF49,IF($J49&lt;&gt;"",AE49,$AI$1)),祝日!$A$2:$A$200)))+IF(AG49="",0,MAX(0,NETWORKDAYS(AG49,IF(AH49&lt;&gt;"",AH49,IF($J49&lt;&gt;"",AG49,$AI$1)),祝日!$A$2:$A$200))))</f>
        <v/>
      </c>
      <c r="F49" s="28" t="str">
        <f>IF($D49="","",$D49-$E49)</f>
        <v/>
      </c>
      <c r="G49" s="29" t="str">
        <f>IF(OR($D49="",$D49=0),"",$E49/$D49)</f>
        <v/>
      </c>
      <c r="H49" s="30" t="str">
        <f>IF($D49="","",IF($J49&lt;&gt;"","FIX",IF(AND(SUMPRODUCT((MOD(COLUMN($K49:$AH49)-COLUMN($K49),2)=0)*($K49:$AH49&lt;&gt;""))=0,SUMPRODUCT((MOD(COLUMN($K49:$AH49)-COLUMN($K49),2)=1)*($K49:$AH49&lt;&gt;""))=0),"未着手",IF(SUMPRODUCT((MOD(COLUMN($K49:$AH49)-COLUMN($K49),2)=0)*($K49:$AH49&lt;&gt;""))&gt;SUMPRODUCT((MOD(COLUMN($K49:$AH49)-COLUMN($K49),2)=1)*($K49:$AH49&lt;&gt;"")),"作業中","中断"))))</f>
        <v/>
      </c>
      <c r="I49" s="30" t="str">
        <f>IF($H49="中断",MAX(0,$AI$1-MAX(L49,N49,P49,R49,T49,V49,X49,Z49,AB49,AD49,AF49,AH49)),"")</f>
        <v/>
      </c>
      <c r="J49" s="26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K49" t="str">
        <f>IF($A46="","",IF(LOOKUP(2,1/($AJ$3:$AJ49&lt;&gt;""),$AJ$3:$AJ49)="-","",LOOKUP(2,1/($AJ$3:$AJ49&lt;&gt;""),$AJ$3:$AJ49)))</f>
        <v/>
      </c>
      <c r="AL49" t="str">
        <f>$H49</f>
        <v/>
      </c>
      <c r="AM49">
        <f>IF(ISNUMBER($D49),$D49,0)</f>
        <v>0</v>
      </c>
      <c r="AN49">
        <f>IF(ISNUMBER($E49),$E49,0)</f>
        <v>0</v>
      </c>
      <c r="AO49">
        <f>IF(ISNUMBER($F49),$F49,0)</f>
        <v>0</v>
      </c>
      <c r="AQ49">
        <f>IF(OR($AK49="",K49="",L49=""),0,COUNTIFS($AK$3:$AK$98,$AK49,K$3:K$98,"&lt;"&amp;L49,L$3:L$98,"&gt;"&amp;K49)+COUNTIFS($AK$3:$AK$98,$AK49,M$3:M$98,"&lt;"&amp;L49,N$3:N$98,"&gt;"&amp;K49)+COUNTIFS($AK$3:$AK$98,$AK49,O$3:O$98,"&lt;"&amp;L49,P$3:P$98,"&gt;"&amp;K49)+COUNTIFS($AK$3:$AK$98,$AK49,Q$3:Q$98,"&lt;"&amp;L49,R$3:R$98,"&gt;"&amp;K49)+COUNTIFS($AK$3:$AK$98,$AK49,S$3:S$98,"&lt;"&amp;L49,T$3:T$98,"&gt;"&amp;K49)+COUNTIFS($AK$3:$AK$98,$AK49,U$3:U$98,"&lt;"&amp;L49,V$3:V$98,"&gt;"&amp;K49)+COUNTIFS($AK$3:$AK$98,$AK49,W$3:W$98,"&lt;"&amp;L49,X$3:X$98,"&gt;"&amp;K49)+COUNTIFS($AK$3:$AK$98,$AK49,Y$3:Y$98,"&lt;"&amp;L49,Z$3:Z$98,"&gt;"&amp;K49)+COUNTIFS($AK$3:$AK$98,$AK49,AA$3:AA$98,"&lt;"&amp;L49,AB$3:AB$98,"&gt;"&amp;K49)+COUNTIFS($AK$3:$AK$98,$AK49,AC$3:AC$98,"&lt;"&amp;L49,AD$3:AD$98,"&gt;"&amp;K49)+COUNTIFS($AK$3:$AK$98,$AK49,AE$3:AE$98,"&lt;"&amp;L49,AF$3:AF$98,"&gt;"&amp;K49)+COUNTIFS($AK$3:$AK$98,$AK49,AG$3:AG$98,"&lt;"&amp;L49,AH$3:AH$98,"&gt;"&amp;K49)-(K49&lt;L49))</f>
        <v>0</v>
      </c>
      <c r="AR49">
        <f>AQ49</f>
        <v>0</v>
      </c>
      <c r="AS49">
        <f>IF(OR($AK49="",M49="",N49=""),0,COUNTIFS($AK$3:$AK$98,$AK49,K$3:K$98,"&lt;"&amp;N49,L$3:L$98,"&gt;"&amp;M49)+COUNTIFS($AK$3:$AK$98,$AK49,M$3:M$98,"&lt;"&amp;N49,N$3:N$98,"&gt;"&amp;M49)+COUNTIFS($AK$3:$AK$98,$AK49,O$3:O$98,"&lt;"&amp;N49,P$3:P$98,"&gt;"&amp;M49)+COUNTIFS($AK$3:$AK$98,$AK49,Q$3:Q$98,"&lt;"&amp;N49,R$3:R$98,"&gt;"&amp;M49)+COUNTIFS($AK$3:$AK$98,$AK49,S$3:S$98,"&lt;"&amp;N49,T$3:T$98,"&gt;"&amp;M49)+COUNTIFS($AK$3:$AK$98,$AK49,U$3:U$98,"&lt;"&amp;N49,V$3:V$98,"&gt;"&amp;M49)+COUNTIFS($AK$3:$AK$98,$AK49,W$3:W$98,"&lt;"&amp;N49,X$3:X$98,"&gt;"&amp;M49)+COUNTIFS($AK$3:$AK$98,$AK49,Y$3:Y$98,"&lt;"&amp;N49,Z$3:Z$98,"&gt;"&amp;M49)+COUNTIFS($AK$3:$AK$98,$AK49,AA$3:AA$98,"&lt;"&amp;N49,AB$3:AB$98,"&gt;"&amp;M49)+COUNTIFS($AK$3:$AK$98,$AK49,AC$3:AC$98,"&lt;"&amp;N49,AD$3:AD$98,"&gt;"&amp;M49)+COUNTIFS($AK$3:$AK$98,$AK49,AE$3:AE$98,"&lt;"&amp;N49,AF$3:AF$98,"&gt;"&amp;M49)+COUNTIFS($AK$3:$AK$98,$AK49,AG$3:AG$98,"&lt;"&amp;N49,AH$3:AH$98,"&gt;"&amp;M49)-(M49&lt;N49))</f>
        <v>0</v>
      </c>
      <c r="AT49">
        <f>AS49</f>
        <v>0</v>
      </c>
      <c r="AU49">
        <f>IF(OR($AK49="",O49="",P49=""),0,COUNTIFS($AK$3:$AK$98,$AK49,K$3:K$98,"&lt;"&amp;P49,L$3:L$98,"&gt;"&amp;O49)+COUNTIFS($AK$3:$AK$98,$AK49,M$3:M$98,"&lt;"&amp;P49,N$3:N$98,"&gt;"&amp;O49)+COUNTIFS($AK$3:$AK$98,$AK49,O$3:O$98,"&lt;"&amp;P49,P$3:P$98,"&gt;"&amp;O49)+COUNTIFS($AK$3:$AK$98,$AK49,Q$3:Q$98,"&lt;"&amp;P49,R$3:R$98,"&gt;"&amp;O49)+COUNTIFS($AK$3:$AK$98,$AK49,S$3:S$98,"&lt;"&amp;P49,T$3:T$98,"&gt;"&amp;O49)+COUNTIFS($AK$3:$AK$98,$AK49,U$3:U$98,"&lt;"&amp;P49,V$3:V$98,"&gt;"&amp;O49)+COUNTIFS($AK$3:$AK$98,$AK49,W$3:W$98,"&lt;"&amp;P49,X$3:X$98,"&gt;"&amp;O49)+COUNTIFS($AK$3:$AK$98,$AK49,Y$3:Y$98,"&lt;"&amp;P49,Z$3:Z$98,"&gt;"&amp;O49)+COUNTIFS($AK$3:$AK$98,$AK49,AA$3:AA$98,"&lt;"&amp;P49,AB$3:AB$98,"&gt;"&amp;O49)+COUNTIFS($AK$3:$AK$98,$AK49,AC$3:AC$98,"&lt;"&amp;P49,AD$3:AD$98,"&gt;"&amp;O49)+COUNTIFS($AK$3:$AK$98,$AK49,AE$3:AE$98,"&lt;"&amp;P49,AF$3:AF$98,"&gt;"&amp;O49)+COUNTIFS($AK$3:$AK$98,$AK49,AG$3:AG$98,"&lt;"&amp;P49,AH$3:AH$98,"&gt;"&amp;O49)-(O49&lt;P49))</f>
        <v>0</v>
      </c>
      <c r="AV49">
        <f>AU49</f>
        <v>0</v>
      </c>
      <c r="AW49">
        <f>IF(OR($AK49="",Q49="",R49=""),0,COUNTIFS($AK$3:$AK$98,$AK49,K$3:K$98,"&lt;"&amp;R49,L$3:L$98,"&gt;"&amp;Q49)+COUNTIFS($AK$3:$AK$98,$AK49,M$3:M$98,"&lt;"&amp;R49,N$3:N$98,"&gt;"&amp;Q49)+COUNTIFS($AK$3:$AK$98,$AK49,O$3:O$98,"&lt;"&amp;R49,P$3:P$98,"&gt;"&amp;Q49)+COUNTIFS($AK$3:$AK$98,$AK49,Q$3:Q$98,"&lt;"&amp;R49,R$3:R$98,"&gt;"&amp;Q49)+COUNTIFS($AK$3:$AK$98,$AK49,S$3:S$98,"&lt;"&amp;R49,T$3:T$98,"&gt;"&amp;Q49)+COUNTIFS($AK$3:$AK$98,$AK49,U$3:U$98,"&lt;"&amp;R49,V$3:V$98,"&gt;"&amp;Q49)+COUNTIFS($AK$3:$AK$98,$AK49,W$3:W$98,"&lt;"&amp;R49,X$3:X$98,"&gt;"&amp;Q49)+COUNTIFS($AK$3:$AK$98,$AK49,Y$3:Y$98,"&lt;"&amp;R49,Z$3:Z$98,"&gt;"&amp;Q49)+COUNTIFS($AK$3:$AK$98,$AK49,AA$3:AA$98,"&lt;"&amp;R49,AB$3:AB$98,"&gt;"&amp;Q49)+COUNTIFS($AK$3:$AK$98,$AK49,AC$3:AC$98,"&lt;"&amp;R49,AD$3:AD$98,"&gt;"&amp;Q49)+COUNTIFS($AK$3:$AK$98,$AK49,AE$3:AE$98,"&lt;"&amp;R49,AF$3:AF$98,"&gt;"&amp;Q49)+COUNTIFS($AK$3:$AK$98,$AK49,AG$3:AG$98,"&lt;"&amp;R49,AH$3:AH$98,"&gt;"&amp;Q49)-(Q49&lt;R49))</f>
        <v>0</v>
      </c>
      <c r="AX49">
        <f>AW49</f>
        <v>0</v>
      </c>
      <c r="AY49">
        <f>IF(OR($AK49="",S49="",T49=""),0,COUNTIFS($AK$3:$AK$98,$AK49,K$3:K$98,"&lt;"&amp;T49,L$3:L$98,"&gt;"&amp;S49)+COUNTIFS($AK$3:$AK$98,$AK49,M$3:M$98,"&lt;"&amp;T49,N$3:N$98,"&gt;"&amp;S49)+COUNTIFS($AK$3:$AK$98,$AK49,O$3:O$98,"&lt;"&amp;T49,P$3:P$98,"&gt;"&amp;S49)+COUNTIFS($AK$3:$AK$98,$AK49,Q$3:Q$98,"&lt;"&amp;T49,R$3:R$98,"&gt;"&amp;S49)+COUNTIFS($AK$3:$AK$98,$AK49,S$3:S$98,"&lt;"&amp;T49,T$3:T$98,"&gt;"&amp;S49)+COUNTIFS($AK$3:$AK$98,$AK49,U$3:U$98,"&lt;"&amp;T49,V$3:V$98,"&gt;"&amp;S49)+COUNTIFS($AK$3:$AK$98,$AK49,W$3:W$98,"&lt;"&amp;T49,X$3:X$98,"&gt;"&amp;S49)+COUNTIFS($AK$3:$AK$98,$AK49,Y$3:Y$98,"&lt;"&amp;T49,Z$3:Z$98,"&gt;"&amp;S49)+COUNTIFS($AK$3:$AK$98,$AK49,AA$3:AA$98,"&lt;"&amp;T49,AB$3:AB$98,"&gt;"&amp;S49)+COUNTIFS($AK$3:$AK$98,$AK49,AC$3:AC$98,"&lt;"&amp;T49,AD$3:AD$98,"&gt;"&amp;S49)+COUNTIFS($AK$3:$AK$98,$AK49,AE$3:AE$98,"&lt;"&amp;T49,AF$3:AF$98,"&gt;"&amp;S49)+COUNTIFS($AK$3:$AK$98,$AK49,AG$3:AG$98,"&lt;"&amp;T49,AH$3:AH$98,"&gt;"&amp;S49)-(S49&lt;T49))</f>
        <v>0</v>
      </c>
      <c r="AZ49">
        <f>AY49</f>
        <v>0</v>
      </c>
      <c r="BA49">
        <f>IF(OR($AK49="",U49="",V49=""),0,COUNTIFS($AK$3:$AK$98,$AK49,K$3:K$98,"&lt;"&amp;V49,L$3:L$98,"&gt;"&amp;U49)+COUNTIFS($AK$3:$AK$98,$AK49,M$3:M$98,"&lt;"&amp;V49,N$3:N$98,"&gt;"&amp;U49)+COUNTIFS($AK$3:$AK$98,$AK49,O$3:O$98,"&lt;"&amp;V49,P$3:P$98,"&gt;"&amp;U49)+COUNTIFS($AK$3:$AK$98,$AK49,Q$3:Q$98,"&lt;"&amp;V49,R$3:R$98,"&gt;"&amp;U49)+COUNTIFS($AK$3:$AK$98,$AK49,S$3:S$98,"&lt;"&amp;V49,T$3:T$98,"&gt;"&amp;U49)+COUNTIFS($AK$3:$AK$98,$AK49,U$3:U$98,"&lt;"&amp;V49,V$3:V$98,"&gt;"&amp;U49)+COUNTIFS($AK$3:$AK$98,$AK49,W$3:W$98,"&lt;"&amp;V49,X$3:X$98,"&gt;"&amp;U49)+COUNTIFS($AK$3:$AK$98,$AK49,Y$3:Y$98,"&lt;"&amp;V49,Z$3:Z$98,"&gt;"&amp;U49)+COUNTIFS($AK$3:$AK$98,$AK49,AA$3:AA$98,"&lt;"&amp;V49,AB$3:AB$98,"&gt;"&amp;U49)+COUNTIFS($AK$3:$AK$98,$AK49,AC$3:AC$98,"&lt;"&amp;V49,AD$3:AD$98,"&gt;"&amp;U49)+COUNTIFS($AK$3:$AK$98,$AK49,AE$3:AE$98,"&lt;"&amp;V49,AF$3:AF$98,"&gt;"&amp;U49)+COUNTIFS($AK$3:$AK$98,$AK49,AG$3:AG$98,"&lt;"&amp;V49,AH$3:AH$98,"&gt;"&amp;U49)-(U49&lt;V49))</f>
        <v>0</v>
      </c>
      <c r="BB49">
        <f>BA49</f>
        <v>0</v>
      </c>
      <c r="BC49">
        <f>IF(OR($AK49="",W49="",X49=""),0,COUNTIFS($AK$3:$AK$98,$AK49,K$3:K$98,"&lt;"&amp;X49,L$3:L$98,"&gt;"&amp;W49)+COUNTIFS($AK$3:$AK$98,$AK49,M$3:M$98,"&lt;"&amp;X49,N$3:N$98,"&gt;"&amp;W49)+COUNTIFS($AK$3:$AK$98,$AK49,O$3:O$98,"&lt;"&amp;X49,P$3:P$98,"&gt;"&amp;W49)+COUNTIFS($AK$3:$AK$98,$AK49,Q$3:Q$98,"&lt;"&amp;X49,R$3:R$98,"&gt;"&amp;W49)+COUNTIFS($AK$3:$AK$98,$AK49,S$3:S$98,"&lt;"&amp;X49,T$3:T$98,"&gt;"&amp;W49)+COUNTIFS($AK$3:$AK$98,$AK49,U$3:U$98,"&lt;"&amp;X49,V$3:V$98,"&gt;"&amp;W49)+COUNTIFS($AK$3:$AK$98,$AK49,W$3:W$98,"&lt;"&amp;X49,X$3:X$98,"&gt;"&amp;W49)+COUNTIFS($AK$3:$AK$98,$AK49,Y$3:Y$98,"&lt;"&amp;X49,Z$3:Z$98,"&gt;"&amp;W49)+COUNTIFS($AK$3:$AK$98,$AK49,AA$3:AA$98,"&lt;"&amp;X49,AB$3:AB$98,"&gt;"&amp;W49)+COUNTIFS($AK$3:$AK$98,$AK49,AC$3:AC$98,"&lt;"&amp;X49,AD$3:AD$98,"&gt;"&amp;W49)+COUNTIFS($AK$3:$AK$98,$AK49,AE$3:AE$98,"&lt;"&amp;X49,AF$3:AF$98,"&gt;"&amp;W49)+COUNTIFS($AK$3:$AK$98,$AK49,AG$3:AG$98,"&lt;"&amp;X49,AH$3:AH$98,"&gt;"&amp;W49)-(W49&lt;X49))</f>
        <v>0</v>
      </c>
      <c r="BD49">
        <f>BC49</f>
        <v>0</v>
      </c>
      <c r="BE49">
        <f>IF(OR($AK49="",Y49="",Z49=""),0,COUNTIFS($AK$3:$AK$98,$AK49,K$3:K$98,"&lt;"&amp;Z49,L$3:L$98,"&gt;"&amp;Y49)+COUNTIFS($AK$3:$AK$98,$AK49,M$3:M$98,"&lt;"&amp;Z49,N$3:N$98,"&gt;"&amp;Y49)+COUNTIFS($AK$3:$AK$98,$AK49,O$3:O$98,"&lt;"&amp;Z49,P$3:P$98,"&gt;"&amp;Y49)+COUNTIFS($AK$3:$AK$98,$AK49,Q$3:Q$98,"&lt;"&amp;Z49,R$3:R$98,"&gt;"&amp;Y49)+COUNTIFS($AK$3:$AK$98,$AK49,S$3:S$98,"&lt;"&amp;Z49,T$3:T$98,"&gt;"&amp;Y49)+COUNTIFS($AK$3:$AK$98,$AK49,U$3:U$98,"&lt;"&amp;Z49,V$3:V$98,"&gt;"&amp;Y49)+COUNTIFS($AK$3:$AK$98,$AK49,W$3:W$98,"&lt;"&amp;Z49,X$3:X$98,"&gt;"&amp;Y49)+COUNTIFS($AK$3:$AK$98,$AK49,Y$3:Y$98,"&lt;"&amp;Z49,Z$3:Z$98,"&gt;"&amp;Y49)+COUNTIFS($AK$3:$AK$98,$AK49,AA$3:AA$98,"&lt;"&amp;Z49,AB$3:AB$98,"&gt;"&amp;Y49)+COUNTIFS($AK$3:$AK$98,$AK49,AC$3:AC$98,"&lt;"&amp;Z49,AD$3:AD$98,"&gt;"&amp;Y49)+COUNTIFS($AK$3:$AK$98,$AK49,AE$3:AE$98,"&lt;"&amp;Z49,AF$3:AF$98,"&gt;"&amp;Y49)+COUNTIFS($AK$3:$AK$98,$AK49,AG$3:AG$98,"&lt;"&amp;Z49,AH$3:AH$98,"&gt;"&amp;Y49)-(Y49&lt;Z49))</f>
        <v>0</v>
      </c>
      <c r="BF49">
        <f>BE49</f>
        <v>0</v>
      </c>
      <c r="BG49">
        <f>IF(OR($AK49="",AA49="",AB49=""),0,COUNTIFS($AK$3:$AK$98,$AK49,K$3:K$98,"&lt;"&amp;AB49,L$3:L$98,"&gt;"&amp;AA49)+COUNTIFS($AK$3:$AK$98,$AK49,M$3:M$98,"&lt;"&amp;AB49,N$3:N$98,"&gt;"&amp;AA49)+COUNTIFS($AK$3:$AK$98,$AK49,O$3:O$98,"&lt;"&amp;AB49,P$3:P$98,"&gt;"&amp;AA49)+COUNTIFS($AK$3:$AK$98,$AK49,Q$3:Q$98,"&lt;"&amp;AB49,R$3:R$98,"&gt;"&amp;AA49)+COUNTIFS($AK$3:$AK$98,$AK49,S$3:S$98,"&lt;"&amp;AB49,T$3:T$98,"&gt;"&amp;AA49)+COUNTIFS($AK$3:$AK$98,$AK49,U$3:U$98,"&lt;"&amp;AB49,V$3:V$98,"&gt;"&amp;AA49)+COUNTIFS($AK$3:$AK$98,$AK49,W$3:W$98,"&lt;"&amp;AB49,X$3:X$98,"&gt;"&amp;AA49)+COUNTIFS($AK$3:$AK$98,$AK49,Y$3:Y$98,"&lt;"&amp;AB49,Z$3:Z$98,"&gt;"&amp;AA49)+COUNTIFS($AK$3:$AK$98,$AK49,AA$3:AA$98,"&lt;"&amp;AB49,AB$3:AB$98,"&gt;"&amp;AA49)+COUNTIFS($AK$3:$AK$98,$AK49,AC$3:AC$98,"&lt;"&amp;AB49,AD$3:AD$98,"&gt;"&amp;AA49)+COUNTIFS($AK$3:$AK$98,$AK49,AE$3:AE$98,"&lt;"&amp;AB49,AF$3:AF$98,"&gt;"&amp;AA49)+COUNTIFS($AK$3:$AK$98,$AK49,AG$3:AG$98,"&lt;"&amp;AB49,AH$3:AH$98,"&gt;"&amp;AA49)-(AA49&lt;AB49))</f>
        <v>0</v>
      </c>
      <c r="BH49">
        <f>BG49</f>
        <v>0</v>
      </c>
      <c r="BI49">
        <f>IF(OR($AK49="",AC49="",AD49=""),0,COUNTIFS($AK$3:$AK$98,$AK49,K$3:K$98,"&lt;"&amp;AD49,L$3:L$98,"&gt;"&amp;AC49)+COUNTIFS($AK$3:$AK$98,$AK49,M$3:M$98,"&lt;"&amp;AD49,N$3:N$98,"&gt;"&amp;AC49)+COUNTIFS($AK$3:$AK$98,$AK49,O$3:O$98,"&lt;"&amp;AD49,P$3:P$98,"&gt;"&amp;AC49)+COUNTIFS($AK$3:$AK$98,$AK49,Q$3:Q$98,"&lt;"&amp;AD49,R$3:R$98,"&gt;"&amp;AC49)+COUNTIFS($AK$3:$AK$98,$AK49,S$3:S$98,"&lt;"&amp;AD49,T$3:T$98,"&gt;"&amp;AC49)+COUNTIFS($AK$3:$AK$98,$AK49,U$3:U$98,"&lt;"&amp;AD49,V$3:V$98,"&gt;"&amp;AC49)+COUNTIFS($AK$3:$AK$98,$AK49,W$3:W$98,"&lt;"&amp;AD49,X$3:X$98,"&gt;"&amp;AC49)+COUNTIFS($AK$3:$AK$98,$AK49,Y$3:Y$98,"&lt;"&amp;AD49,Z$3:Z$98,"&gt;"&amp;AC49)+COUNTIFS($AK$3:$AK$98,$AK49,AA$3:AA$98,"&lt;"&amp;AD49,AB$3:AB$98,"&gt;"&amp;AC49)+COUNTIFS($AK$3:$AK$98,$AK49,AC$3:AC$98,"&lt;"&amp;AD49,AD$3:AD$98,"&gt;"&amp;AC49)+COUNTIFS($AK$3:$AK$98,$AK49,AE$3:AE$98,"&lt;"&amp;AD49,AF$3:AF$98,"&gt;"&amp;AC49)+COUNTIFS($AK$3:$AK$98,$AK49,AG$3:AG$98,"&lt;"&amp;AD49,AH$3:AH$98,"&gt;"&amp;AC49)-(AC49&lt;AD49))</f>
        <v>0</v>
      </c>
      <c r="BJ49">
        <f>BI49</f>
        <v>0</v>
      </c>
      <c r="BK49">
        <f>IF(OR($AK49="",AE49="",AF49=""),0,COUNTIFS($AK$3:$AK$98,$AK49,K$3:K$98,"&lt;"&amp;AF49,L$3:L$98,"&gt;"&amp;AE49)+COUNTIFS($AK$3:$AK$98,$AK49,M$3:M$98,"&lt;"&amp;AF49,N$3:N$98,"&gt;"&amp;AE49)+COUNTIFS($AK$3:$AK$98,$AK49,O$3:O$98,"&lt;"&amp;AF49,P$3:P$98,"&gt;"&amp;AE49)+COUNTIFS($AK$3:$AK$98,$AK49,Q$3:Q$98,"&lt;"&amp;AF49,R$3:R$98,"&gt;"&amp;AE49)+COUNTIFS($AK$3:$AK$98,$AK49,S$3:S$98,"&lt;"&amp;AF49,T$3:T$98,"&gt;"&amp;AE49)+COUNTIFS($AK$3:$AK$98,$AK49,U$3:U$98,"&lt;"&amp;AF49,V$3:V$98,"&gt;"&amp;AE49)+COUNTIFS($AK$3:$AK$98,$AK49,W$3:W$98,"&lt;"&amp;AF49,X$3:X$98,"&gt;"&amp;AE49)+COUNTIFS($AK$3:$AK$98,$AK49,Y$3:Y$98,"&lt;"&amp;AF49,Z$3:Z$98,"&gt;"&amp;AE49)+COUNTIFS($AK$3:$AK$98,$AK49,AA$3:AA$98,"&lt;"&amp;AF49,AB$3:AB$98,"&gt;"&amp;AE49)+COUNTIFS($AK$3:$AK$98,$AK49,AC$3:AC$98,"&lt;"&amp;AF49,AD$3:AD$98,"&gt;"&amp;AE49)+COUNTIFS($AK$3:$AK$98,$AK49,AE$3:AE$98,"&lt;"&amp;AF49,AF$3:AF$98,"&gt;"&amp;AE49)+COUNTIFS($AK$3:$AK$98,$AK49,AG$3:AG$98,"&lt;"&amp;AF49,AH$3:AH$98,"&gt;"&amp;AE49)-(AE49&lt;AF49))</f>
        <v>0</v>
      </c>
      <c r="BL49">
        <f>BK49</f>
        <v>0</v>
      </c>
      <c r="BM49">
        <f>IF(OR($AK49="",AG49="",AH49=""),0,COUNTIFS($AK$3:$AK$98,$AK49,K$3:K$98,"&lt;"&amp;AH49,L$3:L$98,"&gt;"&amp;AG49)+COUNTIFS($AK$3:$AK$98,$AK49,M$3:M$98,"&lt;"&amp;AH49,N$3:N$98,"&gt;"&amp;AG49)+COUNTIFS($AK$3:$AK$98,$AK49,O$3:O$98,"&lt;"&amp;AH49,P$3:P$98,"&gt;"&amp;AG49)+COUNTIFS($AK$3:$AK$98,$AK49,Q$3:Q$98,"&lt;"&amp;AH49,R$3:R$98,"&gt;"&amp;AG49)+COUNTIFS($AK$3:$AK$98,$AK49,S$3:S$98,"&lt;"&amp;AH49,T$3:T$98,"&gt;"&amp;AG49)+COUNTIFS($AK$3:$AK$98,$AK49,U$3:U$98,"&lt;"&amp;AH49,V$3:V$98,"&gt;"&amp;AG49)+COUNTIFS($AK$3:$AK$98,$AK49,W$3:W$98,"&lt;"&amp;AH49,X$3:X$98,"&gt;"&amp;AG49)+COUNTIFS($AK$3:$AK$98,$AK49,Y$3:Y$98,"&lt;"&amp;AH49,Z$3:Z$98,"&gt;"&amp;AG49)+COUNTIFS($AK$3:$AK$98,$AK49,AA$3:AA$98,"&lt;"&amp;AH49,AB$3:AB$98,"&gt;"&amp;AG49)+COUNTIFS($AK$3:$AK$98,$AK49,AC$3:AC$98,"&lt;"&amp;AH49,AD$3:AD$98,"&gt;"&amp;AG49)+COUNTIFS($AK$3:$AK$98,$AK49,AE$3:AE$98,"&lt;"&amp;AH49,AF$3:AF$98,"&gt;"&amp;AG49)+COUNTIFS($AK$3:$AK$98,$AK49,AG$3:AG$98,"&lt;"&amp;AH49,AH$3:AH$98,"&gt;"&amp;AG49)-(AG49&lt;AH49))</f>
        <v>0</v>
      </c>
      <c r="BN49">
        <f>BM49</f>
        <v>0</v>
      </c>
      <c r="BO49" t="str">
        <f>IF(ISNUMBER($G49),$G49,"")</f>
        <v/>
      </c>
      <c r="BP49" t="str">
        <f>IF(AND($A49&lt;&gt;"",COUNT($K49:$AH49)&gt;0),ROW(),"")</f>
        <v/>
      </c>
    </row>
    <row r="50" spans="1:68" x14ac:dyDescent="0.15">
      <c r="A50" s="13" t="s">
        <v>45</v>
      </c>
      <c r="B50" s="14" t="str">
        <f>IF($A50="","","total")</f>
        <v>total</v>
      </c>
      <c r="C50" s="14"/>
      <c r="D50" s="15">
        <f>IF($A50="","",SUM(D51:D53))</f>
        <v>17</v>
      </c>
      <c r="E50" s="15">
        <f>IF($A50="","",SUM(E51:E53))</f>
        <v>0</v>
      </c>
      <c r="F50" s="15">
        <f>IF($A50="","",D50-E50)</f>
        <v>17</v>
      </c>
      <c r="G50" s="16" t="str">
        <f>IF($A50="","",IFERROR(AVERAGEIFS(G51:G53,H51:H53,"&lt;&gt;未着手",H51:H53,"&lt;&gt;作業中"),""))</f>
        <v/>
      </c>
      <c r="H50" s="14"/>
      <c r="I50" s="14"/>
      <c r="J50" s="14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</row>
    <row r="51" spans="1:68" x14ac:dyDescent="0.15">
      <c r="A51" s="18" t="str">
        <f>IF($A50="","",$A50)</f>
        <v>chMobSaiyanH</v>
      </c>
      <c r="B51" s="19" t="str">
        <f>IF($A50="","","low")</f>
        <v>low</v>
      </c>
      <c r="C51" s="19"/>
      <c r="D51" s="20">
        <v>8</v>
      </c>
      <c r="E51" s="21">
        <f>IF(AND($D51="",COUNT($K51:$AH51)=0),"",IF(K51="",0,MAX(0,NETWORKDAYS(K51,IF(L51&lt;&gt;"",L51,IF($J51&lt;&gt;"",K51,$AI$1)),祝日!$A$2:$A$200)))+IF(M51="",0,MAX(0,NETWORKDAYS(M51,IF(N51&lt;&gt;"",N51,IF($J51&lt;&gt;"",M51,$AI$1)),祝日!$A$2:$A$200)))+IF(O51="",0,MAX(0,NETWORKDAYS(O51,IF(P51&lt;&gt;"",P51,IF($J51&lt;&gt;"",O51,$AI$1)),祝日!$A$2:$A$200)))+IF(Q51="",0,MAX(0,NETWORKDAYS(Q51,IF(R51&lt;&gt;"",R51,IF($J51&lt;&gt;"",Q51,$AI$1)),祝日!$A$2:$A$200)))+IF(S51="",0,MAX(0,NETWORKDAYS(S51,IF(T51&lt;&gt;"",T51,IF($J51&lt;&gt;"",S51,$AI$1)),祝日!$A$2:$A$200)))+IF(U51="",0,MAX(0,NETWORKDAYS(U51,IF(V51&lt;&gt;"",V51,IF($J51&lt;&gt;"",U51,$AI$1)),祝日!$A$2:$A$200)))+IF(W51="",0,MAX(0,NETWORKDAYS(W51,IF(X51&lt;&gt;"",X51,IF($J51&lt;&gt;"",W51,$AI$1)),祝日!$A$2:$A$200)))+IF(Y51="",0,MAX(0,NETWORKDAYS(Y51,IF(Z51&lt;&gt;"",Z51,IF($J51&lt;&gt;"",Y51,$AI$1)),祝日!$A$2:$A$200)))+IF(AA51="",0,MAX(0,NETWORKDAYS(AA51,IF(AB51&lt;&gt;"",AB51,IF($J51&lt;&gt;"",AA51,$AI$1)),祝日!$A$2:$A$200)))+IF(AC51="",0,MAX(0,NETWORKDAYS(AC51,IF(AD51&lt;&gt;"",AD51,IF($J51&lt;&gt;"",AC51,$AI$1)),祝日!$A$2:$A$200)))+IF(AE51="",0,MAX(0,NETWORKDAYS(AE51,IF(AF51&lt;&gt;"",AF51,IF($J51&lt;&gt;"",AE51,$AI$1)),祝日!$A$2:$A$200)))+IF(AG51="",0,MAX(0,NETWORKDAYS(AG51,IF(AH51&lt;&gt;"",AH51,IF($J51&lt;&gt;"",AG51,$AI$1)),祝日!$A$2:$A$200))))</f>
        <v>0</v>
      </c>
      <c r="F51" s="21">
        <f>IF($D51="","",$D51-$E51)</f>
        <v>8</v>
      </c>
      <c r="G51" s="22">
        <f>IF(OR($D51="",$D51=0),"",$E51/$D51)</f>
        <v>0</v>
      </c>
      <c r="H51" s="23" t="str">
        <f>IF($D51="","",IF($J51&lt;&gt;"","FIX",IF(AND(SUMPRODUCT((MOD(COLUMN($K51:$AH51)-COLUMN($K51),2)=0)*($K51:$AH51&lt;&gt;""))=0,SUMPRODUCT((MOD(COLUMN($K51:$AH51)-COLUMN($K51),2)=1)*($K51:$AH51&lt;&gt;""))=0),"未着手",IF(SUMPRODUCT((MOD(COLUMN($K51:$AH51)-COLUMN($K51),2)=0)*($K51:$AH51&lt;&gt;""))&gt;SUMPRODUCT((MOD(COLUMN($K51:$AH51)-COLUMN($K51),2)=1)*($K51:$AH51&lt;&gt;"")),"作業中","中断"))))</f>
        <v>未着手</v>
      </c>
      <c r="I51" s="23" t="str">
        <f>IF($H51="中断",MAX(0,$AI$1-MAX(L51,N51,P51,R51,T51,V51,X51,Z51,AB51,AD51,AF51,AH51)),"")</f>
        <v/>
      </c>
      <c r="J51" s="19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K51" t="str">
        <f>IF($A50="","",IF(LOOKUP(2,1/($AJ$3:$AJ51&lt;&gt;""),$AJ$3:$AJ51)="-","",LOOKUP(2,1/($AJ$3:$AJ51&lt;&gt;""),$AJ$3:$AJ51)))</f>
        <v>CH03</v>
      </c>
      <c r="AL51" t="str">
        <f>$H51</f>
        <v>未着手</v>
      </c>
      <c r="AM51">
        <f>IF(ISNUMBER($D51),$D51,0)</f>
        <v>8</v>
      </c>
      <c r="AN51">
        <f>IF(ISNUMBER($E51),$E51,0)</f>
        <v>0</v>
      </c>
      <c r="AO51">
        <f>IF(ISNUMBER($F51),$F51,0)</f>
        <v>8</v>
      </c>
      <c r="AQ51">
        <f>IF(OR($AK51="",K51="",L51=""),0,COUNTIFS($AK$3:$AK$98,$AK51,K$3:K$98,"&lt;"&amp;L51,L$3:L$98,"&gt;"&amp;K51)+COUNTIFS($AK$3:$AK$98,$AK51,M$3:M$98,"&lt;"&amp;L51,N$3:N$98,"&gt;"&amp;K51)+COUNTIFS($AK$3:$AK$98,$AK51,O$3:O$98,"&lt;"&amp;L51,P$3:P$98,"&gt;"&amp;K51)+COUNTIFS($AK$3:$AK$98,$AK51,Q$3:Q$98,"&lt;"&amp;L51,R$3:R$98,"&gt;"&amp;K51)+COUNTIFS($AK$3:$AK$98,$AK51,S$3:S$98,"&lt;"&amp;L51,T$3:T$98,"&gt;"&amp;K51)+COUNTIFS($AK$3:$AK$98,$AK51,U$3:U$98,"&lt;"&amp;L51,V$3:V$98,"&gt;"&amp;K51)+COUNTIFS($AK$3:$AK$98,$AK51,W$3:W$98,"&lt;"&amp;L51,X$3:X$98,"&gt;"&amp;K51)+COUNTIFS($AK$3:$AK$98,$AK51,Y$3:Y$98,"&lt;"&amp;L51,Z$3:Z$98,"&gt;"&amp;K51)+COUNTIFS($AK$3:$AK$98,$AK51,AA$3:AA$98,"&lt;"&amp;L51,AB$3:AB$98,"&gt;"&amp;K51)+COUNTIFS($AK$3:$AK$98,$AK51,AC$3:AC$98,"&lt;"&amp;L51,AD$3:AD$98,"&gt;"&amp;K51)+COUNTIFS($AK$3:$AK$98,$AK51,AE$3:AE$98,"&lt;"&amp;L51,AF$3:AF$98,"&gt;"&amp;K51)+COUNTIFS($AK$3:$AK$98,$AK51,AG$3:AG$98,"&lt;"&amp;L51,AH$3:AH$98,"&gt;"&amp;K51)-(K51&lt;L51))</f>
        <v>0</v>
      </c>
      <c r="AR51">
        <f>AQ51</f>
        <v>0</v>
      </c>
      <c r="AS51">
        <f>IF(OR($AK51="",M51="",N51=""),0,COUNTIFS($AK$3:$AK$98,$AK51,K$3:K$98,"&lt;"&amp;N51,L$3:L$98,"&gt;"&amp;M51)+COUNTIFS($AK$3:$AK$98,$AK51,M$3:M$98,"&lt;"&amp;N51,N$3:N$98,"&gt;"&amp;M51)+COUNTIFS($AK$3:$AK$98,$AK51,O$3:O$98,"&lt;"&amp;N51,P$3:P$98,"&gt;"&amp;M51)+COUNTIFS($AK$3:$AK$98,$AK51,Q$3:Q$98,"&lt;"&amp;N51,R$3:R$98,"&gt;"&amp;M51)+COUNTIFS($AK$3:$AK$98,$AK51,S$3:S$98,"&lt;"&amp;N51,T$3:T$98,"&gt;"&amp;M51)+COUNTIFS($AK$3:$AK$98,$AK51,U$3:U$98,"&lt;"&amp;N51,V$3:V$98,"&gt;"&amp;M51)+COUNTIFS($AK$3:$AK$98,$AK51,W$3:W$98,"&lt;"&amp;N51,X$3:X$98,"&gt;"&amp;M51)+COUNTIFS($AK$3:$AK$98,$AK51,Y$3:Y$98,"&lt;"&amp;N51,Z$3:Z$98,"&gt;"&amp;M51)+COUNTIFS($AK$3:$AK$98,$AK51,AA$3:AA$98,"&lt;"&amp;N51,AB$3:AB$98,"&gt;"&amp;M51)+COUNTIFS($AK$3:$AK$98,$AK51,AC$3:AC$98,"&lt;"&amp;N51,AD$3:AD$98,"&gt;"&amp;M51)+COUNTIFS($AK$3:$AK$98,$AK51,AE$3:AE$98,"&lt;"&amp;N51,AF$3:AF$98,"&gt;"&amp;M51)+COUNTIFS($AK$3:$AK$98,$AK51,AG$3:AG$98,"&lt;"&amp;N51,AH$3:AH$98,"&gt;"&amp;M51)-(M51&lt;N51))</f>
        <v>0</v>
      </c>
      <c r="AT51">
        <f>AS51</f>
        <v>0</v>
      </c>
      <c r="AU51">
        <f>IF(OR($AK51="",O51="",P51=""),0,COUNTIFS($AK$3:$AK$98,$AK51,K$3:K$98,"&lt;"&amp;P51,L$3:L$98,"&gt;"&amp;O51)+COUNTIFS($AK$3:$AK$98,$AK51,M$3:M$98,"&lt;"&amp;P51,N$3:N$98,"&gt;"&amp;O51)+COUNTIFS($AK$3:$AK$98,$AK51,O$3:O$98,"&lt;"&amp;P51,P$3:P$98,"&gt;"&amp;O51)+COUNTIFS($AK$3:$AK$98,$AK51,Q$3:Q$98,"&lt;"&amp;P51,R$3:R$98,"&gt;"&amp;O51)+COUNTIFS($AK$3:$AK$98,$AK51,S$3:S$98,"&lt;"&amp;P51,T$3:T$98,"&gt;"&amp;O51)+COUNTIFS($AK$3:$AK$98,$AK51,U$3:U$98,"&lt;"&amp;P51,V$3:V$98,"&gt;"&amp;O51)+COUNTIFS($AK$3:$AK$98,$AK51,W$3:W$98,"&lt;"&amp;P51,X$3:X$98,"&gt;"&amp;O51)+COUNTIFS($AK$3:$AK$98,$AK51,Y$3:Y$98,"&lt;"&amp;P51,Z$3:Z$98,"&gt;"&amp;O51)+COUNTIFS($AK$3:$AK$98,$AK51,AA$3:AA$98,"&lt;"&amp;P51,AB$3:AB$98,"&gt;"&amp;O51)+COUNTIFS($AK$3:$AK$98,$AK51,AC$3:AC$98,"&lt;"&amp;P51,AD$3:AD$98,"&gt;"&amp;O51)+COUNTIFS($AK$3:$AK$98,$AK51,AE$3:AE$98,"&lt;"&amp;P51,AF$3:AF$98,"&gt;"&amp;O51)+COUNTIFS($AK$3:$AK$98,$AK51,AG$3:AG$98,"&lt;"&amp;P51,AH$3:AH$98,"&gt;"&amp;O51)-(O51&lt;P51))</f>
        <v>0</v>
      </c>
      <c r="AV51">
        <f>AU51</f>
        <v>0</v>
      </c>
      <c r="AW51">
        <f>IF(OR($AK51="",Q51="",R51=""),0,COUNTIFS($AK$3:$AK$98,$AK51,K$3:K$98,"&lt;"&amp;R51,L$3:L$98,"&gt;"&amp;Q51)+COUNTIFS($AK$3:$AK$98,$AK51,M$3:M$98,"&lt;"&amp;R51,N$3:N$98,"&gt;"&amp;Q51)+COUNTIFS($AK$3:$AK$98,$AK51,O$3:O$98,"&lt;"&amp;R51,P$3:P$98,"&gt;"&amp;Q51)+COUNTIFS($AK$3:$AK$98,$AK51,Q$3:Q$98,"&lt;"&amp;R51,R$3:R$98,"&gt;"&amp;Q51)+COUNTIFS($AK$3:$AK$98,$AK51,S$3:S$98,"&lt;"&amp;R51,T$3:T$98,"&gt;"&amp;Q51)+COUNTIFS($AK$3:$AK$98,$AK51,U$3:U$98,"&lt;"&amp;R51,V$3:V$98,"&gt;"&amp;Q51)+COUNTIFS($AK$3:$AK$98,$AK51,W$3:W$98,"&lt;"&amp;R51,X$3:X$98,"&gt;"&amp;Q51)+COUNTIFS($AK$3:$AK$98,$AK51,Y$3:Y$98,"&lt;"&amp;R51,Z$3:Z$98,"&gt;"&amp;Q51)+COUNTIFS($AK$3:$AK$98,$AK51,AA$3:AA$98,"&lt;"&amp;R51,AB$3:AB$98,"&gt;"&amp;Q51)+COUNTIFS($AK$3:$AK$98,$AK51,AC$3:AC$98,"&lt;"&amp;R51,AD$3:AD$98,"&gt;"&amp;Q51)+COUNTIFS($AK$3:$AK$98,$AK51,AE$3:AE$98,"&lt;"&amp;R51,AF$3:AF$98,"&gt;"&amp;Q51)+COUNTIFS($AK$3:$AK$98,$AK51,AG$3:AG$98,"&lt;"&amp;R51,AH$3:AH$98,"&gt;"&amp;Q51)-(Q51&lt;R51))</f>
        <v>0</v>
      </c>
      <c r="AX51">
        <f>AW51</f>
        <v>0</v>
      </c>
      <c r="AY51">
        <f>IF(OR($AK51="",S51="",T51=""),0,COUNTIFS($AK$3:$AK$98,$AK51,K$3:K$98,"&lt;"&amp;T51,L$3:L$98,"&gt;"&amp;S51)+COUNTIFS($AK$3:$AK$98,$AK51,M$3:M$98,"&lt;"&amp;T51,N$3:N$98,"&gt;"&amp;S51)+COUNTIFS($AK$3:$AK$98,$AK51,O$3:O$98,"&lt;"&amp;T51,P$3:P$98,"&gt;"&amp;S51)+COUNTIFS($AK$3:$AK$98,$AK51,Q$3:Q$98,"&lt;"&amp;T51,R$3:R$98,"&gt;"&amp;S51)+COUNTIFS($AK$3:$AK$98,$AK51,S$3:S$98,"&lt;"&amp;T51,T$3:T$98,"&gt;"&amp;S51)+COUNTIFS($AK$3:$AK$98,$AK51,U$3:U$98,"&lt;"&amp;T51,V$3:V$98,"&gt;"&amp;S51)+COUNTIFS($AK$3:$AK$98,$AK51,W$3:W$98,"&lt;"&amp;T51,X$3:X$98,"&gt;"&amp;S51)+COUNTIFS($AK$3:$AK$98,$AK51,Y$3:Y$98,"&lt;"&amp;T51,Z$3:Z$98,"&gt;"&amp;S51)+COUNTIFS($AK$3:$AK$98,$AK51,AA$3:AA$98,"&lt;"&amp;T51,AB$3:AB$98,"&gt;"&amp;S51)+COUNTIFS($AK$3:$AK$98,$AK51,AC$3:AC$98,"&lt;"&amp;T51,AD$3:AD$98,"&gt;"&amp;S51)+COUNTIFS($AK$3:$AK$98,$AK51,AE$3:AE$98,"&lt;"&amp;T51,AF$3:AF$98,"&gt;"&amp;S51)+COUNTIFS($AK$3:$AK$98,$AK51,AG$3:AG$98,"&lt;"&amp;T51,AH$3:AH$98,"&gt;"&amp;S51)-(S51&lt;T51))</f>
        <v>0</v>
      </c>
      <c r="AZ51">
        <f>AY51</f>
        <v>0</v>
      </c>
      <c r="BA51">
        <f>IF(OR($AK51="",U51="",V51=""),0,COUNTIFS($AK$3:$AK$98,$AK51,K$3:K$98,"&lt;"&amp;V51,L$3:L$98,"&gt;"&amp;U51)+COUNTIFS($AK$3:$AK$98,$AK51,M$3:M$98,"&lt;"&amp;V51,N$3:N$98,"&gt;"&amp;U51)+COUNTIFS($AK$3:$AK$98,$AK51,O$3:O$98,"&lt;"&amp;V51,P$3:P$98,"&gt;"&amp;U51)+COUNTIFS($AK$3:$AK$98,$AK51,Q$3:Q$98,"&lt;"&amp;V51,R$3:R$98,"&gt;"&amp;U51)+COUNTIFS($AK$3:$AK$98,$AK51,S$3:S$98,"&lt;"&amp;V51,T$3:T$98,"&gt;"&amp;U51)+COUNTIFS($AK$3:$AK$98,$AK51,U$3:U$98,"&lt;"&amp;V51,V$3:V$98,"&gt;"&amp;U51)+COUNTIFS($AK$3:$AK$98,$AK51,W$3:W$98,"&lt;"&amp;V51,X$3:X$98,"&gt;"&amp;U51)+COUNTIFS($AK$3:$AK$98,$AK51,Y$3:Y$98,"&lt;"&amp;V51,Z$3:Z$98,"&gt;"&amp;U51)+COUNTIFS($AK$3:$AK$98,$AK51,AA$3:AA$98,"&lt;"&amp;V51,AB$3:AB$98,"&gt;"&amp;U51)+COUNTIFS($AK$3:$AK$98,$AK51,AC$3:AC$98,"&lt;"&amp;V51,AD$3:AD$98,"&gt;"&amp;U51)+COUNTIFS($AK$3:$AK$98,$AK51,AE$3:AE$98,"&lt;"&amp;V51,AF$3:AF$98,"&gt;"&amp;U51)+COUNTIFS($AK$3:$AK$98,$AK51,AG$3:AG$98,"&lt;"&amp;V51,AH$3:AH$98,"&gt;"&amp;U51)-(U51&lt;V51))</f>
        <v>0</v>
      </c>
      <c r="BB51">
        <f>BA51</f>
        <v>0</v>
      </c>
      <c r="BC51">
        <f>IF(OR($AK51="",W51="",X51=""),0,COUNTIFS($AK$3:$AK$98,$AK51,K$3:K$98,"&lt;"&amp;X51,L$3:L$98,"&gt;"&amp;W51)+COUNTIFS($AK$3:$AK$98,$AK51,M$3:M$98,"&lt;"&amp;X51,N$3:N$98,"&gt;"&amp;W51)+COUNTIFS($AK$3:$AK$98,$AK51,O$3:O$98,"&lt;"&amp;X51,P$3:P$98,"&gt;"&amp;W51)+COUNTIFS($AK$3:$AK$98,$AK51,Q$3:Q$98,"&lt;"&amp;X51,R$3:R$98,"&gt;"&amp;W51)+COUNTIFS($AK$3:$AK$98,$AK51,S$3:S$98,"&lt;"&amp;X51,T$3:T$98,"&gt;"&amp;W51)+COUNTIFS($AK$3:$AK$98,$AK51,U$3:U$98,"&lt;"&amp;X51,V$3:V$98,"&gt;"&amp;W51)+COUNTIFS($AK$3:$AK$98,$AK51,W$3:W$98,"&lt;"&amp;X51,X$3:X$98,"&gt;"&amp;W51)+COUNTIFS($AK$3:$AK$98,$AK51,Y$3:Y$98,"&lt;"&amp;X51,Z$3:Z$98,"&gt;"&amp;W51)+COUNTIFS($AK$3:$AK$98,$AK51,AA$3:AA$98,"&lt;"&amp;X51,AB$3:AB$98,"&gt;"&amp;W51)+COUNTIFS($AK$3:$AK$98,$AK51,AC$3:AC$98,"&lt;"&amp;X51,AD$3:AD$98,"&gt;"&amp;W51)+COUNTIFS($AK$3:$AK$98,$AK51,AE$3:AE$98,"&lt;"&amp;X51,AF$3:AF$98,"&gt;"&amp;W51)+COUNTIFS($AK$3:$AK$98,$AK51,AG$3:AG$98,"&lt;"&amp;X51,AH$3:AH$98,"&gt;"&amp;W51)-(W51&lt;X51))</f>
        <v>0</v>
      </c>
      <c r="BD51">
        <f>BC51</f>
        <v>0</v>
      </c>
      <c r="BE51">
        <f>IF(OR($AK51="",Y51="",Z51=""),0,COUNTIFS($AK$3:$AK$98,$AK51,K$3:K$98,"&lt;"&amp;Z51,L$3:L$98,"&gt;"&amp;Y51)+COUNTIFS($AK$3:$AK$98,$AK51,M$3:M$98,"&lt;"&amp;Z51,N$3:N$98,"&gt;"&amp;Y51)+COUNTIFS($AK$3:$AK$98,$AK51,O$3:O$98,"&lt;"&amp;Z51,P$3:P$98,"&gt;"&amp;Y51)+COUNTIFS($AK$3:$AK$98,$AK51,Q$3:Q$98,"&lt;"&amp;Z51,R$3:R$98,"&gt;"&amp;Y51)+COUNTIFS($AK$3:$AK$98,$AK51,S$3:S$98,"&lt;"&amp;Z51,T$3:T$98,"&gt;"&amp;Y51)+COUNTIFS($AK$3:$AK$98,$AK51,U$3:U$98,"&lt;"&amp;Z51,V$3:V$98,"&gt;"&amp;Y51)+COUNTIFS($AK$3:$AK$98,$AK51,W$3:W$98,"&lt;"&amp;Z51,X$3:X$98,"&gt;"&amp;Y51)+COUNTIFS($AK$3:$AK$98,$AK51,Y$3:Y$98,"&lt;"&amp;Z51,Z$3:Z$98,"&gt;"&amp;Y51)+COUNTIFS($AK$3:$AK$98,$AK51,AA$3:AA$98,"&lt;"&amp;Z51,AB$3:AB$98,"&gt;"&amp;Y51)+COUNTIFS($AK$3:$AK$98,$AK51,AC$3:AC$98,"&lt;"&amp;Z51,AD$3:AD$98,"&gt;"&amp;Y51)+COUNTIFS($AK$3:$AK$98,$AK51,AE$3:AE$98,"&lt;"&amp;Z51,AF$3:AF$98,"&gt;"&amp;Y51)+COUNTIFS($AK$3:$AK$98,$AK51,AG$3:AG$98,"&lt;"&amp;Z51,AH$3:AH$98,"&gt;"&amp;Y51)-(Y51&lt;Z51))</f>
        <v>0</v>
      </c>
      <c r="BF51">
        <f>BE51</f>
        <v>0</v>
      </c>
      <c r="BG51">
        <f>IF(OR($AK51="",AA51="",AB51=""),0,COUNTIFS($AK$3:$AK$98,$AK51,K$3:K$98,"&lt;"&amp;AB51,L$3:L$98,"&gt;"&amp;AA51)+COUNTIFS($AK$3:$AK$98,$AK51,M$3:M$98,"&lt;"&amp;AB51,N$3:N$98,"&gt;"&amp;AA51)+COUNTIFS($AK$3:$AK$98,$AK51,O$3:O$98,"&lt;"&amp;AB51,P$3:P$98,"&gt;"&amp;AA51)+COUNTIFS($AK$3:$AK$98,$AK51,Q$3:Q$98,"&lt;"&amp;AB51,R$3:R$98,"&gt;"&amp;AA51)+COUNTIFS($AK$3:$AK$98,$AK51,S$3:S$98,"&lt;"&amp;AB51,T$3:T$98,"&gt;"&amp;AA51)+COUNTIFS($AK$3:$AK$98,$AK51,U$3:U$98,"&lt;"&amp;AB51,V$3:V$98,"&gt;"&amp;AA51)+COUNTIFS($AK$3:$AK$98,$AK51,W$3:W$98,"&lt;"&amp;AB51,X$3:X$98,"&gt;"&amp;AA51)+COUNTIFS($AK$3:$AK$98,$AK51,Y$3:Y$98,"&lt;"&amp;AB51,Z$3:Z$98,"&gt;"&amp;AA51)+COUNTIFS($AK$3:$AK$98,$AK51,AA$3:AA$98,"&lt;"&amp;AB51,AB$3:AB$98,"&gt;"&amp;AA51)+COUNTIFS($AK$3:$AK$98,$AK51,AC$3:AC$98,"&lt;"&amp;AB51,AD$3:AD$98,"&gt;"&amp;AA51)+COUNTIFS($AK$3:$AK$98,$AK51,AE$3:AE$98,"&lt;"&amp;AB51,AF$3:AF$98,"&gt;"&amp;AA51)+COUNTIFS($AK$3:$AK$98,$AK51,AG$3:AG$98,"&lt;"&amp;AB51,AH$3:AH$98,"&gt;"&amp;AA51)-(AA51&lt;AB51))</f>
        <v>0</v>
      </c>
      <c r="BH51">
        <f>BG51</f>
        <v>0</v>
      </c>
      <c r="BI51">
        <f>IF(OR($AK51="",AC51="",AD51=""),0,COUNTIFS($AK$3:$AK$98,$AK51,K$3:K$98,"&lt;"&amp;AD51,L$3:L$98,"&gt;"&amp;AC51)+COUNTIFS($AK$3:$AK$98,$AK51,M$3:M$98,"&lt;"&amp;AD51,N$3:N$98,"&gt;"&amp;AC51)+COUNTIFS($AK$3:$AK$98,$AK51,O$3:O$98,"&lt;"&amp;AD51,P$3:P$98,"&gt;"&amp;AC51)+COUNTIFS($AK$3:$AK$98,$AK51,Q$3:Q$98,"&lt;"&amp;AD51,R$3:R$98,"&gt;"&amp;AC51)+COUNTIFS($AK$3:$AK$98,$AK51,S$3:S$98,"&lt;"&amp;AD51,T$3:T$98,"&gt;"&amp;AC51)+COUNTIFS($AK$3:$AK$98,$AK51,U$3:U$98,"&lt;"&amp;AD51,V$3:V$98,"&gt;"&amp;AC51)+COUNTIFS($AK$3:$AK$98,$AK51,W$3:W$98,"&lt;"&amp;AD51,X$3:X$98,"&gt;"&amp;AC51)+COUNTIFS($AK$3:$AK$98,$AK51,Y$3:Y$98,"&lt;"&amp;AD51,Z$3:Z$98,"&gt;"&amp;AC51)+COUNTIFS($AK$3:$AK$98,$AK51,AA$3:AA$98,"&lt;"&amp;AD51,AB$3:AB$98,"&gt;"&amp;AC51)+COUNTIFS($AK$3:$AK$98,$AK51,AC$3:AC$98,"&lt;"&amp;AD51,AD$3:AD$98,"&gt;"&amp;AC51)+COUNTIFS($AK$3:$AK$98,$AK51,AE$3:AE$98,"&lt;"&amp;AD51,AF$3:AF$98,"&gt;"&amp;AC51)+COUNTIFS($AK$3:$AK$98,$AK51,AG$3:AG$98,"&lt;"&amp;AD51,AH$3:AH$98,"&gt;"&amp;AC51)-(AC51&lt;AD51))</f>
        <v>0</v>
      </c>
      <c r="BJ51">
        <f>BI51</f>
        <v>0</v>
      </c>
      <c r="BK51">
        <f>IF(OR($AK51="",AE51="",AF51=""),0,COUNTIFS($AK$3:$AK$98,$AK51,K$3:K$98,"&lt;"&amp;AF51,L$3:L$98,"&gt;"&amp;AE51)+COUNTIFS($AK$3:$AK$98,$AK51,M$3:M$98,"&lt;"&amp;AF51,N$3:N$98,"&gt;"&amp;AE51)+COUNTIFS($AK$3:$AK$98,$AK51,O$3:O$98,"&lt;"&amp;AF51,P$3:P$98,"&gt;"&amp;AE51)+COUNTIFS($AK$3:$AK$98,$AK51,Q$3:Q$98,"&lt;"&amp;AF51,R$3:R$98,"&gt;"&amp;AE51)+COUNTIFS($AK$3:$AK$98,$AK51,S$3:S$98,"&lt;"&amp;AF51,T$3:T$98,"&gt;"&amp;AE51)+COUNTIFS($AK$3:$AK$98,$AK51,U$3:U$98,"&lt;"&amp;AF51,V$3:V$98,"&gt;"&amp;AE51)+COUNTIFS($AK$3:$AK$98,$AK51,W$3:W$98,"&lt;"&amp;AF51,X$3:X$98,"&gt;"&amp;AE51)+COUNTIFS($AK$3:$AK$98,$AK51,Y$3:Y$98,"&lt;"&amp;AF51,Z$3:Z$98,"&gt;"&amp;AE51)+COUNTIFS($AK$3:$AK$98,$AK51,AA$3:AA$98,"&lt;"&amp;AF51,AB$3:AB$98,"&gt;"&amp;AE51)+COUNTIFS($AK$3:$AK$98,$AK51,AC$3:AC$98,"&lt;"&amp;AF51,AD$3:AD$98,"&gt;"&amp;AE51)+COUNTIFS($AK$3:$AK$98,$AK51,AE$3:AE$98,"&lt;"&amp;AF51,AF$3:AF$98,"&gt;"&amp;AE51)+COUNTIFS($AK$3:$AK$98,$AK51,AG$3:AG$98,"&lt;"&amp;AF51,AH$3:AH$98,"&gt;"&amp;AE51)-(AE51&lt;AF51))</f>
        <v>0</v>
      </c>
      <c r="BL51">
        <f>BK51</f>
        <v>0</v>
      </c>
      <c r="BM51">
        <f>IF(OR($AK51="",AG51="",AH51=""),0,COUNTIFS($AK$3:$AK$98,$AK51,K$3:K$98,"&lt;"&amp;AH51,L$3:L$98,"&gt;"&amp;AG51)+COUNTIFS($AK$3:$AK$98,$AK51,M$3:M$98,"&lt;"&amp;AH51,N$3:N$98,"&gt;"&amp;AG51)+COUNTIFS($AK$3:$AK$98,$AK51,O$3:O$98,"&lt;"&amp;AH51,P$3:P$98,"&gt;"&amp;AG51)+COUNTIFS($AK$3:$AK$98,$AK51,Q$3:Q$98,"&lt;"&amp;AH51,R$3:R$98,"&gt;"&amp;AG51)+COUNTIFS($AK$3:$AK$98,$AK51,S$3:S$98,"&lt;"&amp;AH51,T$3:T$98,"&gt;"&amp;AG51)+COUNTIFS($AK$3:$AK$98,$AK51,U$3:U$98,"&lt;"&amp;AH51,V$3:V$98,"&gt;"&amp;AG51)+COUNTIFS($AK$3:$AK$98,$AK51,W$3:W$98,"&lt;"&amp;AH51,X$3:X$98,"&gt;"&amp;AG51)+COUNTIFS($AK$3:$AK$98,$AK51,Y$3:Y$98,"&lt;"&amp;AH51,Z$3:Z$98,"&gt;"&amp;AG51)+COUNTIFS($AK$3:$AK$98,$AK51,AA$3:AA$98,"&lt;"&amp;AH51,AB$3:AB$98,"&gt;"&amp;AG51)+COUNTIFS($AK$3:$AK$98,$AK51,AC$3:AC$98,"&lt;"&amp;AH51,AD$3:AD$98,"&gt;"&amp;AG51)+COUNTIFS($AK$3:$AK$98,$AK51,AE$3:AE$98,"&lt;"&amp;AH51,AF$3:AF$98,"&gt;"&amp;AG51)+COUNTIFS($AK$3:$AK$98,$AK51,AG$3:AG$98,"&lt;"&amp;AH51,AH$3:AH$98,"&gt;"&amp;AG51)-(AG51&lt;AH51))</f>
        <v>0</v>
      </c>
      <c r="BN51">
        <f>BM51</f>
        <v>0</v>
      </c>
      <c r="BO51">
        <f>IF(ISNUMBER($G51),$G51,"")</f>
        <v>0</v>
      </c>
      <c r="BP51" t="str">
        <f>IF(AND($A51&lt;&gt;"",COUNT($K51:$AH51)&gt;0),ROW(),"")</f>
        <v/>
      </c>
    </row>
    <row r="52" spans="1:68" x14ac:dyDescent="0.15">
      <c r="A52" s="18" t="str">
        <f>IF($A50="","",$A50)</f>
        <v>chMobSaiyanH</v>
      </c>
      <c r="B52" s="19" t="str">
        <f>IF($A50="","","high")</f>
        <v>high</v>
      </c>
      <c r="C52" s="19"/>
      <c r="D52" s="20">
        <v>5</v>
      </c>
      <c r="E52" s="21">
        <f>IF(AND($D52="",COUNT($K52:$AH52)=0),"",IF(K52="",0,MAX(0,NETWORKDAYS(K52,IF(L52&lt;&gt;"",L52,IF($J52&lt;&gt;"",K52,$AI$1)),祝日!$A$2:$A$200)))+IF(M52="",0,MAX(0,NETWORKDAYS(M52,IF(N52&lt;&gt;"",N52,IF($J52&lt;&gt;"",M52,$AI$1)),祝日!$A$2:$A$200)))+IF(O52="",0,MAX(0,NETWORKDAYS(O52,IF(P52&lt;&gt;"",P52,IF($J52&lt;&gt;"",O52,$AI$1)),祝日!$A$2:$A$200)))+IF(Q52="",0,MAX(0,NETWORKDAYS(Q52,IF(R52&lt;&gt;"",R52,IF($J52&lt;&gt;"",Q52,$AI$1)),祝日!$A$2:$A$200)))+IF(S52="",0,MAX(0,NETWORKDAYS(S52,IF(T52&lt;&gt;"",T52,IF($J52&lt;&gt;"",S52,$AI$1)),祝日!$A$2:$A$200)))+IF(U52="",0,MAX(0,NETWORKDAYS(U52,IF(V52&lt;&gt;"",V52,IF($J52&lt;&gt;"",U52,$AI$1)),祝日!$A$2:$A$200)))+IF(W52="",0,MAX(0,NETWORKDAYS(W52,IF(X52&lt;&gt;"",X52,IF($J52&lt;&gt;"",W52,$AI$1)),祝日!$A$2:$A$200)))+IF(Y52="",0,MAX(0,NETWORKDAYS(Y52,IF(Z52&lt;&gt;"",Z52,IF($J52&lt;&gt;"",Y52,$AI$1)),祝日!$A$2:$A$200)))+IF(AA52="",0,MAX(0,NETWORKDAYS(AA52,IF(AB52&lt;&gt;"",AB52,IF($J52&lt;&gt;"",AA52,$AI$1)),祝日!$A$2:$A$200)))+IF(AC52="",0,MAX(0,NETWORKDAYS(AC52,IF(AD52&lt;&gt;"",AD52,IF($J52&lt;&gt;"",AC52,$AI$1)),祝日!$A$2:$A$200)))+IF(AE52="",0,MAX(0,NETWORKDAYS(AE52,IF(AF52&lt;&gt;"",AF52,IF($J52&lt;&gt;"",AE52,$AI$1)),祝日!$A$2:$A$200)))+IF(AG52="",0,MAX(0,NETWORKDAYS(AG52,IF(AH52&lt;&gt;"",AH52,IF($J52&lt;&gt;"",AG52,$AI$1)),祝日!$A$2:$A$200))))</f>
        <v>0</v>
      </c>
      <c r="F52" s="21">
        <f>IF($D52="","",$D52-$E52)</f>
        <v>5</v>
      </c>
      <c r="G52" s="22">
        <f>IF(OR($D52="",$D52=0),"",$E52/$D52)</f>
        <v>0</v>
      </c>
      <c r="H52" s="23" t="str">
        <f>IF($D52="","",IF($J52&lt;&gt;"","FIX",IF(AND(SUMPRODUCT((MOD(COLUMN($K52:$AH52)-COLUMN($K52),2)=0)*($K52:$AH52&lt;&gt;""))=0,SUMPRODUCT((MOD(COLUMN($K52:$AH52)-COLUMN($K52),2)=1)*($K52:$AH52&lt;&gt;""))=0),"未着手",IF(SUMPRODUCT((MOD(COLUMN($K52:$AH52)-COLUMN($K52),2)=0)*($K52:$AH52&lt;&gt;""))&gt;SUMPRODUCT((MOD(COLUMN($K52:$AH52)-COLUMN($K52),2)=1)*($K52:$AH52&lt;&gt;"")),"作業中","中断"))))</f>
        <v>未着手</v>
      </c>
      <c r="I52" s="23" t="str">
        <f>IF($H52="中断",MAX(0,$AI$1-MAX(L52,N52,P52,R52,T52,V52,X52,Z52,AB52,AD52,AF52,AH52)),"")</f>
        <v/>
      </c>
      <c r="J52" s="19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K52" t="str">
        <f>IF($A50="","",IF(LOOKUP(2,1/($AJ$3:$AJ52&lt;&gt;""),$AJ$3:$AJ52)="-","",LOOKUP(2,1/($AJ$3:$AJ52&lt;&gt;""),$AJ$3:$AJ52)))</f>
        <v>CH03</v>
      </c>
      <c r="AL52" t="str">
        <f>$H52</f>
        <v>未着手</v>
      </c>
      <c r="AM52">
        <f>IF(ISNUMBER($D52),$D52,0)</f>
        <v>5</v>
      </c>
      <c r="AN52">
        <f>IF(ISNUMBER($E52),$E52,0)</f>
        <v>0</v>
      </c>
      <c r="AO52">
        <f>IF(ISNUMBER($F52),$F52,0)</f>
        <v>5</v>
      </c>
      <c r="AQ52">
        <f>IF(OR($AK52="",K52="",L52=""),0,COUNTIFS($AK$3:$AK$98,$AK52,K$3:K$98,"&lt;"&amp;L52,L$3:L$98,"&gt;"&amp;K52)+COUNTIFS($AK$3:$AK$98,$AK52,M$3:M$98,"&lt;"&amp;L52,N$3:N$98,"&gt;"&amp;K52)+COUNTIFS($AK$3:$AK$98,$AK52,O$3:O$98,"&lt;"&amp;L52,P$3:P$98,"&gt;"&amp;K52)+COUNTIFS($AK$3:$AK$98,$AK52,Q$3:Q$98,"&lt;"&amp;L52,R$3:R$98,"&gt;"&amp;K52)+COUNTIFS($AK$3:$AK$98,$AK52,S$3:S$98,"&lt;"&amp;L52,T$3:T$98,"&gt;"&amp;K52)+COUNTIFS($AK$3:$AK$98,$AK52,U$3:U$98,"&lt;"&amp;L52,V$3:V$98,"&gt;"&amp;K52)+COUNTIFS($AK$3:$AK$98,$AK52,W$3:W$98,"&lt;"&amp;L52,X$3:X$98,"&gt;"&amp;K52)+COUNTIFS($AK$3:$AK$98,$AK52,Y$3:Y$98,"&lt;"&amp;L52,Z$3:Z$98,"&gt;"&amp;K52)+COUNTIFS($AK$3:$AK$98,$AK52,AA$3:AA$98,"&lt;"&amp;L52,AB$3:AB$98,"&gt;"&amp;K52)+COUNTIFS($AK$3:$AK$98,$AK52,AC$3:AC$98,"&lt;"&amp;L52,AD$3:AD$98,"&gt;"&amp;K52)+COUNTIFS($AK$3:$AK$98,$AK52,AE$3:AE$98,"&lt;"&amp;L52,AF$3:AF$98,"&gt;"&amp;K52)+COUNTIFS($AK$3:$AK$98,$AK52,AG$3:AG$98,"&lt;"&amp;L52,AH$3:AH$98,"&gt;"&amp;K52)-(K52&lt;L52))</f>
        <v>0</v>
      </c>
      <c r="AR52">
        <f>AQ52</f>
        <v>0</v>
      </c>
      <c r="AS52">
        <f>IF(OR($AK52="",M52="",N52=""),0,COUNTIFS($AK$3:$AK$98,$AK52,K$3:K$98,"&lt;"&amp;N52,L$3:L$98,"&gt;"&amp;M52)+COUNTIFS($AK$3:$AK$98,$AK52,M$3:M$98,"&lt;"&amp;N52,N$3:N$98,"&gt;"&amp;M52)+COUNTIFS($AK$3:$AK$98,$AK52,O$3:O$98,"&lt;"&amp;N52,P$3:P$98,"&gt;"&amp;M52)+COUNTIFS($AK$3:$AK$98,$AK52,Q$3:Q$98,"&lt;"&amp;N52,R$3:R$98,"&gt;"&amp;M52)+COUNTIFS($AK$3:$AK$98,$AK52,S$3:S$98,"&lt;"&amp;N52,T$3:T$98,"&gt;"&amp;M52)+COUNTIFS($AK$3:$AK$98,$AK52,U$3:U$98,"&lt;"&amp;N52,V$3:V$98,"&gt;"&amp;M52)+COUNTIFS($AK$3:$AK$98,$AK52,W$3:W$98,"&lt;"&amp;N52,X$3:X$98,"&gt;"&amp;M52)+COUNTIFS($AK$3:$AK$98,$AK52,Y$3:Y$98,"&lt;"&amp;N52,Z$3:Z$98,"&gt;"&amp;M52)+COUNTIFS($AK$3:$AK$98,$AK52,AA$3:AA$98,"&lt;"&amp;N52,AB$3:AB$98,"&gt;"&amp;M52)+COUNTIFS($AK$3:$AK$98,$AK52,AC$3:AC$98,"&lt;"&amp;N52,AD$3:AD$98,"&gt;"&amp;M52)+COUNTIFS($AK$3:$AK$98,$AK52,AE$3:AE$98,"&lt;"&amp;N52,AF$3:AF$98,"&gt;"&amp;M52)+COUNTIFS($AK$3:$AK$98,$AK52,AG$3:AG$98,"&lt;"&amp;N52,AH$3:AH$98,"&gt;"&amp;M52)-(M52&lt;N52))</f>
        <v>0</v>
      </c>
      <c r="AT52">
        <f>AS52</f>
        <v>0</v>
      </c>
      <c r="AU52">
        <f>IF(OR($AK52="",O52="",P52=""),0,COUNTIFS($AK$3:$AK$98,$AK52,K$3:K$98,"&lt;"&amp;P52,L$3:L$98,"&gt;"&amp;O52)+COUNTIFS($AK$3:$AK$98,$AK52,M$3:M$98,"&lt;"&amp;P52,N$3:N$98,"&gt;"&amp;O52)+COUNTIFS($AK$3:$AK$98,$AK52,O$3:O$98,"&lt;"&amp;P52,P$3:P$98,"&gt;"&amp;O52)+COUNTIFS($AK$3:$AK$98,$AK52,Q$3:Q$98,"&lt;"&amp;P52,R$3:R$98,"&gt;"&amp;O52)+COUNTIFS($AK$3:$AK$98,$AK52,S$3:S$98,"&lt;"&amp;P52,T$3:T$98,"&gt;"&amp;O52)+COUNTIFS($AK$3:$AK$98,$AK52,U$3:U$98,"&lt;"&amp;P52,V$3:V$98,"&gt;"&amp;O52)+COUNTIFS($AK$3:$AK$98,$AK52,W$3:W$98,"&lt;"&amp;P52,X$3:X$98,"&gt;"&amp;O52)+COUNTIFS($AK$3:$AK$98,$AK52,Y$3:Y$98,"&lt;"&amp;P52,Z$3:Z$98,"&gt;"&amp;O52)+COUNTIFS($AK$3:$AK$98,$AK52,AA$3:AA$98,"&lt;"&amp;P52,AB$3:AB$98,"&gt;"&amp;O52)+COUNTIFS($AK$3:$AK$98,$AK52,AC$3:AC$98,"&lt;"&amp;P52,AD$3:AD$98,"&gt;"&amp;O52)+COUNTIFS($AK$3:$AK$98,$AK52,AE$3:AE$98,"&lt;"&amp;P52,AF$3:AF$98,"&gt;"&amp;O52)+COUNTIFS($AK$3:$AK$98,$AK52,AG$3:AG$98,"&lt;"&amp;P52,AH$3:AH$98,"&gt;"&amp;O52)-(O52&lt;P52))</f>
        <v>0</v>
      </c>
      <c r="AV52">
        <f>AU52</f>
        <v>0</v>
      </c>
      <c r="AW52">
        <f>IF(OR($AK52="",Q52="",R52=""),0,COUNTIFS($AK$3:$AK$98,$AK52,K$3:K$98,"&lt;"&amp;R52,L$3:L$98,"&gt;"&amp;Q52)+COUNTIFS($AK$3:$AK$98,$AK52,M$3:M$98,"&lt;"&amp;R52,N$3:N$98,"&gt;"&amp;Q52)+COUNTIFS($AK$3:$AK$98,$AK52,O$3:O$98,"&lt;"&amp;R52,P$3:P$98,"&gt;"&amp;Q52)+COUNTIFS($AK$3:$AK$98,$AK52,Q$3:Q$98,"&lt;"&amp;R52,R$3:R$98,"&gt;"&amp;Q52)+COUNTIFS($AK$3:$AK$98,$AK52,S$3:S$98,"&lt;"&amp;R52,T$3:T$98,"&gt;"&amp;Q52)+COUNTIFS($AK$3:$AK$98,$AK52,U$3:U$98,"&lt;"&amp;R52,V$3:V$98,"&gt;"&amp;Q52)+COUNTIFS($AK$3:$AK$98,$AK52,W$3:W$98,"&lt;"&amp;R52,X$3:X$98,"&gt;"&amp;Q52)+COUNTIFS($AK$3:$AK$98,$AK52,Y$3:Y$98,"&lt;"&amp;R52,Z$3:Z$98,"&gt;"&amp;Q52)+COUNTIFS($AK$3:$AK$98,$AK52,AA$3:AA$98,"&lt;"&amp;R52,AB$3:AB$98,"&gt;"&amp;Q52)+COUNTIFS($AK$3:$AK$98,$AK52,AC$3:AC$98,"&lt;"&amp;R52,AD$3:AD$98,"&gt;"&amp;Q52)+COUNTIFS($AK$3:$AK$98,$AK52,AE$3:AE$98,"&lt;"&amp;R52,AF$3:AF$98,"&gt;"&amp;Q52)+COUNTIFS($AK$3:$AK$98,$AK52,AG$3:AG$98,"&lt;"&amp;R52,AH$3:AH$98,"&gt;"&amp;Q52)-(Q52&lt;R52))</f>
        <v>0</v>
      </c>
      <c r="AX52">
        <f>AW52</f>
        <v>0</v>
      </c>
      <c r="AY52">
        <f>IF(OR($AK52="",S52="",T52=""),0,COUNTIFS($AK$3:$AK$98,$AK52,K$3:K$98,"&lt;"&amp;T52,L$3:L$98,"&gt;"&amp;S52)+COUNTIFS($AK$3:$AK$98,$AK52,M$3:M$98,"&lt;"&amp;T52,N$3:N$98,"&gt;"&amp;S52)+COUNTIFS($AK$3:$AK$98,$AK52,O$3:O$98,"&lt;"&amp;T52,P$3:P$98,"&gt;"&amp;S52)+COUNTIFS($AK$3:$AK$98,$AK52,Q$3:Q$98,"&lt;"&amp;T52,R$3:R$98,"&gt;"&amp;S52)+COUNTIFS($AK$3:$AK$98,$AK52,S$3:S$98,"&lt;"&amp;T52,T$3:T$98,"&gt;"&amp;S52)+COUNTIFS($AK$3:$AK$98,$AK52,U$3:U$98,"&lt;"&amp;T52,V$3:V$98,"&gt;"&amp;S52)+COUNTIFS($AK$3:$AK$98,$AK52,W$3:W$98,"&lt;"&amp;T52,X$3:X$98,"&gt;"&amp;S52)+COUNTIFS($AK$3:$AK$98,$AK52,Y$3:Y$98,"&lt;"&amp;T52,Z$3:Z$98,"&gt;"&amp;S52)+COUNTIFS($AK$3:$AK$98,$AK52,AA$3:AA$98,"&lt;"&amp;T52,AB$3:AB$98,"&gt;"&amp;S52)+COUNTIFS($AK$3:$AK$98,$AK52,AC$3:AC$98,"&lt;"&amp;T52,AD$3:AD$98,"&gt;"&amp;S52)+COUNTIFS($AK$3:$AK$98,$AK52,AE$3:AE$98,"&lt;"&amp;T52,AF$3:AF$98,"&gt;"&amp;S52)+COUNTIFS($AK$3:$AK$98,$AK52,AG$3:AG$98,"&lt;"&amp;T52,AH$3:AH$98,"&gt;"&amp;S52)-(S52&lt;T52))</f>
        <v>0</v>
      </c>
      <c r="AZ52">
        <f>AY52</f>
        <v>0</v>
      </c>
      <c r="BA52">
        <f>IF(OR($AK52="",U52="",V52=""),0,COUNTIFS($AK$3:$AK$98,$AK52,K$3:K$98,"&lt;"&amp;V52,L$3:L$98,"&gt;"&amp;U52)+COUNTIFS($AK$3:$AK$98,$AK52,M$3:M$98,"&lt;"&amp;V52,N$3:N$98,"&gt;"&amp;U52)+COUNTIFS($AK$3:$AK$98,$AK52,O$3:O$98,"&lt;"&amp;V52,P$3:P$98,"&gt;"&amp;U52)+COUNTIFS($AK$3:$AK$98,$AK52,Q$3:Q$98,"&lt;"&amp;V52,R$3:R$98,"&gt;"&amp;U52)+COUNTIFS($AK$3:$AK$98,$AK52,S$3:S$98,"&lt;"&amp;V52,T$3:T$98,"&gt;"&amp;U52)+COUNTIFS($AK$3:$AK$98,$AK52,U$3:U$98,"&lt;"&amp;V52,V$3:V$98,"&gt;"&amp;U52)+COUNTIFS($AK$3:$AK$98,$AK52,W$3:W$98,"&lt;"&amp;V52,X$3:X$98,"&gt;"&amp;U52)+COUNTIFS($AK$3:$AK$98,$AK52,Y$3:Y$98,"&lt;"&amp;V52,Z$3:Z$98,"&gt;"&amp;U52)+COUNTIFS($AK$3:$AK$98,$AK52,AA$3:AA$98,"&lt;"&amp;V52,AB$3:AB$98,"&gt;"&amp;U52)+COUNTIFS($AK$3:$AK$98,$AK52,AC$3:AC$98,"&lt;"&amp;V52,AD$3:AD$98,"&gt;"&amp;U52)+COUNTIFS($AK$3:$AK$98,$AK52,AE$3:AE$98,"&lt;"&amp;V52,AF$3:AF$98,"&gt;"&amp;U52)+COUNTIFS($AK$3:$AK$98,$AK52,AG$3:AG$98,"&lt;"&amp;V52,AH$3:AH$98,"&gt;"&amp;U52)-(U52&lt;V52))</f>
        <v>0</v>
      </c>
      <c r="BB52">
        <f>BA52</f>
        <v>0</v>
      </c>
      <c r="BC52">
        <f>IF(OR($AK52="",W52="",X52=""),0,COUNTIFS($AK$3:$AK$98,$AK52,K$3:K$98,"&lt;"&amp;X52,L$3:L$98,"&gt;"&amp;W52)+COUNTIFS($AK$3:$AK$98,$AK52,M$3:M$98,"&lt;"&amp;X52,N$3:N$98,"&gt;"&amp;W52)+COUNTIFS($AK$3:$AK$98,$AK52,O$3:O$98,"&lt;"&amp;X52,P$3:P$98,"&gt;"&amp;W52)+COUNTIFS($AK$3:$AK$98,$AK52,Q$3:Q$98,"&lt;"&amp;X52,R$3:R$98,"&gt;"&amp;W52)+COUNTIFS($AK$3:$AK$98,$AK52,S$3:S$98,"&lt;"&amp;X52,T$3:T$98,"&gt;"&amp;W52)+COUNTIFS($AK$3:$AK$98,$AK52,U$3:U$98,"&lt;"&amp;X52,V$3:V$98,"&gt;"&amp;W52)+COUNTIFS($AK$3:$AK$98,$AK52,W$3:W$98,"&lt;"&amp;X52,X$3:X$98,"&gt;"&amp;W52)+COUNTIFS($AK$3:$AK$98,$AK52,Y$3:Y$98,"&lt;"&amp;X52,Z$3:Z$98,"&gt;"&amp;W52)+COUNTIFS($AK$3:$AK$98,$AK52,AA$3:AA$98,"&lt;"&amp;X52,AB$3:AB$98,"&gt;"&amp;W52)+COUNTIFS($AK$3:$AK$98,$AK52,AC$3:AC$98,"&lt;"&amp;X52,AD$3:AD$98,"&gt;"&amp;W52)+COUNTIFS($AK$3:$AK$98,$AK52,AE$3:AE$98,"&lt;"&amp;X52,AF$3:AF$98,"&gt;"&amp;W52)+COUNTIFS($AK$3:$AK$98,$AK52,AG$3:AG$98,"&lt;"&amp;X52,AH$3:AH$98,"&gt;"&amp;W52)-(W52&lt;X52))</f>
        <v>0</v>
      </c>
      <c r="BD52">
        <f>BC52</f>
        <v>0</v>
      </c>
      <c r="BE52">
        <f>IF(OR($AK52="",Y52="",Z52=""),0,COUNTIFS($AK$3:$AK$98,$AK52,K$3:K$98,"&lt;"&amp;Z52,L$3:L$98,"&gt;"&amp;Y52)+COUNTIFS($AK$3:$AK$98,$AK52,M$3:M$98,"&lt;"&amp;Z52,N$3:N$98,"&gt;"&amp;Y52)+COUNTIFS($AK$3:$AK$98,$AK52,O$3:O$98,"&lt;"&amp;Z52,P$3:P$98,"&gt;"&amp;Y52)+COUNTIFS($AK$3:$AK$98,$AK52,Q$3:Q$98,"&lt;"&amp;Z52,R$3:R$98,"&gt;"&amp;Y52)+COUNTIFS($AK$3:$AK$98,$AK52,S$3:S$98,"&lt;"&amp;Z52,T$3:T$98,"&gt;"&amp;Y52)+COUNTIFS($AK$3:$AK$98,$AK52,U$3:U$98,"&lt;"&amp;Z52,V$3:V$98,"&gt;"&amp;Y52)+COUNTIFS($AK$3:$AK$98,$AK52,W$3:W$98,"&lt;"&amp;Z52,X$3:X$98,"&gt;"&amp;Y52)+COUNTIFS($AK$3:$AK$98,$AK52,Y$3:Y$98,"&lt;"&amp;Z52,Z$3:Z$98,"&gt;"&amp;Y52)+COUNTIFS($AK$3:$AK$98,$AK52,AA$3:AA$98,"&lt;"&amp;Z52,AB$3:AB$98,"&gt;"&amp;Y52)+COUNTIFS($AK$3:$AK$98,$AK52,AC$3:AC$98,"&lt;"&amp;Z52,AD$3:AD$98,"&gt;"&amp;Y52)+COUNTIFS($AK$3:$AK$98,$AK52,AE$3:AE$98,"&lt;"&amp;Z52,AF$3:AF$98,"&gt;"&amp;Y52)+COUNTIFS($AK$3:$AK$98,$AK52,AG$3:AG$98,"&lt;"&amp;Z52,AH$3:AH$98,"&gt;"&amp;Y52)-(Y52&lt;Z52))</f>
        <v>0</v>
      </c>
      <c r="BF52">
        <f>BE52</f>
        <v>0</v>
      </c>
      <c r="BG52">
        <f>IF(OR($AK52="",AA52="",AB52=""),0,COUNTIFS($AK$3:$AK$98,$AK52,K$3:K$98,"&lt;"&amp;AB52,L$3:L$98,"&gt;"&amp;AA52)+COUNTIFS($AK$3:$AK$98,$AK52,M$3:M$98,"&lt;"&amp;AB52,N$3:N$98,"&gt;"&amp;AA52)+COUNTIFS($AK$3:$AK$98,$AK52,O$3:O$98,"&lt;"&amp;AB52,P$3:P$98,"&gt;"&amp;AA52)+COUNTIFS($AK$3:$AK$98,$AK52,Q$3:Q$98,"&lt;"&amp;AB52,R$3:R$98,"&gt;"&amp;AA52)+COUNTIFS($AK$3:$AK$98,$AK52,S$3:S$98,"&lt;"&amp;AB52,T$3:T$98,"&gt;"&amp;AA52)+COUNTIFS($AK$3:$AK$98,$AK52,U$3:U$98,"&lt;"&amp;AB52,V$3:V$98,"&gt;"&amp;AA52)+COUNTIFS($AK$3:$AK$98,$AK52,W$3:W$98,"&lt;"&amp;AB52,X$3:X$98,"&gt;"&amp;AA52)+COUNTIFS($AK$3:$AK$98,$AK52,Y$3:Y$98,"&lt;"&amp;AB52,Z$3:Z$98,"&gt;"&amp;AA52)+COUNTIFS($AK$3:$AK$98,$AK52,AA$3:AA$98,"&lt;"&amp;AB52,AB$3:AB$98,"&gt;"&amp;AA52)+COUNTIFS($AK$3:$AK$98,$AK52,AC$3:AC$98,"&lt;"&amp;AB52,AD$3:AD$98,"&gt;"&amp;AA52)+COUNTIFS($AK$3:$AK$98,$AK52,AE$3:AE$98,"&lt;"&amp;AB52,AF$3:AF$98,"&gt;"&amp;AA52)+COUNTIFS($AK$3:$AK$98,$AK52,AG$3:AG$98,"&lt;"&amp;AB52,AH$3:AH$98,"&gt;"&amp;AA52)-(AA52&lt;AB52))</f>
        <v>0</v>
      </c>
      <c r="BH52">
        <f>BG52</f>
        <v>0</v>
      </c>
      <c r="BI52">
        <f>IF(OR($AK52="",AC52="",AD52=""),0,COUNTIFS($AK$3:$AK$98,$AK52,K$3:K$98,"&lt;"&amp;AD52,L$3:L$98,"&gt;"&amp;AC52)+COUNTIFS($AK$3:$AK$98,$AK52,M$3:M$98,"&lt;"&amp;AD52,N$3:N$98,"&gt;"&amp;AC52)+COUNTIFS($AK$3:$AK$98,$AK52,O$3:O$98,"&lt;"&amp;AD52,P$3:P$98,"&gt;"&amp;AC52)+COUNTIFS($AK$3:$AK$98,$AK52,Q$3:Q$98,"&lt;"&amp;AD52,R$3:R$98,"&gt;"&amp;AC52)+COUNTIFS($AK$3:$AK$98,$AK52,S$3:S$98,"&lt;"&amp;AD52,T$3:T$98,"&gt;"&amp;AC52)+COUNTIFS($AK$3:$AK$98,$AK52,U$3:U$98,"&lt;"&amp;AD52,V$3:V$98,"&gt;"&amp;AC52)+COUNTIFS($AK$3:$AK$98,$AK52,W$3:W$98,"&lt;"&amp;AD52,X$3:X$98,"&gt;"&amp;AC52)+COUNTIFS($AK$3:$AK$98,$AK52,Y$3:Y$98,"&lt;"&amp;AD52,Z$3:Z$98,"&gt;"&amp;AC52)+COUNTIFS($AK$3:$AK$98,$AK52,AA$3:AA$98,"&lt;"&amp;AD52,AB$3:AB$98,"&gt;"&amp;AC52)+COUNTIFS($AK$3:$AK$98,$AK52,AC$3:AC$98,"&lt;"&amp;AD52,AD$3:AD$98,"&gt;"&amp;AC52)+COUNTIFS($AK$3:$AK$98,$AK52,AE$3:AE$98,"&lt;"&amp;AD52,AF$3:AF$98,"&gt;"&amp;AC52)+COUNTIFS($AK$3:$AK$98,$AK52,AG$3:AG$98,"&lt;"&amp;AD52,AH$3:AH$98,"&gt;"&amp;AC52)-(AC52&lt;AD52))</f>
        <v>0</v>
      </c>
      <c r="BJ52">
        <f>BI52</f>
        <v>0</v>
      </c>
      <c r="BK52">
        <f>IF(OR($AK52="",AE52="",AF52=""),0,COUNTIFS($AK$3:$AK$98,$AK52,K$3:K$98,"&lt;"&amp;AF52,L$3:L$98,"&gt;"&amp;AE52)+COUNTIFS($AK$3:$AK$98,$AK52,M$3:M$98,"&lt;"&amp;AF52,N$3:N$98,"&gt;"&amp;AE52)+COUNTIFS($AK$3:$AK$98,$AK52,O$3:O$98,"&lt;"&amp;AF52,P$3:P$98,"&gt;"&amp;AE52)+COUNTIFS($AK$3:$AK$98,$AK52,Q$3:Q$98,"&lt;"&amp;AF52,R$3:R$98,"&gt;"&amp;AE52)+COUNTIFS($AK$3:$AK$98,$AK52,S$3:S$98,"&lt;"&amp;AF52,T$3:T$98,"&gt;"&amp;AE52)+COUNTIFS($AK$3:$AK$98,$AK52,U$3:U$98,"&lt;"&amp;AF52,V$3:V$98,"&gt;"&amp;AE52)+COUNTIFS($AK$3:$AK$98,$AK52,W$3:W$98,"&lt;"&amp;AF52,X$3:X$98,"&gt;"&amp;AE52)+COUNTIFS($AK$3:$AK$98,$AK52,Y$3:Y$98,"&lt;"&amp;AF52,Z$3:Z$98,"&gt;"&amp;AE52)+COUNTIFS($AK$3:$AK$98,$AK52,AA$3:AA$98,"&lt;"&amp;AF52,AB$3:AB$98,"&gt;"&amp;AE52)+COUNTIFS($AK$3:$AK$98,$AK52,AC$3:AC$98,"&lt;"&amp;AF52,AD$3:AD$98,"&gt;"&amp;AE52)+COUNTIFS($AK$3:$AK$98,$AK52,AE$3:AE$98,"&lt;"&amp;AF52,AF$3:AF$98,"&gt;"&amp;AE52)+COUNTIFS($AK$3:$AK$98,$AK52,AG$3:AG$98,"&lt;"&amp;AF52,AH$3:AH$98,"&gt;"&amp;AE52)-(AE52&lt;AF52))</f>
        <v>0</v>
      </c>
      <c r="BL52">
        <f>BK52</f>
        <v>0</v>
      </c>
      <c r="BM52">
        <f>IF(OR($AK52="",AG52="",AH52=""),0,COUNTIFS($AK$3:$AK$98,$AK52,K$3:K$98,"&lt;"&amp;AH52,L$3:L$98,"&gt;"&amp;AG52)+COUNTIFS($AK$3:$AK$98,$AK52,M$3:M$98,"&lt;"&amp;AH52,N$3:N$98,"&gt;"&amp;AG52)+COUNTIFS($AK$3:$AK$98,$AK52,O$3:O$98,"&lt;"&amp;AH52,P$3:P$98,"&gt;"&amp;AG52)+COUNTIFS($AK$3:$AK$98,$AK52,Q$3:Q$98,"&lt;"&amp;AH52,R$3:R$98,"&gt;"&amp;AG52)+COUNTIFS($AK$3:$AK$98,$AK52,S$3:S$98,"&lt;"&amp;AH52,T$3:T$98,"&gt;"&amp;AG52)+COUNTIFS($AK$3:$AK$98,$AK52,U$3:U$98,"&lt;"&amp;AH52,V$3:V$98,"&gt;"&amp;AG52)+COUNTIFS($AK$3:$AK$98,$AK52,W$3:W$98,"&lt;"&amp;AH52,X$3:X$98,"&gt;"&amp;AG52)+COUNTIFS($AK$3:$AK$98,$AK52,Y$3:Y$98,"&lt;"&amp;AH52,Z$3:Z$98,"&gt;"&amp;AG52)+COUNTIFS($AK$3:$AK$98,$AK52,AA$3:AA$98,"&lt;"&amp;AH52,AB$3:AB$98,"&gt;"&amp;AG52)+COUNTIFS($AK$3:$AK$98,$AK52,AC$3:AC$98,"&lt;"&amp;AH52,AD$3:AD$98,"&gt;"&amp;AG52)+COUNTIFS($AK$3:$AK$98,$AK52,AE$3:AE$98,"&lt;"&amp;AH52,AF$3:AF$98,"&gt;"&amp;AG52)+COUNTIFS($AK$3:$AK$98,$AK52,AG$3:AG$98,"&lt;"&amp;AH52,AH$3:AH$98,"&gt;"&amp;AG52)-(AG52&lt;AH52))</f>
        <v>0</v>
      </c>
      <c r="BN52">
        <f>BM52</f>
        <v>0</v>
      </c>
      <c r="BO52">
        <f>IF(ISNUMBER($G52),$G52,"")</f>
        <v>0</v>
      </c>
      <c r="BP52" t="str">
        <f>IF(AND($A52&lt;&gt;"",COUNT($K52:$AH52)&gt;0),ROW(),"")</f>
        <v/>
      </c>
    </row>
    <row r="53" spans="1:68" x14ac:dyDescent="0.15">
      <c r="A53" s="25" t="str">
        <f>IF($A50="","",$A50)</f>
        <v>chMobSaiyanH</v>
      </c>
      <c r="B53" s="26" t="str">
        <f>IF($A50="","","fac")</f>
        <v>fac</v>
      </c>
      <c r="C53" s="26"/>
      <c r="D53" s="27">
        <v>4</v>
      </c>
      <c r="E53" s="28">
        <f>IF(AND($D53="",COUNT($K53:$AH53)=0),"",IF(K53="",0,MAX(0,NETWORKDAYS(K53,IF(L53&lt;&gt;"",L53,IF($J53&lt;&gt;"",K53,$AI$1)),祝日!$A$2:$A$200)))+IF(M53="",0,MAX(0,NETWORKDAYS(M53,IF(N53&lt;&gt;"",N53,IF($J53&lt;&gt;"",M53,$AI$1)),祝日!$A$2:$A$200)))+IF(O53="",0,MAX(0,NETWORKDAYS(O53,IF(P53&lt;&gt;"",P53,IF($J53&lt;&gt;"",O53,$AI$1)),祝日!$A$2:$A$200)))+IF(Q53="",0,MAX(0,NETWORKDAYS(Q53,IF(R53&lt;&gt;"",R53,IF($J53&lt;&gt;"",Q53,$AI$1)),祝日!$A$2:$A$200)))+IF(S53="",0,MAX(0,NETWORKDAYS(S53,IF(T53&lt;&gt;"",T53,IF($J53&lt;&gt;"",S53,$AI$1)),祝日!$A$2:$A$200)))+IF(U53="",0,MAX(0,NETWORKDAYS(U53,IF(V53&lt;&gt;"",V53,IF($J53&lt;&gt;"",U53,$AI$1)),祝日!$A$2:$A$200)))+IF(W53="",0,MAX(0,NETWORKDAYS(W53,IF(X53&lt;&gt;"",X53,IF($J53&lt;&gt;"",W53,$AI$1)),祝日!$A$2:$A$200)))+IF(Y53="",0,MAX(0,NETWORKDAYS(Y53,IF(Z53&lt;&gt;"",Z53,IF($J53&lt;&gt;"",Y53,$AI$1)),祝日!$A$2:$A$200)))+IF(AA53="",0,MAX(0,NETWORKDAYS(AA53,IF(AB53&lt;&gt;"",AB53,IF($J53&lt;&gt;"",AA53,$AI$1)),祝日!$A$2:$A$200)))+IF(AC53="",0,MAX(0,NETWORKDAYS(AC53,IF(AD53&lt;&gt;"",AD53,IF($J53&lt;&gt;"",AC53,$AI$1)),祝日!$A$2:$A$200)))+IF(AE53="",0,MAX(0,NETWORKDAYS(AE53,IF(AF53&lt;&gt;"",AF53,IF($J53&lt;&gt;"",AE53,$AI$1)),祝日!$A$2:$A$200)))+IF(AG53="",0,MAX(0,NETWORKDAYS(AG53,IF(AH53&lt;&gt;"",AH53,IF($J53&lt;&gt;"",AG53,$AI$1)),祝日!$A$2:$A$200))))</f>
        <v>0</v>
      </c>
      <c r="F53" s="28">
        <f>IF($D53="","",$D53-$E53)</f>
        <v>4</v>
      </c>
      <c r="G53" s="29">
        <f>IF(OR($D53="",$D53=0),"",$E53/$D53)</f>
        <v>0</v>
      </c>
      <c r="H53" s="30" t="str">
        <f>IF($D53="","",IF($J53&lt;&gt;"","FIX",IF(AND(SUMPRODUCT((MOD(COLUMN($K53:$AH53)-COLUMN($K53),2)=0)*($K53:$AH53&lt;&gt;""))=0,SUMPRODUCT((MOD(COLUMN($K53:$AH53)-COLUMN($K53),2)=1)*($K53:$AH53&lt;&gt;""))=0),"未着手",IF(SUMPRODUCT((MOD(COLUMN($K53:$AH53)-COLUMN($K53),2)=0)*($K53:$AH53&lt;&gt;""))&gt;SUMPRODUCT((MOD(COLUMN($K53:$AH53)-COLUMN($K53),2)=1)*($K53:$AH53&lt;&gt;"")),"作業中","中断"))))</f>
        <v>未着手</v>
      </c>
      <c r="I53" s="30" t="str">
        <f>IF($H53="中断",MAX(0,$AI$1-MAX(L53,N53,P53,R53,T53,V53,X53,Z53,AB53,AD53,AF53,AH53)),"")</f>
        <v/>
      </c>
      <c r="J53" s="26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K53" t="str">
        <f>IF($A50="","",IF(LOOKUP(2,1/($AJ$3:$AJ53&lt;&gt;""),$AJ$3:$AJ53)="-","",LOOKUP(2,1/($AJ$3:$AJ53&lt;&gt;""),$AJ$3:$AJ53)))</f>
        <v>CH03</v>
      </c>
      <c r="AL53" t="str">
        <f>$H53</f>
        <v>未着手</v>
      </c>
      <c r="AM53">
        <f>IF(ISNUMBER($D53),$D53,0)</f>
        <v>4</v>
      </c>
      <c r="AN53">
        <f>IF(ISNUMBER($E53),$E53,0)</f>
        <v>0</v>
      </c>
      <c r="AO53">
        <f>IF(ISNUMBER($F53),$F53,0)</f>
        <v>4</v>
      </c>
      <c r="AQ53">
        <f>IF(OR($AK53="",K53="",L53=""),0,COUNTIFS($AK$3:$AK$98,$AK53,K$3:K$98,"&lt;"&amp;L53,L$3:L$98,"&gt;"&amp;K53)+COUNTIFS($AK$3:$AK$98,$AK53,M$3:M$98,"&lt;"&amp;L53,N$3:N$98,"&gt;"&amp;K53)+COUNTIFS($AK$3:$AK$98,$AK53,O$3:O$98,"&lt;"&amp;L53,P$3:P$98,"&gt;"&amp;K53)+COUNTIFS($AK$3:$AK$98,$AK53,Q$3:Q$98,"&lt;"&amp;L53,R$3:R$98,"&gt;"&amp;K53)+COUNTIFS($AK$3:$AK$98,$AK53,S$3:S$98,"&lt;"&amp;L53,T$3:T$98,"&gt;"&amp;K53)+COUNTIFS($AK$3:$AK$98,$AK53,U$3:U$98,"&lt;"&amp;L53,V$3:V$98,"&gt;"&amp;K53)+COUNTIFS($AK$3:$AK$98,$AK53,W$3:W$98,"&lt;"&amp;L53,X$3:X$98,"&gt;"&amp;K53)+COUNTIFS($AK$3:$AK$98,$AK53,Y$3:Y$98,"&lt;"&amp;L53,Z$3:Z$98,"&gt;"&amp;K53)+COUNTIFS($AK$3:$AK$98,$AK53,AA$3:AA$98,"&lt;"&amp;L53,AB$3:AB$98,"&gt;"&amp;K53)+COUNTIFS($AK$3:$AK$98,$AK53,AC$3:AC$98,"&lt;"&amp;L53,AD$3:AD$98,"&gt;"&amp;K53)+COUNTIFS($AK$3:$AK$98,$AK53,AE$3:AE$98,"&lt;"&amp;L53,AF$3:AF$98,"&gt;"&amp;K53)+COUNTIFS($AK$3:$AK$98,$AK53,AG$3:AG$98,"&lt;"&amp;L53,AH$3:AH$98,"&gt;"&amp;K53)-(K53&lt;L53))</f>
        <v>0</v>
      </c>
      <c r="AR53">
        <f>AQ53</f>
        <v>0</v>
      </c>
      <c r="AS53">
        <f>IF(OR($AK53="",M53="",N53=""),0,COUNTIFS($AK$3:$AK$98,$AK53,K$3:K$98,"&lt;"&amp;N53,L$3:L$98,"&gt;"&amp;M53)+COUNTIFS($AK$3:$AK$98,$AK53,M$3:M$98,"&lt;"&amp;N53,N$3:N$98,"&gt;"&amp;M53)+COUNTIFS($AK$3:$AK$98,$AK53,O$3:O$98,"&lt;"&amp;N53,P$3:P$98,"&gt;"&amp;M53)+COUNTIFS($AK$3:$AK$98,$AK53,Q$3:Q$98,"&lt;"&amp;N53,R$3:R$98,"&gt;"&amp;M53)+COUNTIFS($AK$3:$AK$98,$AK53,S$3:S$98,"&lt;"&amp;N53,T$3:T$98,"&gt;"&amp;M53)+COUNTIFS($AK$3:$AK$98,$AK53,U$3:U$98,"&lt;"&amp;N53,V$3:V$98,"&gt;"&amp;M53)+COUNTIFS($AK$3:$AK$98,$AK53,W$3:W$98,"&lt;"&amp;N53,X$3:X$98,"&gt;"&amp;M53)+COUNTIFS($AK$3:$AK$98,$AK53,Y$3:Y$98,"&lt;"&amp;N53,Z$3:Z$98,"&gt;"&amp;M53)+COUNTIFS($AK$3:$AK$98,$AK53,AA$3:AA$98,"&lt;"&amp;N53,AB$3:AB$98,"&gt;"&amp;M53)+COUNTIFS($AK$3:$AK$98,$AK53,AC$3:AC$98,"&lt;"&amp;N53,AD$3:AD$98,"&gt;"&amp;M53)+COUNTIFS($AK$3:$AK$98,$AK53,AE$3:AE$98,"&lt;"&amp;N53,AF$3:AF$98,"&gt;"&amp;M53)+COUNTIFS($AK$3:$AK$98,$AK53,AG$3:AG$98,"&lt;"&amp;N53,AH$3:AH$98,"&gt;"&amp;M53)-(M53&lt;N53))</f>
        <v>0</v>
      </c>
      <c r="AT53">
        <f>AS53</f>
        <v>0</v>
      </c>
      <c r="AU53">
        <f>IF(OR($AK53="",O53="",P53=""),0,COUNTIFS($AK$3:$AK$98,$AK53,K$3:K$98,"&lt;"&amp;P53,L$3:L$98,"&gt;"&amp;O53)+COUNTIFS($AK$3:$AK$98,$AK53,M$3:M$98,"&lt;"&amp;P53,N$3:N$98,"&gt;"&amp;O53)+COUNTIFS($AK$3:$AK$98,$AK53,O$3:O$98,"&lt;"&amp;P53,P$3:P$98,"&gt;"&amp;O53)+COUNTIFS($AK$3:$AK$98,$AK53,Q$3:Q$98,"&lt;"&amp;P53,R$3:R$98,"&gt;"&amp;O53)+COUNTIFS($AK$3:$AK$98,$AK53,S$3:S$98,"&lt;"&amp;P53,T$3:T$98,"&gt;"&amp;O53)+COUNTIFS($AK$3:$AK$98,$AK53,U$3:U$98,"&lt;"&amp;P53,V$3:V$98,"&gt;"&amp;O53)+COUNTIFS($AK$3:$AK$98,$AK53,W$3:W$98,"&lt;"&amp;P53,X$3:X$98,"&gt;"&amp;O53)+COUNTIFS($AK$3:$AK$98,$AK53,Y$3:Y$98,"&lt;"&amp;P53,Z$3:Z$98,"&gt;"&amp;O53)+COUNTIFS($AK$3:$AK$98,$AK53,AA$3:AA$98,"&lt;"&amp;P53,AB$3:AB$98,"&gt;"&amp;O53)+COUNTIFS($AK$3:$AK$98,$AK53,AC$3:AC$98,"&lt;"&amp;P53,AD$3:AD$98,"&gt;"&amp;O53)+COUNTIFS($AK$3:$AK$98,$AK53,AE$3:AE$98,"&lt;"&amp;P53,AF$3:AF$98,"&gt;"&amp;O53)+COUNTIFS($AK$3:$AK$98,$AK53,AG$3:AG$98,"&lt;"&amp;P53,AH$3:AH$98,"&gt;"&amp;O53)-(O53&lt;P53))</f>
        <v>0</v>
      </c>
      <c r="AV53">
        <f>AU53</f>
        <v>0</v>
      </c>
      <c r="AW53">
        <f>IF(OR($AK53="",Q53="",R53=""),0,COUNTIFS($AK$3:$AK$98,$AK53,K$3:K$98,"&lt;"&amp;R53,L$3:L$98,"&gt;"&amp;Q53)+COUNTIFS($AK$3:$AK$98,$AK53,M$3:M$98,"&lt;"&amp;R53,N$3:N$98,"&gt;"&amp;Q53)+COUNTIFS($AK$3:$AK$98,$AK53,O$3:O$98,"&lt;"&amp;R53,P$3:P$98,"&gt;"&amp;Q53)+COUNTIFS($AK$3:$AK$98,$AK53,Q$3:Q$98,"&lt;"&amp;R53,R$3:R$98,"&gt;"&amp;Q53)+COUNTIFS($AK$3:$AK$98,$AK53,S$3:S$98,"&lt;"&amp;R53,T$3:T$98,"&gt;"&amp;Q53)+COUNTIFS($AK$3:$AK$98,$AK53,U$3:U$98,"&lt;"&amp;R53,V$3:V$98,"&gt;"&amp;Q53)+COUNTIFS($AK$3:$AK$98,$AK53,W$3:W$98,"&lt;"&amp;R53,X$3:X$98,"&gt;"&amp;Q53)+COUNTIFS($AK$3:$AK$98,$AK53,Y$3:Y$98,"&lt;"&amp;R53,Z$3:Z$98,"&gt;"&amp;Q53)+COUNTIFS($AK$3:$AK$98,$AK53,AA$3:AA$98,"&lt;"&amp;R53,AB$3:AB$98,"&gt;"&amp;Q53)+COUNTIFS($AK$3:$AK$98,$AK53,AC$3:AC$98,"&lt;"&amp;R53,AD$3:AD$98,"&gt;"&amp;Q53)+COUNTIFS($AK$3:$AK$98,$AK53,AE$3:AE$98,"&lt;"&amp;R53,AF$3:AF$98,"&gt;"&amp;Q53)+COUNTIFS($AK$3:$AK$98,$AK53,AG$3:AG$98,"&lt;"&amp;R53,AH$3:AH$98,"&gt;"&amp;Q53)-(Q53&lt;R53))</f>
        <v>0</v>
      </c>
      <c r="AX53">
        <f>AW53</f>
        <v>0</v>
      </c>
      <c r="AY53">
        <f>IF(OR($AK53="",S53="",T53=""),0,COUNTIFS($AK$3:$AK$98,$AK53,K$3:K$98,"&lt;"&amp;T53,L$3:L$98,"&gt;"&amp;S53)+COUNTIFS($AK$3:$AK$98,$AK53,M$3:M$98,"&lt;"&amp;T53,N$3:N$98,"&gt;"&amp;S53)+COUNTIFS($AK$3:$AK$98,$AK53,O$3:O$98,"&lt;"&amp;T53,P$3:P$98,"&gt;"&amp;S53)+COUNTIFS($AK$3:$AK$98,$AK53,Q$3:Q$98,"&lt;"&amp;T53,R$3:R$98,"&gt;"&amp;S53)+COUNTIFS($AK$3:$AK$98,$AK53,S$3:S$98,"&lt;"&amp;T53,T$3:T$98,"&gt;"&amp;S53)+COUNTIFS($AK$3:$AK$98,$AK53,U$3:U$98,"&lt;"&amp;T53,V$3:V$98,"&gt;"&amp;S53)+COUNTIFS($AK$3:$AK$98,$AK53,W$3:W$98,"&lt;"&amp;T53,X$3:X$98,"&gt;"&amp;S53)+COUNTIFS($AK$3:$AK$98,$AK53,Y$3:Y$98,"&lt;"&amp;T53,Z$3:Z$98,"&gt;"&amp;S53)+COUNTIFS($AK$3:$AK$98,$AK53,AA$3:AA$98,"&lt;"&amp;T53,AB$3:AB$98,"&gt;"&amp;S53)+COUNTIFS($AK$3:$AK$98,$AK53,AC$3:AC$98,"&lt;"&amp;T53,AD$3:AD$98,"&gt;"&amp;S53)+COUNTIFS($AK$3:$AK$98,$AK53,AE$3:AE$98,"&lt;"&amp;T53,AF$3:AF$98,"&gt;"&amp;S53)+COUNTIFS($AK$3:$AK$98,$AK53,AG$3:AG$98,"&lt;"&amp;T53,AH$3:AH$98,"&gt;"&amp;S53)-(S53&lt;T53))</f>
        <v>0</v>
      </c>
      <c r="AZ53">
        <f>AY53</f>
        <v>0</v>
      </c>
      <c r="BA53">
        <f>IF(OR($AK53="",U53="",V53=""),0,COUNTIFS($AK$3:$AK$98,$AK53,K$3:K$98,"&lt;"&amp;V53,L$3:L$98,"&gt;"&amp;U53)+COUNTIFS($AK$3:$AK$98,$AK53,M$3:M$98,"&lt;"&amp;V53,N$3:N$98,"&gt;"&amp;U53)+COUNTIFS($AK$3:$AK$98,$AK53,O$3:O$98,"&lt;"&amp;V53,P$3:P$98,"&gt;"&amp;U53)+COUNTIFS($AK$3:$AK$98,$AK53,Q$3:Q$98,"&lt;"&amp;V53,R$3:R$98,"&gt;"&amp;U53)+COUNTIFS($AK$3:$AK$98,$AK53,S$3:S$98,"&lt;"&amp;V53,T$3:T$98,"&gt;"&amp;U53)+COUNTIFS($AK$3:$AK$98,$AK53,U$3:U$98,"&lt;"&amp;V53,V$3:V$98,"&gt;"&amp;U53)+COUNTIFS($AK$3:$AK$98,$AK53,W$3:W$98,"&lt;"&amp;V53,X$3:X$98,"&gt;"&amp;U53)+COUNTIFS($AK$3:$AK$98,$AK53,Y$3:Y$98,"&lt;"&amp;V53,Z$3:Z$98,"&gt;"&amp;U53)+COUNTIFS($AK$3:$AK$98,$AK53,AA$3:AA$98,"&lt;"&amp;V53,AB$3:AB$98,"&gt;"&amp;U53)+COUNTIFS($AK$3:$AK$98,$AK53,AC$3:AC$98,"&lt;"&amp;V53,AD$3:AD$98,"&gt;"&amp;U53)+COUNTIFS($AK$3:$AK$98,$AK53,AE$3:AE$98,"&lt;"&amp;V53,AF$3:AF$98,"&gt;"&amp;U53)+COUNTIFS($AK$3:$AK$98,$AK53,AG$3:AG$98,"&lt;"&amp;V53,AH$3:AH$98,"&gt;"&amp;U53)-(U53&lt;V53))</f>
        <v>0</v>
      </c>
      <c r="BB53">
        <f>BA53</f>
        <v>0</v>
      </c>
      <c r="BC53">
        <f>IF(OR($AK53="",W53="",X53=""),0,COUNTIFS($AK$3:$AK$98,$AK53,K$3:K$98,"&lt;"&amp;X53,L$3:L$98,"&gt;"&amp;W53)+COUNTIFS($AK$3:$AK$98,$AK53,M$3:M$98,"&lt;"&amp;X53,N$3:N$98,"&gt;"&amp;W53)+COUNTIFS($AK$3:$AK$98,$AK53,O$3:O$98,"&lt;"&amp;X53,P$3:P$98,"&gt;"&amp;W53)+COUNTIFS($AK$3:$AK$98,$AK53,Q$3:Q$98,"&lt;"&amp;X53,R$3:R$98,"&gt;"&amp;W53)+COUNTIFS($AK$3:$AK$98,$AK53,S$3:S$98,"&lt;"&amp;X53,T$3:T$98,"&gt;"&amp;W53)+COUNTIFS($AK$3:$AK$98,$AK53,U$3:U$98,"&lt;"&amp;X53,V$3:V$98,"&gt;"&amp;W53)+COUNTIFS($AK$3:$AK$98,$AK53,W$3:W$98,"&lt;"&amp;X53,X$3:X$98,"&gt;"&amp;W53)+COUNTIFS($AK$3:$AK$98,$AK53,Y$3:Y$98,"&lt;"&amp;X53,Z$3:Z$98,"&gt;"&amp;W53)+COUNTIFS($AK$3:$AK$98,$AK53,AA$3:AA$98,"&lt;"&amp;X53,AB$3:AB$98,"&gt;"&amp;W53)+COUNTIFS($AK$3:$AK$98,$AK53,AC$3:AC$98,"&lt;"&amp;X53,AD$3:AD$98,"&gt;"&amp;W53)+COUNTIFS($AK$3:$AK$98,$AK53,AE$3:AE$98,"&lt;"&amp;X53,AF$3:AF$98,"&gt;"&amp;W53)+COUNTIFS($AK$3:$AK$98,$AK53,AG$3:AG$98,"&lt;"&amp;X53,AH$3:AH$98,"&gt;"&amp;W53)-(W53&lt;X53))</f>
        <v>0</v>
      </c>
      <c r="BD53">
        <f>BC53</f>
        <v>0</v>
      </c>
      <c r="BE53">
        <f>IF(OR($AK53="",Y53="",Z53=""),0,COUNTIFS($AK$3:$AK$98,$AK53,K$3:K$98,"&lt;"&amp;Z53,L$3:L$98,"&gt;"&amp;Y53)+COUNTIFS($AK$3:$AK$98,$AK53,M$3:M$98,"&lt;"&amp;Z53,N$3:N$98,"&gt;"&amp;Y53)+COUNTIFS($AK$3:$AK$98,$AK53,O$3:O$98,"&lt;"&amp;Z53,P$3:P$98,"&gt;"&amp;Y53)+COUNTIFS($AK$3:$AK$98,$AK53,Q$3:Q$98,"&lt;"&amp;Z53,R$3:R$98,"&gt;"&amp;Y53)+COUNTIFS($AK$3:$AK$98,$AK53,S$3:S$98,"&lt;"&amp;Z53,T$3:T$98,"&gt;"&amp;Y53)+COUNTIFS($AK$3:$AK$98,$AK53,U$3:U$98,"&lt;"&amp;Z53,V$3:V$98,"&gt;"&amp;Y53)+COUNTIFS($AK$3:$AK$98,$AK53,W$3:W$98,"&lt;"&amp;Z53,X$3:X$98,"&gt;"&amp;Y53)+COUNTIFS($AK$3:$AK$98,$AK53,Y$3:Y$98,"&lt;"&amp;Z53,Z$3:Z$98,"&gt;"&amp;Y53)+COUNTIFS($AK$3:$AK$98,$AK53,AA$3:AA$98,"&lt;"&amp;Z53,AB$3:AB$98,"&gt;"&amp;Y53)+COUNTIFS($AK$3:$AK$98,$AK53,AC$3:AC$98,"&lt;"&amp;Z53,AD$3:AD$98,"&gt;"&amp;Y53)+COUNTIFS($AK$3:$AK$98,$AK53,AE$3:AE$98,"&lt;"&amp;Z53,AF$3:AF$98,"&gt;"&amp;Y53)+COUNTIFS($AK$3:$AK$98,$AK53,AG$3:AG$98,"&lt;"&amp;Z53,AH$3:AH$98,"&gt;"&amp;Y53)-(Y53&lt;Z53))</f>
        <v>0</v>
      </c>
      <c r="BF53">
        <f>BE53</f>
        <v>0</v>
      </c>
      <c r="BG53">
        <f>IF(OR($AK53="",AA53="",AB53=""),0,COUNTIFS($AK$3:$AK$98,$AK53,K$3:K$98,"&lt;"&amp;AB53,L$3:L$98,"&gt;"&amp;AA53)+COUNTIFS($AK$3:$AK$98,$AK53,M$3:M$98,"&lt;"&amp;AB53,N$3:N$98,"&gt;"&amp;AA53)+COUNTIFS($AK$3:$AK$98,$AK53,O$3:O$98,"&lt;"&amp;AB53,P$3:P$98,"&gt;"&amp;AA53)+COUNTIFS($AK$3:$AK$98,$AK53,Q$3:Q$98,"&lt;"&amp;AB53,R$3:R$98,"&gt;"&amp;AA53)+COUNTIFS($AK$3:$AK$98,$AK53,S$3:S$98,"&lt;"&amp;AB53,T$3:T$98,"&gt;"&amp;AA53)+COUNTIFS($AK$3:$AK$98,$AK53,U$3:U$98,"&lt;"&amp;AB53,V$3:V$98,"&gt;"&amp;AA53)+COUNTIFS($AK$3:$AK$98,$AK53,W$3:W$98,"&lt;"&amp;AB53,X$3:X$98,"&gt;"&amp;AA53)+COUNTIFS($AK$3:$AK$98,$AK53,Y$3:Y$98,"&lt;"&amp;AB53,Z$3:Z$98,"&gt;"&amp;AA53)+COUNTIFS($AK$3:$AK$98,$AK53,AA$3:AA$98,"&lt;"&amp;AB53,AB$3:AB$98,"&gt;"&amp;AA53)+COUNTIFS($AK$3:$AK$98,$AK53,AC$3:AC$98,"&lt;"&amp;AB53,AD$3:AD$98,"&gt;"&amp;AA53)+COUNTIFS($AK$3:$AK$98,$AK53,AE$3:AE$98,"&lt;"&amp;AB53,AF$3:AF$98,"&gt;"&amp;AA53)+COUNTIFS($AK$3:$AK$98,$AK53,AG$3:AG$98,"&lt;"&amp;AB53,AH$3:AH$98,"&gt;"&amp;AA53)-(AA53&lt;AB53))</f>
        <v>0</v>
      </c>
      <c r="BH53">
        <f>BG53</f>
        <v>0</v>
      </c>
      <c r="BI53">
        <f>IF(OR($AK53="",AC53="",AD53=""),0,COUNTIFS($AK$3:$AK$98,$AK53,K$3:K$98,"&lt;"&amp;AD53,L$3:L$98,"&gt;"&amp;AC53)+COUNTIFS($AK$3:$AK$98,$AK53,M$3:M$98,"&lt;"&amp;AD53,N$3:N$98,"&gt;"&amp;AC53)+COUNTIFS($AK$3:$AK$98,$AK53,O$3:O$98,"&lt;"&amp;AD53,P$3:P$98,"&gt;"&amp;AC53)+COUNTIFS($AK$3:$AK$98,$AK53,Q$3:Q$98,"&lt;"&amp;AD53,R$3:R$98,"&gt;"&amp;AC53)+COUNTIFS($AK$3:$AK$98,$AK53,S$3:S$98,"&lt;"&amp;AD53,T$3:T$98,"&gt;"&amp;AC53)+COUNTIFS($AK$3:$AK$98,$AK53,U$3:U$98,"&lt;"&amp;AD53,V$3:V$98,"&gt;"&amp;AC53)+COUNTIFS($AK$3:$AK$98,$AK53,W$3:W$98,"&lt;"&amp;AD53,X$3:X$98,"&gt;"&amp;AC53)+COUNTIFS($AK$3:$AK$98,$AK53,Y$3:Y$98,"&lt;"&amp;AD53,Z$3:Z$98,"&gt;"&amp;AC53)+COUNTIFS($AK$3:$AK$98,$AK53,AA$3:AA$98,"&lt;"&amp;AD53,AB$3:AB$98,"&gt;"&amp;AC53)+COUNTIFS($AK$3:$AK$98,$AK53,AC$3:AC$98,"&lt;"&amp;AD53,AD$3:AD$98,"&gt;"&amp;AC53)+COUNTIFS($AK$3:$AK$98,$AK53,AE$3:AE$98,"&lt;"&amp;AD53,AF$3:AF$98,"&gt;"&amp;AC53)+COUNTIFS($AK$3:$AK$98,$AK53,AG$3:AG$98,"&lt;"&amp;AD53,AH$3:AH$98,"&gt;"&amp;AC53)-(AC53&lt;AD53))</f>
        <v>0</v>
      </c>
      <c r="BJ53">
        <f>BI53</f>
        <v>0</v>
      </c>
      <c r="BK53">
        <f>IF(OR($AK53="",AE53="",AF53=""),0,COUNTIFS($AK$3:$AK$98,$AK53,K$3:K$98,"&lt;"&amp;AF53,L$3:L$98,"&gt;"&amp;AE53)+COUNTIFS($AK$3:$AK$98,$AK53,M$3:M$98,"&lt;"&amp;AF53,N$3:N$98,"&gt;"&amp;AE53)+COUNTIFS($AK$3:$AK$98,$AK53,O$3:O$98,"&lt;"&amp;AF53,P$3:P$98,"&gt;"&amp;AE53)+COUNTIFS($AK$3:$AK$98,$AK53,Q$3:Q$98,"&lt;"&amp;AF53,R$3:R$98,"&gt;"&amp;AE53)+COUNTIFS($AK$3:$AK$98,$AK53,S$3:S$98,"&lt;"&amp;AF53,T$3:T$98,"&gt;"&amp;AE53)+COUNTIFS($AK$3:$AK$98,$AK53,U$3:U$98,"&lt;"&amp;AF53,V$3:V$98,"&gt;"&amp;AE53)+COUNTIFS($AK$3:$AK$98,$AK53,W$3:W$98,"&lt;"&amp;AF53,X$3:X$98,"&gt;"&amp;AE53)+COUNTIFS($AK$3:$AK$98,$AK53,Y$3:Y$98,"&lt;"&amp;AF53,Z$3:Z$98,"&gt;"&amp;AE53)+COUNTIFS($AK$3:$AK$98,$AK53,AA$3:AA$98,"&lt;"&amp;AF53,AB$3:AB$98,"&gt;"&amp;AE53)+COUNTIFS($AK$3:$AK$98,$AK53,AC$3:AC$98,"&lt;"&amp;AF53,AD$3:AD$98,"&gt;"&amp;AE53)+COUNTIFS($AK$3:$AK$98,$AK53,AE$3:AE$98,"&lt;"&amp;AF53,AF$3:AF$98,"&gt;"&amp;AE53)+COUNTIFS($AK$3:$AK$98,$AK53,AG$3:AG$98,"&lt;"&amp;AF53,AH$3:AH$98,"&gt;"&amp;AE53)-(AE53&lt;AF53))</f>
        <v>0</v>
      </c>
      <c r="BL53">
        <f>BK53</f>
        <v>0</v>
      </c>
      <c r="BM53">
        <f>IF(OR($AK53="",AG53="",AH53=""),0,COUNTIFS($AK$3:$AK$98,$AK53,K$3:K$98,"&lt;"&amp;AH53,L$3:L$98,"&gt;"&amp;AG53)+COUNTIFS($AK$3:$AK$98,$AK53,M$3:M$98,"&lt;"&amp;AH53,N$3:N$98,"&gt;"&amp;AG53)+COUNTIFS($AK$3:$AK$98,$AK53,O$3:O$98,"&lt;"&amp;AH53,P$3:P$98,"&gt;"&amp;AG53)+COUNTIFS($AK$3:$AK$98,$AK53,Q$3:Q$98,"&lt;"&amp;AH53,R$3:R$98,"&gt;"&amp;AG53)+COUNTIFS($AK$3:$AK$98,$AK53,S$3:S$98,"&lt;"&amp;AH53,T$3:T$98,"&gt;"&amp;AG53)+COUNTIFS($AK$3:$AK$98,$AK53,U$3:U$98,"&lt;"&amp;AH53,V$3:V$98,"&gt;"&amp;AG53)+COUNTIFS($AK$3:$AK$98,$AK53,W$3:W$98,"&lt;"&amp;AH53,X$3:X$98,"&gt;"&amp;AG53)+COUNTIFS($AK$3:$AK$98,$AK53,Y$3:Y$98,"&lt;"&amp;AH53,Z$3:Z$98,"&gt;"&amp;AG53)+COUNTIFS($AK$3:$AK$98,$AK53,AA$3:AA$98,"&lt;"&amp;AH53,AB$3:AB$98,"&gt;"&amp;AG53)+COUNTIFS($AK$3:$AK$98,$AK53,AC$3:AC$98,"&lt;"&amp;AH53,AD$3:AD$98,"&gt;"&amp;AG53)+COUNTIFS($AK$3:$AK$98,$AK53,AE$3:AE$98,"&lt;"&amp;AH53,AF$3:AF$98,"&gt;"&amp;AG53)+COUNTIFS($AK$3:$AK$98,$AK53,AG$3:AG$98,"&lt;"&amp;AH53,AH$3:AH$98,"&gt;"&amp;AG53)-(AG53&lt;AH53))</f>
        <v>0</v>
      </c>
      <c r="BN53">
        <f>BM53</f>
        <v>0</v>
      </c>
      <c r="BO53">
        <f>IF(ISNUMBER($G53),$G53,"")</f>
        <v>0</v>
      </c>
      <c r="BP53" t="str">
        <f>IF(AND($A53&lt;&gt;"",COUNT($K53:$AH53)&gt;0),ROW(),"")</f>
        <v/>
      </c>
    </row>
    <row r="54" spans="1:68" x14ac:dyDescent="0.15">
      <c r="A54" s="13" t="s">
        <v>46</v>
      </c>
      <c r="B54" s="14" t="str">
        <f>IF($A54="","","total")</f>
        <v>total</v>
      </c>
      <c r="C54" s="14"/>
      <c r="D54" s="15">
        <f>IF($A54="","",SUM(D55:D57))</f>
        <v>17</v>
      </c>
      <c r="E54" s="15">
        <f>IF($A54="","",SUM(E55:E57))</f>
        <v>10</v>
      </c>
      <c r="F54" s="15">
        <f>IF($A54="","",D54-E54)</f>
        <v>7</v>
      </c>
      <c r="G54" s="16">
        <f>IF($A54="","",IFERROR(AVERAGEIFS(G55:G57,H55:H57,"&lt;&gt;未着手",H55:H57,"&lt;&gt;作業中"),""))</f>
        <v>0.7</v>
      </c>
      <c r="H54" s="14"/>
      <c r="I54" s="14"/>
      <c r="J54" s="14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</row>
    <row r="55" spans="1:68" x14ac:dyDescent="0.15">
      <c r="A55" s="18" t="str">
        <f>IF($A54="","",$A54)</f>
        <v>chMobSaiyanD</v>
      </c>
      <c r="B55" s="19" t="str">
        <f>IF($A54="","","low")</f>
        <v>low</v>
      </c>
      <c r="C55" s="19"/>
      <c r="D55" s="20">
        <v>8</v>
      </c>
      <c r="E55" s="21">
        <f>IF(AND($D55="",COUNT($K55:$AH55)=0),"",IF(K55="",0,MAX(0,NETWORKDAYS(K55,IF(L55&lt;&gt;"",L55,IF($J55&lt;&gt;"",K55,$AI$1)),祝日!$A$2:$A$200)))+IF(M55="",0,MAX(0,NETWORKDAYS(M55,IF(N55&lt;&gt;"",N55,IF($J55&lt;&gt;"",M55,$AI$1)),祝日!$A$2:$A$200)))+IF(O55="",0,MAX(0,NETWORKDAYS(O55,IF(P55&lt;&gt;"",P55,IF($J55&lt;&gt;"",O55,$AI$1)),祝日!$A$2:$A$200)))+IF(Q55="",0,MAX(0,NETWORKDAYS(Q55,IF(R55&lt;&gt;"",R55,IF($J55&lt;&gt;"",Q55,$AI$1)),祝日!$A$2:$A$200)))+IF(S55="",0,MAX(0,NETWORKDAYS(S55,IF(T55&lt;&gt;"",T55,IF($J55&lt;&gt;"",S55,$AI$1)),祝日!$A$2:$A$200)))+IF(U55="",0,MAX(0,NETWORKDAYS(U55,IF(V55&lt;&gt;"",V55,IF($J55&lt;&gt;"",U55,$AI$1)),祝日!$A$2:$A$200)))+IF(W55="",0,MAX(0,NETWORKDAYS(W55,IF(X55&lt;&gt;"",X55,IF($J55&lt;&gt;"",W55,$AI$1)),祝日!$A$2:$A$200)))+IF(Y55="",0,MAX(0,NETWORKDAYS(Y55,IF(Z55&lt;&gt;"",Z55,IF($J55&lt;&gt;"",Y55,$AI$1)),祝日!$A$2:$A$200)))+IF(AA55="",0,MAX(0,NETWORKDAYS(AA55,IF(AB55&lt;&gt;"",AB55,IF($J55&lt;&gt;"",AA55,$AI$1)),祝日!$A$2:$A$200)))+IF(AC55="",0,MAX(0,NETWORKDAYS(AC55,IF(AD55&lt;&gt;"",AD55,IF($J55&lt;&gt;"",AC55,$AI$1)),祝日!$A$2:$A$200)))+IF(AE55="",0,MAX(0,NETWORKDAYS(AE55,IF(AF55&lt;&gt;"",AF55,IF($J55&lt;&gt;"",AE55,$AI$1)),祝日!$A$2:$A$200)))+IF(AG55="",0,MAX(0,NETWORKDAYS(AG55,IF(AH55&lt;&gt;"",AH55,IF($J55&lt;&gt;"",AG55,$AI$1)),祝日!$A$2:$A$200))))</f>
        <v>8</v>
      </c>
      <c r="F55" s="21">
        <f>IF($D55="","",$D55-$E55)</f>
        <v>0</v>
      </c>
      <c r="G55" s="22">
        <f>IF(OR($D55="",$D55=0),"",$E55/$D55)</f>
        <v>1</v>
      </c>
      <c r="H55" s="23" t="str">
        <f>IF($D55="","",IF($J55&lt;&gt;"","FIX",IF(AND(SUMPRODUCT((MOD(COLUMN($K55:$AH55)-COLUMN($K55),2)=0)*($K55:$AH55&lt;&gt;""))=0,SUMPRODUCT((MOD(COLUMN($K55:$AH55)-COLUMN($K55),2)=1)*($K55:$AH55&lt;&gt;""))=0),"未着手",IF(SUMPRODUCT((MOD(COLUMN($K55:$AH55)-COLUMN($K55),2)=0)*($K55:$AH55&lt;&gt;""))&gt;SUMPRODUCT((MOD(COLUMN($K55:$AH55)-COLUMN($K55),2)=1)*($K55:$AH55&lt;&gt;"")),"作業中","中断"))))</f>
        <v>FIX</v>
      </c>
      <c r="I55" s="23" t="str">
        <f>IF($H55="中断",MAX(0,$AI$1-MAX(L55,N55,P55,R55,T55,V55,X55,Z55,AB55,AD55,AF55,AH55)),"")</f>
        <v/>
      </c>
      <c r="J55" s="19" t="s">
        <v>37</v>
      </c>
      <c r="K55" s="24">
        <v>46279</v>
      </c>
      <c r="L55" s="24">
        <v>46282</v>
      </c>
      <c r="M55" s="24">
        <v>46290</v>
      </c>
      <c r="N55" s="24">
        <v>46295</v>
      </c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K55" t="str">
        <f>IF($A54="","",IF(LOOKUP(2,1/($AJ$3:$AJ55&lt;&gt;""),$AJ$3:$AJ55)="-","",LOOKUP(2,1/($AJ$3:$AJ55&lt;&gt;""),$AJ$3:$AJ55)))</f>
        <v>CH03</v>
      </c>
      <c r="AL55" t="str">
        <f>$H55</f>
        <v>FIX</v>
      </c>
      <c r="AM55">
        <f>IF(ISNUMBER($D55),$D55,0)</f>
        <v>8</v>
      </c>
      <c r="AN55">
        <f>IF(ISNUMBER($E55),$E55,0)</f>
        <v>8</v>
      </c>
      <c r="AO55">
        <f>IF(ISNUMBER($F55),$F55,0)</f>
        <v>0</v>
      </c>
      <c r="AQ55">
        <f>IF(OR($AK55="",K55="",L55=""),0,COUNTIFS($AK$3:$AK$98,$AK55,K$3:K$98,"&lt;"&amp;L55,L$3:L$98,"&gt;"&amp;K55)+COUNTIFS($AK$3:$AK$98,$AK55,M$3:M$98,"&lt;"&amp;L55,N$3:N$98,"&gt;"&amp;K55)+COUNTIFS($AK$3:$AK$98,$AK55,O$3:O$98,"&lt;"&amp;L55,P$3:P$98,"&gt;"&amp;K55)+COUNTIFS($AK$3:$AK$98,$AK55,Q$3:Q$98,"&lt;"&amp;L55,R$3:R$98,"&gt;"&amp;K55)+COUNTIFS($AK$3:$AK$98,$AK55,S$3:S$98,"&lt;"&amp;L55,T$3:T$98,"&gt;"&amp;K55)+COUNTIFS($AK$3:$AK$98,$AK55,U$3:U$98,"&lt;"&amp;L55,V$3:V$98,"&gt;"&amp;K55)+COUNTIFS($AK$3:$AK$98,$AK55,W$3:W$98,"&lt;"&amp;L55,X$3:X$98,"&gt;"&amp;K55)+COUNTIFS($AK$3:$AK$98,$AK55,Y$3:Y$98,"&lt;"&amp;L55,Z$3:Z$98,"&gt;"&amp;K55)+COUNTIFS($AK$3:$AK$98,$AK55,AA$3:AA$98,"&lt;"&amp;L55,AB$3:AB$98,"&gt;"&amp;K55)+COUNTIFS($AK$3:$AK$98,$AK55,AC$3:AC$98,"&lt;"&amp;L55,AD$3:AD$98,"&gt;"&amp;K55)+COUNTIFS($AK$3:$AK$98,$AK55,AE$3:AE$98,"&lt;"&amp;L55,AF$3:AF$98,"&gt;"&amp;K55)+COUNTIFS($AK$3:$AK$98,$AK55,AG$3:AG$98,"&lt;"&amp;L55,AH$3:AH$98,"&gt;"&amp;K55)-(K55&lt;L55))</f>
        <v>0</v>
      </c>
      <c r="AR55">
        <f>AQ55</f>
        <v>0</v>
      </c>
      <c r="AS55">
        <f>IF(OR($AK55="",M55="",N55=""),0,COUNTIFS($AK$3:$AK$98,$AK55,K$3:K$98,"&lt;"&amp;N55,L$3:L$98,"&gt;"&amp;M55)+COUNTIFS($AK$3:$AK$98,$AK55,M$3:M$98,"&lt;"&amp;N55,N$3:N$98,"&gt;"&amp;M55)+COUNTIFS($AK$3:$AK$98,$AK55,O$3:O$98,"&lt;"&amp;N55,P$3:P$98,"&gt;"&amp;M55)+COUNTIFS($AK$3:$AK$98,$AK55,Q$3:Q$98,"&lt;"&amp;N55,R$3:R$98,"&gt;"&amp;M55)+COUNTIFS($AK$3:$AK$98,$AK55,S$3:S$98,"&lt;"&amp;N55,T$3:T$98,"&gt;"&amp;M55)+COUNTIFS($AK$3:$AK$98,$AK55,U$3:U$98,"&lt;"&amp;N55,V$3:V$98,"&gt;"&amp;M55)+COUNTIFS($AK$3:$AK$98,$AK55,W$3:W$98,"&lt;"&amp;N55,X$3:X$98,"&gt;"&amp;M55)+COUNTIFS($AK$3:$AK$98,$AK55,Y$3:Y$98,"&lt;"&amp;N55,Z$3:Z$98,"&gt;"&amp;M55)+COUNTIFS($AK$3:$AK$98,$AK55,AA$3:AA$98,"&lt;"&amp;N55,AB$3:AB$98,"&gt;"&amp;M55)+COUNTIFS($AK$3:$AK$98,$AK55,AC$3:AC$98,"&lt;"&amp;N55,AD$3:AD$98,"&gt;"&amp;M55)+COUNTIFS($AK$3:$AK$98,$AK55,AE$3:AE$98,"&lt;"&amp;N55,AF$3:AF$98,"&gt;"&amp;M55)+COUNTIFS($AK$3:$AK$98,$AK55,AG$3:AG$98,"&lt;"&amp;N55,AH$3:AH$98,"&gt;"&amp;M55)-(M55&lt;N55))</f>
        <v>0</v>
      </c>
      <c r="AT55">
        <f>AS55</f>
        <v>0</v>
      </c>
      <c r="AU55">
        <f>IF(OR($AK55="",O55="",P55=""),0,COUNTIFS($AK$3:$AK$98,$AK55,K$3:K$98,"&lt;"&amp;P55,L$3:L$98,"&gt;"&amp;O55)+COUNTIFS($AK$3:$AK$98,$AK55,M$3:M$98,"&lt;"&amp;P55,N$3:N$98,"&gt;"&amp;O55)+COUNTIFS($AK$3:$AK$98,$AK55,O$3:O$98,"&lt;"&amp;P55,P$3:P$98,"&gt;"&amp;O55)+COUNTIFS($AK$3:$AK$98,$AK55,Q$3:Q$98,"&lt;"&amp;P55,R$3:R$98,"&gt;"&amp;O55)+COUNTIFS($AK$3:$AK$98,$AK55,S$3:S$98,"&lt;"&amp;P55,T$3:T$98,"&gt;"&amp;O55)+COUNTIFS($AK$3:$AK$98,$AK55,U$3:U$98,"&lt;"&amp;P55,V$3:V$98,"&gt;"&amp;O55)+COUNTIFS($AK$3:$AK$98,$AK55,W$3:W$98,"&lt;"&amp;P55,X$3:X$98,"&gt;"&amp;O55)+COUNTIFS($AK$3:$AK$98,$AK55,Y$3:Y$98,"&lt;"&amp;P55,Z$3:Z$98,"&gt;"&amp;O55)+COUNTIFS($AK$3:$AK$98,$AK55,AA$3:AA$98,"&lt;"&amp;P55,AB$3:AB$98,"&gt;"&amp;O55)+COUNTIFS($AK$3:$AK$98,$AK55,AC$3:AC$98,"&lt;"&amp;P55,AD$3:AD$98,"&gt;"&amp;O55)+COUNTIFS($AK$3:$AK$98,$AK55,AE$3:AE$98,"&lt;"&amp;P55,AF$3:AF$98,"&gt;"&amp;O55)+COUNTIFS($AK$3:$AK$98,$AK55,AG$3:AG$98,"&lt;"&amp;P55,AH$3:AH$98,"&gt;"&amp;O55)-(O55&lt;P55))</f>
        <v>0</v>
      </c>
      <c r="AV55">
        <f>AU55</f>
        <v>0</v>
      </c>
      <c r="AW55">
        <f>IF(OR($AK55="",Q55="",R55=""),0,COUNTIFS($AK$3:$AK$98,$AK55,K$3:K$98,"&lt;"&amp;R55,L$3:L$98,"&gt;"&amp;Q55)+COUNTIFS($AK$3:$AK$98,$AK55,M$3:M$98,"&lt;"&amp;R55,N$3:N$98,"&gt;"&amp;Q55)+COUNTIFS($AK$3:$AK$98,$AK55,O$3:O$98,"&lt;"&amp;R55,P$3:P$98,"&gt;"&amp;Q55)+COUNTIFS($AK$3:$AK$98,$AK55,Q$3:Q$98,"&lt;"&amp;R55,R$3:R$98,"&gt;"&amp;Q55)+COUNTIFS($AK$3:$AK$98,$AK55,S$3:S$98,"&lt;"&amp;R55,T$3:T$98,"&gt;"&amp;Q55)+COUNTIFS($AK$3:$AK$98,$AK55,U$3:U$98,"&lt;"&amp;R55,V$3:V$98,"&gt;"&amp;Q55)+COUNTIFS($AK$3:$AK$98,$AK55,W$3:W$98,"&lt;"&amp;R55,X$3:X$98,"&gt;"&amp;Q55)+COUNTIFS($AK$3:$AK$98,$AK55,Y$3:Y$98,"&lt;"&amp;R55,Z$3:Z$98,"&gt;"&amp;Q55)+COUNTIFS($AK$3:$AK$98,$AK55,AA$3:AA$98,"&lt;"&amp;R55,AB$3:AB$98,"&gt;"&amp;Q55)+COUNTIFS($AK$3:$AK$98,$AK55,AC$3:AC$98,"&lt;"&amp;R55,AD$3:AD$98,"&gt;"&amp;Q55)+COUNTIFS($AK$3:$AK$98,$AK55,AE$3:AE$98,"&lt;"&amp;R55,AF$3:AF$98,"&gt;"&amp;Q55)+COUNTIFS($AK$3:$AK$98,$AK55,AG$3:AG$98,"&lt;"&amp;R55,AH$3:AH$98,"&gt;"&amp;Q55)-(Q55&lt;R55))</f>
        <v>0</v>
      </c>
      <c r="AX55">
        <f>AW55</f>
        <v>0</v>
      </c>
      <c r="AY55">
        <f>IF(OR($AK55="",S55="",T55=""),0,COUNTIFS($AK$3:$AK$98,$AK55,K$3:K$98,"&lt;"&amp;T55,L$3:L$98,"&gt;"&amp;S55)+COUNTIFS($AK$3:$AK$98,$AK55,M$3:M$98,"&lt;"&amp;T55,N$3:N$98,"&gt;"&amp;S55)+COUNTIFS($AK$3:$AK$98,$AK55,O$3:O$98,"&lt;"&amp;T55,P$3:P$98,"&gt;"&amp;S55)+COUNTIFS($AK$3:$AK$98,$AK55,Q$3:Q$98,"&lt;"&amp;T55,R$3:R$98,"&gt;"&amp;S55)+COUNTIFS($AK$3:$AK$98,$AK55,S$3:S$98,"&lt;"&amp;T55,T$3:T$98,"&gt;"&amp;S55)+COUNTIFS($AK$3:$AK$98,$AK55,U$3:U$98,"&lt;"&amp;T55,V$3:V$98,"&gt;"&amp;S55)+COUNTIFS($AK$3:$AK$98,$AK55,W$3:W$98,"&lt;"&amp;T55,X$3:X$98,"&gt;"&amp;S55)+COUNTIFS($AK$3:$AK$98,$AK55,Y$3:Y$98,"&lt;"&amp;T55,Z$3:Z$98,"&gt;"&amp;S55)+COUNTIFS($AK$3:$AK$98,$AK55,AA$3:AA$98,"&lt;"&amp;T55,AB$3:AB$98,"&gt;"&amp;S55)+COUNTIFS($AK$3:$AK$98,$AK55,AC$3:AC$98,"&lt;"&amp;T55,AD$3:AD$98,"&gt;"&amp;S55)+COUNTIFS($AK$3:$AK$98,$AK55,AE$3:AE$98,"&lt;"&amp;T55,AF$3:AF$98,"&gt;"&amp;S55)+COUNTIFS($AK$3:$AK$98,$AK55,AG$3:AG$98,"&lt;"&amp;T55,AH$3:AH$98,"&gt;"&amp;S55)-(S55&lt;T55))</f>
        <v>0</v>
      </c>
      <c r="AZ55">
        <f>AY55</f>
        <v>0</v>
      </c>
      <c r="BA55">
        <f>IF(OR($AK55="",U55="",V55=""),0,COUNTIFS($AK$3:$AK$98,$AK55,K$3:K$98,"&lt;"&amp;V55,L$3:L$98,"&gt;"&amp;U55)+COUNTIFS($AK$3:$AK$98,$AK55,M$3:M$98,"&lt;"&amp;V55,N$3:N$98,"&gt;"&amp;U55)+COUNTIFS($AK$3:$AK$98,$AK55,O$3:O$98,"&lt;"&amp;V55,P$3:P$98,"&gt;"&amp;U55)+COUNTIFS($AK$3:$AK$98,$AK55,Q$3:Q$98,"&lt;"&amp;V55,R$3:R$98,"&gt;"&amp;U55)+COUNTIFS($AK$3:$AK$98,$AK55,S$3:S$98,"&lt;"&amp;V55,T$3:T$98,"&gt;"&amp;U55)+COUNTIFS($AK$3:$AK$98,$AK55,U$3:U$98,"&lt;"&amp;V55,V$3:V$98,"&gt;"&amp;U55)+COUNTIFS($AK$3:$AK$98,$AK55,W$3:W$98,"&lt;"&amp;V55,X$3:X$98,"&gt;"&amp;U55)+COUNTIFS($AK$3:$AK$98,$AK55,Y$3:Y$98,"&lt;"&amp;V55,Z$3:Z$98,"&gt;"&amp;U55)+COUNTIFS($AK$3:$AK$98,$AK55,AA$3:AA$98,"&lt;"&amp;V55,AB$3:AB$98,"&gt;"&amp;U55)+COUNTIFS($AK$3:$AK$98,$AK55,AC$3:AC$98,"&lt;"&amp;V55,AD$3:AD$98,"&gt;"&amp;U55)+COUNTIFS($AK$3:$AK$98,$AK55,AE$3:AE$98,"&lt;"&amp;V55,AF$3:AF$98,"&gt;"&amp;U55)+COUNTIFS($AK$3:$AK$98,$AK55,AG$3:AG$98,"&lt;"&amp;V55,AH$3:AH$98,"&gt;"&amp;U55)-(U55&lt;V55))</f>
        <v>0</v>
      </c>
      <c r="BB55">
        <f>BA55</f>
        <v>0</v>
      </c>
      <c r="BC55">
        <f>IF(OR($AK55="",W55="",X55=""),0,COUNTIFS($AK$3:$AK$98,$AK55,K$3:K$98,"&lt;"&amp;X55,L$3:L$98,"&gt;"&amp;W55)+COUNTIFS($AK$3:$AK$98,$AK55,M$3:M$98,"&lt;"&amp;X55,N$3:N$98,"&gt;"&amp;W55)+COUNTIFS($AK$3:$AK$98,$AK55,O$3:O$98,"&lt;"&amp;X55,P$3:P$98,"&gt;"&amp;W55)+COUNTIFS($AK$3:$AK$98,$AK55,Q$3:Q$98,"&lt;"&amp;X55,R$3:R$98,"&gt;"&amp;W55)+COUNTIFS($AK$3:$AK$98,$AK55,S$3:S$98,"&lt;"&amp;X55,T$3:T$98,"&gt;"&amp;W55)+COUNTIFS($AK$3:$AK$98,$AK55,U$3:U$98,"&lt;"&amp;X55,V$3:V$98,"&gt;"&amp;W55)+COUNTIFS($AK$3:$AK$98,$AK55,W$3:W$98,"&lt;"&amp;X55,X$3:X$98,"&gt;"&amp;W55)+COUNTIFS($AK$3:$AK$98,$AK55,Y$3:Y$98,"&lt;"&amp;X55,Z$3:Z$98,"&gt;"&amp;W55)+COUNTIFS($AK$3:$AK$98,$AK55,AA$3:AA$98,"&lt;"&amp;X55,AB$3:AB$98,"&gt;"&amp;W55)+COUNTIFS($AK$3:$AK$98,$AK55,AC$3:AC$98,"&lt;"&amp;X55,AD$3:AD$98,"&gt;"&amp;W55)+COUNTIFS($AK$3:$AK$98,$AK55,AE$3:AE$98,"&lt;"&amp;X55,AF$3:AF$98,"&gt;"&amp;W55)+COUNTIFS($AK$3:$AK$98,$AK55,AG$3:AG$98,"&lt;"&amp;X55,AH$3:AH$98,"&gt;"&amp;W55)-(W55&lt;X55))</f>
        <v>0</v>
      </c>
      <c r="BD55">
        <f>BC55</f>
        <v>0</v>
      </c>
      <c r="BE55">
        <f>IF(OR($AK55="",Y55="",Z55=""),0,COUNTIFS($AK$3:$AK$98,$AK55,K$3:K$98,"&lt;"&amp;Z55,L$3:L$98,"&gt;"&amp;Y55)+COUNTIFS($AK$3:$AK$98,$AK55,M$3:M$98,"&lt;"&amp;Z55,N$3:N$98,"&gt;"&amp;Y55)+COUNTIFS($AK$3:$AK$98,$AK55,O$3:O$98,"&lt;"&amp;Z55,P$3:P$98,"&gt;"&amp;Y55)+COUNTIFS($AK$3:$AK$98,$AK55,Q$3:Q$98,"&lt;"&amp;Z55,R$3:R$98,"&gt;"&amp;Y55)+COUNTIFS($AK$3:$AK$98,$AK55,S$3:S$98,"&lt;"&amp;Z55,T$3:T$98,"&gt;"&amp;Y55)+COUNTIFS($AK$3:$AK$98,$AK55,U$3:U$98,"&lt;"&amp;Z55,V$3:V$98,"&gt;"&amp;Y55)+COUNTIFS($AK$3:$AK$98,$AK55,W$3:W$98,"&lt;"&amp;Z55,X$3:X$98,"&gt;"&amp;Y55)+COUNTIFS($AK$3:$AK$98,$AK55,Y$3:Y$98,"&lt;"&amp;Z55,Z$3:Z$98,"&gt;"&amp;Y55)+COUNTIFS($AK$3:$AK$98,$AK55,AA$3:AA$98,"&lt;"&amp;Z55,AB$3:AB$98,"&gt;"&amp;Y55)+COUNTIFS($AK$3:$AK$98,$AK55,AC$3:AC$98,"&lt;"&amp;Z55,AD$3:AD$98,"&gt;"&amp;Y55)+COUNTIFS($AK$3:$AK$98,$AK55,AE$3:AE$98,"&lt;"&amp;Z55,AF$3:AF$98,"&gt;"&amp;Y55)+COUNTIFS($AK$3:$AK$98,$AK55,AG$3:AG$98,"&lt;"&amp;Z55,AH$3:AH$98,"&gt;"&amp;Y55)-(Y55&lt;Z55))</f>
        <v>0</v>
      </c>
      <c r="BF55">
        <f>BE55</f>
        <v>0</v>
      </c>
      <c r="BG55">
        <f>IF(OR($AK55="",AA55="",AB55=""),0,COUNTIFS($AK$3:$AK$98,$AK55,K$3:K$98,"&lt;"&amp;AB55,L$3:L$98,"&gt;"&amp;AA55)+COUNTIFS($AK$3:$AK$98,$AK55,M$3:M$98,"&lt;"&amp;AB55,N$3:N$98,"&gt;"&amp;AA55)+COUNTIFS($AK$3:$AK$98,$AK55,O$3:O$98,"&lt;"&amp;AB55,P$3:P$98,"&gt;"&amp;AA55)+COUNTIFS($AK$3:$AK$98,$AK55,Q$3:Q$98,"&lt;"&amp;AB55,R$3:R$98,"&gt;"&amp;AA55)+COUNTIFS($AK$3:$AK$98,$AK55,S$3:S$98,"&lt;"&amp;AB55,T$3:T$98,"&gt;"&amp;AA55)+COUNTIFS($AK$3:$AK$98,$AK55,U$3:U$98,"&lt;"&amp;AB55,V$3:V$98,"&gt;"&amp;AA55)+COUNTIFS($AK$3:$AK$98,$AK55,W$3:W$98,"&lt;"&amp;AB55,X$3:X$98,"&gt;"&amp;AA55)+COUNTIFS($AK$3:$AK$98,$AK55,Y$3:Y$98,"&lt;"&amp;AB55,Z$3:Z$98,"&gt;"&amp;AA55)+COUNTIFS($AK$3:$AK$98,$AK55,AA$3:AA$98,"&lt;"&amp;AB55,AB$3:AB$98,"&gt;"&amp;AA55)+COUNTIFS($AK$3:$AK$98,$AK55,AC$3:AC$98,"&lt;"&amp;AB55,AD$3:AD$98,"&gt;"&amp;AA55)+COUNTIFS($AK$3:$AK$98,$AK55,AE$3:AE$98,"&lt;"&amp;AB55,AF$3:AF$98,"&gt;"&amp;AA55)+COUNTIFS($AK$3:$AK$98,$AK55,AG$3:AG$98,"&lt;"&amp;AB55,AH$3:AH$98,"&gt;"&amp;AA55)-(AA55&lt;AB55))</f>
        <v>0</v>
      </c>
      <c r="BH55">
        <f>BG55</f>
        <v>0</v>
      </c>
      <c r="BI55">
        <f>IF(OR($AK55="",AC55="",AD55=""),0,COUNTIFS($AK$3:$AK$98,$AK55,K$3:K$98,"&lt;"&amp;AD55,L$3:L$98,"&gt;"&amp;AC55)+COUNTIFS($AK$3:$AK$98,$AK55,M$3:M$98,"&lt;"&amp;AD55,N$3:N$98,"&gt;"&amp;AC55)+COUNTIFS($AK$3:$AK$98,$AK55,O$3:O$98,"&lt;"&amp;AD55,P$3:P$98,"&gt;"&amp;AC55)+COUNTIFS($AK$3:$AK$98,$AK55,Q$3:Q$98,"&lt;"&amp;AD55,R$3:R$98,"&gt;"&amp;AC55)+COUNTIFS($AK$3:$AK$98,$AK55,S$3:S$98,"&lt;"&amp;AD55,T$3:T$98,"&gt;"&amp;AC55)+COUNTIFS($AK$3:$AK$98,$AK55,U$3:U$98,"&lt;"&amp;AD55,V$3:V$98,"&gt;"&amp;AC55)+COUNTIFS($AK$3:$AK$98,$AK55,W$3:W$98,"&lt;"&amp;AD55,X$3:X$98,"&gt;"&amp;AC55)+COUNTIFS($AK$3:$AK$98,$AK55,Y$3:Y$98,"&lt;"&amp;AD55,Z$3:Z$98,"&gt;"&amp;AC55)+COUNTIFS($AK$3:$AK$98,$AK55,AA$3:AA$98,"&lt;"&amp;AD55,AB$3:AB$98,"&gt;"&amp;AC55)+COUNTIFS($AK$3:$AK$98,$AK55,AC$3:AC$98,"&lt;"&amp;AD55,AD$3:AD$98,"&gt;"&amp;AC55)+COUNTIFS($AK$3:$AK$98,$AK55,AE$3:AE$98,"&lt;"&amp;AD55,AF$3:AF$98,"&gt;"&amp;AC55)+COUNTIFS($AK$3:$AK$98,$AK55,AG$3:AG$98,"&lt;"&amp;AD55,AH$3:AH$98,"&gt;"&amp;AC55)-(AC55&lt;AD55))</f>
        <v>0</v>
      </c>
      <c r="BJ55">
        <f>BI55</f>
        <v>0</v>
      </c>
      <c r="BK55">
        <f>IF(OR($AK55="",AE55="",AF55=""),0,COUNTIFS($AK$3:$AK$98,$AK55,K$3:K$98,"&lt;"&amp;AF55,L$3:L$98,"&gt;"&amp;AE55)+COUNTIFS($AK$3:$AK$98,$AK55,M$3:M$98,"&lt;"&amp;AF55,N$3:N$98,"&gt;"&amp;AE55)+COUNTIFS($AK$3:$AK$98,$AK55,O$3:O$98,"&lt;"&amp;AF55,P$3:P$98,"&gt;"&amp;AE55)+COUNTIFS($AK$3:$AK$98,$AK55,Q$3:Q$98,"&lt;"&amp;AF55,R$3:R$98,"&gt;"&amp;AE55)+COUNTIFS($AK$3:$AK$98,$AK55,S$3:S$98,"&lt;"&amp;AF55,T$3:T$98,"&gt;"&amp;AE55)+COUNTIFS($AK$3:$AK$98,$AK55,U$3:U$98,"&lt;"&amp;AF55,V$3:V$98,"&gt;"&amp;AE55)+COUNTIFS($AK$3:$AK$98,$AK55,W$3:W$98,"&lt;"&amp;AF55,X$3:X$98,"&gt;"&amp;AE55)+COUNTIFS($AK$3:$AK$98,$AK55,Y$3:Y$98,"&lt;"&amp;AF55,Z$3:Z$98,"&gt;"&amp;AE55)+COUNTIFS($AK$3:$AK$98,$AK55,AA$3:AA$98,"&lt;"&amp;AF55,AB$3:AB$98,"&gt;"&amp;AE55)+COUNTIFS($AK$3:$AK$98,$AK55,AC$3:AC$98,"&lt;"&amp;AF55,AD$3:AD$98,"&gt;"&amp;AE55)+COUNTIFS($AK$3:$AK$98,$AK55,AE$3:AE$98,"&lt;"&amp;AF55,AF$3:AF$98,"&gt;"&amp;AE55)+COUNTIFS($AK$3:$AK$98,$AK55,AG$3:AG$98,"&lt;"&amp;AF55,AH$3:AH$98,"&gt;"&amp;AE55)-(AE55&lt;AF55))</f>
        <v>0</v>
      </c>
      <c r="BL55">
        <f>BK55</f>
        <v>0</v>
      </c>
      <c r="BM55">
        <f>IF(OR($AK55="",AG55="",AH55=""),0,COUNTIFS($AK$3:$AK$98,$AK55,K$3:K$98,"&lt;"&amp;AH55,L$3:L$98,"&gt;"&amp;AG55)+COUNTIFS($AK$3:$AK$98,$AK55,M$3:M$98,"&lt;"&amp;AH55,N$3:N$98,"&gt;"&amp;AG55)+COUNTIFS($AK$3:$AK$98,$AK55,O$3:O$98,"&lt;"&amp;AH55,P$3:P$98,"&gt;"&amp;AG55)+COUNTIFS($AK$3:$AK$98,$AK55,Q$3:Q$98,"&lt;"&amp;AH55,R$3:R$98,"&gt;"&amp;AG55)+COUNTIFS($AK$3:$AK$98,$AK55,S$3:S$98,"&lt;"&amp;AH55,T$3:T$98,"&gt;"&amp;AG55)+COUNTIFS($AK$3:$AK$98,$AK55,U$3:U$98,"&lt;"&amp;AH55,V$3:V$98,"&gt;"&amp;AG55)+COUNTIFS($AK$3:$AK$98,$AK55,W$3:W$98,"&lt;"&amp;AH55,X$3:X$98,"&gt;"&amp;AG55)+COUNTIFS($AK$3:$AK$98,$AK55,Y$3:Y$98,"&lt;"&amp;AH55,Z$3:Z$98,"&gt;"&amp;AG55)+COUNTIFS($AK$3:$AK$98,$AK55,AA$3:AA$98,"&lt;"&amp;AH55,AB$3:AB$98,"&gt;"&amp;AG55)+COUNTIFS($AK$3:$AK$98,$AK55,AC$3:AC$98,"&lt;"&amp;AH55,AD$3:AD$98,"&gt;"&amp;AG55)+COUNTIFS($AK$3:$AK$98,$AK55,AE$3:AE$98,"&lt;"&amp;AH55,AF$3:AF$98,"&gt;"&amp;AG55)+COUNTIFS($AK$3:$AK$98,$AK55,AG$3:AG$98,"&lt;"&amp;AH55,AH$3:AH$98,"&gt;"&amp;AG55)-(AG55&lt;AH55))</f>
        <v>0</v>
      </c>
      <c r="BN55">
        <f>BM55</f>
        <v>0</v>
      </c>
      <c r="BO55">
        <f>IF(ISNUMBER($G55),$G55,"")</f>
        <v>1</v>
      </c>
      <c r="BP55">
        <f>IF(AND($A55&lt;&gt;"",COUNT($K55:$AH55)&gt;0),ROW(),"")</f>
        <v>55</v>
      </c>
    </row>
    <row r="56" spans="1:68" x14ac:dyDescent="0.15">
      <c r="A56" s="18" t="str">
        <f>IF($A54="","",$A54)</f>
        <v>chMobSaiyanD</v>
      </c>
      <c r="B56" s="19" t="str">
        <f>IF($A54="","","high")</f>
        <v>high</v>
      </c>
      <c r="C56" s="19"/>
      <c r="D56" s="20">
        <v>5</v>
      </c>
      <c r="E56" s="21">
        <f>IF(AND($D56="",COUNT($K56:$AH56)=0),"",IF(K56="",0,MAX(0,NETWORKDAYS(K56,IF(L56&lt;&gt;"",L56,IF($J56&lt;&gt;"",K56,$AI$1)),祝日!$A$2:$A$200)))+IF(M56="",0,MAX(0,NETWORKDAYS(M56,IF(N56&lt;&gt;"",N56,IF($J56&lt;&gt;"",M56,$AI$1)),祝日!$A$2:$A$200)))+IF(O56="",0,MAX(0,NETWORKDAYS(O56,IF(P56&lt;&gt;"",P56,IF($J56&lt;&gt;"",O56,$AI$1)),祝日!$A$2:$A$200)))+IF(Q56="",0,MAX(0,NETWORKDAYS(Q56,IF(R56&lt;&gt;"",R56,IF($J56&lt;&gt;"",Q56,$AI$1)),祝日!$A$2:$A$200)))+IF(S56="",0,MAX(0,NETWORKDAYS(S56,IF(T56&lt;&gt;"",T56,IF($J56&lt;&gt;"",S56,$AI$1)),祝日!$A$2:$A$200)))+IF(U56="",0,MAX(0,NETWORKDAYS(U56,IF(V56&lt;&gt;"",V56,IF($J56&lt;&gt;"",U56,$AI$1)),祝日!$A$2:$A$200)))+IF(W56="",0,MAX(0,NETWORKDAYS(W56,IF(X56&lt;&gt;"",X56,IF($J56&lt;&gt;"",W56,$AI$1)),祝日!$A$2:$A$200)))+IF(Y56="",0,MAX(0,NETWORKDAYS(Y56,IF(Z56&lt;&gt;"",Z56,IF($J56&lt;&gt;"",Y56,$AI$1)),祝日!$A$2:$A$200)))+IF(AA56="",0,MAX(0,NETWORKDAYS(AA56,IF(AB56&lt;&gt;"",AB56,IF($J56&lt;&gt;"",AA56,$AI$1)),祝日!$A$2:$A$200)))+IF(AC56="",0,MAX(0,NETWORKDAYS(AC56,IF(AD56&lt;&gt;"",AD56,IF($J56&lt;&gt;"",AC56,$AI$1)),祝日!$A$2:$A$200)))+IF(AE56="",0,MAX(0,NETWORKDAYS(AE56,IF(AF56&lt;&gt;"",AF56,IF($J56&lt;&gt;"",AE56,$AI$1)),祝日!$A$2:$A$200)))+IF(AG56="",0,MAX(0,NETWORKDAYS(AG56,IF(AH56&lt;&gt;"",AH56,IF($J56&lt;&gt;"",AG56,$AI$1)),祝日!$A$2:$A$200))))</f>
        <v>2</v>
      </c>
      <c r="F56" s="21">
        <f>IF($D56="","",$D56-$E56)</f>
        <v>3</v>
      </c>
      <c r="G56" s="22">
        <f>IF(OR($D56="",$D56=0),"",$E56/$D56)</f>
        <v>0.4</v>
      </c>
      <c r="H56" s="23" t="str">
        <f>IF($D56="","",IF($J56&lt;&gt;"","FIX",IF(AND(SUMPRODUCT((MOD(COLUMN($K56:$AH56)-COLUMN($K56),2)=0)*($K56:$AH56&lt;&gt;""))=0,SUMPRODUCT((MOD(COLUMN($K56:$AH56)-COLUMN($K56),2)=1)*($K56:$AH56&lt;&gt;""))=0),"未着手",IF(SUMPRODUCT((MOD(COLUMN($K56:$AH56)-COLUMN($K56),2)=0)*($K56:$AH56&lt;&gt;""))&gt;SUMPRODUCT((MOD(COLUMN($K56:$AH56)-COLUMN($K56),2)=1)*($K56:$AH56&lt;&gt;"")),"作業中","中断"))))</f>
        <v>中断</v>
      </c>
      <c r="I56" s="23">
        <f ca="1">IF($H56="中断",MAX(0,$AI$1-MAX(L56,N56,P56,R56,T56,V56,X56,Z56,AB56,AD56,AF56,AH56)),"")</f>
        <v>3</v>
      </c>
      <c r="J56" s="19"/>
      <c r="K56" s="24">
        <v>46296</v>
      </c>
      <c r="L56" s="24">
        <v>46299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K56" t="str">
        <f>IF($A54="","",IF(LOOKUP(2,1/($AJ$3:$AJ56&lt;&gt;""),$AJ$3:$AJ56)="-","",LOOKUP(2,1/($AJ$3:$AJ56&lt;&gt;""),$AJ$3:$AJ56)))</f>
        <v>CH03</v>
      </c>
      <c r="AL56" t="str">
        <f>$H56</f>
        <v>中断</v>
      </c>
      <c r="AM56">
        <f>IF(ISNUMBER($D56),$D56,0)</f>
        <v>5</v>
      </c>
      <c r="AN56">
        <f>IF(ISNUMBER($E56),$E56,0)</f>
        <v>2</v>
      </c>
      <c r="AO56">
        <f>IF(ISNUMBER($F56),$F56,0)</f>
        <v>3</v>
      </c>
      <c r="AQ56">
        <f>IF(OR($AK56="",K56="",L56=""),0,COUNTIFS($AK$3:$AK$98,$AK56,K$3:K$98,"&lt;"&amp;L56,L$3:L$98,"&gt;"&amp;K56)+COUNTIFS($AK$3:$AK$98,$AK56,M$3:M$98,"&lt;"&amp;L56,N$3:N$98,"&gt;"&amp;K56)+COUNTIFS($AK$3:$AK$98,$AK56,O$3:O$98,"&lt;"&amp;L56,P$3:P$98,"&gt;"&amp;K56)+COUNTIFS($AK$3:$AK$98,$AK56,Q$3:Q$98,"&lt;"&amp;L56,R$3:R$98,"&gt;"&amp;K56)+COUNTIFS($AK$3:$AK$98,$AK56,S$3:S$98,"&lt;"&amp;L56,T$3:T$98,"&gt;"&amp;K56)+COUNTIFS($AK$3:$AK$98,$AK56,U$3:U$98,"&lt;"&amp;L56,V$3:V$98,"&gt;"&amp;K56)+COUNTIFS($AK$3:$AK$98,$AK56,W$3:W$98,"&lt;"&amp;L56,X$3:X$98,"&gt;"&amp;K56)+COUNTIFS($AK$3:$AK$98,$AK56,Y$3:Y$98,"&lt;"&amp;L56,Z$3:Z$98,"&gt;"&amp;K56)+COUNTIFS($AK$3:$AK$98,$AK56,AA$3:AA$98,"&lt;"&amp;L56,AB$3:AB$98,"&gt;"&amp;K56)+COUNTIFS($AK$3:$AK$98,$AK56,AC$3:AC$98,"&lt;"&amp;L56,AD$3:AD$98,"&gt;"&amp;K56)+COUNTIFS($AK$3:$AK$98,$AK56,AE$3:AE$98,"&lt;"&amp;L56,AF$3:AF$98,"&gt;"&amp;K56)+COUNTIFS($AK$3:$AK$98,$AK56,AG$3:AG$98,"&lt;"&amp;L56,AH$3:AH$98,"&gt;"&amp;K56)-(K56&lt;L56))</f>
        <v>0</v>
      </c>
      <c r="AR56">
        <f>AQ56</f>
        <v>0</v>
      </c>
      <c r="AS56">
        <f>IF(OR($AK56="",M56="",N56=""),0,COUNTIFS($AK$3:$AK$98,$AK56,K$3:K$98,"&lt;"&amp;N56,L$3:L$98,"&gt;"&amp;M56)+COUNTIFS($AK$3:$AK$98,$AK56,M$3:M$98,"&lt;"&amp;N56,N$3:N$98,"&gt;"&amp;M56)+COUNTIFS($AK$3:$AK$98,$AK56,O$3:O$98,"&lt;"&amp;N56,P$3:P$98,"&gt;"&amp;M56)+COUNTIFS($AK$3:$AK$98,$AK56,Q$3:Q$98,"&lt;"&amp;N56,R$3:R$98,"&gt;"&amp;M56)+COUNTIFS($AK$3:$AK$98,$AK56,S$3:S$98,"&lt;"&amp;N56,T$3:T$98,"&gt;"&amp;M56)+COUNTIFS($AK$3:$AK$98,$AK56,U$3:U$98,"&lt;"&amp;N56,V$3:V$98,"&gt;"&amp;M56)+COUNTIFS($AK$3:$AK$98,$AK56,W$3:W$98,"&lt;"&amp;N56,X$3:X$98,"&gt;"&amp;M56)+COUNTIFS($AK$3:$AK$98,$AK56,Y$3:Y$98,"&lt;"&amp;N56,Z$3:Z$98,"&gt;"&amp;M56)+COUNTIFS($AK$3:$AK$98,$AK56,AA$3:AA$98,"&lt;"&amp;N56,AB$3:AB$98,"&gt;"&amp;M56)+COUNTIFS($AK$3:$AK$98,$AK56,AC$3:AC$98,"&lt;"&amp;N56,AD$3:AD$98,"&gt;"&amp;M56)+COUNTIFS($AK$3:$AK$98,$AK56,AE$3:AE$98,"&lt;"&amp;N56,AF$3:AF$98,"&gt;"&amp;M56)+COUNTIFS($AK$3:$AK$98,$AK56,AG$3:AG$98,"&lt;"&amp;N56,AH$3:AH$98,"&gt;"&amp;M56)-(M56&lt;N56))</f>
        <v>0</v>
      </c>
      <c r="AT56">
        <f>AS56</f>
        <v>0</v>
      </c>
      <c r="AU56">
        <f>IF(OR($AK56="",O56="",P56=""),0,COUNTIFS($AK$3:$AK$98,$AK56,K$3:K$98,"&lt;"&amp;P56,L$3:L$98,"&gt;"&amp;O56)+COUNTIFS($AK$3:$AK$98,$AK56,M$3:M$98,"&lt;"&amp;P56,N$3:N$98,"&gt;"&amp;O56)+COUNTIFS($AK$3:$AK$98,$AK56,O$3:O$98,"&lt;"&amp;P56,P$3:P$98,"&gt;"&amp;O56)+COUNTIFS($AK$3:$AK$98,$AK56,Q$3:Q$98,"&lt;"&amp;P56,R$3:R$98,"&gt;"&amp;O56)+COUNTIFS($AK$3:$AK$98,$AK56,S$3:S$98,"&lt;"&amp;P56,T$3:T$98,"&gt;"&amp;O56)+COUNTIFS($AK$3:$AK$98,$AK56,U$3:U$98,"&lt;"&amp;P56,V$3:V$98,"&gt;"&amp;O56)+COUNTIFS($AK$3:$AK$98,$AK56,W$3:W$98,"&lt;"&amp;P56,X$3:X$98,"&gt;"&amp;O56)+COUNTIFS($AK$3:$AK$98,$AK56,Y$3:Y$98,"&lt;"&amp;P56,Z$3:Z$98,"&gt;"&amp;O56)+COUNTIFS($AK$3:$AK$98,$AK56,AA$3:AA$98,"&lt;"&amp;P56,AB$3:AB$98,"&gt;"&amp;O56)+COUNTIFS($AK$3:$AK$98,$AK56,AC$3:AC$98,"&lt;"&amp;P56,AD$3:AD$98,"&gt;"&amp;O56)+COUNTIFS($AK$3:$AK$98,$AK56,AE$3:AE$98,"&lt;"&amp;P56,AF$3:AF$98,"&gt;"&amp;O56)+COUNTIFS($AK$3:$AK$98,$AK56,AG$3:AG$98,"&lt;"&amp;P56,AH$3:AH$98,"&gt;"&amp;O56)-(O56&lt;P56))</f>
        <v>0</v>
      </c>
      <c r="AV56">
        <f>AU56</f>
        <v>0</v>
      </c>
      <c r="AW56">
        <f>IF(OR($AK56="",Q56="",R56=""),0,COUNTIFS($AK$3:$AK$98,$AK56,K$3:K$98,"&lt;"&amp;R56,L$3:L$98,"&gt;"&amp;Q56)+COUNTIFS($AK$3:$AK$98,$AK56,M$3:M$98,"&lt;"&amp;R56,N$3:N$98,"&gt;"&amp;Q56)+COUNTIFS($AK$3:$AK$98,$AK56,O$3:O$98,"&lt;"&amp;R56,P$3:P$98,"&gt;"&amp;Q56)+COUNTIFS($AK$3:$AK$98,$AK56,Q$3:Q$98,"&lt;"&amp;R56,R$3:R$98,"&gt;"&amp;Q56)+COUNTIFS($AK$3:$AK$98,$AK56,S$3:S$98,"&lt;"&amp;R56,T$3:T$98,"&gt;"&amp;Q56)+COUNTIFS($AK$3:$AK$98,$AK56,U$3:U$98,"&lt;"&amp;R56,V$3:V$98,"&gt;"&amp;Q56)+COUNTIFS($AK$3:$AK$98,$AK56,W$3:W$98,"&lt;"&amp;R56,X$3:X$98,"&gt;"&amp;Q56)+COUNTIFS($AK$3:$AK$98,$AK56,Y$3:Y$98,"&lt;"&amp;R56,Z$3:Z$98,"&gt;"&amp;Q56)+COUNTIFS($AK$3:$AK$98,$AK56,AA$3:AA$98,"&lt;"&amp;R56,AB$3:AB$98,"&gt;"&amp;Q56)+COUNTIFS($AK$3:$AK$98,$AK56,AC$3:AC$98,"&lt;"&amp;R56,AD$3:AD$98,"&gt;"&amp;Q56)+COUNTIFS($AK$3:$AK$98,$AK56,AE$3:AE$98,"&lt;"&amp;R56,AF$3:AF$98,"&gt;"&amp;Q56)+COUNTIFS($AK$3:$AK$98,$AK56,AG$3:AG$98,"&lt;"&amp;R56,AH$3:AH$98,"&gt;"&amp;Q56)-(Q56&lt;R56))</f>
        <v>0</v>
      </c>
      <c r="AX56">
        <f>AW56</f>
        <v>0</v>
      </c>
      <c r="AY56">
        <f>IF(OR($AK56="",S56="",T56=""),0,COUNTIFS($AK$3:$AK$98,$AK56,K$3:K$98,"&lt;"&amp;T56,L$3:L$98,"&gt;"&amp;S56)+COUNTIFS($AK$3:$AK$98,$AK56,M$3:M$98,"&lt;"&amp;T56,N$3:N$98,"&gt;"&amp;S56)+COUNTIFS($AK$3:$AK$98,$AK56,O$3:O$98,"&lt;"&amp;T56,P$3:P$98,"&gt;"&amp;S56)+COUNTIFS($AK$3:$AK$98,$AK56,Q$3:Q$98,"&lt;"&amp;T56,R$3:R$98,"&gt;"&amp;S56)+COUNTIFS($AK$3:$AK$98,$AK56,S$3:S$98,"&lt;"&amp;T56,T$3:T$98,"&gt;"&amp;S56)+COUNTIFS($AK$3:$AK$98,$AK56,U$3:U$98,"&lt;"&amp;T56,V$3:V$98,"&gt;"&amp;S56)+COUNTIFS($AK$3:$AK$98,$AK56,W$3:W$98,"&lt;"&amp;T56,X$3:X$98,"&gt;"&amp;S56)+COUNTIFS($AK$3:$AK$98,$AK56,Y$3:Y$98,"&lt;"&amp;T56,Z$3:Z$98,"&gt;"&amp;S56)+COUNTIFS($AK$3:$AK$98,$AK56,AA$3:AA$98,"&lt;"&amp;T56,AB$3:AB$98,"&gt;"&amp;S56)+COUNTIFS($AK$3:$AK$98,$AK56,AC$3:AC$98,"&lt;"&amp;T56,AD$3:AD$98,"&gt;"&amp;S56)+COUNTIFS($AK$3:$AK$98,$AK56,AE$3:AE$98,"&lt;"&amp;T56,AF$3:AF$98,"&gt;"&amp;S56)+COUNTIFS($AK$3:$AK$98,$AK56,AG$3:AG$98,"&lt;"&amp;T56,AH$3:AH$98,"&gt;"&amp;S56)-(S56&lt;T56))</f>
        <v>0</v>
      </c>
      <c r="AZ56">
        <f>AY56</f>
        <v>0</v>
      </c>
      <c r="BA56">
        <f>IF(OR($AK56="",U56="",V56=""),0,COUNTIFS($AK$3:$AK$98,$AK56,K$3:K$98,"&lt;"&amp;V56,L$3:L$98,"&gt;"&amp;U56)+COUNTIFS($AK$3:$AK$98,$AK56,M$3:M$98,"&lt;"&amp;V56,N$3:N$98,"&gt;"&amp;U56)+COUNTIFS($AK$3:$AK$98,$AK56,O$3:O$98,"&lt;"&amp;V56,P$3:P$98,"&gt;"&amp;U56)+COUNTIFS($AK$3:$AK$98,$AK56,Q$3:Q$98,"&lt;"&amp;V56,R$3:R$98,"&gt;"&amp;U56)+COUNTIFS($AK$3:$AK$98,$AK56,S$3:S$98,"&lt;"&amp;V56,T$3:T$98,"&gt;"&amp;U56)+COUNTIFS($AK$3:$AK$98,$AK56,U$3:U$98,"&lt;"&amp;V56,V$3:V$98,"&gt;"&amp;U56)+COUNTIFS($AK$3:$AK$98,$AK56,W$3:W$98,"&lt;"&amp;V56,X$3:X$98,"&gt;"&amp;U56)+COUNTIFS($AK$3:$AK$98,$AK56,Y$3:Y$98,"&lt;"&amp;V56,Z$3:Z$98,"&gt;"&amp;U56)+COUNTIFS($AK$3:$AK$98,$AK56,AA$3:AA$98,"&lt;"&amp;V56,AB$3:AB$98,"&gt;"&amp;U56)+COUNTIFS($AK$3:$AK$98,$AK56,AC$3:AC$98,"&lt;"&amp;V56,AD$3:AD$98,"&gt;"&amp;U56)+COUNTIFS($AK$3:$AK$98,$AK56,AE$3:AE$98,"&lt;"&amp;V56,AF$3:AF$98,"&gt;"&amp;U56)+COUNTIFS($AK$3:$AK$98,$AK56,AG$3:AG$98,"&lt;"&amp;V56,AH$3:AH$98,"&gt;"&amp;U56)-(U56&lt;V56))</f>
        <v>0</v>
      </c>
      <c r="BB56">
        <f>BA56</f>
        <v>0</v>
      </c>
      <c r="BC56">
        <f>IF(OR($AK56="",W56="",X56=""),0,COUNTIFS($AK$3:$AK$98,$AK56,K$3:K$98,"&lt;"&amp;X56,L$3:L$98,"&gt;"&amp;W56)+COUNTIFS($AK$3:$AK$98,$AK56,M$3:M$98,"&lt;"&amp;X56,N$3:N$98,"&gt;"&amp;W56)+COUNTIFS($AK$3:$AK$98,$AK56,O$3:O$98,"&lt;"&amp;X56,P$3:P$98,"&gt;"&amp;W56)+COUNTIFS($AK$3:$AK$98,$AK56,Q$3:Q$98,"&lt;"&amp;X56,R$3:R$98,"&gt;"&amp;W56)+COUNTIFS($AK$3:$AK$98,$AK56,S$3:S$98,"&lt;"&amp;X56,T$3:T$98,"&gt;"&amp;W56)+COUNTIFS($AK$3:$AK$98,$AK56,U$3:U$98,"&lt;"&amp;X56,V$3:V$98,"&gt;"&amp;W56)+COUNTIFS($AK$3:$AK$98,$AK56,W$3:W$98,"&lt;"&amp;X56,X$3:X$98,"&gt;"&amp;W56)+COUNTIFS($AK$3:$AK$98,$AK56,Y$3:Y$98,"&lt;"&amp;X56,Z$3:Z$98,"&gt;"&amp;W56)+COUNTIFS($AK$3:$AK$98,$AK56,AA$3:AA$98,"&lt;"&amp;X56,AB$3:AB$98,"&gt;"&amp;W56)+COUNTIFS($AK$3:$AK$98,$AK56,AC$3:AC$98,"&lt;"&amp;X56,AD$3:AD$98,"&gt;"&amp;W56)+COUNTIFS($AK$3:$AK$98,$AK56,AE$3:AE$98,"&lt;"&amp;X56,AF$3:AF$98,"&gt;"&amp;W56)+COUNTIFS($AK$3:$AK$98,$AK56,AG$3:AG$98,"&lt;"&amp;X56,AH$3:AH$98,"&gt;"&amp;W56)-(W56&lt;X56))</f>
        <v>0</v>
      </c>
      <c r="BD56">
        <f>BC56</f>
        <v>0</v>
      </c>
      <c r="BE56">
        <f>IF(OR($AK56="",Y56="",Z56=""),0,COUNTIFS($AK$3:$AK$98,$AK56,K$3:K$98,"&lt;"&amp;Z56,L$3:L$98,"&gt;"&amp;Y56)+COUNTIFS($AK$3:$AK$98,$AK56,M$3:M$98,"&lt;"&amp;Z56,N$3:N$98,"&gt;"&amp;Y56)+COUNTIFS($AK$3:$AK$98,$AK56,O$3:O$98,"&lt;"&amp;Z56,P$3:P$98,"&gt;"&amp;Y56)+COUNTIFS($AK$3:$AK$98,$AK56,Q$3:Q$98,"&lt;"&amp;Z56,R$3:R$98,"&gt;"&amp;Y56)+COUNTIFS($AK$3:$AK$98,$AK56,S$3:S$98,"&lt;"&amp;Z56,T$3:T$98,"&gt;"&amp;Y56)+COUNTIFS($AK$3:$AK$98,$AK56,U$3:U$98,"&lt;"&amp;Z56,V$3:V$98,"&gt;"&amp;Y56)+COUNTIFS($AK$3:$AK$98,$AK56,W$3:W$98,"&lt;"&amp;Z56,X$3:X$98,"&gt;"&amp;Y56)+COUNTIFS($AK$3:$AK$98,$AK56,Y$3:Y$98,"&lt;"&amp;Z56,Z$3:Z$98,"&gt;"&amp;Y56)+COUNTIFS($AK$3:$AK$98,$AK56,AA$3:AA$98,"&lt;"&amp;Z56,AB$3:AB$98,"&gt;"&amp;Y56)+COUNTIFS($AK$3:$AK$98,$AK56,AC$3:AC$98,"&lt;"&amp;Z56,AD$3:AD$98,"&gt;"&amp;Y56)+COUNTIFS($AK$3:$AK$98,$AK56,AE$3:AE$98,"&lt;"&amp;Z56,AF$3:AF$98,"&gt;"&amp;Y56)+COUNTIFS($AK$3:$AK$98,$AK56,AG$3:AG$98,"&lt;"&amp;Z56,AH$3:AH$98,"&gt;"&amp;Y56)-(Y56&lt;Z56))</f>
        <v>0</v>
      </c>
      <c r="BF56">
        <f>BE56</f>
        <v>0</v>
      </c>
      <c r="BG56">
        <f>IF(OR($AK56="",AA56="",AB56=""),0,COUNTIFS($AK$3:$AK$98,$AK56,K$3:K$98,"&lt;"&amp;AB56,L$3:L$98,"&gt;"&amp;AA56)+COUNTIFS($AK$3:$AK$98,$AK56,M$3:M$98,"&lt;"&amp;AB56,N$3:N$98,"&gt;"&amp;AA56)+COUNTIFS($AK$3:$AK$98,$AK56,O$3:O$98,"&lt;"&amp;AB56,P$3:P$98,"&gt;"&amp;AA56)+COUNTIFS($AK$3:$AK$98,$AK56,Q$3:Q$98,"&lt;"&amp;AB56,R$3:R$98,"&gt;"&amp;AA56)+COUNTIFS($AK$3:$AK$98,$AK56,S$3:S$98,"&lt;"&amp;AB56,T$3:T$98,"&gt;"&amp;AA56)+COUNTIFS($AK$3:$AK$98,$AK56,U$3:U$98,"&lt;"&amp;AB56,V$3:V$98,"&gt;"&amp;AA56)+COUNTIFS($AK$3:$AK$98,$AK56,W$3:W$98,"&lt;"&amp;AB56,X$3:X$98,"&gt;"&amp;AA56)+COUNTIFS($AK$3:$AK$98,$AK56,Y$3:Y$98,"&lt;"&amp;AB56,Z$3:Z$98,"&gt;"&amp;AA56)+COUNTIFS($AK$3:$AK$98,$AK56,AA$3:AA$98,"&lt;"&amp;AB56,AB$3:AB$98,"&gt;"&amp;AA56)+COUNTIFS($AK$3:$AK$98,$AK56,AC$3:AC$98,"&lt;"&amp;AB56,AD$3:AD$98,"&gt;"&amp;AA56)+COUNTIFS($AK$3:$AK$98,$AK56,AE$3:AE$98,"&lt;"&amp;AB56,AF$3:AF$98,"&gt;"&amp;AA56)+COUNTIFS($AK$3:$AK$98,$AK56,AG$3:AG$98,"&lt;"&amp;AB56,AH$3:AH$98,"&gt;"&amp;AA56)-(AA56&lt;AB56))</f>
        <v>0</v>
      </c>
      <c r="BH56">
        <f>BG56</f>
        <v>0</v>
      </c>
      <c r="BI56">
        <f>IF(OR($AK56="",AC56="",AD56=""),0,COUNTIFS($AK$3:$AK$98,$AK56,K$3:K$98,"&lt;"&amp;AD56,L$3:L$98,"&gt;"&amp;AC56)+COUNTIFS($AK$3:$AK$98,$AK56,M$3:M$98,"&lt;"&amp;AD56,N$3:N$98,"&gt;"&amp;AC56)+COUNTIFS($AK$3:$AK$98,$AK56,O$3:O$98,"&lt;"&amp;AD56,P$3:P$98,"&gt;"&amp;AC56)+COUNTIFS($AK$3:$AK$98,$AK56,Q$3:Q$98,"&lt;"&amp;AD56,R$3:R$98,"&gt;"&amp;AC56)+COUNTIFS($AK$3:$AK$98,$AK56,S$3:S$98,"&lt;"&amp;AD56,T$3:T$98,"&gt;"&amp;AC56)+COUNTIFS($AK$3:$AK$98,$AK56,U$3:U$98,"&lt;"&amp;AD56,V$3:V$98,"&gt;"&amp;AC56)+COUNTIFS($AK$3:$AK$98,$AK56,W$3:W$98,"&lt;"&amp;AD56,X$3:X$98,"&gt;"&amp;AC56)+COUNTIFS($AK$3:$AK$98,$AK56,Y$3:Y$98,"&lt;"&amp;AD56,Z$3:Z$98,"&gt;"&amp;AC56)+COUNTIFS($AK$3:$AK$98,$AK56,AA$3:AA$98,"&lt;"&amp;AD56,AB$3:AB$98,"&gt;"&amp;AC56)+COUNTIFS($AK$3:$AK$98,$AK56,AC$3:AC$98,"&lt;"&amp;AD56,AD$3:AD$98,"&gt;"&amp;AC56)+COUNTIFS($AK$3:$AK$98,$AK56,AE$3:AE$98,"&lt;"&amp;AD56,AF$3:AF$98,"&gt;"&amp;AC56)+COUNTIFS($AK$3:$AK$98,$AK56,AG$3:AG$98,"&lt;"&amp;AD56,AH$3:AH$98,"&gt;"&amp;AC56)-(AC56&lt;AD56))</f>
        <v>0</v>
      </c>
      <c r="BJ56">
        <f>BI56</f>
        <v>0</v>
      </c>
      <c r="BK56">
        <f>IF(OR($AK56="",AE56="",AF56=""),0,COUNTIFS($AK$3:$AK$98,$AK56,K$3:K$98,"&lt;"&amp;AF56,L$3:L$98,"&gt;"&amp;AE56)+COUNTIFS($AK$3:$AK$98,$AK56,M$3:M$98,"&lt;"&amp;AF56,N$3:N$98,"&gt;"&amp;AE56)+COUNTIFS($AK$3:$AK$98,$AK56,O$3:O$98,"&lt;"&amp;AF56,P$3:P$98,"&gt;"&amp;AE56)+COUNTIFS($AK$3:$AK$98,$AK56,Q$3:Q$98,"&lt;"&amp;AF56,R$3:R$98,"&gt;"&amp;AE56)+COUNTIFS($AK$3:$AK$98,$AK56,S$3:S$98,"&lt;"&amp;AF56,T$3:T$98,"&gt;"&amp;AE56)+COUNTIFS($AK$3:$AK$98,$AK56,U$3:U$98,"&lt;"&amp;AF56,V$3:V$98,"&gt;"&amp;AE56)+COUNTIFS($AK$3:$AK$98,$AK56,W$3:W$98,"&lt;"&amp;AF56,X$3:X$98,"&gt;"&amp;AE56)+COUNTIFS($AK$3:$AK$98,$AK56,Y$3:Y$98,"&lt;"&amp;AF56,Z$3:Z$98,"&gt;"&amp;AE56)+COUNTIFS($AK$3:$AK$98,$AK56,AA$3:AA$98,"&lt;"&amp;AF56,AB$3:AB$98,"&gt;"&amp;AE56)+COUNTIFS($AK$3:$AK$98,$AK56,AC$3:AC$98,"&lt;"&amp;AF56,AD$3:AD$98,"&gt;"&amp;AE56)+COUNTIFS($AK$3:$AK$98,$AK56,AE$3:AE$98,"&lt;"&amp;AF56,AF$3:AF$98,"&gt;"&amp;AE56)+COUNTIFS($AK$3:$AK$98,$AK56,AG$3:AG$98,"&lt;"&amp;AF56,AH$3:AH$98,"&gt;"&amp;AE56)-(AE56&lt;AF56))</f>
        <v>0</v>
      </c>
      <c r="BL56">
        <f>BK56</f>
        <v>0</v>
      </c>
      <c r="BM56">
        <f>IF(OR($AK56="",AG56="",AH56=""),0,COUNTIFS($AK$3:$AK$98,$AK56,K$3:K$98,"&lt;"&amp;AH56,L$3:L$98,"&gt;"&amp;AG56)+COUNTIFS($AK$3:$AK$98,$AK56,M$3:M$98,"&lt;"&amp;AH56,N$3:N$98,"&gt;"&amp;AG56)+COUNTIFS($AK$3:$AK$98,$AK56,O$3:O$98,"&lt;"&amp;AH56,P$3:P$98,"&gt;"&amp;AG56)+COUNTIFS($AK$3:$AK$98,$AK56,Q$3:Q$98,"&lt;"&amp;AH56,R$3:R$98,"&gt;"&amp;AG56)+COUNTIFS($AK$3:$AK$98,$AK56,S$3:S$98,"&lt;"&amp;AH56,T$3:T$98,"&gt;"&amp;AG56)+COUNTIFS($AK$3:$AK$98,$AK56,U$3:U$98,"&lt;"&amp;AH56,V$3:V$98,"&gt;"&amp;AG56)+COUNTIFS($AK$3:$AK$98,$AK56,W$3:W$98,"&lt;"&amp;AH56,X$3:X$98,"&gt;"&amp;AG56)+COUNTIFS($AK$3:$AK$98,$AK56,Y$3:Y$98,"&lt;"&amp;AH56,Z$3:Z$98,"&gt;"&amp;AG56)+COUNTIFS($AK$3:$AK$98,$AK56,AA$3:AA$98,"&lt;"&amp;AH56,AB$3:AB$98,"&gt;"&amp;AG56)+COUNTIFS($AK$3:$AK$98,$AK56,AC$3:AC$98,"&lt;"&amp;AH56,AD$3:AD$98,"&gt;"&amp;AG56)+COUNTIFS($AK$3:$AK$98,$AK56,AE$3:AE$98,"&lt;"&amp;AH56,AF$3:AF$98,"&gt;"&amp;AG56)+COUNTIFS($AK$3:$AK$98,$AK56,AG$3:AG$98,"&lt;"&amp;AH56,AH$3:AH$98,"&gt;"&amp;AG56)-(AG56&lt;AH56))</f>
        <v>0</v>
      </c>
      <c r="BN56">
        <f>BM56</f>
        <v>0</v>
      </c>
      <c r="BO56">
        <f>IF(ISNUMBER($G56),$G56,"")</f>
        <v>0.4</v>
      </c>
      <c r="BP56">
        <f>IF(AND($A56&lt;&gt;"",COUNT($K56:$AH56)&gt;0),ROW(),"")</f>
        <v>56</v>
      </c>
    </row>
    <row r="57" spans="1:68" x14ac:dyDescent="0.15">
      <c r="A57" s="25" t="str">
        <f>IF($A54="","",$A54)</f>
        <v>chMobSaiyanD</v>
      </c>
      <c r="B57" s="26" t="str">
        <f>IF($A54="","","fac")</f>
        <v>fac</v>
      </c>
      <c r="C57" s="26"/>
      <c r="D57" s="27">
        <v>4</v>
      </c>
      <c r="E57" s="28">
        <f>IF(AND($D57="",COUNT($K57:$AH57)=0),"",IF(K57="",0,MAX(0,NETWORKDAYS(K57,IF(L57&lt;&gt;"",L57,IF($J57&lt;&gt;"",K57,$AI$1)),祝日!$A$2:$A$200)))+IF(M57="",0,MAX(0,NETWORKDAYS(M57,IF(N57&lt;&gt;"",N57,IF($J57&lt;&gt;"",M57,$AI$1)),祝日!$A$2:$A$200)))+IF(O57="",0,MAX(0,NETWORKDAYS(O57,IF(P57&lt;&gt;"",P57,IF($J57&lt;&gt;"",O57,$AI$1)),祝日!$A$2:$A$200)))+IF(Q57="",0,MAX(0,NETWORKDAYS(Q57,IF(R57&lt;&gt;"",R57,IF($J57&lt;&gt;"",Q57,$AI$1)),祝日!$A$2:$A$200)))+IF(S57="",0,MAX(0,NETWORKDAYS(S57,IF(T57&lt;&gt;"",T57,IF($J57&lt;&gt;"",S57,$AI$1)),祝日!$A$2:$A$200)))+IF(U57="",0,MAX(0,NETWORKDAYS(U57,IF(V57&lt;&gt;"",V57,IF($J57&lt;&gt;"",U57,$AI$1)),祝日!$A$2:$A$200)))+IF(W57="",0,MAX(0,NETWORKDAYS(W57,IF(X57&lt;&gt;"",X57,IF($J57&lt;&gt;"",W57,$AI$1)),祝日!$A$2:$A$200)))+IF(Y57="",0,MAX(0,NETWORKDAYS(Y57,IF(Z57&lt;&gt;"",Z57,IF($J57&lt;&gt;"",Y57,$AI$1)),祝日!$A$2:$A$200)))+IF(AA57="",0,MAX(0,NETWORKDAYS(AA57,IF(AB57&lt;&gt;"",AB57,IF($J57&lt;&gt;"",AA57,$AI$1)),祝日!$A$2:$A$200)))+IF(AC57="",0,MAX(0,NETWORKDAYS(AC57,IF(AD57&lt;&gt;"",AD57,IF($J57&lt;&gt;"",AC57,$AI$1)),祝日!$A$2:$A$200)))+IF(AE57="",0,MAX(0,NETWORKDAYS(AE57,IF(AF57&lt;&gt;"",AF57,IF($J57&lt;&gt;"",AE57,$AI$1)),祝日!$A$2:$A$200)))+IF(AG57="",0,MAX(0,NETWORKDAYS(AG57,IF(AH57&lt;&gt;"",AH57,IF($J57&lt;&gt;"",AG57,$AI$1)),祝日!$A$2:$A$200))))</f>
        <v>0</v>
      </c>
      <c r="F57" s="28">
        <f>IF($D57="","",$D57-$E57)</f>
        <v>4</v>
      </c>
      <c r="G57" s="29">
        <f>IF(OR($D57="",$D57=0),"",$E57/$D57)</f>
        <v>0</v>
      </c>
      <c r="H57" s="30" t="str">
        <f>IF($D57="","",IF($J57&lt;&gt;"","FIX",IF(AND(SUMPRODUCT((MOD(COLUMN($K57:$AH57)-COLUMN($K57),2)=0)*($K57:$AH57&lt;&gt;""))=0,SUMPRODUCT((MOD(COLUMN($K57:$AH57)-COLUMN($K57),2)=1)*($K57:$AH57&lt;&gt;""))=0),"未着手",IF(SUMPRODUCT((MOD(COLUMN($K57:$AH57)-COLUMN($K57),2)=0)*($K57:$AH57&lt;&gt;""))&gt;SUMPRODUCT((MOD(COLUMN($K57:$AH57)-COLUMN($K57),2)=1)*($K57:$AH57&lt;&gt;"")),"作業中","中断"))))</f>
        <v>未着手</v>
      </c>
      <c r="I57" s="30" t="str">
        <f>IF($H57="中断",MAX(0,$AI$1-MAX(L57,N57,P57,R57,T57,V57,X57,Z57,AB57,AD57,AF57,AH57)),"")</f>
        <v/>
      </c>
      <c r="J57" s="26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K57" t="str">
        <f>IF($A54="","",IF(LOOKUP(2,1/($AJ$3:$AJ57&lt;&gt;""),$AJ$3:$AJ57)="-","",LOOKUP(2,1/($AJ$3:$AJ57&lt;&gt;""),$AJ$3:$AJ57)))</f>
        <v>CH03</v>
      </c>
      <c r="AL57" t="str">
        <f>$H57</f>
        <v>未着手</v>
      </c>
      <c r="AM57">
        <f>IF(ISNUMBER($D57),$D57,0)</f>
        <v>4</v>
      </c>
      <c r="AN57">
        <f>IF(ISNUMBER($E57),$E57,0)</f>
        <v>0</v>
      </c>
      <c r="AO57">
        <f>IF(ISNUMBER($F57),$F57,0)</f>
        <v>4</v>
      </c>
      <c r="AQ57">
        <f>IF(OR($AK57="",K57="",L57=""),0,COUNTIFS($AK$3:$AK$98,$AK57,K$3:K$98,"&lt;"&amp;L57,L$3:L$98,"&gt;"&amp;K57)+COUNTIFS($AK$3:$AK$98,$AK57,M$3:M$98,"&lt;"&amp;L57,N$3:N$98,"&gt;"&amp;K57)+COUNTIFS($AK$3:$AK$98,$AK57,O$3:O$98,"&lt;"&amp;L57,P$3:P$98,"&gt;"&amp;K57)+COUNTIFS($AK$3:$AK$98,$AK57,Q$3:Q$98,"&lt;"&amp;L57,R$3:R$98,"&gt;"&amp;K57)+COUNTIFS($AK$3:$AK$98,$AK57,S$3:S$98,"&lt;"&amp;L57,T$3:T$98,"&gt;"&amp;K57)+COUNTIFS($AK$3:$AK$98,$AK57,U$3:U$98,"&lt;"&amp;L57,V$3:V$98,"&gt;"&amp;K57)+COUNTIFS($AK$3:$AK$98,$AK57,W$3:W$98,"&lt;"&amp;L57,X$3:X$98,"&gt;"&amp;K57)+COUNTIFS($AK$3:$AK$98,$AK57,Y$3:Y$98,"&lt;"&amp;L57,Z$3:Z$98,"&gt;"&amp;K57)+COUNTIFS($AK$3:$AK$98,$AK57,AA$3:AA$98,"&lt;"&amp;L57,AB$3:AB$98,"&gt;"&amp;K57)+COUNTIFS($AK$3:$AK$98,$AK57,AC$3:AC$98,"&lt;"&amp;L57,AD$3:AD$98,"&gt;"&amp;K57)+COUNTIFS($AK$3:$AK$98,$AK57,AE$3:AE$98,"&lt;"&amp;L57,AF$3:AF$98,"&gt;"&amp;K57)+COUNTIFS($AK$3:$AK$98,$AK57,AG$3:AG$98,"&lt;"&amp;L57,AH$3:AH$98,"&gt;"&amp;K57)-(K57&lt;L57))</f>
        <v>0</v>
      </c>
      <c r="AR57">
        <f>AQ57</f>
        <v>0</v>
      </c>
      <c r="AS57">
        <f>IF(OR($AK57="",M57="",N57=""),0,COUNTIFS($AK$3:$AK$98,$AK57,K$3:K$98,"&lt;"&amp;N57,L$3:L$98,"&gt;"&amp;M57)+COUNTIFS($AK$3:$AK$98,$AK57,M$3:M$98,"&lt;"&amp;N57,N$3:N$98,"&gt;"&amp;M57)+COUNTIFS($AK$3:$AK$98,$AK57,O$3:O$98,"&lt;"&amp;N57,P$3:P$98,"&gt;"&amp;M57)+COUNTIFS($AK$3:$AK$98,$AK57,Q$3:Q$98,"&lt;"&amp;N57,R$3:R$98,"&gt;"&amp;M57)+COUNTIFS($AK$3:$AK$98,$AK57,S$3:S$98,"&lt;"&amp;N57,T$3:T$98,"&gt;"&amp;M57)+COUNTIFS($AK$3:$AK$98,$AK57,U$3:U$98,"&lt;"&amp;N57,V$3:V$98,"&gt;"&amp;M57)+COUNTIFS($AK$3:$AK$98,$AK57,W$3:W$98,"&lt;"&amp;N57,X$3:X$98,"&gt;"&amp;M57)+COUNTIFS($AK$3:$AK$98,$AK57,Y$3:Y$98,"&lt;"&amp;N57,Z$3:Z$98,"&gt;"&amp;M57)+COUNTIFS($AK$3:$AK$98,$AK57,AA$3:AA$98,"&lt;"&amp;N57,AB$3:AB$98,"&gt;"&amp;M57)+COUNTIFS($AK$3:$AK$98,$AK57,AC$3:AC$98,"&lt;"&amp;N57,AD$3:AD$98,"&gt;"&amp;M57)+COUNTIFS($AK$3:$AK$98,$AK57,AE$3:AE$98,"&lt;"&amp;N57,AF$3:AF$98,"&gt;"&amp;M57)+COUNTIFS($AK$3:$AK$98,$AK57,AG$3:AG$98,"&lt;"&amp;N57,AH$3:AH$98,"&gt;"&amp;M57)-(M57&lt;N57))</f>
        <v>0</v>
      </c>
      <c r="AT57">
        <f>AS57</f>
        <v>0</v>
      </c>
      <c r="AU57">
        <f>IF(OR($AK57="",O57="",P57=""),0,COUNTIFS($AK$3:$AK$98,$AK57,K$3:K$98,"&lt;"&amp;P57,L$3:L$98,"&gt;"&amp;O57)+COUNTIFS($AK$3:$AK$98,$AK57,M$3:M$98,"&lt;"&amp;P57,N$3:N$98,"&gt;"&amp;O57)+COUNTIFS($AK$3:$AK$98,$AK57,O$3:O$98,"&lt;"&amp;P57,P$3:P$98,"&gt;"&amp;O57)+COUNTIFS($AK$3:$AK$98,$AK57,Q$3:Q$98,"&lt;"&amp;P57,R$3:R$98,"&gt;"&amp;O57)+COUNTIFS($AK$3:$AK$98,$AK57,S$3:S$98,"&lt;"&amp;P57,T$3:T$98,"&gt;"&amp;O57)+COUNTIFS($AK$3:$AK$98,$AK57,U$3:U$98,"&lt;"&amp;P57,V$3:V$98,"&gt;"&amp;O57)+COUNTIFS($AK$3:$AK$98,$AK57,W$3:W$98,"&lt;"&amp;P57,X$3:X$98,"&gt;"&amp;O57)+COUNTIFS($AK$3:$AK$98,$AK57,Y$3:Y$98,"&lt;"&amp;P57,Z$3:Z$98,"&gt;"&amp;O57)+COUNTIFS($AK$3:$AK$98,$AK57,AA$3:AA$98,"&lt;"&amp;P57,AB$3:AB$98,"&gt;"&amp;O57)+COUNTIFS($AK$3:$AK$98,$AK57,AC$3:AC$98,"&lt;"&amp;P57,AD$3:AD$98,"&gt;"&amp;O57)+COUNTIFS($AK$3:$AK$98,$AK57,AE$3:AE$98,"&lt;"&amp;P57,AF$3:AF$98,"&gt;"&amp;O57)+COUNTIFS($AK$3:$AK$98,$AK57,AG$3:AG$98,"&lt;"&amp;P57,AH$3:AH$98,"&gt;"&amp;O57)-(O57&lt;P57))</f>
        <v>0</v>
      </c>
      <c r="AV57">
        <f>AU57</f>
        <v>0</v>
      </c>
      <c r="AW57">
        <f>IF(OR($AK57="",Q57="",R57=""),0,COUNTIFS($AK$3:$AK$98,$AK57,K$3:K$98,"&lt;"&amp;R57,L$3:L$98,"&gt;"&amp;Q57)+COUNTIFS($AK$3:$AK$98,$AK57,M$3:M$98,"&lt;"&amp;R57,N$3:N$98,"&gt;"&amp;Q57)+COUNTIFS($AK$3:$AK$98,$AK57,O$3:O$98,"&lt;"&amp;R57,P$3:P$98,"&gt;"&amp;Q57)+COUNTIFS($AK$3:$AK$98,$AK57,Q$3:Q$98,"&lt;"&amp;R57,R$3:R$98,"&gt;"&amp;Q57)+COUNTIFS($AK$3:$AK$98,$AK57,S$3:S$98,"&lt;"&amp;R57,T$3:T$98,"&gt;"&amp;Q57)+COUNTIFS($AK$3:$AK$98,$AK57,U$3:U$98,"&lt;"&amp;R57,V$3:V$98,"&gt;"&amp;Q57)+COUNTIFS($AK$3:$AK$98,$AK57,W$3:W$98,"&lt;"&amp;R57,X$3:X$98,"&gt;"&amp;Q57)+COUNTIFS($AK$3:$AK$98,$AK57,Y$3:Y$98,"&lt;"&amp;R57,Z$3:Z$98,"&gt;"&amp;Q57)+COUNTIFS($AK$3:$AK$98,$AK57,AA$3:AA$98,"&lt;"&amp;R57,AB$3:AB$98,"&gt;"&amp;Q57)+COUNTIFS($AK$3:$AK$98,$AK57,AC$3:AC$98,"&lt;"&amp;R57,AD$3:AD$98,"&gt;"&amp;Q57)+COUNTIFS($AK$3:$AK$98,$AK57,AE$3:AE$98,"&lt;"&amp;R57,AF$3:AF$98,"&gt;"&amp;Q57)+COUNTIFS($AK$3:$AK$98,$AK57,AG$3:AG$98,"&lt;"&amp;R57,AH$3:AH$98,"&gt;"&amp;Q57)-(Q57&lt;R57))</f>
        <v>0</v>
      </c>
      <c r="AX57">
        <f>AW57</f>
        <v>0</v>
      </c>
      <c r="AY57">
        <f>IF(OR($AK57="",S57="",T57=""),0,COUNTIFS($AK$3:$AK$98,$AK57,K$3:K$98,"&lt;"&amp;T57,L$3:L$98,"&gt;"&amp;S57)+COUNTIFS($AK$3:$AK$98,$AK57,M$3:M$98,"&lt;"&amp;T57,N$3:N$98,"&gt;"&amp;S57)+COUNTIFS($AK$3:$AK$98,$AK57,O$3:O$98,"&lt;"&amp;T57,P$3:P$98,"&gt;"&amp;S57)+COUNTIFS($AK$3:$AK$98,$AK57,Q$3:Q$98,"&lt;"&amp;T57,R$3:R$98,"&gt;"&amp;S57)+COUNTIFS($AK$3:$AK$98,$AK57,S$3:S$98,"&lt;"&amp;T57,T$3:T$98,"&gt;"&amp;S57)+COUNTIFS($AK$3:$AK$98,$AK57,U$3:U$98,"&lt;"&amp;T57,V$3:V$98,"&gt;"&amp;S57)+COUNTIFS($AK$3:$AK$98,$AK57,W$3:W$98,"&lt;"&amp;T57,X$3:X$98,"&gt;"&amp;S57)+COUNTIFS($AK$3:$AK$98,$AK57,Y$3:Y$98,"&lt;"&amp;T57,Z$3:Z$98,"&gt;"&amp;S57)+COUNTIFS($AK$3:$AK$98,$AK57,AA$3:AA$98,"&lt;"&amp;T57,AB$3:AB$98,"&gt;"&amp;S57)+COUNTIFS($AK$3:$AK$98,$AK57,AC$3:AC$98,"&lt;"&amp;T57,AD$3:AD$98,"&gt;"&amp;S57)+COUNTIFS($AK$3:$AK$98,$AK57,AE$3:AE$98,"&lt;"&amp;T57,AF$3:AF$98,"&gt;"&amp;S57)+COUNTIFS($AK$3:$AK$98,$AK57,AG$3:AG$98,"&lt;"&amp;T57,AH$3:AH$98,"&gt;"&amp;S57)-(S57&lt;T57))</f>
        <v>0</v>
      </c>
      <c r="AZ57">
        <f>AY57</f>
        <v>0</v>
      </c>
      <c r="BA57">
        <f>IF(OR($AK57="",U57="",V57=""),0,COUNTIFS($AK$3:$AK$98,$AK57,K$3:K$98,"&lt;"&amp;V57,L$3:L$98,"&gt;"&amp;U57)+COUNTIFS($AK$3:$AK$98,$AK57,M$3:M$98,"&lt;"&amp;V57,N$3:N$98,"&gt;"&amp;U57)+COUNTIFS($AK$3:$AK$98,$AK57,O$3:O$98,"&lt;"&amp;V57,P$3:P$98,"&gt;"&amp;U57)+COUNTIFS($AK$3:$AK$98,$AK57,Q$3:Q$98,"&lt;"&amp;V57,R$3:R$98,"&gt;"&amp;U57)+COUNTIFS($AK$3:$AK$98,$AK57,S$3:S$98,"&lt;"&amp;V57,T$3:T$98,"&gt;"&amp;U57)+COUNTIFS($AK$3:$AK$98,$AK57,U$3:U$98,"&lt;"&amp;V57,V$3:V$98,"&gt;"&amp;U57)+COUNTIFS($AK$3:$AK$98,$AK57,W$3:W$98,"&lt;"&amp;V57,X$3:X$98,"&gt;"&amp;U57)+COUNTIFS($AK$3:$AK$98,$AK57,Y$3:Y$98,"&lt;"&amp;V57,Z$3:Z$98,"&gt;"&amp;U57)+COUNTIFS($AK$3:$AK$98,$AK57,AA$3:AA$98,"&lt;"&amp;V57,AB$3:AB$98,"&gt;"&amp;U57)+COUNTIFS($AK$3:$AK$98,$AK57,AC$3:AC$98,"&lt;"&amp;V57,AD$3:AD$98,"&gt;"&amp;U57)+COUNTIFS($AK$3:$AK$98,$AK57,AE$3:AE$98,"&lt;"&amp;V57,AF$3:AF$98,"&gt;"&amp;U57)+COUNTIFS($AK$3:$AK$98,$AK57,AG$3:AG$98,"&lt;"&amp;V57,AH$3:AH$98,"&gt;"&amp;U57)-(U57&lt;V57))</f>
        <v>0</v>
      </c>
      <c r="BB57">
        <f>BA57</f>
        <v>0</v>
      </c>
      <c r="BC57">
        <f>IF(OR($AK57="",W57="",X57=""),0,COUNTIFS($AK$3:$AK$98,$AK57,K$3:K$98,"&lt;"&amp;X57,L$3:L$98,"&gt;"&amp;W57)+COUNTIFS($AK$3:$AK$98,$AK57,M$3:M$98,"&lt;"&amp;X57,N$3:N$98,"&gt;"&amp;W57)+COUNTIFS($AK$3:$AK$98,$AK57,O$3:O$98,"&lt;"&amp;X57,P$3:P$98,"&gt;"&amp;W57)+COUNTIFS($AK$3:$AK$98,$AK57,Q$3:Q$98,"&lt;"&amp;X57,R$3:R$98,"&gt;"&amp;W57)+COUNTIFS($AK$3:$AK$98,$AK57,S$3:S$98,"&lt;"&amp;X57,T$3:T$98,"&gt;"&amp;W57)+COUNTIFS($AK$3:$AK$98,$AK57,U$3:U$98,"&lt;"&amp;X57,V$3:V$98,"&gt;"&amp;W57)+COUNTIFS($AK$3:$AK$98,$AK57,W$3:W$98,"&lt;"&amp;X57,X$3:X$98,"&gt;"&amp;W57)+COUNTIFS($AK$3:$AK$98,$AK57,Y$3:Y$98,"&lt;"&amp;X57,Z$3:Z$98,"&gt;"&amp;W57)+COUNTIFS($AK$3:$AK$98,$AK57,AA$3:AA$98,"&lt;"&amp;X57,AB$3:AB$98,"&gt;"&amp;W57)+COUNTIFS($AK$3:$AK$98,$AK57,AC$3:AC$98,"&lt;"&amp;X57,AD$3:AD$98,"&gt;"&amp;W57)+COUNTIFS($AK$3:$AK$98,$AK57,AE$3:AE$98,"&lt;"&amp;X57,AF$3:AF$98,"&gt;"&amp;W57)+COUNTIFS($AK$3:$AK$98,$AK57,AG$3:AG$98,"&lt;"&amp;X57,AH$3:AH$98,"&gt;"&amp;W57)-(W57&lt;X57))</f>
        <v>0</v>
      </c>
      <c r="BD57">
        <f>BC57</f>
        <v>0</v>
      </c>
      <c r="BE57">
        <f>IF(OR($AK57="",Y57="",Z57=""),0,COUNTIFS($AK$3:$AK$98,$AK57,K$3:K$98,"&lt;"&amp;Z57,L$3:L$98,"&gt;"&amp;Y57)+COUNTIFS($AK$3:$AK$98,$AK57,M$3:M$98,"&lt;"&amp;Z57,N$3:N$98,"&gt;"&amp;Y57)+COUNTIFS($AK$3:$AK$98,$AK57,O$3:O$98,"&lt;"&amp;Z57,P$3:P$98,"&gt;"&amp;Y57)+COUNTIFS($AK$3:$AK$98,$AK57,Q$3:Q$98,"&lt;"&amp;Z57,R$3:R$98,"&gt;"&amp;Y57)+COUNTIFS($AK$3:$AK$98,$AK57,S$3:S$98,"&lt;"&amp;Z57,T$3:T$98,"&gt;"&amp;Y57)+COUNTIFS($AK$3:$AK$98,$AK57,U$3:U$98,"&lt;"&amp;Z57,V$3:V$98,"&gt;"&amp;Y57)+COUNTIFS($AK$3:$AK$98,$AK57,W$3:W$98,"&lt;"&amp;Z57,X$3:X$98,"&gt;"&amp;Y57)+COUNTIFS($AK$3:$AK$98,$AK57,Y$3:Y$98,"&lt;"&amp;Z57,Z$3:Z$98,"&gt;"&amp;Y57)+COUNTIFS($AK$3:$AK$98,$AK57,AA$3:AA$98,"&lt;"&amp;Z57,AB$3:AB$98,"&gt;"&amp;Y57)+COUNTIFS($AK$3:$AK$98,$AK57,AC$3:AC$98,"&lt;"&amp;Z57,AD$3:AD$98,"&gt;"&amp;Y57)+COUNTIFS($AK$3:$AK$98,$AK57,AE$3:AE$98,"&lt;"&amp;Z57,AF$3:AF$98,"&gt;"&amp;Y57)+COUNTIFS($AK$3:$AK$98,$AK57,AG$3:AG$98,"&lt;"&amp;Z57,AH$3:AH$98,"&gt;"&amp;Y57)-(Y57&lt;Z57))</f>
        <v>0</v>
      </c>
      <c r="BF57">
        <f>BE57</f>
        <v>0</v>
      </c>
      <c r="BG57">
        <f>IF(OR($AK57="",AA57="",AB57=""),0,COUNTIFS($AK$3:$AK$98,$AK57,K$3:K$98,"&lt;"&amp;AB57,L$3:L$98,"&gt;"&amp;AA57)+COUNTIFS($AK$3:$AK$98,$AK57,M$3:M$98,"&lt;"&amp;AB57,N$3:N$98,"&gt;"&amp;AA57)+COUNTIFS($AK$3:$AK$98,$AK57,O$3:O$98,"&lt;"&amp;AB57,P$3:P$98,"&gt;"&amp;AA57)+COUNTIFS($AK$3:$AK$98,$AK57,Q$3:Q$98,"&lt;"&amp;AB57,R$3:R$98,"&gt;"&amp;AA57)+COUNTIFS($AK$3:$AK$98,$AK57,S$3:S$98,"&lt;"&amp;AB57,T$3:T$98,"&gt;"&amp;AA57)+COUNTIFS($AK$3:$AK$98,$AK57,U$3:U$98,"&lt;"&amp;AB57,V$3:V$98,"&gt;"&amp;AA57)+COUNTIFS($AK$3:$AK$98,$AK57,W$3:W$98,"&lt;"&amp;AB57,X$3:X$98,"&gt;"&amp;AA57)+COUNTIFS($AK$3:$AK$98,$AK57,Y$3:Y$98,"&lt;"&amp;AB57,Z$3:Z$98,"&gt;"&amp;AA57)+COUNTIFS($AK$3:$AK$98,$AK57,AA$3:AA$98,"&lt;"&amp;AB57,AB$3:AB$98,"&gt;"&amp;AA57)+COUNTIFS($AK$3:$AK$98,$AK57,AC$3:AC$98,"&lt;"&amp;AB57,AD$3:AD$98,"&gt;"&amp;AA57)+COUNTIFS($AK$3:$AK$98,$AK57,AE$3:AE$98,"&lt;"&amp;AB57,AF$3:AF$98,"&gt;"&amp;AA57)+COUNTIFS($AK$3:$AK$98,$AK57,AG$3:AG$98,"&lt;"&amp;AB57,AH$3:AH$98,"&gt;"&amp;AA57)-(AA57&lt;AB57))</f>
        <v>0</v>
      </c>
      <c r="BH57">
        <f>BG57</f>
        <v>0</v>
      </c>
      <c r="BI57">
        <f>IF(OR($AK57="",AC57="",AD57=""),0,COUNTIFS($AK$3:$AK$98,$AK57,K$3:K$98,"&lt;"&amp;AD57,L$3:L$98,"&gt;"&amp;AC57)+COUNTIFS($AK$3:$AK$98,$AK57,M$3:M$98,"&lt;"&amp;AD57,N$3:N$98,"&gt;"&amp;AC57)+COUNTIFS($AK$3:$AK$98,$AK57,O$3:O$98,"&lt;"&amp;AD57,P$3:P$98,"&gt;"&amp;AC57)+COUNTIFS($AK$3:$AK$98,$AK57,Q$3:Q$98,"&lt;"&amp;AD57,R$3:R$98,"&gt;"&amp;AC57)+COUNTIFS($AK$3:$AK$98,$AK57,S$3:S$98,"&lt;"&amp;AD57,T$3:T$98,"&gt;"&amp;AC57)+COUNTIFS($AK$3:$AK$98,$AK57,U$3:U$98,"&lt;"&amp;AD57,V$3:V$98,"&gt;"&amp;AC57)+COUNTIFS($AK$3:$AK$98,$AK57,W$3:W$98,"&lt;"&amp;AD57,X$3:X$98,"&gt;"&amp;AC57)+COUNTIFS($AK$3:$AK$98,$AK57,Y$3:Y$98,"&lt;"&amp;AD57,Z$3:Z$98,"&gt;"&amp;AC57)+COUNTIFS($AK$3:$AK$98,$AK57,AA$3:AA$98,"&lt;"&amp;AD57,AB$3:AB$98,"&gt;"&amp;AC57)+COUNTIFS($AK$3:$AK$98,$AK57,AC$3:AC$98,"&lt;"&amp;AD57,AD$3:AD$98,"&gt;"&amp;AC57)+COUNTIFS($AK$3:$AK$98,$AK57,AE$3:AE$98,"&lt;"&amp;AD57,AF$3:AF$98,"&gt;"&amp;AC57)+COUNTIFS($AK$3:$AK$98,$AK57,AG$3:AG$98,"&lt;"&amp;AD57,AH$3:AH$98,"&gt;"&amp;AC57)-(AC57&lt;AD57))</f>
        <v>0</v>
      </c>
      <c r="BJ57">
        <f>BI57</f>
        <v>0</v>
      </c>
      <c r="BK57">
        <f>IF(OR($AK57="",AE57="",AF57=""),0,COUNTIFS($AK$3:$AK$98,$AK57,K$3:K$98,"&lt;"&amp;AF57,L$3:L$98,"&gt;"&amp;AE57)+COUNTIFS($AK$3:$AK$98,$AK57,M$3:M$98,"&lt;"&amp;AF57,N$3:N$98,"&gt;"&amp;AE57)+COUNTIFS($AK$3:$AK$98,$AK57,O$3:O$98,"&lt;"&amp;AF57,P$3:P$98,"&gt;"&amp;AE57)+COUNTIFS($AK$3:$AK$98,$AK57,Q$3:Q$98,"&lt;"&amp;AF57,R$3:R$98,"&gt;"&amp;AE57)+COUNTIFS($AK$3:$AK$98,$AK57,S$3:S$98,"&lt;"&amp;AF57,T$3:T$98,"&gt;"&amp;AE57)+COUNTIFS($AK$3:$AK$98,$AK57,U$3:U$98,"&lt;"&amp;AF57,V$3:V$98,"&gt;"&amp;AE57)+COUNTIFS($AK$3:$AK$98,$AK57,W$3:W$98,"&lt;"&amp;AF57,X$3:X$98,"&gt;"&amp;AE57)+COUNTIFS($AK$3:$AK$98,$AK57,Y$3:Y$98,"&lt;"&amp;AF57,Z$3:Z$98,"&gt;"&amp;AE57)+COUNTIFS($AK$3:$AK$98,$AK57,AA$3:AA$98,"&lt;"&amp;AF57,AB$3:AB$98,"&gt;"&amp;AE57)+COUNTIFS($AK$3:$AK$98,$AK57,AC$3:AC$98,"&lt;"&amp;AF57,AD$3:AD$98,"&gt;"&amp;AE57)+COUNTIFS($AK$3:$AK$98,$AK57,AE$3:AE$98,"&lt;"&amp;AF57,AF$3:AF$98,"&gt;"&amp;AE57)+COUNTIFS($AK$3:$AK$98,$AK57,AG$3:AG$98,"&lt;"&amp;AF57,AH$3:AH$98,"&gt;"&amp;AE57)-(AE57&lt;AF57))</f>
        <v>0</v>
      </c>
      <c r="BL57">
        <f>BK57</f>
        <v>0</v>
      </c>
      <c r="BM57">
        <f>IF(OR($AK57="",AG57="",AH57=""),0,COUNTIFS($AK$3:$AK$98,$AK57,K$3:K$98,"&lt;"&amp;AH57,L$3:L$98,"&gt;"&amp;AG57)+COUNTIFS($AK$3:$AK$98,$AK57,M$3:M$98,"&lt;"&amp;AH57,N$3:N$98,"&gt;"&amp;AG57)+COUNTIFS($AK$3:$AK$98,$AK57,O$3:O$98,"&lt;"&amp;AH57,P$3:P$98,"&gt;"&amp;AG57)+COUNTIFS($AK$3:$AK$98,$AK57,Q$3:Q$98,"&lt;"&amp;AH57,R$3:R$98,"&gt;"&amp;AG57)+COUNTIFS($AK$3:$AK$98,$AK57,S$3:S$98,"&lt;"&amp;AH57,T$3:T$98,"&gt;"&amp;AG57)+COUNTIFS($AK$3:$AK$98,$AK57,U$3:U$98,"&lt;"&amp;AH57,V$3:V$98,"&gt;"&amp;AG57)+COUNTIFS($AK$3:$AK$98,$AK57,W$3:W$98,"&lt;"&amp;AH57,X$3:X$98,"&gt;"&amp;AG57)+COUNTIFS($AK$3:$AK$98,$AK57,Y$3:Y$98,"&lt;"&amp;AH57,Z$3:Z$98,"&gt;"&amp;AG57)+COUNTIFS($AK$3:$AK$98,$AK57,AA$3:AA$98,"&lt;"&amp;AH57,AB$3:AB$98,"&gt;"&amp;AG57)+COUNTIFS($AK$3:$AK$98,$AK57,AC$3:AC$98,"&lt;"&amp;AH57,AD$3:AD$98,"&gt;"&amp;AG57)+COUNTIFS($AK$3:$AK$98,$AK57,AE$3:AE$98,"&lt;"&amp;AH57,AF$3:AF$98,"&gt;"&amp;AG57)+COUNTIFS($AK$3:$AK$98,$AK57,AG$3:AG$98,"&lt;"&amp;AH57,AH$3:AH$98,"&gt;"&amp;AG57)-(AG57&lt;AH57))</f>
        <v>0</v>
      </c>
      <c r="BN57">
        <f>BM57</f>
        <v>0</v>
      </c>
      <c r="BO57">
        <f>IF(ISNUMBER($G57),$G57,"")</f>
        <v>0</v>
      </c>
      <c r="BP57" t="str">
        <f>IF(AND($A57&lt;&gt;"",COUNT($K57:$AH57)&gt;0),ROW(),"")</f>
        <v/>
      </c>
    </row>
    <row r="58" spans="1:68" x14ac:dyDescent="0.15">
      <c r="A58" s="13" t="s">
        <v>47</v>
      </c>
      <c r="B58" s="14" t="str">
        <f>IF($A58="","","total")</f>
        <v>total</v>
      </c>
      <c r="C58" s="14"/>
      <c r="D58" s="15">
        <f>IF($A58="","",SUM(D59:D61))</f>
        <v>17</v>
      </c>
      <c r="E58" s="15">
        <f ca="1">IF($A58="","",SUM(E59:E61))</f>
        <v>14</v>
      </c>
      <c r="F58" s="15">
        <f ca="1">IF($A58="","",D58-E58)</f>
        <v>3</v>
      </c>
      <c r="G58" s="16">
        <f>IF($A58="","",IFERROR(AVERAGEIFS(G59:G61,H59:H61,"&lt;&gt;未着手",H59:H61,"&lt;&gt;作業中"),""))</f>
        <v>0.875</v>
      </c>
      <c r="H58" s="14"/>
      <c r="I58" s="14"/>
      <c r="J58" s="14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</row>
    <row r="59" spans="1:68" x14ac:dyDescent="0.15">
      <c r="A59" s="18" t="str">
        <f>IF($A58="","",$A58)</f>
        <v>chMobSaiyanF</v>
      </c>
      <c r="B59" s="19" t="str">
        <f>IF($A58="","","low")</f>
        <v>low</v>
      </c>
      <c r="C59" s="19"/>
      <c r="D59" s="20">
        <v>8</v>
      </c>
      <c r="E59" s="21">
        <f>IF(AND($D59="",COUNT($K59:$AH59)=0),"",IF(K59="",0,MAX(0,NETWORKDAYS(K59,IF(L59&lt;&gt;"",L59,IF($J59&lt;&gt;"",K59,$AI$1)),祝日!$A$2:$A$200)))+IF(M59="",0,MAX(0,NETWORKDAYS(M59,IF(N59&lt;&gt;"",N59,IF($J59&lt;&gt;"",M59,$AI$1)),祝日!$A$2:$A$200)))+IF(O59="",0,MAX(0,NETWORKDAYS(O59,IF(P59&lt;&gt;"",P59,IF($J59&lt;&gt;"",O59,$AI$1)),祝日!$A$2:$A$200)))+IF(Q59="",0,MAX(0,NETWORKDAYS(Q59,IF(R59&lt;&gt;"",R59,IF($J59&lt;&gt;"",Q59,$AI$1)),祝日!$A$2:$A$200)))+IF(S59="",0,MAX(0,NETWORKDAYS(S59,IF(T59&lt;&gt;"",T59,IF($J59&lt;&gt;"",S59,$AI$1)),祝日!$A$2:$A$200)))+IF(U59="",0,MAX(0,NETWORKDAYS(U59,IF(V59&lt;&gt;"",V59,IF($J59&lt;&gt;"",U59,$AI$1)),祝日!$A$2:$A$200)))+IF(W59="",0,MAX(0,NETWORKDAYS(W59,IF(X59&lt;&gt;"",X59,IF($J59&lt;&gt;"",W59,$AI$1)),祝日!$A$2:$A$200)))+IF(Y59="",0,MAX(0,NETWORKDAYS(Y59,IF(Z59&lt;&gt;"",Z59,IF($J59&lt;&gt;"",Y59,$AI$1)),祝日!$A$2:$A$200)))+IF(AA59="",0,MAX(0,NETWORKDAYS(AA59,IF(AB59&lt;&gt;"",AB59,IF($J59&lt;&gt;"",AA59,$AI$1)),祝日!$A$2:$A$200)))+IF(AC59="",0,MAX(0,NETWORKDAYS(AC59,IF(AD59&lt;&gt;"",AD59,IF($J59&lt;&gt;"",AC59,$AI$1)),祝日!$A$2:$A$200)))+IF(AE59="",0,MAX(0,NETWORKDAYS(AE59,IF(AF59&lt;&gt;"",AF59,IF($J59&lt;&gt;"",AE59,$AI$1)),祝日!$A$2:$A$200)))+IF(AG59="",0,MAX(0,NETWORKDAYS(AG59,IF(AH59&lt;&gt;"",AH59,IF($J59&lt;&gt;"",AG59,$AI$1)),祝日!$A$2:$A$200))))</f>
        <v>6</v>
      </c>
      <c r="F59" s="21">
        <f>IF($D59="","",$D59-$E59)</f>
        <v>2</v>
      </c>
      <c r="G59" s="22">
        <f>IF(OR($D59="",$D59=0),"",$E59/$D59)</f>
        <v>0.75</v>
      </c>
      <c r="H59" s="23" t="str">
        <f>IF($D59="","",IF($J59&lt;&gt;"","FIX",IF(AND(SUMPRODUCT((MOD(COLUMN($K59:$AH59)-COLUMN($K59),2)=0)*($K59:$AH59&lt;&gt;""))=0,SUMPRODUCT((MOD(COLUMN($K59:$AH59)-COLUMN($K59),2)=1)*($K59:$AH59&lt;&gt;""))=0),"未着手",IF(SUMPRODUCT((MOD(COLUMN($K59:$AH59)-COLUMN($K59),2)=0)*($K59:$AH59&lt;&gt;""))&gt;SUMPRODUCT((MOD(COLUMN($K59:$AH59)-COLUMN($K59),2)=1)*($K59:$AH59&lt;&gt;"")),"作業中","中断"))))</f>
        <v>FIX</v>
      </c>
      <c r="I59" s="23" t="str">
        <f>IF($H59="中断",MAX(0,$AI$1-MAX(L59,N59,P59,R59,T59,V59,X59,Z59,AB59,AD59,AF59,AH59)),"")</f>
        <v/>
      </c>
      <c r="J59" s="19" t="s">
        <v>37</v>
      </c>
      <c r="K59" s="24">
        <v>46260</v>
      </c>
      <c r="L59" s="24">
        <v>46267</v>
      </c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K59" t="str">
        <f>IF($A58="","",IF(LOOKUP(2,1/($AJ$3:$AJ59&lt;&gt;""),$AJ$3:$AJ59)="-","",LOOKUP(2,1/($AJ$3:$AJ59&lt;&gt;""),$AJ$3:$AJ59)))</f>
        <v>CH03</v>
      </c>
      <c r="AL59" t="str">
        <f>$H59</f>
        <v>FIX</v>
      </c>
      <c r="AM59">
        <f>IF(ISNUMBER($D59),$D59,0)</f>
        <v>8</v>
      </c>
      <c r="AN59">
        <f>IF(ISNUMBER($E59),$E59,0)</f>
        <v>6</v>
      </c>
      <c r="AO59">
        <f>IF(ISNUMBER($F59),$F59,0)</f>
        <v>2</v>
      </c>
      <c r="AQ59">
        <f>IF(OR($AK59="",K59="",L59=""),0,COUNTIFS($AK$3:$AK$98,$AK59,K$3:K$98,"&lt;"&amp;L59,L$3:L$98,"&gt;"&amp;K59)+COUNTIFS($AK$3:$AK$98,$AK59,M$3:M$98,"&lt;"&amp;L59,N$3:N$98,"&gt;"&amp;K59)+COUNTIFS($AK$3:$AK$98,$AK59,O$3:O$98,"&lt;"&amp;L59,P$3:P$98,"&gt;"&amp;K59)+COUNTIFS($AK$3:$AK$98,$AK59,Q$3:Q$98,"&lt;"&amp;L59,R$3:R$98,"&gt;"&amp;K59)+COUNTIFS($AK$3:$AK$98,$AK59,S$3:S$98,"&lt;"&amp;L59,T$3:T$98,"&gt;"&amp;K59)+COUNTIFS($AK$3:$AK$98,$AK59,U$3:U$98,"&lt;"&amp;L59,V$3:V$98,"&gt;"&amp;K59)+COUNTIFS($AK$3:$AK$98,$AK59,W$3:W$98,"&lt;"&amp;L59,X$3:X$98,"&gt;"&amp;K59)+COUNTIFS($AK$3:$AK$98,$AK59,Y$3:Y$98,"&lt;"&amp;L59,Z$3:Z$98,"&gt;"&amp;K59)+COUNTIFS($AK$3:$AK$98,$AK59,AA$3:AA$98,"&lt;"&amp;L59,AB$3:AB$98,"&gt;"&amp;K59)+COUNTIFS($AK$3:$AK$98,$AK59,AC$3:AC$98,"&lt;"&amp;L59,AD$3:AD$98,"&gt;"&amp;K59)+COUNTIFS($AK$3:$AK$98,$AK59,AE$3:AE$98,"&lt;"&amp;L59,AF$3:AF$98,"&gt;"&amp;K59)+COUNTIFS($AK$3:$AK$98,$AK59,AG$3:AG$98,"&lt;"&amp;L59,AH$3:AH$98,"&gt;"&amp;K59)-(K59&lt;L59))</f>
        <v>0</v>
      </c>
      <c r="AR59">
        <f>AQ59</f>
        <v>0</v>
      </c>
      <c r="AS59">
        <f>IF(OR($AK59="",M59="",N59=""),0,COUNTIFS($AK$3:$AK$98,$AK59,K$3:K$98,"&lt;"&amp;N59,L$3:L$98,"&gt;"&amp;M59)+COUNTIFS($AK$3:$AK$98,$AK59,M$3:M$98,"&lt;"&amp;N59,N$3:N$98,"&gt;"&amp;M59)+COUNTIFS($AK$3:$AK$98,$AK59,O$3:O$98,"&lt;"&amp;N59,P$3:P$98,"&gt;"&amp;M59)+COUNTIFS($AK$3:$AK$98,$AK59,Q$3:Q$98,"&lt;"&amp;N59,R$3:R$98,"&gt;"&amp;M59)+COUNTIFS($AK$3:$AK$98,$AK59,S$3:S$98,"&lt;"&amp;N59,T$3:T$98,"&gt;"&amp;M59)+COUNTIFS($AK$3:$AK$98,$AK59,U$3:U$98,"&lt;"&amp;N59,V$3:V$98,"&gt;"&amp;M59)+COUNTIFS($AK$3:$AK$98,$AK59,W$3:W$98,"&lt;"&amp;N59,X$3:X$98,"&gt;"&amp;M59)+COUNTIFS($AK$3:$AK$98,$AK59,Y$3:Y$98,"&lt;"&amp;N59,Z$3:Z$98,"&gt;"&amp;M59)+COUNTIFS($AK$3:$AK$98,$AK59,AA$3:AA$98,"&lt;"&amp;N59,AB$3:AB$98,"&gt;"&amp;M59)+COUNTIFS($AK$3:$AK$98,$AK59,AC$3:AC$98,"&lt;"&amp;N59,AD$3:AD$98,"&gt;"&amp;M59)+COUNTIFS($AK$3:$AK$98,$AK59,AE$3:AE$98,"&lt;"&amp;N59,AF$3:AF$98,"&gt;"&amp;M59)+COUNTIFS($AK$3:$AK$98,$AK59,AG$3:AG$98,"&lt;"&amp;N59,AH$3:AH$98,"&gt;"&amp;M59)-(M59&lt;N59))</f>
        <v>0</v>
      </c>
      <c r="AT59">
        <f>AS59</f>
        <v>0</v>
      </c>
      <c r="AU59">
        <f>IF(OR($AK59="",O59="",P59=""),0,COUNTIFS($AK$3:$AK$98,$AK59,K$3:K$98,"&lt;"&amp;P59,L$3:L$98,"&gt;"&amp;O59)+COUNTIFS($AK$3:$AK$98,$AK59,M$3:M$98,"&lt;"&amp;P59,N$3:N$98,"&gt;"&amp;O59)+COUNTIFS($AK$3:$AK$98,$AK59,O$3:O$98,"&lt;"&amp;P59,P$3:P$98,"&gt;"&amp;O59)+COUNTIFS($AK$3:$AK$98,$AK59,Q$3:Q$98,"&lt;"&amp;P59,R$3:R$98,"&gt;"&amp;O59)+COUNTIFS($AK$3:$AK$98,$AK59,S$3:S$98,"&lt;"&amp;P59,T$3:T$98,"&gt;"&amp;O59)+COUNTIFS($AK$3:$AK$98,$AK59,U$3:U$98,"&lt;"&amp;P59,V$3:V$98,"&gt;"&amp;O59)+COUNTIFS($AK$3:$AK$98,$AK59,W$3:W$98,"&lt;"&amp;P59,X$3:X$98,"&gt;"&amp;O59)+COUNTIFS($AK$3:$AK$98,$AK59,Y$3:Y$98,"&lt;"&amp;P59,Z$3:Z$98,"&gt;"&amp;O59)+COUNTIFS($AK$3:$AK$98,$AK59,AA$3:AA$98,"&lt;"&amp;P59,AB$3:AB$98,"&gt;"&amp;O59)+COUNTIFS($AK$3:$AK$98,$AK59,AC$3:AC$98,"&lt;"&amp;P59,AD$3:AD$98,"&gt;"&amp;O59)+COUNTIFS($AK$3:$AK$98,$AK59,AE$3:AE$98,"&lt;"&amp;P59,AF$3:AF$98,"&gt;"&amp;O59)+COUNTIFS($AK$3:$AK$98,$AK59,AG$3:AG$98,"&lt;"&amp;P59,AH$3:AH$98,"&gt;"&amp;O59)-(O59&lt;P59))</f>
        <v>0</v>
      </c>
      <c r="AV59">
        <f>AU59</f>
        <v>0</v>
      </c>
      <c r="AW59">
        <f>IF(OR($AK59="",Q59="",R59=""),0,COUNTIFS($AK$3:$AK$98,$AK59,K$3:K$98,"&lt;"&amp;R59,L$3:L$98,"&gt;"&amp;Q59)+COUNTIFS($AK$3:$AK$98,$AK59,M$3:M$98,"&lt;"&amp;R59,N$3:N$98,"&gt;"&amp;Q59)+COUNTIFS($AK$3:$AK$98,$AK59,O$3:O$98,"&lt;"&amp;R59,P$3:P$98,"&gt;"&amp;Q59)+COUNTIFS($AK$3:$AK$98,$AK59,Q$3:Q$98,"&lt;"&amp;R59,R$3:R$98,"&gt;"&amp;Q59)+COUNTIFS($AK$3:$AK$98,$AK59,S$3:S$98,"&lt;"&amp;R59,T$3:T$98,"&gt;"&amp;Q59)+COUNTIFS($AK$3:$AK$98,$AK59,U$3:U$98,"&lt;"&amp;R59,V$3:V$98,"&gt;"&amp;Q59)+COUNTIFS($AK$3:$AK$98,$AK59,W$3:W$98,"&lt;"&amp;R59,X$3:X$98,"&gt;"&amp;Q59)+COUNTIFS($AK$3:$AK$98,$AK59,Y$3:Y$98,"&lt;"&amp;R59,Z$3:Z$98,"&gt;"&amp;Q59)+COUNTIFS($AK$3:$AK$98,$AK59,AA$3:AA$98,"&lt;"&amp;R59,AB$3:AB$98,"&gt;"&amp;Q59)+COUNTIFS($AK$3:$AK$98,$AK59,AC$3:AC$98,"&lt;"&amp;R59,AD$3:AD$98,"&gt;"&amp;Q59)+COUNTIFS($AK$3:$AK$98,$AK59,AE$3:AE$98,"&lt;"&amp;R59,AF$3:AF$98,"&gt;"&amp;Q59)+COUNTIFS($AK$3:$AK$98,$AK59,AG$3:AG$98,"&lt;"&amp;R59,AH$3:AH$98,"&gt;"&amp;Q59)-(Q59&lt;R59))</f>
        <v>0</v>
      </c>
      <c r="AX59">
        <f>AW59</f>
        <v>0</v>
      </c>
      <c r="AY59">
        <f>IF(OR($AK59="",S59="",T59=""),0,COUNTIFS($AK$3:$AK$98,$AK59,K$3:K$98,"&lt;"&amp;T59,L$3:L$98,"&gt;"&amp;S59)+COUNTIFS($AK$3:$AK$98,$AK59,M$3:M$98,"&lt;"&amp;T59,N$3:N$98,"&gt;"&amp;S59)+COUNTIFS($AK$3:$AK$98,$AK59,O$3:O$98,"&lt;"&amp;T59,P$3:P$98,"&gt;"&amp;S59)+COUNTIFS($AK$3:$AK$98,$AK59,Q$3:Q$98,"&lt;"&amp;T59,R$3:R$98,"&gt;"&amp;S59)+COUNTIFS($AK$3:$AK$98,$AK59,S$3:S$98,"&lt;"&amp;T59,T$3:T$98,"&gt;"&amp;S59)+COUNTIFS($AK$3:$AK$98,$AK59,U$3:U$98,"&lt;"&amp;T59,V$3:V$98,"&gt;"&amp;S59)+COUNTIFS($AK$3:$AK$98,$AK59,W$3:W$98,"&lt;"&amp;T59,X$3:X$98,"&gt;"&amp;S59)+COUNTIFS($AK$3:$AK$98,$AK59,Y$3:Y$98,"&lt;"&amp;T59,Z$3:Z$98,"&gt;"&amp;S59)+COUNTIFS($AK$3:$AK$98,$AK59,AA$3:AA$98,"&lt;"&amp;T59,AB$3:AB$98,"&gt;"&amp;S59)+COUNTIFS($AK$3:$AK$98,$AK59,AC$3:AC$98,"&lt;"&amp;T59,AD$3:AD$98,"&gt;"&amp;S59)+COUNTIFS($AK$3:$AK$98,$AK59,AE$3:AE$98,"&lt;"&amp;T59,AF$3:AF$98,"&gt;"&amp;S59)+COUNTIFS($AK$3:$AK$98,$AK59,AG$3:AG$98,"&lt;"&amp;T59,AH$3:AH$98,"&gt;"&amp;S59)-(S59&lt;T59))</f>
        <v>0</v>
      </c>
      <c r="AZ59">
        <f>AY59</f>
        <v>0</v>
      </c>
      <c r="BA59">
        <f>IF(OR($AK59="",U59="",V59=""),0,COUNTIFS($AK$3:$AK$98,$AK59,K$3:K$98,"&lt;"&amp;V59,L$3:L$98,"&gt;"&amp;U59)+COUNTIFS($AK$3:$AK$98,$AK59,M$3:M$98,"&lt;"&amp;V59,N$3:N$98,"&gt;"&amp;U59)+COUNTIFS($AK$3:$AK$98,$AK59,O$3:O$98,"&lt;"&amp;V59,P$3:P$98,"&gt;"&amp;U59)+COUNTIFS($AK$3:$AK$98,$AK59,Q$3:Q$98,"&lt;"&amp;V59,R$3:R$98,"&gt;"&amp;U59)+COUNTIFS($AK$3:$AK$98,$AK59,S$3:S$98,"&lt;"&amp;V59,T$3:T$98,"&gt;"&amp;U59)+COUNTIFS($AK$3:$AK$98,$AK59,U$3:U$98,"&lt;"&amp;V59,V$3:V$98,"&gt;"&amp;U59)+COUNTIFS($AK$3:$AK$98,$AK59,W$3:W$98,"&lt;"&amp;V59,X$3:X$98,"&gt;"&amp;U59)+COUNTIFS($AK$3:$AK$98,$AK59,Y$3:Y$98,"&lt;"&amp;V59,Z$3:Z$98,"&gt;"&amp;U59)+COUNTIFS($AK$3:$AK$98,$AK59,AA$3:AA$98,"&lt;"&amp;V59,AB$3:AB$98,"&gt;"&amp;U59)+COUNTIFS($AK$3:$AK$98,$AK59,AC$3:AC$98,"&lt;"&amp;V59,AD$3:AD$98,"&gt;"&amp;U59)+COUNTIFS($AK$3:$AK$98,$AK59,AE$3:AE$98,"&lt;"&amp;V59,AF$3:AF$98,"&gt;"&amp;U59)+COUNTIFS($AK$3:$AK$98,$AK59,AG$3:AG$98,"&lt;"&amp;V59,AH$3:AH$98,"&gt;"&amp;U59)-(U59&lt;V59))</f>
        <v>0</v>
      </c>
      <c r="BB59">
        <f>BA59</f>
        <v>0</v>
      </c>
      <c r="BC59">
        <f>IF(OR($AK59="",W59="",X59=""),0,COUNTIFS($AK$3:$AK$98,$AK59,K$3:K$98,"&lt;"&amp;X59,L$3:L$98,"&gt;"&amp;W59)+COUNTIFS($AK$3:$AK$98,$AK59,M$3:M$98,"&lt;"&amp;X59,N$3:N$98,"&gt;"&amp;W59)+COUNTIFS($AK$3:$AK$98,$AK59,O$3:O$98,"&lt;"&amp;X59,P$3:P$98,"&gt;"&amp;W59)+COUNTIFS($AK$3:$AK$98,$AK59,Q$3:Q$98,"&lt;"&amp;X59,R$3:R$98,"&gt;"&amp;W59)+COUNTIFS($AK$3:$AK$98,$AK59,S$3:S$98,"&lt;"&amp;X59,T$3:T$98,"&gt;"&amp;W59)+COUNTIFS($AK$3:$AK$98,$AK59,U$3:U$98,"&lt;"&amp;X59,V$3:V$98,"&gt;"&amp;W59)+COUNTIFS($AK$3:$AK$98,$AK59,W$3:W$98,"&lt;"&amp;X59,X$3:X$98,"&gt;"&amp;W59)+COUNTIFS($AK$3:$AK$98,$AK59,Y$3:Y$98,"&lt;"&amp;X59,Z$3:Z$98,"&gt;"&amp;W59)+COUNTIFS($AK$3:$AK$98,$AK59,AA$3:AA$98,"&lt;"&amp;X59,AB$3:AB$98,"&gt;"&amp;W59)+COUNTIFS($AK$3:$AK$98,$AK59,AC$3:AC$98,"&lt;"&amp;X59,AD$3:AD$98,"&gt;"&amp;W59)+COUNTIFS($AK$3:$AK$98,$AK59,AE$3:AE$98,"&lt;"&amp;X59,AF$3:AF$98,"&gt;"&amp;W59)+COUNTIFS($AK$3:$AK$98,$AK59,AG$3:AG$98,"&lt;"&amp;X59,AH$3:AH$98,"&gt;"&amp;W59)-(W59&lt;X59))</f>
        <v>0</v>
      </c>
      <c r="BD59">
        <f>BC59</f>
        <v>0</v>
      </c>
      <c r="BE59">
        <f>IF(OR($AK59="",Y59="",Z59=""),0,COUNTIFS($AK$3:$AK$98,$AK59,K$3:K$98,"&lt;"&amp;Z59,L$3:L$98,"&gt;"&amp;Y59)+COUNTIFS($AK$3:$AK$98,$AK59,M$3:M$98,"&lt;"&amp;Z59,N$3:N$98,"&gt;"&amp;Y59)+COUNTIFS($AK$3:$AK$98,$AK59,O$3:O$98,"&lt;"&amp;Z59,P$3:P$98,"&gt;"&amp;Y59)+COUNTIFS($AK$3:$AK$98,$AK59,Q$3:Q$98,"&lt;"&amp;Z59,R$3:R$98,"&gt;"&amp;Y59)+COUNTIFS($AK$3:$AK$98,$AK59,S$3:S$98,"&lt;"&amp;Z59,T$3:T$98,"&gt;"&amp;Y59)+COUNTIFS($AK$3:$AK$98,$AK59,U$3:U$98,"&lt;"&amp;Z59,V$3:V$98,"&gt;"&amp;Y59)+COUNTIFS($AK$3:$AK$98,$AK59,W$3:W$98,"&lt;"&amp;Z59,X$3:X$98,"&gt;"&amp;Y59)+COUNTIFS($AK$3:$AK$98,$AK59,Y$3:Y$98,"&lt;"&amp;Z59,Z$3:Z$98,"&gt;"&amp;Y59)+COUNTIFS($AK$3:$AK$98,$AK59,AA$3:AA$98,"&lt;"&amp;Z59,AB$3:AB$98,"&gt;"&amp;Y59)+COUNTIFS($AK$3:$AK$98,$AK59,AC$3:AC$98,"&lt;"&amp;Z59,AD$3:AD$98,"&gt;"&amp;Y59)+COUNTIFS($AK$3:$AK$98,$AK59,AE$3:AE$98,"&lt;"&amp;Z59,AF$3:AF$98,"&gt;"&amp;Y59)+COUNTIFS($AK$3:$AK$98,$AK59,AG$3:AG$98,"&lt;"&amp;Z59,AH$3:AH$98,"&gt;"&amp;Y59)-(Y59&lt;Z59))</f>
        <v>0</v>
      </c>
      <c r="BF59">
        <f>BE59</f>
        <v>0</v>
      </c>
      <c r="BG59">
        <f>IF(OR($AK59="",AA59="",AB59=""),0,COUNTIFS($AK$3:$AK$98,$AK59,K$3:K$98,"&lt;"&amp;AB59,L$3:L$98,"&gt;"&amp;AA59)+COUNTIFS($AK$3:$AK$98,$AK59,M$3:M$98,"&lt;"&amp;AB59,N$3:N$98,"&gt;"&amp;AA59)+COUNTIFS($AK$3:$AK$98,$AK59,O$3:O$98,"&lt;"&amp;AB59,P$3:P$98,"&gt;"&amp;AA59)+COUNTIFS($AK$3:$AK$98,$AK59,Q$3:Q$98,"&lt;"&amp;AB59,R$3:R$98,"&gt;"&amp;AA59)+COUNTIFS($AK$3:$AK$98,$AK59,S$3:S$98,"&lt;"&amp;AB59,T$3:T$98,"&gt;"&amp;AA59)+COUNTIFS($AK$3:$AK$98,$AK59,U$3:U$98,"&lt;"&amp;AB59,V$3:V$98,"&gt;"&amp;AA59)+COUNTIFS($AK$3:$AK$98,$AK59,W$3:W$98,"&lt;"&amp;AB59,X$3:X$98,"&gt;"&amp;AA59)+COUNTIFS($AK$3:$AK$98,$AK59,Y$3:Y$98,"&lt;"&amp;AB59,Z$3:Z$98,"&gt;"&amp;AA59)+COUNTIFS($AK$3:$AK$98,$AK59,AA$3:AA$98,"&lt;"&amp;AB59,AB$3:AB$98,"&gt;"&amp;AA59)+COUNTIFS($AK$3:$AK$98,$AK59,AC$3:AC$98,"&lt;"&amp;AB59,AD$3:AD$98,"&gt;"&amp;AA59)+COUNTIFS($AK$3:$AK$98,$AK59,AE$3:AE$98,"&lt;"&amp;AB59,AF$3:AF$98,"&gt;"&amp;AA59)+COUNTIFS($AK$3:$AK$98,$AK59,AG$3:AG$98,"&lt;"&amp;AB59,AH$3:AH$98,"&gt;"&amp;AA59)-(AA59&lt;AB59))</f>
        <v>0</v>
      </c>
      <c r="BH59">
        <f>BG59</f>
        <v>0</v>
      </c>
      <c r="BI59">
        <f>IF(OR($AK59="",AC59="",AD59=""),0,COUNTIFS($AK$3:$AK$98,$AK59,K$3:K$98,"&lt;"&amp;AD59,L$3:L$98,"&gt;"&amp;AC59)+COUNTIFS($AK$3:$AK$98,$AK59,M$3:M$98,"&lt;"&amp;AD59,N$3:N$98,"&gt;"&amp;AC59)+COUNTIFS($AK$3:$AK$98,$AK59,O$3:O$98,"&lt;"&amp;AD59,P$3:P$98,"&gt;"&amp;AC59)+COUNTIFS($AK$3:$AK$98,$AK59,Q$3:Q$98,"&lt;"&amp;AD59,R$3:R$98,"&gt;"&amp;AC59)+COUNTIFS($AK$3:$AK$98,$AK59,S$3:S$98,"&lt;"&amp;AD59,T$3:T$98,"&gt;"&amp;AC59)+COUNTIFS($AK$3:$AK$98,$AK59,U$3:U$98,"&lt;"&amp;AD59,V$3:V$98,"&gt;"&amp;AC59)+COUNTIFS($AK$3:$AK$98,$AK59,W$3:W$98,"&lt;"&amp;AD59,X$3:X$98,"&gt;"&amp;AC59)+COUNTIFS($AK$3:$AK$98,$AK59,Y$3:Y$98,"&lt;"&amp;AD59,Z$3:Z$98,"&gt;"&amp;AC59)+COUNTIFS($AK$3:$AK$98,$AK59,AA$3:AA$98,"&lt;"&amp;AD59,AB$3:AB$98,"&gt;"&amp;AC59)+COUNTIFS($AK$3:$AK$98,$AK59,AC$3:AC$98,"&lt;"&amp;AD59,AD$3:AD$98,"&gt;"&amp;AC59)+COUNTIFS($AK$3:$AK$98,$AK59,AE$3:AE$98,"&lt;"&amp;AD59,AF$3:AF$98,"&gt;"&amp;AC59)+COUNTIFS($AK$3:$AK$98,$AK59,AG$3:AG$98,"&lt;"&amp;AD59,AH$3:AH$98,"&gt;"&amp;AC59)-(AC59&lt;AD59))</f>
        <v>0</v>
      </c>
      <c r="BJ59">
        <f>BI59</f>
        <v>0</v>
      </c>
      <c r="BK59">
        <f>IF(OR($AK59="",AE59="",AF59=""),0,COUNTIFS($AK$3:$AK$98,$AK59,K$3:K$98,"&lt;"&amp;AF59,L$3:L$98,"&gt;"&amp;AE59)+COUNTIFS($AK$3:$AK$98,$AK59,M$3:M$98,"&lt;"&amp;AF59,N$3:N$98,"&gt;"&amp;AE59)+COUNTIFS($AK$3:$AK$98,$AK59,O$3:O$98,"&lt;"&amp;AF59,P$3:P$98,"&gt;"&amp;AE59)+COUNTIFS($AK$3:$AK$98,$AK59,Q$3:Q$98,"&lt;"&amp;AF59,R$3:R$98,"&gt;"&amp;AE59)+COUNTIFS($AK$3:$AK$98,$AK59,S$3:S$98,"&lt;"&amp;AF59,T$3:T$98,"&gt;"&amp;AE59)+COUNTIFS($AK$3:$AK$98,$AK59,U$3:U$98,"&lt;"&amp;AF59,V$3:V$98,"&gt;"&amp;AE59)+COUNTIFS($AK$3:$AK$98,$AK59,W$3:W$98,"&lt;"&amp;AF59,X$3:X$98,"&gt;"&amp;AE59)+COUNTIFS($AK$3:$AK$98,$AK59,Y$3:Y$98,"&lt;"&amp;AF59,Z$3:Z$98,"&gt;"&amp;AE59)+COUNTIFS($AK$3:$AK$98,$AK59,AA$3:AA$98,"&lt;"&amp;AF59,AB$3:AB$98,"&gt;"&amp;AE59)+COUNTIFS($AK$3:$AK$98,$AK59,AC$3:AC$98,"&lt;"&amp;AF59,AD$3:AD$98,"&gt;"&amp;AE59)+COUNTIFS($AK$3:$AK$98,$AK59,AE$3:AE$98,"&lt;"&amp;AF59,AF$3:AF$98,"&gt;"&amp;AE59)+COUNTIFS($AK$3:$AK$98,$AK59,AG$3:AG$98,"&lt;"&amp;AF59,AH$3:AH$98,"&gt;"&amp;AE59)-(AE59&lt;AF59))</f>
        <v>0</v>
      </c>
      <c r="BL59">
        <f>BK59</f>
        <v>0</v>
      </c>
      <c r="BM59">
        <f>IF(OR($AK59="",AG59="",AH59=""),0,COUNTIFS($AK$3:$AK$98,$AK59,K$3:K$98,"&lt;"&amp;AH59,L$3:L$98,"&gt;"&amp;AG59)+COUNTIFS($AK$3:$AK$98,$AK59,M$3:M$98,"&lt;"&amp;AH59,N$3:N$98,"&gt;"&amp;AG59)+COUNTIFS($AK$3:$AK$98,$AK59,O$3:O$98,"&lt;"&amp;AH59,P$3:P$98,"&gt;"&amp;AG59)+COUNTIFS($AK$3:$AK$98,$AK59,Q$3:Q$98,"&lt;"&amp;AH59,R$3:R$98,"&gt;"&amp;AG59)+COUNTIFS($AK$3:$AK$98,$AK59,S$3:S$98,"&lt;"&amp;AH59,T$3:T$98,"&gt;"&amp;AG59)+COUNTIFS($AK$3:$AK$98,$AK59,U$3:U$98,"&lt;"&amp;AH59,V$3:V$98,"&gt;"&amp;AG59)+COUNTIFS($AK$3:$AK$98,$AK59,W$3:W$98,"&lt;"&amp;AH59,X$3:X$98,"&gt;"&amp;AG59)+COUNTIFS($AK$3:$AK$98,$AK59,Y$3:Y$98,"&lt;"&amp;AH59,Z$3:Z$98,"&gt;"&amp;AG59)+COUNTIFS($AK$3:$AK$98,$AK59,AA$3:AA$98,"&lt;"&amp;AH59,AB$3:AB$98,"&gt;"&amp;AG59)+COUNTIFS($AK$3:$AK$98,$AK59,AC$3:AC$98,"&lt;"&amp;AH59,AD$3:AD$98,"&gt;"&amp;AG59)+COUNTIFS($AK$3:$AK$98,$AK59,AE$3:AE$98,"&lt;"&amp;AH59,AF$3:AF$98,"&gt;"&amp;AG59)+COUNTIFS($AK$3:$AK$98,$AK59,AG$3:AG$98,"&lt;"&amp;AH59,AH$3:AH$98,"&gt;"&amp;AG59)-(AG59&lt;AH59))</f>
        <v>0</v>
      </c>
      <c r="BN59">
        <f>BM59</f>
        <v>0</v>
      </c>
      <c r="BO59">
        <f>IF(ISNUMBER($G59),$G59,"")</f>
        <v>0.75</v>
      </c>
      <c r="BP59">
        <f>IF(AND($A59&lt;&gt;"",COUNT($K59:$AH59)&gt;0),ROW(),"")</f>
        <v>59</v>
      </c>
    </row>
    <row r="60" spans="1:68" x14ac:dyDescent="0.15">
      <c r="A60" s="18" t="str">
        <f>IF($A58="","",$A58)</f>
        <v>chMobSaiyanF</v>
      </c>
      <c r="B60" s="19" t="str">
        <f>IF($A58="","","high")</f>
        <v>high</v>
      </c>
      <c r="C60" s="19"/>
      <c r="D60" s="20">
        <v>5</v>
      </c>
      <c r="E60" s="21">
        <f>IF(AND($D60="",COUNT($K60:$AH60)=0),"",IF(K60="",0,MAX(0,NETWORKDAYS(K60,IF(L60&lt;&gt;"",L60,IF($J60&lt;&gt;"",K60,$AI$1)),祝日!$A$2:$A$200)))+IF(M60="",0,MAX(0,NETWORKDAYS(M60,IF(N60&lt;&gt;"",N60,IF($J60&lt;&gt;"",M60,$AI$1)),祝日!$A$2:$A$200)))+IF(O60="",0,MAX(0,NETWORKDAYS(O60,IF(P60&lt;&gt;"",P60,IF($J60&lt;&gt;"",O60,$AI$1)),祝日!$A$2:$A$200)))+IF(Q60="",0,MAX(0,NETWORKDAYS(Q60,IF(R60&lt;&gt;"",R60,IF($J60&lt;&gt;"",Q60,$AI$1)),祝日!$A$2:$A$200)))+IF(S60="",0,MAX(0,NETWORKDAYS(S60,IF(T60&lt;&gt;"",T60,IF($J60&lt;&gt;"",S60,$AI$1)),祝日!$A$2:$A$200)))+IF(U60="",0,MAX(0,NETWORKDAYS(U60,IF(V60&lt;&gt;"",V60,IF($J60&lt;&gt;"",U60,$AI$1)),祝日!$A$2:$A$200)))+IF(W60="",0,MAX(0,NETWORKDAYS(W60,IF(X60&lt;&gt;"",X60,IF($J60&lt;&gt;"",W60,$AI$1)),祝日!$A$2:$A$200)))+IF(Y60="",0,MAX(0,NETWORKDAYS(Y60,IF(Z60&lt;&gt;"",Z60,IF($J60&lt;&gt;"",Y60,$AI$1)),祝日!$A$2:$A$200)))+IF(AA60="",0,MAX(0,NETWORKDAYS(AA60,IF(AB60&lt;&gt;"",AB60,IF($J60&lt;&gt;"",AA60,$AI$1)),祝日!$A$2:$A$200)))+IF(AC60="",0,MAX(0,NETWORKDAYS(AC60,IF(AD60&lt;&gt;"",AD60,IF($J60&lt;&gt;"",AC60,$AI$1)),祝日!$A$2:$A$200)))+IF(AE60="",0,MAX(0,NETWORKDAYS(AE60,IF(AF60&lt;&gt;"",AF60,IF($J60&lt;&gt;"",AE60,$AI$1)),祝日!$A$2:$A$200)))+IF(AG60="",0,MAX(0,NETWORKDAYS(AG60,IF(AH60&lt;&gt;"",AH60,IF($J60&lt;&gt;"",AG60,$AI$1)),祝日!$A$2:$A$200))))</f>
        <v>5</v>
      </c>
      <c r="F60" s="21">
        <f>IF($D60="","",$D60-$E60)</f>
        <v>0</v>
      </c>
      <c r="G60" s="22">
        <f>IF(OR($D60="",$D60=0),"",$E60/$D60)</f>
        <v>1</v>
      </c>
      <c r="H60" s="23" t="str">
        <f>IF($D60="","",IF($J60&lt;&gt;"","FIX",IF(AND(SUMPRODUCT((MOD(COLUMN($K60:$AH60)-COLUMN($K60),2)=0)*($K60:$AH60&lt;&gt;""))=0,SUMPRODUCT((MOD(COLUMN($K60:$AH60)-COLUMN($K60),2)=1)*($K60:$AH60&lt;&gt;""))=0),"未着手",IF(SUMPRODUCT((MOD(COLUMN($K60:$AH60)-COLUMN($K60),2)=0)*($K60:$AH60&lt;&gt;""))&gt;SUMPRODUCT((MOD(COLUMN($K60:$AH60)-COLUMN($K60),2)=1)*($K60:$AH60&lt;&gt;"")),"作業中","中断"))))</f>
        <v>FIX</v>
      </c>
      <c r="I60" s="23" t="str">
        <f>IF($H60="中断",MAX(0,$AI$1-MAX(L60,N60,P60,R60,T60,V60,X60,Z60,AB60,AD60,AF60,AH60)),"")</f>
        <v/>
      </c>
      <c r="J60" s="19" t="s">
        <v>37</v>
      </c>
      <c r="K60" s="24">
        <v>46268</v>
      </c>
      <c r="L60" s="24">
        <v>46271</v>
      </c>
      <c r="M60" s="24">
        <v>46276</v>
      </c>
      <c r="N60" s="24">
        <v>46276</v>
      </c>
      <c r="O60" s="24">
        <v>46283</v>
      </c>
      <c r="P60" s="24">
        <v>46289</v>
      </c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K60" t="str">
        <f>IF($A58="","",IF(LOOKUP(2,1/($AJ$3:$AJ60&lt;&gt;""),$AJ$3:$AJ60)="-","",LOOKUP(2,1/($AJ$3:$AJ60&lt;&gt;""),$AJ$3:$AJ60)))</f>
        <v>CH03</v>
      </c>
      <c r="AL60" t="str">
        <f>$H60</f>
        <v>FIX</v>
      </c>
      <c r="AM60">
        <f>IF(ISNUMBER($D60),$D60,0)</f>
        <v>5</v>
      </c>
      <c r="AN60">
        <f>IF(ISNUMBER($E60),$E60,0)</f>
        <v>5</v>
      </c>
      <c r="AO60">
        <f>IF(ISNUMBER($F60),$F60,0)</f>
        <v>0</v>
      </c>
      <c r="AQ60">
        <f>IF(OR($AK60="",K60="",L60=""),0,COUNTIFS($AK$3:$AK$98,$AK60,K$3:K$98,"&lt;"&amp;L60,L$3:L$98,"&gt;"&amp;K60)+COUNTIFS($AK$3:$AK$98,$AK60,M$3:M$98,"&lt;"&amp;L60,N$3:N$98,"&gt;"&amp;K60)+COUNTIFS($AK$3:$AK$98,$AK60,O$3:O$98,"&lt;"&amp;L60,P$3:P$98,"&gt;"&amp;K60)+COUNTIFS($AK$3:$AK$98,$AK60,Q$3:Q$98,"&lt;"&amp;L60,R$3:R$98,"&gt;"&amp;K60)+COUNTIFS($AK$3:$AK$98,$AK60,S$3:S$98,"&lt;"&amp;L60,T$3:T$98,"&gt;"&amp;K60)+COUNTIFS($AK$3:$AK$98,$AK60,U$3:U$98,"&lt;"&amp;L60,V$3:V$98,"&gt;"&amp;K60)+COUNTIFS($AK$3:$AK$98,$AK60,W$3:W$98,"&lt;"&amp;L60,X$3:X$98,"&gt;"&amp;K60)+COUNTIFS($AK$3:$AK$98,$AK60,Y$3:Y$98,"&lt;"&amp;L60,Z$3:Z$98,"&gt;"&amp;K60)+COUNTIFS($AK$3:$AK$98,$AK60,AA$3:AA$98,"&lt;"&amp;L60,AB$3:AB$98,"&gt;"&amp;K60)+COUNTIFS($AK$3:$AK$98,$AK60,AC$3:AC$98,"&lt;"&amp;L60,AD$3:AD$98,"&gt;"&amp;K60)+COUNTIFS($AK$3:$AK$98,$AK60,AE$3:AE$98,"&lt;"&amp;L60,AF$3:AF$98,"&gt;"&amp;K60)+COUNTIFS($AK$3:$AK$98,$AK60,AG$3:AG$98,"&lt;"&amp;L60,AH$3:AH$98,"&gt;"&amp;K60)-(K60&lt;L60))</f>
        <v>0</v>
      </c>
      <c r="AR60">
        <f>AQ60</f>
        <v>0</v>
      </c>
      <c r="AS60">
        <f>IF(OR($AK60="",M60="",N60=""),0,COUNTIFS($AK$3:$AK$98,$AK60,K$3:K$98,"&lt;"&amp;N60,L$3:L$98,"&gt;"&amp;M60)+COUNTIFS($AK$3:$AK$98,$AK60,M$3:M$98,"&lt;"&amp;N60,N$3:N$98,"&gt;"&amp;M60)+COUNTIFS($AK$3:$AK$98,$AK60,O$3:O$98,"&lt;"&amp;N60,P$3:P$98,"&gt;"&amp;M60)+COUNTIFS($AK$3:$AK$98,$AK60,Q$3:Q$98,"&lt;"&amp;N60,R$3:R$98,"&gt;"&amp;M60)+COUNTIFS($AK$3:$AK$98,$AK60,S$3:S$98,"&lt;"&amp;N60,T$3:T$98,"&gt;"&amp;M60)+COUNTIFS($AK$3:$AK$98,$AK60,U$3:U$98,"&lt;"&amp;N60,V$3:V$98,"&gt;"&amp;M60)+COUNTIFS($AK$3:$AK$98,$AK60,W$3:W$98,"&lt;"&amp;N60,X$3:X$98,"&gt;"&amp;M60)+COUNTIFS($AK$3:$AK$98,$AK60,Y$3:Y$98,"&lt;"&amp;N60,Z$3:Z$98,"&gt;"&amp;M60)+COUNTIFS($AK$3:$AK$98,$AK60,AA$3:AA$98,"&lt;"&amp;N60,AB$3:AB$98,"&gt;"&amp;M60)+COUNTIFS($AK$3:$AK$98,$AK60,AC$3:AC$98,"&lt;"&amp;N60,AD$3:AD$98,"&gt;"&amp;M60)+COUNTIFS($AK$3:$AK$98,$AK60,AE$3:AE$98,"&lt;"&amp;N60,AF$3:AF$98,"&gt;"&amp;M60)+COUNTIFS($AK$3:$AK$98,$AK60,AG$3:AG$98,"&lt;"&amp;N60,AH$3:AH$98,"&gt;"&amp;M60)-(M60&lt;N60))</f>
        <v>0</v>
      </c>
      <c r="AT60">
        <f>AS60</f>
        <v>0</v>
      </c>
      <c r="AU60">
        <f>IF(OR($AK60="",O60="",P60=""),0,COUNTIFS($AK$3:$AK$98,$AK60,K$3:K$98,"&lt;"&amp;P60,L$3:L$98,"&gt;"&amp;O60)+COUNTIFS($AK$3:$AK$98,$AK60,M$3:M$98,"&lt;"&amp;P60,N$3:N$98,"&gt;"&amp;O60)+COUNTIFS($AK$3:$AK$98,$AK60,O$3:O$98,"&lt;"&amp;P60,P$3:P$98,"&gt;"&amp;O60)+COUNTIFS($AK$3:$AK$98,$AK60,Q$3:Q$98,"&lt;"&amp;P60,R$3:R$98,"&gt;"&amp;O60)+COUNTIFS($AK$3:$AK$98,$AK60,S$3:S$98,"&lt;"&amp;P60,T$3:T$98,"&gt;"&amp;O60)+COUNTIFS($AK$3:$AK$98,$AK60,U$3:U$98,"&lt;"&amp;P60,V$3:V$98,"&gt;"&amp;O60)+COUNTIFS($AK$3:$AK$98,$AK60,W$3:W$98,"&lt;"&amp;P60,X$3:X$98,"&gt;"&amp;O60)+COUNTIFS($AK$3:$AK$98,$AK60,Y$3:Y$98,"&lt;"&amp;P60,Z$3:Z$98,"&gt;"&amp;O60)+COUNTIFS($AK$3:$AK$98,$AK60,AA$3:AA$98,"&lt;"&amp;P60,AB$3:AB$98,"&gt;"&amp;O60)+COUNTIFS($AK$3:$AK$98,$AK60,AC$3:AC$98,"&lt;"&amp;P60,AD$3:AD$98,"&gt;"&amp;O60)+COUNTIFS($AK$3:$AK$98,$AK60,AE$3:AE$98,"&lt;"&amp;P60,AF$3:AF$98,"&gt;"&amp;O60)+COUNTIFS($AK$3:$AK$98,$AK60,AG$3:AG$98,"&lt;"&amp;P60,AH$3:AH$98,"&gt;"&amp;O60)-(O60&lt;P60))</f>
        <v>0</v>
      </c>
      <c r="AV60">
        <f>AU60</f>
        <v>0</v>
      </c>
      <c r="AW60">
        <f>IF(OR($AK60="",Q60="",R60=""),0,COUNTIFS($AK$3:$AK$98,$AK60,K$3:K$98,"&lt;"&amp;R60,L$3:L$98,"&gt;"&amp;Q60)+COUNTIFS($AK$3:$AK$98,$AK60,M$3:M$98,"&lt;"&amp;R60,N$3:N$98,"&gt;"&amp;Q60)+COUNTIFS($AK$3:$AK$98,$AK60,O$3:O$98,"&lt;"&amp;R60,P$3:P$98,"&gt;"&amp;Q60)+COUNTIFS($AK$3:$AK$98,$AK60,Q$3:Q$98,"&lt;"&amp;R60,R$3:R$98,"&gt;"&amp;Q60)+COUNTIFS($AK$3:$AK$98,$AK60,S$3:S$98,"&lt;"&amp;R60,T$3:T$98,"&gt;"&amp;Q60)+COUNTIFS($AK$3:$AK$98,$AK60,U$3:U$98,"&lt;"&amp;R60,V$3:V$98,"&gt;"&amp;Q60)+COUNTIFS($AK$3:$AK$98,$AK60,W$3:W$98,"&lt;"&amp;R60,X$3:X$98,"&gt;"&amp;Q60)+COUNTIFS($AK$3:$AK$98,$AK60,Y$3:Y$98,"&lt;"&amp;R60,Z$3:Z$98,"&gt;"&amp;Q60)+COUNTIFS($AK$3:$AK$98,$AK60,AA$3:AA$98,"&lt;"&amp;R60,AB$3:AB$98,"&gt;"&amp;Q60)+COUNTIFS($AK$3:$AK$98,$AK60,AC$3:AC$98,"&lt;"&amp;R60,AD$3:AD$98,"&gt;"&amp;Q60)+COUNTIFS($AK$3:$AK$98,$AK60,AE$3:AE$98,"&lt;"&amp;R60,AF$3:AF$98,"&gt;"&amp;Q60)+COUNTIFS($AK$3:$AK$98,$AK60,AG$3:AG$98,"&lt;"&amp;R60,AH$3:AH$98,"&gt;"&amp;Q60)-(Q60&lt;R60))</f>
        <v>0</v>
      </c>
      <c r="AX60">
        <f>AW60</f>
        <v>0</v>
      </c>
      <c r="AY60">
        <f>IF(OR($AK60="",S60="",T60=""),0,COUNTIFS($AK$3:$AK$98,$AK60,K$3:K$98,"&lt;"&amp;T60,L$3:L$98,"&gt;"&amp;S60)+COUNTIFS($AK$3:$AK$98,$AK60,M$3:M$98,"&lt;"&amp;T60,N$3:N$98,"&gt;"&amp;S60)+COUNTIFS($AK$3:$AK$98,$AK60,O$3:O$98,"&lt;"&amp;T60,P$3:P$98,"&gt;"&amp;S60)+COUNTIFS($AK$3:$AK$98,$AK60,Q$3:Q$98,"&lt;"&amp;T60,R$3:R$98,"&gt;"&amp;S60)+COUNTIFS($AK$3:$AK$98,$AK60,S$3:S$98,"&lt;"&amp;T60,T$3:T$98,"&gt;"&amp;S60)+COUNTIFS($AK$3:$AK$98,$AK60,U$3:U$98,"&lt;"&amp;T60,V$3:V$98,"&gt;"&amp;S60)+COUNTIFS($AK$3:$AK$98,$AK60,W$3:W$98,"&lt;"&amp;T60,X$3:X$98,"&gt;"&amp;S60)+COUNTIFS($AK$3:$AK$98,$AK60,Y$3:Y$98,"&lt;"&amp;T60,Z$3:Z$98,"&gt;"&amp;S60)+COUNTIFS($AK$3:$AK$98,$AK60,AA$3:AA$98,"&lt;"&amp;T60,AB$3:AB$98,"&gt;"&amp;S60)+COUNTIFS($AK$3:$AK$98,$AK60,AC$3:AC$98,"&lt;"&amp;T60,AD$3:AD$98,"&gt;"&amp;S60)+COUNTIFS($AK$3:$AK$98,$AK60,AE$3:AE$98,"&lt;"&amp;T60,AF$3:AF$98,"&gt;"&amp;S60)+COUNTIFS($AK$3:$AK$98,$AK60,AG$3:AG$98,"&lt;"&amp;T60,AH$3:AH$98,"&gt;"&amp;S60)-(S60&lt;T60))</f>
        <v>0</v>
      </c>
      <c r="AZ60">
        <f>AY60</f>
        <v>0</v>
      </c>
      <c r="BA60">
        <f>IF(OR($AK60="",U60="",V60=""),0,COUNTIFS($AK$3:$AK$98,$AK60,K$3:K$98,"&lt;"&amp;V60,L$3:L$98,"&gt;"&amp;U60)+COUNTIFS($AK$3:$AK$98,$AK60,M$3:M$98,"&lt;"&amp;V60,N$3:N$98,"&gt;"&amp;U60)+COUNTIFS($AK$3:$AK$98,$AK60,O$3:O$98,"&lt;"&amp;V60,P$3:P$98,"&gt;"&amp;U60)+COUNTIFS($AK$3:$AK$98,$AK60,Q$3:Q$98,"&lt;"&amp;V60,R$3:R$98,"&gt;"&amp;U60)+COUNTIFS($AK$3:$AK$98,$AK60,S$3:S$98,"&lt;"&amp;V60,T$3:T$98,"&gt;"&amp;U60)+COUNTIFS($AK$3:$AK$98,$AK60,U$3:U$98,"&lt;"&amp;V60,V$3:V$98,"&gt;"&amp;U60)+COUNTIFS($AK$3:$AK$98,$AK60,W$3:W$98,"&lt;"&amp;V60,X$3:X$98,"&gt;"&amp;U60)+COUNTIFS($AK$3:$AK$98,$AK60,Y$3:Y$98,"&lt;"&amp;V60,Z$3:Z$98,"&gt;"&amp;U60)+COUNTIFS($AK$3:$AK$98,$AK60,AA$3:AA$98,"&lt;"&amp;V60,AB$3:AB$98,"&gt;"&amp;U60)+COUNTIFS($AK$3:$AK$98,$AK60,AC$3:AC$98,"&lt;"&amp;V60,AD$3:AD$98,"&gt;"&amp;U60)+COUNTIFS($AK$3:$AK$98,$AK60,AE$3:AE$98,"&lt;"&amp;V60,AF$3:AF$98,"&gt;"&amp;U60)+COUNTIFS($AK$3:$AK$98,$AK60,AG$3:AG$98,"&lt;"&amp;V60,AH$3:AH$98,"&gt;"&amp;U60)-(U60&lt;V60))</f>
        <v>0</v>
      </c>
      <c r="BB60">
        <f>BA60</f>
        <v>0</v>
      </c>
      <c r="BC60">
        <f>IF(OR($AK60="",W60="",X60=""),0,COUNTIFS($AK$3:$AK$98,$AK60,K$3:K$98,"&lt;"&amp;X60,L$3:L$98,"&gt;"&amp;W60)+COUNTIFS($AK$3:$AK$98,$AK60,M$3:M$98,"&lt;"&amp;X60,N$3:N$98,"&gt;"&amp;W60)+COUNTIFS($AK$3:$AK$98,$AK60,O$3:O$98,"&lt;"&amp;X60,P$3:P$98,"&gt;"&amp;W60)+COUNTIFS($AK$3:$AK$98,$AK60,Q$3:Q$98,"&lt;"&amp;X60,R$3:R$98,"&gt;"&amp;W60)+COUNTIFS($AK$3:$AK$98,$AK60,S$3:S$98,"&lt;"&amp;X60,T$3:T$98,"&gt;"&amp;W60)+COUNTIFS($AK$3:$AK$98,$AK60,U$3:U$98,"&lt;"&amp;X60,V$3:V$98,"&gt;"&amp;W60)+COUNTIFS($AK$3:$AK$98,$AK60,W$3:W$98,"&lt;"&amp;X60,X$3:X$98,"&gt;"&amp;W60)+COUNTIFS($AK$3:$AK$98,$AK60,Y$3:Y$98,"&lt;"&amp;X60,Z$3:Z$98,"&gt;"&amp;W60)+COUNTIFS($AK$3:$AK$98,$AK60,AA$3:AA$98,"&lt;"&amp;X60,AB$3:AB$98,"&gt;"&amp;W60)+COUNTIFS($AK$3:$AK$98,$AK60,AC$3:AC$98,"&lt;"&amp;X60,AD$3:AD$98,"&gt;"&amp;W60)+COUNTIFS($AK$3:$AK$98,$AK60,AE$3:AE$98,"&lt;"&amp;X60,AF$3:AF$98,"&gt;"&amp;W60)+COUNTIFS($AK$3:$AK$98,$AK60,AG$3:AG$98,"&lt;"&amp;X60,AH$3:AH$98,"&gt;"&amp;W60)-(W60&lt;X60))</f>
        <v>0</v>
      </c>
      <c r="BD60">
        <f>BC60</f>
        <v>0</v>
      </c>
      <c r="BE60">
        <f>IF(OR($AK60="",Y60="",Z60=""),0,COUNTIFS($AK$3:$AK$98,$AK60,K$3:K$98,"&lt;"&amp;Z60,L$3:L$98,"&gt;"&amp;Y60)+COUNTIFS($AK$3:$AK$98,$AK60,M$3:M$98,"&lt;"&amp;Z60,N$3:N$98,"&gt;"&amp;Y60)+COUNTIFS($AK$3:$AK$98,$AK60,O$3:O$98,"&lt;"&amp;Z60,P$3:P$98,"&gt;"&amp;Y60)+COUNTIFS($AK$3:$AK$98,$AK60,Q$3:Q$98,"&lt;"&amp;Z60,R$3:R$98,"&gt;"&amp;Y60)+COUNTIFS($AK$3:$AK$98,$AK60,S$3:S$98,"&lt;"&amp;Z60,T$3:T$98,"&gt;"&amp;Y60)+COUNTIFS($AK$3:$AK$98,$AK60,U$3:U$98,"&lt;"&amp;Z60,V$3:V$98,"&gt;"&amp;Y60)+COUNTIFS($AK$3:$AK$98,$AK60,W$3:W$98,"&lt;"&amp;Z60,X$3:X$98,"&gt;"&amp;Y60)+COUNTIFS($AK$3:$AK$98,$AK60,Y$3:Y$98,"&lt;"&amp;Z60,Z$3:Z$98,"&gt;"&amp;Y60)+COUNTIFS($AK$3:$AK$98,$AK60,AA$3:AA$98,"&lt;"&amp;Z60,AB$3:AB$98,"&gt;"&amp;Y60)+COUNTIFS($AK$3:$AK$98,$AK60,AC$3:AC$98,"&lt;"&amp;Z60,AD$3:AD$98,"&gt;"&amp;Y60)+COUNTIFS($AK$3:$AK$98,$AK60,AE$3:AE$98,"&lt;"&amp;Z60,AF$3:AF$98,"&gt;"&amp;Y60)+COUNTIFS($AK$3:$AK$98,$AK60,AG$3:AG$98,"&lt;"&amp;Z60,AH$3:AH$98,"&gt;"&amp;Y60)-(Y60&lt;Z60))</f>
        <v>0</v>
      </c>
      <c r="BF60">
        <f>BE60</f>
        <v>0</v>
      </c>
      <c r="BG60">
        <f>IF(OR($AK60="",AA60="",AB60=""),0,COUNTIFS($AK$3:$AK$98,$AK60,K$3:K$98,"&lt;"&amp;AB60,L$3:L$98,"&gt;"&amp;AA60)+COUNTIFS($AK$3:$AK$98,$AK60,M$3:M$98,"&lt;"&amp;AB60,N$3:N$98,"&gt;"&amp;AA60)+COUNTIFS($AK$3:$AK$98,$AK60,O$3:O$98,"&lt;"&amp;AB60,P$3:P$98,"&gt;"&amp;AA60)+COUNTIFS($AK$3:$AK$98,$AK60,Q$3:Q$98,"&lt;"&amp;AB60,R$3:R$98,"&gt;"&amp;AA60)+COUNTIFS($AK$3:$AK$98,$AK60,S$3:S$98,"&lt;"&amp;AB60,T$3:T$98,"&gt;"&amp;AA60)+COUNTIFS($AK$3:$AK$98,$AK60,U$3:U$98,"&lt;"&amp;AB60,V$3:V$98,"&gt;"&amp;AA60)+COUNTIFS($AK$3:$AK$98,$AK60,W$3:W$98,"&lt;"&amp;AB60,X$3:X$98,"&gt;"&amp;AA60)+COUNTIFS($AK$3:$AK$98,$AK60,Y$3:Y$98,"&lt;"&amp;AB60,Z$3:Z$98,"&gt;"&amp;AA60)+COUNTIFS($AK$3:$AK$98,$AK60,AA$3:AA$98,"&lt;"&amp;AB60,AB$3:AB$98,"&gt;"&amp;AA60)+COUNTIFS($AK$3:$AK$98,$AK60,AC$3:AC$98,"&lt;"&amp;AB60,AD$3:AD$98,"&gt;"&amp;AA60)+COUNTIFS($AK$3:$AK$98,$AK60,AE$3:AE$98,"&lt;"&amp;AB60,AF$3:AF$98,"&gt;"&amp;AA60)+COUNTIFS($AK$3:$AK$98,$AK60,AG$3:AG$98,"&lt;"&amp;AB60,AH$3:AH$98,"&gt;"&amp;AA60)-(AA60&lt;AB60))</f>
        <v>0</v>
      </c>
      <c r="BH60">
        <f>BG60</f>
        <v>0</v>
      </c>
      <c r="BI60">
        <f>IF(OR($AK60="",AC60="",AD60=""),0,COUNTIFS($AK$3:$AK$98,$AK60,K$3:K$98,"&lt;"&amp;AD60,L$3:L$98,"&gt;"&amp;AC60)+COUNTIFS($AK$3:$AK$98,$AK60,M$3:M$98,"&lt;"&amp;AD60,N$3:N$98,"&gt;"&amp;AC60)+COUNTIFS($AK$3:$AK$98,$AK60,O$3:O$98,"&lt;"&amp;AD60,P$3:P$98,"&gt;"&amp;AC60)+COUNTIFS($AK$3:$AK$98,$AK60,Q$3:Q$98,"&lt;"&amp;AD60,R$3:R$98,"&gt;"&amp;AC60)+COUNTIFS($AK$3:$AK$98,$AK60,S$3:S$98,"&lt;"&amp;AD60,T$3:T$98,"&gt;"&amp;AC60)+COUNTIFS($AK$3:$AK$98,$AK60,U$3:U$98,"&lt;"&amp;AD60,V$3:V$98,"&gt;"&amp;AC60)+COUNTIFS($AK$3:$AK$98,$AK60,W$3:W$98,"&lt;"&amp;AD60,X$3:X$98,"&gt;"&amp;AC60)+COUNTIFS($AK$3:$AK$98,$AK60,Y$3:Y$98,"&lt;"&amp;AD60,Z$3:Z$98,"&gt;"&amp;AC60)+COUNTIFS($AK$3:$AK$98,$AK60,AA$3:AA$98,"&lt;"&amp;AD60,AB$3:AB$98,"&gt;"&amp;AC60)+COUNTIFS($AK$3:$AK$98,$AK60,AC$3:AC$98,"&lt;"&amp;AD60,AD$3:AD$98,"&gt;"&amp;AC60)+COUNTIFS($AK$3:$AK$98,$AK60,AE$3:AE$98,"&lt;"&amp;AD60,AF$3:AF$98,"&gt;"&amp;AC60)+COUNTIFS($AK$3:$AK$98,$AK60,AG$3:AG$98,"&lt;"&amp;AD60,AH$3:AH$98,"&gt;"&amp;AC60)-(AC60&lt;AD60))</f>
        <v>0</v>
      </c>
      <c r="BJ60">
        <f>BI60</f>
        <v>0</v>
      </c>
      <c r="BK60">
        <f>IF(OR($AK60="",AE60="",AF60=""),0,COUNTIFS($AK$3:$AK$98,$AK60,K$3:K$98,"&lt;"&amp;AF60,L$3:L$98,"&gt;"&amp;AE60)+COUNTIFS($AK$3:$AK$98,$AK60,M$3:M$98,"&lt;"&amp;AF60,N$3:N$98,"&gt;"&amp;AE60)+COUNTIFS($AK$3:$AK$98,$AK60,O$3:O$98,"&lt;"&amp;AF60,P$3:P$98,"&gt;"&amp;AE60)+COUNTIFS($AK$3:$AK$98,$AK60,Q$3:Q$98,"&lt;"&amp;AF60,R$3:R$98,"&gt;"&amp;AE60)+COUNTIFS($AK$3:$AK$98,$AK60,S$3:S$98,"&lt;"&amp;AF60,T$3:T$98,"&gt;"&amp;AE60)+COUNTIFS($AK$3:$AK$98,$AK60,U$3:U$98,"&lt;"&amp;AF60,V$3:V$98,"&gt;"&amp;AE60)+COUNTIFS($AK$3:$AK$98,$AK60,W$3:W$98,"&lt;"&amp;AF60,X$3:X$98,"&gt;"&amp;AE60)+COUNTIFS($AK$3:$AK$98,$AK60,Y$3:Y$98,"&lt;"&amp;AF60,Z$3:Z$98,"&gt;"&amp;AE60)+COUNTIFS($AK$3:$AK$98,$AK60,AA$3:AA$98,"&lt;"&amp;AF60,AB$3:AB$98,"&gt;"&amp;AE60)+COUNTIFS($AK$3:$AK$98,$AK60,AC$3:AC$98,"&lt;"&amp;AF60,AD$3:AD$98,"&gt;"&amp;AE60)+COUNTIFS($AK$3:$AK$98,$AK60,AE$3:AE$98,"&lt;"&amp;AF60,AF$3:AF$98,"&gt;"&amp;AE60)+COUNTIFS($AK$3:$AK$98,$AK60,AG$3:AG$98,"&lt;"&amp;AF60,AH$3:AH$98,"&gt;"&amp;AE60)-(AE60&lt;AF60))</f>
        <v>0</v>
      </c>
      <c r="BL60">
        <f>BK60</f>
        <v>0</v>
      </c>
      <c r="BM60">
        <f>IF(OR($AK60="",AG60="",AH60=""),0,COUNTIFS($AK$3:$AK$98,$AK60,K$3:K$98,"&lt;"&amp;AH60,L$3:L$98,"&gt;"&amp;AG60)+COUNTIFS($AK$3:$AK$98,$AK60,M$3:M$98,"&lt;"&amp;AH60,N$3:N$98,"&gt;"&amp;AG60)+COUNTIFS($AK$3:$AK$98,$AK60,O$3:O$98,"&lt;"&amp;AH60,P$3:P$98,"&gt;"&amp;AG60)+COUNTIFS($AK$3:$AK$98,$AK60,Q$3:Q$98,"&lt;"&amp;AH60,R$3:R$98,"&gt;"&amp;AG60)+COUNTIFS($AK$3:$AK$98,$AK60,S$3:S$98,"&lt;"&amp;AH60,T$3:T$98,"&gt;"&amp;AG60)+COUNTIFS($AK$3:$AK$98,$AK60,U$3:U$98,"&lt;"&amp;AH60,V$3:V$98,"&gt;"&amp;AG60)+COUNTIFS($AK$3:$AK$98,$AK60,W$3:W$98,"&lt;"&amp;AH60,X$3:X$98,"&gt;"&amp;AG60)+COUNTIFS($AK$3:$AK$98,$AK60,Y$3:Y$98,"&lt;"&amp;AH60,Z$3:Z$98,"&gt;"&amp;AG60)+COUNTIFS($AK$3:$AK$98,$AK60,AA$3:AA$98,"&lt;"&amp;AH60,AB$3:AB$98,"&gt;"&amp;AG60)+COUNTIFS($AK$3:$AK$98,$AK60,AC$3:AC$98,"&lt;"&amp;AH60,AD$3:AD$98,"&gt;"&amp;AG60)+COUNTIFS($AK$3:$AK$98,$AK60,AE$3:AE$98,"&lt;"&amp;AH60,AF$3:AF$98,"&gt;"&amp;AG60)+COUNTIFS($AK$3:$AK$98,$AK60,AG$3:AG$98,"&lt;"&amp;AH60,AH$3:AH$98,"&gt;"&amp;AG60)-(AG60&lt;AH60))</f>
        <v>0</v>
      </c>
      <c r="BN60">
        <f>BM60</f>
        <v>0</v>
      </c>
      <c r="BO60">
        <f>IF(ISNUMBER($G60),$G60,"")</f>
        <v>1</v>
      </c>
      <c r="BP60">
        <f>IF(AND($A60&lt;&gt;"",COUNT($K60:$AH60)&gt;0),ROW(),"")</f>
        <v>60</v>
      </c>
    </row>
    <row r="61" spans="1:68" x14ac:dyDescent="0.15">
      <c r="A61" s="25" t="str">
        <f>IF($A58="","",$A58)</f>
        <v>chMobSaiyanF</v>
      </c>
      <c r="B61" s="26" t="str">
        <f>IF($A58="","","fac")</f>
        <v>fac</v>
      </c>
      <c r="C61" s="26"/>
      <c r="D61" s="27">
        <v>4</v>
      </c>
      <c r="E61" s="28">
        <f ca="1">IF(AND($D61="",COUNT($K61:$AH61)=0),"",IF(K61="",0,MAX(0,NETWORKDAYS(K61,IF(L61&lt;&gt;"",L61,IF($J61&lt;&gt;"",K61,$AI$1)),祝日!$A$2:$A$200)))+IF(M61="",0,MAX(0,NETWORKDAYS(M61,IF(N61&lt;&gt;"",N61,IF($J61&lt;&gt;"",M61,$AI$1)),祝日!$A$2:$A$200)))+IF(O61="",0,MAX(0,NETWORKDAYS(O61,IF(P61&lt;&gt;"",P61,IF($J61&lt;&gt;"",O61,$AI$1)),祝日!$A$2:$A$200)))+IF(Q61="",0,MAX(0,NETWORKDAYS(Q61,IF(R61&lt;&gt;"",R61,IF($J61&lt;&gt;"",Q61,$AI$1)),祝日!$A$2:$A$200)))+IF(S61="",0,MAX(0,NETWORKDAYS(S61,IF(T61&lt;&gt;"",T61,IF($J61&lt;&gt;"",S61,$AI$1)),祝日!$A$2:$A$200)))+IF(U61="",0,MAX(0,NETWORKDAYS(U61,IF(V61&lt;&gt;"",V61,IF($J61&lt;&gt;"",U61,$AI$1)),祝日!$A$2:$A$200)))+IF(W61="",0,MAX(0,NETWORKDAYS(W61,IF(X61&lt;&gt;"",X61,IF($J61&lt;&gt;"",W61,$AI$1)),祝日!$A$2:$A$200)))+IF(Y61="",0,MAX(0,NETWORKDAYS(Y61,IF(Z61&lt;&gt;"",Z61,IF($J61&lt;&gt;"",Y61,$AI$1)),祝日!$A$2:$A$200)))+IF(AA61="",0,MAX(0,NETWORKDAYS(AA61,IF(AB61&lt;&gt;"",AB61,IF($J61&lt;&gt;"",AA61,$AI$1)),祝日!$A$2:$A$200)))+IF(AC61="",0,MAX(0,NETWORKDAYS(AC61,IF(AD61&lt;&gt;"",AD61,IF($J61&lt;&gt;"",AC61,$AI$1)),祝日!$A$2:$A$200)))+IF(AE61="",0,MAX(0,NETWORKDAYS(AE61,IF(AF61&lt;&gt;"",AF61,IF($J61&lt;&gt;"",AE61,$AI$1)),祝日!$A$2:$A$200)))+IF(AG61="",0,MAX(0,NETWORKDAYS(AG61,IF(AH61&lt;&gt;"",AH61,IF($J61&lt;&gt;"",AG61,$AI$1)),祝日!$A$2:$A$200))))</f>
        <v>3</v>
      </c>
      <c r="F61" s="28">
        <f ca="1">IF($D61="","",$D61-$E61)</f>
        <v>1</v>
      </c>
      <c r="G61" s="29">
        <f ca="1">IF(OR($D61="",$D61=0),"",$E61/$D61)</f>
        <v>0.75</v>
      </c>
      <c r="H61" s="30" t="str">
        <f>IF($D61="","",IF($J61&lt;&gt;"","FIX",IF(AND(SUMPRODUCT((MOD(COLUMN($K61:$AH61)-COLUMN($K61),2)=0)*($K61:$AH61&lt;&gt;""))=0,SUMPRODUCT((MOD(COLUMN($K61:$AH61)-COLUMN($K61),2)=1)*($K61:$AH61&lt;&gt;""))=0),"未着手",IF(SUMPRODUCT((MOD(COLUMN($K61:$AH61)-COLUMN($K61),2)=0)*($K61:$AH61&lt;&gt;""))&gt;SUMPRODUCT((MOD(COLUMN($K61:$AH61)-COLUMN($K61),2)=1)*($K61:$AH61&lt;&gt;"")),"作業中","中断"))))</f>
        <v>作業中</v>
      </c>
      <c r="I61" s="30" t="str">
        <f>IF($H61="中断",MAX(0,$AI$1-MAX(L61,N61,P61,R61,T61,V61,X61,Z61,AB61,AD61,AF61,AH61)),"")</f>
        <v/>
      </c>
      <c r="J61" s="26"/>
      <c r="K61" s="31">
        <v>46300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K61" t="str">
        <f>IF($A58="","",IF(LOOKUP(2,1/($AJ$3:$AJ61&lt;&gt;""),$AJ$3:$AJ61)="-","",LOOKUP(2,1/($AJ$3:$AJ61&lt;&gt;""),$AJ$3:$AJ61)))</f>
        <v>CH03</v>
      </c>
      <c r="AL61" t="str">
        <f>$H61</f>
        <v>作業中</v>
      </c>
      <c r="AM61">
        <f>IF(ISNUMBER($D61),$D61,0)</f>
        <v>4</v>
      </c>
      <c r="AN61">
        <f ca="1">IF(ISNUMBER($E61),$E61,0)</f>
        <v>3</v>
      </c>
      <c r="AO61">
        <f ca="1">IF(ISNUMBER($F61),$F61,0)</f>
        <v>1</v>
      </c>
      <c r="AQ61">
        <f>IF(OR($AK61="",K61="",L61=""),0,COUNTIFS($AK$3:$AK$98,$AK61,K$3:K$98,"&lt;"&amp;L61,L$3:L$98,"&gt;"&amp;K61)+COUNTIFS($AK$3:$AK$98,$AK61,M$3:M$98,"&lt;"&amp;L61,N$3:N$98,"&gt;"&amp;K61)+COUNTIFS($AK$3:$AK$98,$AK61,O$3:O$98,"&lt;"&amp;L61,P$3:P$98,"&gt;"&amp;K61)+COUNTIFS($AK$3:$AK$98,$AK61,Q$3:Q$98,"&lt;"&amp;L61,R$3:R$98,"&gt;"&amp;K61)+COUNTIFS($AK$3:$AK$98,$AK61,S$3:S$98,"&lt;"&amp;L61,T$3:T$98,"&gt;"&amp;K61)+COUNTIFS($AK$3:$AK$98,$AK61,U$3:U$98,"&lt;"&amp;L61,V$3:V$98,"&gt;"&amp;K61)+COUNTIFS($AK$3:$AK$98,$AK61,W$3:W$98,"&lt;"&amp;L61,X$3:X$98,"&gt;"&amp;K61)+COUNTIFS($AK$3:$AK$98,$AK61,Y$3:Y$98,"&lt;"&amp;L61,Z$3:Z$98,"&gt;"&amp;K61)+COUNTIFS($AK$3:$AK$98,$AK61,AA$3:AA$98,"&lt;"&amp;L61,AB$3:AB$98,"&gt;"&amp;K61)+COUNTIFS($AK$3:$AK$98,$AK61,AC$3:AC$98,"&lt;"&amp;L61,AD$3:AD$98,"&gt;"&amp;K61)+COUNTIFS($AK$3:$AK$98,$AK61,AE$3:AE$98,"&lt;"&amp;L61,AF$3:AF$98,"&gt;"&amp;K61)+COUNTIFS($AK$3:$AK$98,$AK61,AG$3:AG$98,"&lt;"&amp;L61,AH$3:AH$98,"&gt;"&amp;K61)-(K61&lt;L61))</f>
        <v>0</v>
      </c>
      <c r="AR61">
        <f>AQ61</f>
        <v>0</v>
      </c>
      <c r="AS61">
        <f>IF(OR($AK61="",M61="",N61=""),0,COUNTIFS($AK$3:$AK$98,$AK61,K$3:K$98,"&lt;"&amp;N61,L$3:L$98,"&gt;"&amp;M61)+COUNTIFS($AK$3:$AK$98,$AK61,M$3:M$98,"&lt;"&amp;N61,N$3:N$98,"&gt;"&amp;M61)+COUNTIFS($AK$3:$AK$98,$AK61,O$3:O$98,"&lt;"&amp;N61,P$3:P$98,"&gt;"&amp;M61)+COUNTIFS($AK$3:$AK$98,$AK61,Q$3:Q$98,"&lt;"&amp;N61,R$3:R$98,"&gt;"&amp;M61)+COUNTIFS($AK$3:$AK$98,$AK61,S$3:S$98,"&lt;"&amp;N61,T$3:T$98,"&gt;"&amp;M61)+COUNTIFS($AK$3:$AK$98,$AK61,U$3:U$98,"&lt;"&amp;N61,V$3:V$98,"&gt;"&amp;M61)+COUNTIFS($AK$3:$AK$98,$AK61,W$3:W$98,"&lt;"&amp;N61,X$3:X$98,"&gt;"&amp;M61)+COUNTIFS($AK$3:$AK$98,$AK61,Y$3:Y$98,"&lt;"&amp;N61,Z$3:Z$98,"&gt;"&amp;M61)+COUNTIFS($AK$3:$AK$98,$AK61,AA$3:AA$98,"&lt;"&amp;N61,AB$3:AB$98,"&gt;"&amp;M61)+COUNTIFS($AK$3:$AK$98,$AK61,AC$3:AC$98,"&lt;"&amp;N61,AD$3:AD$98,"&gt;"&amp;M61)+COUNTIFS($AK$3:$AK$98,$AK61,AE$3:AE$98,"&lt;"&amp;N61,AF$3:AF$98,"&gt;"&amp;M61)+COUNTIFS($AK$3:$AK$98,$AK61,AG$3:AG$98,"&lt;"&amp;N61,AH$3:AH$98,"&gt;"&amp;M61)-(M61&lt;N61))</f>
        <v>0</v>
      </c>
      <c r="AT61">
        <f>AS61</f>
        <v>0</v>
      </c>
      <c r="AU61">
        <f>IF(OR($AK61="",O61="",P61=""),0,COUNTIFS($AK$3:$AK$98,$AK61,K$3:K$98,"&lt;"&amp;P61,L$3:L$98,"&gt;"&amp;O61)+COUNTIFS($AK$3:$AK$98,$AK61,M$3:M$98,"&lt;"&amp;P61,N$3:N$98,"&gt;"&amp;O61)+COUNTIFS($AK$3:$AK$98,$AK61,O$3:O$98,"&lt;"&amp;P61,P$3:P$98,"&gt;"&amp;O61)+COUNTIFS($AK$3:$AK$98,$AK61,Q$3:Q$98,"&lt;"&amp;P61,R$3:R$98,"&gt;"&amp;O61)+COUNTIFS($AK$3:$AK$98,$AK61,S$3:S$98,"&lt;"&amp;P61,T$3:T$98,"&gt;"&amp;O61)+COUNTIFS($AK$3:$AK$98,$AK61,U$3:U$98,"&lt;"&amp;P61,V$3:V$98,"&gt;"&amp;O61)+COUNTIFS($AK$3:$AK$98,$AK61,W$3:W$98,"&lt;"&amp;P61,X$3:X$98,"&gt;"&amp;O61)+COUNTIFS($AK$3:$AK$98,$AK61,Y$3:Y$98,"&lt;"&amp;P61,Z$3:Z$98,"&gt;"&amp;O61)+COUNTIFS($AK$3:$AK$98,$AK61,AA$3:AA$98,"&lt;"&amp;P61,AB$3:AB$98,"&gt;"&amp;O61)+COUNTIFS($AK$3:$AK$98,$AK61,AC$3:AC$98,"&lt;"&amp;P61,AD$3:AD$98,"&gt;"&amp;O61)+COUNTIFS($AK$3:$AK$98,$AK61,AE$3:AE$98,"&lt;"&amp;P61,AF$3:AF$98,"&gt;"&amp;O61)+COUNTIFS($AK$3:$AK$98,$AK61,AG$3:AG$98,"&lt;"&amp;P61,AH$3:AH$98,"&gt;"&amp;O61)-(O61&lt;P61))</f>
        <v>0</v>
      </c>
      <c r="AV61">
        <f>AU61</f>
        <v>0</v>
      </c>
      <c r="AW61">
        <f>IF(OR($AK61="",Q61="",R61=""),0,COUNTIFS($AK$3:$AK$98,$AK61,K$3:K$98,"&lt;"&amp;R61,L$3:L$98,"&gt;"&amp;Q61)+COUNTIFS($AK$3:$AK$98,$AK61,M$3:M$98,"&lt;"&amp;R61,N$3:N$98,"&gt;"&amp;Q61)+COUNTIFS($AK$3:$AK$98,$AK61,O$3:O$98,"&lt;"&amp;R61,P$3:P$98,"&gt;"&amp;Q61)+COUNTIFS($AK$3:$AK$98,$AK61,Q$3:Q$98,"&lt;"&amp;R61,R$3:R$98,"&gt;"&amp;Q61)+COUNTIFS($AK$3:$AK$98,$AK61,S$3:S$98,"&lt;"&amp;R61,T$3:T$98,"&gt;"&amp;Q61)+COUNTIFS($AK$3:$AK$98,$AK61,U$3:U$98,"&lt;"&amp;R61,V$3:V$98,"&gt;"&amp;Q61)+COUNTIFS($AK$3:$AK$98,$AK61,W$3:W$98,"&lt;"&amp;R61,X$3:X$98,"&gt;"&amp;Q61)+COUNTIFS($AK$3:$AK$98,$AK61,Y$3:Y$98,"&lt;"&amp;R61,Z$3:Z$98,"&gt;"&amp;Q61)+COUNTIFS($AK$3:$AK$98,$AK61,AA$3:AA$98,"&lt;"&amp;R61,AB$3:AB$98,"&gt;"&amp;Q61)+COUNTIFS($AK$3:$AK$98,$AK61,AC$3:AC$98,"&lt;"&amp;R61,AD$3:AD$98,"&gt;"&amp;Q61)+COUNTIFS($AK$3:$AK$98,$AK61,AE$3:AE$98,"&lt;"&amp;R61,AF$3:AF$98,"&gt;"&amp;Q61)+COUNTIFS($AK$3:$AK$98,$AK61,AG$3:AG$98,"&lt;"&amp;R61,AH$3:AH$98,"&gt;"&amp;Q61)-(Q61&lt;R61))</f>
        <v>0</v>
      </c>
      <c r="AX61">
        <f>AW61</f>
        <v>0</v>
      </c>
      <c r="AY61">
        <f>IF(OR($AK61="",S61="",T61=""),0,COUNTIFS($AK$3:$AK$98,$AK61,K$3:K$98,"&lt;"&amp;T61,L$3:L$98,"&gt;"&amp;S61)+COUNTIFS($AK$3:$AK$98,$AK61,M$3:M$98,"&lt;"&amp;T61,N$3:N$98,"&gt;"&amp;S61)+COUNTIFS($AK$3:$AK$98,$AK61,O$3:O$98,"&lt;"&amp;T61,P$3:P$98,"&gt;"&amp;S61)+COUNTIFS($AK$3:$AK$98,$AK61,Q$3:Q$98,"&lt;"&amp;T61,R$3:R$98,"&gt;"&amp;S61)+COUNTIFS($AK$3:$AK$98,$AK61,S$3:S$98,"&lt;"&amp;T61,T$3:T$98,"&gt;"&amp;S61)+COUNTIFS($AK$3:$AK$98,$AK61,U$3:U$98,"&lt;"&amp;T61,V$3:V$98,"&gt;"&amp;S61)+COUNTIFS($AK$3:$AK$98,$AK61,W$3:W$98,"&lt;"&amp;T61,X$3:X$98,"&gt;"&amp;S61)+COUNTIFS($AK$3:$AK$98,$AK61,Y$3:Y$98,"&lt;"&amp;T61,Z$3:Z$98,"&gt;"&amp;S61)+COUNTIFS($AK$3:$AK$98,$AK61,AA$3:AA$98,"&lt;"&amp;T61,AB$3:AB$98,"&gt;"&amp;S61)+COUNTIFS($AK$3:$AK$98,$AK61,AC$3:AC$98,"&lt;"&amp;T61,AD$3:AD$98,"&gt;"&amp;S61)+COUNTIFS($AK$3:$AK$98,$AK61,AE$3:AE$98,"&lt;"&amp;T61,AF$3:AF$98,"&gt;"&amp;S61)+COUNTIFS($AK$3:$AK$98,$AK61,AG$3:AG$98,"&lt;"&amp;T61,AH$3:AH$98,"&gt;"&amp;S61)-(S61&lt;T61))</f>
        <v>0</v>
      </c>
      <c r="AZ61">
        <f>AY61</f>
        <v>0</v>
      </c>
      <c r="BA61">
        <f>IF(OR($AK61="",U61="",V61=""),0,COUNTIFS($AK$3:$AK$98,$AK61,K$3:K$98,"&lt;"&amp;V61,L$3:L$98,"&gt;"&amp;U61)+COUNTIFS($AK$3:$AK$98,$AK61,M$3:M$98,"&lt;"&amp;V61,N$3:N$98,"&gt;"&amp;U61)+COUNTIFS($AK$3:$AK$98,$AK61,O$3:O$98,"&lt;"&amp;V61,P$3:P$98,"&gt;"&amp;U61)+COUNTIFS($AK$3:$AK$98,$AK61,Q$3:Q$98,"&lt;"&amp;V61,R$3:R$98,"&gt;"&amp;U61)+COUNTIFS($AK$3:$AK$98,$AK61,S$3:S$98,"&lt;"&amp;V61,T$3:T$98,"&gt;"&amp;U61)+COUNTIFS($AK$3:$AK$98,$AK61,U$3:U$98,"&lt;"&amp;V61,V$3:V$98,"&gt;"&amp;U61)+COUNTIFS($AK$3:$AK$98,$AK61,W$3:W$98,"&lt;"&amp;V61,X$3:X$98,"&gt;"&amp;U61)+COUNTIFS($AK$3:$AK$98,$AK61,Y$3:Y$98,"&lt;"&amp;V61,Z$3:Z$98,"&gt;"&amp;U61)+COUNTIFS($AK$3:$AK$98,$AK61,AA$3:AA$98,"&lt;"&amp;V61,AB$3:AB$98,"&gt;"&amp;U61)+COUNTIFS($AK$3:$AK$98,$AK61,AC$3:AC$98,"&lt;"&amp;V61,AD$3:AD$98,"&gt;"&amp;U61)+COUNTIFS($AK$3:$AK$98,$AK61,AE$3:AE$98,"&lt;"&amp;V61,AF$3:AF$98,"&gt;"&amp;U61)+COUNTIFS($AK$3:$AK$98,$AK61,AG$3:AG$98,"&lt;"&amp;V61,AH$3:AH$98,"&gt;"&amp;U61)-(U61&lt;V61))</f>
        <v>0</v>
      </c>
      <c r="BB61">
        <f>BA61</f>
        <v>0</v>
      </c>
      <c r="BC61">
        <f>IF(OR($AK61="",W61="",X61=""),0,COUNTIFS($AK$3:$AK$98,$AK61,K$3:K$98,"&lt;"&amp;X61,L$3:L$98,"&gt;"&amp;W61)+COUNTIFS($AK$3:$AK$98,$AK61,M$3:M$98,"&lt;"&amp;X61,N$3:N$98,"&gt;"&amp;W61)+COUNTIFS($AK$3:$AK$98,$AK61,O$3:O$98,"&lt;"&amp;X61,P$3:P$98,"&gt;"&amp;W61)+COUNTIFS($AK$3:$AK$98,$AK61,Q$3:Q$98,"&lt;"&amp;X61,R$3:R$98,"&gt;"&amp;W61)+COUNTIFS($AK$3:$AK$98,$AK61,S$3:S$98,"&lt;"&amp;X61,T$3:T$98,"&gt;"&amp;W61)+COUNTIFS($AK$3:$AK$98,$AK61,U$3:U$98,"&lt;"&amp;X61,V$3:V$98,"&gt;"&amp;W61)+COUNTIFS($AK$3:$AK$98,$AK61,W$3:W$98,"&lt;"&amp;X61,X$3:X$98,"&gt;"&amp;W61)+COUNTIFS($AK$3:$AK$98,$AK61,Y$3:Y$98,"&lt;"&amp;X61,Z$3:Z$98,"&gt;"&amp;W61)+COUNTIFS($AK$3:$AK$98,$AK61,AA$3:AA$98,"&lt;"&amp;X61,AB$3:AB$98,"&gt;"&amp;W61)+COUNTIFS($AK$3:$AK$98,$AK61,AC$3:AC$98,"&lt;"&amp;X61,AD$3:AD$98,"&gt;"&amp;W61)+COUNTIFS($AK$3:$AK$98,$AK61,AE$3:AE$98,"&lt;"&amp;X61,AF$3:AF$98,"&gt;"&amp;W61)+COUNTIFS($AK$3:$AK$98,$AK61,AG$3:AG$98,"&lt;"&amp;X61,AH$3:AH$98,"&gt;"&amp;W61)-(W61&lt;X61))</f>
        <v>0</v>
      </c>
      <c r="BD61">
        <f>BC61</f>
        <v>0</v>
      </c>
      <c r="BE61">
        <f>IF(OR($AK61="",Y61="",Z61=""),0,COUNTIFS($AK$3:$AK$98,$AK61,K$3:K$98,"&lt;"&amp;Z61,L$3:L$98,"&gt;"&amp;Y61)+COUNTIFS($AK$3:$AK$98,$AK61,M$3:M$98,"&lt;"&amp;Z61,N$3:N$98,"&gt;"&amp;Y61)+COUNTIFS($AK$3:$AK$98,$AK61,O$3:O$98,"&lt;"&amp;Z61,P$3:P$98,"&gt;"&amp;Y61)+COUNTIFS($AK$3:$AK$98,$AK61,Q$3:Q$98,"&lt;"&amp;Z61,R$3:R$98,"&gt;"&amp;Y61)+COUNTIFS($AK$3:$AK$98,$AK61,S$3:S$98,"&lt;"&amp;Z61,T$3:T$98,"&gt;"&amp;Y61)+COUNTIFS($AK$3:$AK$98,$AK61,U$3:U$98,"&lt;"&amp;Z61,V$3:V$98,"&gt;"&amp;Y61)+COUNTIFS($AK$3:$AK$98,$AK61,W$3:W$98,"&lt;"&amp;Z61,X$3:X$98,"&gt;"&amp;Y61)+COUNTIFS($AK$3:$AK$98,$AK61,Y$3:Y$98,"&lt;"&amp;Z61,Z$3:Z$98,"&gt;"&amp;Y61)+COUNTIFS($AK$3:$AK$98,$AK61,AA$3:AA$98,"&lt;"&amp;Z61,AB$3:AB$98,"&gt;"&amp;Y61)+COUNTIFS($AK$3:$AK$98,$AK61,AC$3:AC$98,"&lt;"&amp;Z61,AD$3:AD$98,"&gt;"&amp;Y61)+COUNTIFS($AK$3:$AK$98,$AK61,AE$3:AE$98,"&lt;"&amp;Z61,AF$3:AF$98,"&gt;"&amp;Y61)+COUNTIFS($AK$3:$AK$98,$AK61,AG$3:AG$98,"&lt;"&amp;Z61,AH$3:AH$98,"&gt;"&amp;Y61)-(Y61&lt;Z61))</f>
        <v>0</v>
      </c>
      <c r="BF61">
        <f>BE61</f>
        <v>0</v>
      </c>
      <c r="BG61">
        <f>IF(OR($AK61="",AA61="",AB61=""),0,COUNTIFS($AK$3:$AK$98,$AK61,K$3:K$98,"&lt;"&amp;AB61,L$3:L$98,"&gt;"&amp;AA61)+COUNTIFS($AK$3:$AK$98,$AK61,M$3:M$98,"&lt;"&amp;AB61,N$3:N$98,"&gt;"&amp;AA61)+COUNTIFS($AK$3:$AK$98,$AK61,O$3:O$98,"&lt;"&amp;AB61,P$3:P$98,"&gt;"&amp;AA61)+COUNTIFS($AK$3:$AK$98,$AK61,Q$3:Q$98,"&lt;"&amp;AB61,R$3:R$98,"&gt;"&amp;AA61)+COUNTIFS($AK$3:$AK$98,$AK61,S$3:S$98,"&lt;"&amp;AB61,T$3:T$98,"&gt;"&amp;AA61)+COUNTIFS($AK$3:$AK$98,$AK61,U$3:U$98,"&lt;"&amp;AB61,V$3:V$98,"&gt;"&amp;AA61)+COUNTIFS($AK$3:$AK$98,$AK61,W$3:W$98,"&lt;"&amp;AB61,X$3:X$98,"&gt;"&amp;AA61)+COUNTIFS($AK$3:$AK$98,$AK61,Y$3:Y$98,"&lt;"&amp;AB61,Z$3:Z$98,"&gt;"&amp;AA61)+COUNTIFS($AK$3:$AK$98,$AK61,AA$3:AA$98,"&lt;"&amp;AB61,AB$3:AB$98,"&gt;"&amp;AA61)+COUNTIFS($AK$3:$AK$98,$AK61,AC$3:AC$98,"&lt;"&amp;AB61,AD$3:AD$98,"&gt;"&amp;AA61)+COUNTIFS($AK$3:$AK$98,$AK61,AE$3:AE$98,"&lt;"&amp;AB61,AF$3:AF$98,"&gt;"&amp;AA61)+COUNTIFS($AK$3:$AK$98,$AK61,AG$3:AG$98,"&lt;"&amp;AB61,AH$3:AH$98,"&gt;"&amp;AA61)-(AA61&lt;AB61))</f>
        <v>0</v>
      </c>
      <c r="BH61">
        <f>BG61</f>
        <v>0</v>
      </c>
      <c r="BI61">
        <f>IF(OR($AK61="",AC61="",AD61=""),0,COUNTIFS($AK$3:$AK$98,$AK61,K$3:K$98,"&lt;"&amp;AD61,L$3:L$98,"&gt;"&amp;AC61)+COUNTIFS($AK$3:$AK$98,$AK61,M$3:M$98,"&lt;"&amp;AD61,N$3:N$98,"&gt;"&amp;AC61)+COUNTIFS($AK$3:$AK$98,$AK61,O$3:O$98,"&lt;"&amp;AD61,P$3:P$98,"&gt;"&amp;AC61)+COUNTIFS($AK$3:$AK$98,$AK61,Q$3:Q$98,"&lt;"&amp;AD61,R$3:R$98,"&gt;"&amp;AC61)+COUNTIFS($AK$3:$AK$98,$AK61,S$3:S$98,"&lt;"&amp;AD61,T$3:T$98,"&gt;"&amp;AC61)+COUNTIFS($AK$3:$AK$98,$AK61,U$3:U$98,"&lt;"&amp;AD61,V$3:V$98,"&gt;"&amp;AC61)+COUNTIFS($AK$3:$AK$98,$AK61,W$3:W$98,"&lt;"&amp;AD61,X$3:X$98,"&gt;"&amp;AC61)+COUNTIFS($AK$3:$AK$98,$AK61,Y$3:Y$98,"&lt;"&amp;AD61,Z$3:Z$98,"&gt;"&amp;AC61)+COUNTIFS($AK$3:$AK$98,$AK61,AA$3:AA$98,"&lt;"&amp;AD61,AB$3:AB$98,"&gt;"&amp;AC61)+COUNTIFS($AK$3:$AK$98,$AK61,AC$3:AC$98,"&lt;"&amp;AD61,AD$3:AD$98,"&gt;"&amp;AC61)+COUNTIFS($AK$3:$AK$98,$AK61,AE$3:AE$98,"&lt;"&amp;AD61,AF$3:AF$98,"&gt;"&amp;AC61)+COUNTIFS($AK$3:$AK$98,$AK61,AG$3:AG$98,"&lt;"&amp;AD61,AH$3:AH$98,"&gt;"&amp;AC61)-(AC61&lt;AD61))</f>
        <v>0</v>
      </c>
      <c r="BJ61">
        <f>BI61</f>
        <v>0</v>
      </c>
      <c r="BK61">
        <f>IF(OR($AK61="",AE61="",AF61=""),0,COUNTIFS($AK$3:$AK$98,$AK61,K$3:K$98,"&lt;"&amp;AF61,L$3:L$98,"&gt;"&amp;AE61)+COUNTIFS($AK$3:$AK$98,$AK61,M$3:M$98,"&lt;"&amp;AF61,N$3:N$98,"&gt;"&amp;AE61)+COUNTIFS($AK$3:$AK$98,$AK61,O$3:O$98,"&lt;"&amp;AF61,P$3:P$98,"&gt;"&amp;AE61)+COUNTIFS($AK$3:$AK$98,$AK61,Q$3:Q$98,"&lt;"&amp;AF61,R$3:R$98,"&gt;"&amp;AE61)+COUNTIFS($AK$3:$AK$98,$AK61,S$3:S$98,"&lt;"&amp;AF61,T$3:T$98,"&gt;"&amp;AE61)+COUNTIFS($AK$3:$AK$98,$AK61,U$3:U$98,"&lt;"&amp;AF61,V$3:V$98,"&gt;"&amp;AE61)+COUNTIFS($AK$3:$AK$98,$AK61,W$3:W$98,"&lt;"&amp;AF61,X$3:X$98,"&gt;"&amp;AE61)+COUNTIFS($AK$3:$AK$98,$AK61,Y$3:Y$98,"&lt;"&amp;AF61,Z$3:Z$98,"&gt;"&amp;AE61)+COUNTIFS($AK$3:$AK$98,$AK61,AA$3:AA$98,"&lt;"&amp;AF61,AB$3:AB$98,"&gt;"&amp;AE61)+COUNTIFS($AK$3:$AK$98,$AK61,AC$3:AC$98,"&lt;"&amp;AF61,AD$3:AD$98,"&gt;"&amp;AE61)+COUNTIFS($AK$3:$AK$98,$AK61,AE$3:AE$98,"&lt;"&amp;AF61,AF$3:AF$98,"&gt;"&amp;AE61)+COUNTIFS($AK$3:$AK$98,$AK61,AG$3:AG$98,"&lt;"&amp;AF61,AH$3:AH$98,"&gt;"&amp;AE61)-(AE61&lt;AF61))</f>
        <v>0</v>
      </c>
      <c r="BL61">
        <f>BK61</f>
        <v>0</v>
      </c>
      <c r="BM61">
        <f>IF(OR($AK61="",AG61="",AH61=""),0,COUNTIFS($AK$3:$AK$98,$AK61,K$3:K$98,"&lt;"&amp;AH61,L$3:L$98,"&gt;"&amp;AG61)+COUNTIFS($AK$3:$AK$98,$AK61,M$3:M$98,"&lt;"&amp;AH61,N$3:N$98,"&gt;"&amp;AG61)+COUNTIFS($AK$3:$AK$98,$AK61,O$3:O$98,"&lt;"&amp;AH61,P$3:P$98,"&gt;"&amp;AG61)+COUNTIFS($AK$3:$AK$98,$AK61,Q$3:Q$98,"&lt;"&amp;AH61,R$3:R$98,"&gt;"&amp;AG61)+COUNTIFS($AK$3:$AK$98,$AK61,S$3:S$98,"&lt;"&amp;AH61,T$3:T$98,"&gt;"&amp;AG61)+COUNTIFS($AK$3:$AK$98,$AK61,U$3:U$98,"&lt;"&amp;AH61,V$3:V$98,"&gt;"&amp;AG61)+COUNTIFS($AK$3:$AK$98,$AK61,W$3:W$98,"&lt;"&amp;AH61,X$3:X$98,"&gt;"&amp;AG61)+COUNTIFS($AK$3:$AK$98,$AK61,Y$3:Y$98,"&lt;"&amp;AH61,Z$3:Z$98,"&gt;"&amp;AG61)+COUNTIFS($AK$3:$AK$98,$AK61,AA$3:AA$98,"&lt;"&amp;AH61,AB$3:AB$98,"&gt;"&amp;AG61)+COUNTIFS($AK$3:$AK$98,$AK61,AC$3:AC$98,"&lt;"&amp;AH61,AD$3:AD$98,"&gt;"&amp;AG61)+COUNTIFS($AK$3:$AK$98,$AK61,AE$3:AE$98,"&lt;"&amp;AH61,AF$3:AF$98,"&gt;"&amp;AG61)+COUNTIFS($AK$3:$AK$98,$AK61,AG$3:AG$98,"&lt;"&amp;AH61,AH$3:AH$98,"&gt;"&amp;AG61)-(AG61&lt;AH61))</f>
        <v>0</v>
      </c>
      <c r="BN61">
        <f>BM61</f>
        <v>0</v>
      </c>
      <c r="BO61">
        <f ca="1">IF(ISNUMBER($G61),$G61,"")</f>
        <v>0.75</v>
      </c>
      <c r="BP61">
        <f>IF(AND($A61&lt;&gt;"",COUNT($K61:$AH61)&gt;0),ROW(),"")</f>
        <v>61</v>
      </c>
    </row>
    <row r="62" spans="1:68" x14ac:dyDescent="0.15">
      <c r="A62" s="13" t="s">
        <v>48</v>
      </c>
      <c r="B62" s="14" t="str">
        <f>IF($A62="","","total")</f>
        <v>total</v>
      </c>
      <c r="C62" s="14"/>
      <c r="D62" s="15">
        <f>IF($A62="","",SUM(D63:D65))</f>
        <v>17</v>
      </c>
      <c r="E62" s="15">
        <f>IF($A62="","",SUM(E63:E65))</f>
        <v>17</v>
      </c>
      <c r="F62" s="15">
        <f>IF($A62="","",D62-E62)</f>
        <v>0</v>
      </c>
      <c r="G62" s="16">
        <f>IF($A62="","",IFERROR(AVERAGEIFS(G63:G65,H63:H65,"&lt;&gt;未着手",H63:H65,"&lt;&gt;作業中"),""))</f>
        <v>1</v>
      </c>
      <c r="H62" s="14"/>
      <c r="I62" s="14"/>
      <c r="J62" s="14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 spans="1:68" x14ac:dyDescent="0.15">
      <c r="A63" s="18" t="str">
        <f>IF($A62="","",$A62)</f>
        <v>chMobSaiyanB</v>
      </c>
      <c r="B63" s="19" t="str">
        <f>IF($A62="","","low")</f>
        <v>low</v>
      </c>
      <c r="C63" s="19"/>
      <c r="D63" s="20">
        <v>8</v>
      </c>
      <c r="E63" s="21">
        <f>IF(AND($D63="",COUNT($K63:$AH63)=0),"",IF(K63="",0,MAX(0,NETWORKDAYS(K63,IF(L63&lt;&gt;"",L63,IF($J63&lt;&gt;"",K63,$AI$1)),祝日!$A$2:$A$200)))+IF(M63="",0,MAX(0,NETWORKDAYS(M63,IF(N63&lt;&gt;"",N63,IF($J63&lt;&gt;"",M63,$AI$1)),祝日!$A$2:$A$200)))+IF(O63="",0,MAX(0,NETWORKDAYS(O63,IF(P63&lt;&gt;"",P63,IF($J63&lt;&gt;"",O63,$AI$1)),祝日!$A$2:$A$200)))+IF(Q63="",0,MAX(0,NETWORKDAYS(Q63,IF(R63&lt;&gt;"",R63,IF($J63&lt;&gt;"",Q63,$AI$1)),祝日!$A$2:$A$200)))+IF(S63="",0,MAX(0,NETWORKDAYS(S63,IF(T63&lt;&gt;"",T63,IF($J63&lt;&gt;"",S63,$AI$1)),祝日!$A$2:$A$200)))+IF(U63="",0,MAX(0,NETWORKDAYS(U63,IF(V63&lt;&gt;"",V63,IF($J63&lt;&gt;"",U63,$AI$1)),祝日!$A$2:$A$200)))+IF(W63="",0,MAX(0,NETWORKDAYS(W63,IF(X63&lt;&gt;"",X63,IF($J63&lt;&gt;"",W63,$AI$1)),祝日!$A$2:$A$200)))+IF(Y63="",0,MAX(0,NETWORKDAYS(Y63,IF(Z63&lt;&gt;"",Z63,IF($J63&lt;&gt;"",Y63,$AI$1)),祝日!$A$2:$A$200)))+IF(AA63="",0,MAX(0,NETWORKDAYS(AA63,IF(AB63&lt;&gt;"",AB63,IF($J63&lt;&gt;"",AA63,$AI$1)),祝日!$A$2:$A$200)))+IF(AC63="",0,MAX(0,NETWORKDAYS(AC63,IF(AD63&lt;&gt;"",AD63,IF($J63&lt;&gt;"",AC63,$AI$1)),祝日!$A$2:$A$200)))+IF(AE63="",0,MAX(0,NETWORKDAYS(AE63,IF(AF63&lt;&gt;"",AF63,IF($J63&lt;&gt;"",AE63,$AI$1)),祝日!$A$2:$A$200)))+IF(AG63="",0,MAX(0,NETWORKDAYS(AG63,IF(AH63&lt;&gt;"",AH63,IF($J63&lt;&gt;"",AG63,$AI$1)),祝日!$A$2:$A$200))))</f>
        <v>8</v>
      </c>
      <c r="F63" s="21">
        <f>IF($D63="","",$D63-$E63)</f>
        <v>0</v>
      </c>
      <c r="G63" s="22">
        <f>IF(OR($D63="",$D63=0),"",$E63/$D63)</f>
        <v>1</v>
      </c>
      <c r="H63" s="23" t="str">
        <f>IF($D63="","",IF($J63&lt;&gt;"","FIX",IF(AND(SUMPRODUCT((MOD(COLUMN($K63:$AH63)-COLUMN($K63),2)=0)*($K63:$AH63&lt;&gt;""))=0,SUMPRODUCT((MOD(COLUMN($K63:$AH63)-COLUMN($K63),2)=1)*($K63:$AH63&lt;&gt;""))=0),"未着手",IF(SUMPRODUCT((MOD(COLUMN($K63:$AH63)-COLUMN($K63),2)=0)*($K63:$AH63&lt;&gt;""))&gt;SUMPRODUCT((MOD(COLUMN($K63:$AH63)-COLUMN($K63),2)=1)*($K63:$AH63&lt;&gt;"")),"作業中","中断"))))</f>
        <v>FIX</v>
      </c>
      <c r="I63" s="23" t="str">
        <f>IF($H63="中断",MAX(0,$AI$1-MAX(L63,N63,P63,R63,T63,V63,X63,Z63,AB63,AD63,AF63,AH63)),"")</f>
        <v/>
      </c>
      <c r="J63" s="19" t="s">
        <v>37</v>
      </c>
      <c r="K63" s="24">
        <v>46237</v>
      </c>
      <c r="L63" s="24">
        <v>46252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K63" t="str">
        <f>IF($A62="","",IF(LOOKUP(2,1/($AJ$3:$AJ63&lt;&gt;""),$AJ$3:$AJ63)="-","",LOOKUP(2,1/($AJ$3:$AJ63&lt;&gt;""),$AJ$3:$AJ63)))</f>
        <v>CH03</v>
      </c>
      <c r="AL63" t="str">
        <f>$H63</f>
        <v>FIX</v>
      </c>
      <c r="AM63">
        <f>IF(ISNUMBER($D63),$D63,0)</f>
        <v>8</v>
      </c>
      <c r="AN63">
        <f>IF(ISNUMBER($E63),$E63,0)</f>
        <v>8</v>
      </c>
      <c r="AO63">
        <f>IF(ISNUMBER($F63),$F63,0)</f>
        <v>0</v>
      </c>
      <c r="AQ63">
        <f>IF(OR($AK63="",K63="",L63=""),0,COUNTIFS($AK$3:$AK$98,$AK63,K$3:K$98,"&lt;"&amp;L63,L$3:L$98,"&gt;"&amp;K63)+COUNTIFS($AK$3:$AK$98,$AK63,M$3:M$98,"&lt;"&amp;L63,N$3:N$98,"&gt;"&amp;K63)+COUNTIFS($AK$3:$AK$98,$AK63,O$3:O$98,"&lt;"&amp;L63,P$3:P$98,"&gt;"&amp;K63)+COUNTIFS($AK$3:$AK$98,$AK63,Q$3:Q$98,"&lt;"&amp;L63,R$3:R$98,"&gt;"&amp;K63)+COUNTIFS($AK$3:$AK$98,$AK63,S$3:S$98,"&lt;"&amp;L63,T$3:T$98,"&gt;"&amp;K63)+COUNTIFS($AK$3:$AK$98,$AK63,U$3:U$98,"&lt;"&amp;L63,V$3:V$98,"&gt;"&amp;K63)+COUNTIFS($AK$3:$AK$98,$AK63,W$3:W$98,"&lt;"&amp;L63,X$3:X$98,"&gt;"&amp;K63)+COUNTIFS($AK$3:$AK$98,$AK63,Y$3:Y$98,"&lt;"&amp;L63,Z$3:Z$98,"&gt;"&amp;K63)+COUNTIFS($AK$3:$AK$98,$AK63,AA$3:AA$98,"&lt;"&amp;L63,AB$3:AB$98,"&gt;"&amp;K63)+COUNTIFS($AK$3:$AK$98,$AK63,AC$3:AC$98,"&lt;"&amp;L63,AD$3:AD$98,"&gt;"&amp;K63)+COUNTIFS($AK$3:$AK$98,$AK63,AE$3:AE$98,"&lt;"&amp;L63,AF$3:AF$98,"&gt;"&amp;K63)+COUNTIFS($AK$3:$AK$98,$AK63,AG$3:AG$98,"&lt;"&amp;L63,AH$3:AH$98,"&gt;"&amp;K63)-(K63&lt;L63))</f>
        <v>0</v>
      </c>
      <c r="AR63">
        <f>AQ63</f>
        <v>0</v>
      </c>
      <c r="AS63">
        <f>IF(OR($AK63="",M63="",N63=""),0,COUNTIFS($AK$3:$AK$98,$AK63,K$3:K$98,"&lt;"&amp;N63,L$3:L$98,"&gt;"&amp;M63)+COUNTIFS($AK$3:$AK$98,$AK63,M$3:M$98,"&lt;"&amp;N63,N$3:N$98,"&gt;"&amp;M63)+COUNTIFS($AK$3:$AK$98,$AK63,O$3:O$98,"&lt;"&amp;N63,P$3:P$98,"&gt;"&amp;M63)+COUNTIFS($AK$3:$AK$98,$AK63,Q$3:Q$98,"&lt;"&amp;N63,R$3:R$98,"&gt;"&amp;M63)+COUNTIFS($AK$3:$AK$98,$AK63,S$3:S$98,"&lt;"&amp;N63,T$3:T$98,"&gt;"&amp;M63)+COUNTIFS($AK$3:$AK$98,$AK63,U$3:U$98,"&lt;"&amp;N63,V$3:V$98,"&gt;"&amp;M63)+COUNTIFS($AK$3:$AK$98,$AK63,W$3:W$98,"&lt;"&amp;N63,X$3:X$98,"&gt;"&amp;M63)+COUNTIFS($AK$3:$AK$98,$AK63,Y$3:Y$98,"&lt;"&amp;N63,Z$3:Z$98,"&gt;"&amp;M63)+COUNTIFS($AK$3:$AK$98,$AK63,AA$3:AA$98,"&lt;"&amp;N63,AB$3:AB$98,"&gt;"&amp;M63)+COUNTIFS($AK$3:$AK$98,$AK63,AC$3:AC$98,"&lt;"&amp;N63,AD$3:AD$98,"&gt;"&amp;M63)+COUNTIFS($AK$3:$AK$98,$AK63,AE$3:AE$98,"&lt;"&amp;N63,AF$3:AF$98,"&gt;"&amp;M63)+COUNTIFS($AK$3:$AK$98,$AK63,AG$3:AG$98,"&lt;"&amp;N63,AH$3:AH$98,"&gt;"&amp;M63)-(M63&lt;N63))</f>
        <v>0</v>
      </c>
      <c r="AT63">
        <f>AS63</f>
        <v>0</v>
      </c>
      <c r="AU63">
        <f>IF(OR($AK63="",O63="",P63=""),0,COUNTIFS($AK$3:$AK$98,$AK63,K$3:K$98,"&lt;"&amp;P63,L$3:L$98,"&gt;"&amp;O63)+COUNTIFS($AK$3:$AK$98,$AK63,M$3:M$98,"&lt;"&amp;P63,N$3:N$98,"&gt;"&amp;O63)+COUNTIFS($AK$3:$AK$98,$AK63,O$3:O$98,"&lt;"&amp;P63,P$3:P$98,"&gt;"&amp;O63)+COUNTIFS($AK$3:$AK$98,$AK63,Q$3:Q$98,"&lt;"&amp;P63,R$3:R$98,"&gt;"&amp;O63)+COUNTIFS($AK$3:$AK$98,$AK63,S$3:S$98,"&lt;"&amp;P63,T$3:T$98,"&gt;"&amp;O63)+COUNTIFS($AK$3:$AK$98,$AK63,U$3:U$98,"&lt;"&amp;P63,V$3:V$98,"&gt;"&amp;O63)+COUNTIFS($AK$3:$AK$98,$AK63,W$3:W$98,"&lt;"&amp;P63,X$3:X$98,"&gt;"&amp;O63)+COUNTIFS($AK$3:$AK$98,$AK63,Y$3:Y$98,"&lt;"&amp;P63,Z$3:Z$98,"&gt;"&amp;O63)+COUNTIFS($AK$3:$AK$98,$AK63,AA$3:AA$98,"&lt;"&amp;P63,AB$3:AB$98,"&gt;"&amp;O63)+COUNTIFS($AK$3:$AK$98,$AK63,AC$3:AC$98,"&lt;"&amp;P63,AD$3:AD$98,"&gt;"&amp;O63)+COUNTIFS($AK$3:$AK$98,$AK63,AE$3:AE$98,"&lt;"&amp;P63,AF$3:AF$98,"&gt;"&amp;O63)+COUNTIFS($AK$3:$AK$98,$AK63,AG$3:AG$98,"&lt;"&amp;P63,AH$3:AH$98,"&gt;"&amp;O63)-(O63&lt;P63))</f>
        <v>0</v>
      </c>
      <c r="AV63">
        <f>AU63</f>
        <v>0</v>
      </c>
      <c r="AW63">
        <f>IF(OR($AK63="",Q63="",R63=""),0,COUNTIFS($AK$3:$AK$98,$AK63,K$3:K$98,"&lt;"&amp;R63,L$3:L$98,"&gt;"&amp;Q63)+COUNTIFS($AK$3:$AK$98,$AK63,M$3:M$98,"&lt;"&amp;R63,N$3:N$98,"&gt;"&amp;Q63)+COUNTIFS($AK$3:$AK$98,$AK63,O$3:O$98,"&lt;"&amp;R63,P$3:P$98,"&gt;"&amp;Q63)+COUNTIFS($AK$3:$AK$98,$AK63,Q$3:Q$98,"&lt;"&amp;R63,R$3:R$98,"&gt;"&amp;Q63)+COUNTIFS($AK$3:$AK$98,$AK63,S$3:S$98,"&lt;"&amp;R63,T$3:T$98,"&gt;"&amp;Q63)+COUNTIFS($AK$3:$AK$98,$AK63,U$3:U$98,"&lt;"&amp;R63,V$3:V$98,"&gt;"&amp;Q63)+COUNTIFS($AK$3:$AK$98,$AK63,W$3:W$98,"&lt;"&amp;R63,X$3:X$98,"&gt;"&amp;Q63)+COUNTIFS($AK$3:$AK$98,$AK63,Y$3:Y$98,"&lt;"&amp;R63,Z$3:Z$98,"&gt;"&amp;Q63)+COUNTIFS($AK$3:$AK$98,$AK63,AA$3:AA$98,"&lt;"&amp;R63,AB$3:AB$98,"&gt;"&amp;Q63)+COUNTIFS($AK$3:$AK$98,$AK63,AC$3:AC$98,"&lt;"&amp;R63,AD$3:AD$98,"&gt;"&amp;Q63)+COUNTIFS($AK$3:$AK$98,$AK63,AE$3:AE$98,"&lt;"&amp;R63,AF$3:AF$98,"&gt;"&amp;Q63)+COUNTIFS($AK$3:$AK$98,$AK63,AG$3:AG$98,"&lt;"&amp;R63,AH$3:AH$98,"&gt;"&amp;Q63)-(Q63&lt;R63))</f>
        <v>0</v>
      </c>
      <c r="AX63">
        <f>AW63</f>
        <v>0</v>
      </c>
      <c r="AY63">
        <f>IF(OR($AK63="",S63="",T63=""),0,COUNTIFS($AK$3:$AK$98,$AK63,K$3:K$98,"&lt;"&amp;T63,L$3:L$98,"&gt;"&amp;S63)+COUNTIFS($AK$3:$AK$98,$AK63,M$3:M$98,"&lt;"&amp;T63,N$3:N$98,"&gt;"&amp;S63)+COUNTIFS($AK$3:$AK$98,$AK63,O$3:O$98,"&lt;"&amp;T63,P$3:P$98,"&gt;"&amp;S63)+COUNTIFS($AK$3:$AK$98,$AK63,Q$3:Q$98,"&lt;"&amp;T63,R$3:R$98,"&gt;"&amp;S63)+COUNTIFS($AK$3:$AK$98,$AK63,S$3:S$98,"&lt;"&amp;T63,T$3:T$98,"&gt;"&amp;S63)+COUNTIFS($AK$3:$AK$98,$AK63,U$3:U$98,"&lt;"&amp;T63,V$3:V$98,"&gt;"&amp;S63)+COUNTIFS($AK$3:$AK$98,$AK63,W$3:W$98,"&lt;"&amp;T63,X$3:X$98,"&gt;"&amp;S63)+COUNTIFS($AK$3:$AK$98,$AK63,Y$3:Y$98,"&lt;"&amp;T63,Z$3:Z$98,"&gt;"&amp;S63)+COUNTIFS($AK$3:$AK$98,$AK63,AA$3:AA$98,"&lt;"&amp;T63,AB$3:AB$98,"&gt;"&amp;S63)+COUNTIFS($AK$3:$AK$98,$AK63,AC$3:AC$98,"&lt;"&amp;T63,AD$3:AD$98,"&gt;"&amp;S63)+COUNTIFS($AK$3:$AK$98,$AK63,AE$3:AE$98,"&lt;"&amp;T63,AF$3:AF$98,"&gt;"&amp;S63)+COUNTIFS($AK$3:$AK$98,$AK63,AG$3:AG$98,"&lt;"&amp;T63,AH$3:AH$98,"&gt;"&amp;S63)-(S63&lt;T63))</f>
        <v>0</v>
      </c>
      <c r="AZ63">
        <f>AY63</f>
        <v>0</v>
      </c>
      <c r="BA63">
        <f>IF(OR($AK63="",U63="",V63=""),0,COUNTIFS($AK$3:$AK$98,$AK63,K$3:K$98,"&lt;"&amp;V63,L$3:L$98,"&gt;"&amp;U63)+COUNTIFS($AK$3:$AK$98,$AK63,M$3:M$98,"&lt;"&amp;V63,N$3:N$98,"&gt;"&amp;U63)+COUNTIFS($AK$3:$AK$98,$AK63,O$3:O$98,"&lt;"&amp;V63,P$3:P$98,"&gt;"&amp;U63)+COUNTIFS($AK$3:$AK$98,$AK63,Q$3:Q$98,"&lt;"&amp;V63,R$3:R$98,"&gt;"&amp;U63)+COUNTIFS($AK$3:$AK$98,$AK63,S$3:S$98,"&lt;"&amp;V63,T$3:T$98,"&gt;"&amp;U63)+COUNTIFS($AK$3:$AK$98,$AK63,U$3:U$98,"&lt;"&amp;V63,V$3:V$98,"&gt;"&amp;U63)+COUNTIFS($AK$3:$AK$98,$AK63,W$3:W$98,"&lt;"&amp;V63,X$3:X$98,"&gt;"&amp;U63)+COUNTIFS($AK$3:$AK$98,$AK63,Y$3:Y$98,"&lt;"&amp;V63,Z$3:Z$98,"&gt;"&amp;U63)+COUNTIFS($AK$3:$AK$98,$AK63,AA$3:AA$98,"&lt;"&amp;V63,AB$3:AB$98,"&gt;"&amp;U63)+COUNTIFS($AK$3:$AK$98,$AK63,AC$3:AC$98,"&lt;"&amp;V63,AD$3:AD$98,"&gt;"&amp;U63)+COUNTIFS($AK$3:$AK$98,$AK63,AE$3:AE$98,"&lt;"&amp;V63,AF$3:AF$98,"&gt;"&amp;U63)+COUNTIFS($AK$3:$AK$98,$AK63,AG$3:AG$98,"&lt;"&amp;V63,AH$3:AH$98,"&gt;"&amp;U63)-(U63&lt;V63))</f>
        <v>0</v>
      </c>
      <c r="BB63">
        <f>BA63</f>
        <v>0</v>
      </c>
      <c r="BC63">
        <f>IF(OR($AK63="",W63="",X63=""),0,COUNTIFS($AK$3:$AK$98,$AK63,K$3:K$98,"&lt;"&amp;X63,L$3:L$98,"&gt;"&amp;W63)+COUNTIFS($AK$3:$AK$98,$AK63,M$3:M$98,"&lt;"&amp;X63,N$3:N$98,"&gt;"&amp;W63)+COUNTIFS($AK$3:$AK$98,$AK63,O$3:O$98,"&lt;"&amp;X63,P$3:P$98,"&gt;"&amp;W63)+COUNTIFS($AK$3:$AK$98,$AK63,Q$3:Q$98,"&lt;"&amp;X63,R$3:R$98,"&gt;"&amp;W63)+COUNTIFS($AK$3:$AK$98,$AK63,S$3:S$98,"&lt;"&amp;X63,T$3:T$98,"&gt;"&amp;W63)+COUNTIFS($AK$3:$AK$98,$AK63,U$3:U$98,"&lt;"&amp;X63,V$3:V$98,"&gt;"&amp;W63)+COUNTIFS($AK$3:$AK$98,$AK63,W$3:W$98,"&lt;"&amp;X63,X$3:X$98,"&gt;"&amp;W63)+COUNTIFS($AK$3:$AK$98,$AK63,Y$3:Y$98,"&lt;"&amp;X63,Z$3:Z$98,"&gt;"&amp;W63)+COUNTIFS($AK$3:$AK$98,$AK63,AA$3:AA$98,"&lt;"&amp;X63,AB$3:AB$98,"&gt;"&amp;W63)+COUNTIFS($AK$3:$AK$98,$AK63,AC$3:AC$98,"&lt;"&amp;X63,AD$3:AD$98,"&gt;"&amp;W63)+COUNTIFS($AK$3:$AK$98,$AK63,AE$3:AE$98,"&lt;"&amp;X63,AF$3:AF$98,"&gt;"&amp;W63)+COUNTIFS($AK$3:$AK$98,$AK63,AG$3:AG$98,"&lt;"&amp;X63,AH$3:AH$98,"&gt;"&amp;W63)-(W63&lt;X63))</f>
        <v>0</v>
      </c>
      <c r="BD63">
        <f>BC63</f>
        <v>0</v>
      </c>
      <c r="BE63">
        <f>IF(OR($AK63="",Y63="",Z63=""),0,COUNTIFS($AK$3:$AK$98,$AK63,K$3:K$98,"&lt;"&amp;Z63,L$3:L$98,"&gt;"&amp;Y63)+COUNTIFS($AK$3:$AK$98,$AK63,M$3:M$98,"&lt;"&amp;Z63,N$3:N$98,"&gt;"&amp;Y63)+COUNTIFS($AK$3:$AK$98,$AK63,O$3:O$98,"&lt;"&amp;Z63,P$3:P$98,"&gt;"&amp;Y63)+COUNTIFS($AK$3:$AK$98,$AK63,Q$3:Q$98,"&lt;"&amp;Z63,R$3:R$98,"&gt;"&amp;Y63)+COUNTIFS($AK$3:$AK$98,$AK63,S$3:S$98,"&lt;"&amp;Z63,T$3:T$98,"&gt;"&amp;Y63)+COUNTIFS($AK$3:$AK$98,$AK63,U$3:U$98,"&lt;"&amp;Z63,V$3:V$98,"&gt;"&amp;Y63)+COUNTIFS($AK$3:$AK$98,$AK63,W$3:W$98,"&lt;"&amp;Z63,X$3:X$98,"&gt;"&amp;Y63)+COUNTIFS($AK$3:$AK$98,$AK63,Y$3:Y$98,"&lt;"&amp;Z63,Z$3:Z$98,"&gt;"&amp;Y63)+COUNTIFS($AK$3:$AK$98,$AK63,AA$3:AA$98,"&lt;"&amp;Z63,AB$3:AB$98,"&gt;"&amp;Y63)+COUNTIFS($AK$3:$AK$98,$AK63,AC$3:AC$98,"&lt;"&amp;Z63,AD$3:AD$98,"&gt;"&amp;Y63)+COUNTIFS($AK$3:$AK$98,$AK63,AE$3:AE$98,"&lt;"&amp;Z63,AF$3:AF$98,"&gt;"&amp;Y63)+COUNTIFS($AK$3:$AK$98,$AK63,AG$3:AG$98,"&lt;"&amp;Z63,AH$3:AH$98,"&gt;"&amp;Y63)-(Y63&lt;Z63))</f>
        <v>0</v>
      </c>
      <c r="BF63">
        <f>BE63</f>
        <v>0</v>
      </c>
      <c r="BG63">
        <f>IF(OR($AK63="",AA63="",AB63=""),0,COUNTIFS($AK$3:$AK$98,$AK63,K$3:K$98,"&lt;"&amp;AB63,L$3:L$98,"&gt;"&amp;AA63)+COUNTIFS($AK$3:$AK$98,$AK63,M$3:M$98,"&lt;"&amp;AB63,N$3:N$98,"&gt;"&amp;AA63)+COUNTIFS($AK$3:$AK$98,$AK63,O$3:O$98,"&lt;"&amp;AB63,P$3:P$98,"&gt;"&amp;AA63)+COUNTIFS($AK$3:$AK$98,$AK63,Q$3:Q$98,"&lt;"&amp;AB63,R$3:R$98,"&gt;"&amp;AA63)+COUNTIFS($AK$3:$AK$98,$AK63,S$3:S$98,"&lt;"&amp;AB63,T$3:T$98,"&gt;"&amp;AA63)+COUNTIFS($AK$3:$AK$98,$AK63,U$3:U$98,"&lt;"&amp;AB63,V$3:V$98,"&gt;"&amp;AA63)+COUNTIFS($AK$3:$AK$98,$AK63,W$3:W$98,"&lt;"&amp;AB63,X$3:X$98,"&gt;"&amp;AA63)+COUNTIFS($AK$3:$AK$98,$AK63,Y$3:Y$98,"&lt;"&amp;AB63,Z$3:Z$98,"&gt;"&amp;AA63)+COUNTIFS($AK$3:$AK$98,$AK63,AA$3:AA$98,"&lt;"&amp;AB63,AB$3:AB$98,"&gt;"&amp;AA63)+COUNTIFS($AK$3:$AK$98,$AK63,AC$3:AC$98,"&lt;"&amp;AB63,AD$3:AD$98,"&gt;"&amp;AA63)+COUNTIFS($AK$3:$AK$98,$AK63,AE$3:AE$98,"&lt;"&amp;AB63,AF$3:AF$98,"&gt;"&amp;AA63)+COUNTIFS($AK$3:$AK$98,$AK63,AG$3:AG$98,"&lt;"&amp;AB63,AH$3:AH$98,"&gt;"&amp;AA63)-(AA63&lt;AB63))</f>
        <v>0</v>
      </c>
      <c r="BH63">
        <f>BG63</f>
        <v>0</v>
      </c>
      <c r="BI63">
        <f>IF(OR($AK63="",AC63="",AD63=""),0,COUNTIFS($AK$3:$AK$98,$AK63,K$3:K$98,"&lt;"&amp;AD63,L$3:L$98,"&gt;"&amp;AC63)+COUNTIFS($AK$3:$AK$98,$AK63,M$3:M$98,"&lt;"&amp;AD63,N$3:N$98,"&gt;"&amp;AC63)+COUNTIFS($AK$3:$AK$98,$AK63,O$3:O$98,"&lt;"&amp;AD63,P$3:P$98,"&gt;"&amp;AC63)+COUNTIFS($AK$3:$AK$98,$AK63,Q$3:Q$98,"&lt;"&amp;AD63,R$3:R$98,"&gt;"&amp;AC63)+COUNTIFS($AK$3:$AK$98,$AK63,S$3:S$98,"&lt;"&amp;AD63,T$3:T$98,"&gt;"&amp;AC63)+COUNTIFS($AK$3:$AK$98,$AK63,U$3:U$98,"&lt;"&amp;AD63,V$3:V$98,"&gt;"&amp;AC63)+COUNTIFS($AK$3:$AK$98,$AK63,W$3:W$98,"&lt;"&amp;AD63,X$3:X$98,"&gt;"&amp;AC63)+COUNTIFS($AK$3:$AK$98,$AK63,Y$3:Y$98,"&lt;"&amp;AD63,Z$3:Z$98,"&gt;"&amp;AC63)+COUNTIFS($AK$3:$AK$98,$AK63,AA$3:AA$98,"&lt;"&amp;AD63,AB$3:AB$98,"&gt;"&amp;AC63)+COUNTIFS($AK$3:$AK$98,$AK63,AC$3:AC$98,"&lt;"&amp;AD63,AD$3:AD$98,"&gt;"&amp;AC63)+COUNTIFS($AK$3:$AK$98,$AK63,AE$3:AE$98,"&lt;"&amp;AD63,AF$3:AF$98,"&gt;"&amp;AC63)+COUNTIFS($AK$3:$AK$98,$AK63,AG$3:AG$98,"&lt;"&amp;AD63,AH$3:AH$98,"&gt;"&amp;AC63)-(AC63&lt;AD63))</f>
        <v>0</v>
      </c>
      <c r="BJ63">
        <f>BI63</f>
        <v>0</v>
      </c>
      <c r="BK63">
        <f>IF(OR($AK63="",AE63="",AF63=""),0,COUNTIFS($AK$3:$AK$98,$AK63,K$3:K$98,"&lt;"&amp;AF63,L$3:L$98,"&gt;"&amp;AE63)+COUNTIFS($AK$3:$AK$98,$AK63,M$3:M$98,"&lt;"&amp;AF63,N$3:N$98,"&gt;"&amp;AE63)+COUNTIFS($AK$3:$AK$98,$AK63,O$3:O$98,"&lt;"&amp;AF63,P$3:P$98,"&gt;"&amp;AE63)+COUNTIFS($AK$3:$AK$98,$AK63,Q$3:Q$98,"&lt;"&amp;AF63,R$3:R$98,"&gt;"&amp;AE63)+COUNTIFS($AK$3:$AK$98,$AK63,S$3:S$98,"&lt;"&amp;AF63,T$3:T$98,"&gt;"&amp;AE63)+COUNTIFS($AK$3:$AK$98,$AK63,U$3:U$98,"&lt;"&amp;AF63,V$3:V$98,"&gt;"&amp;AE63)+COUNTIFS($AK$3:$AK$98,$AK63,W$3:W$98,"&lt;"&amp;AF63,X$3:X$98,"&gt;"&amp;AE63)+COUNTIFS($AK$3:$AK$98,$AK63,Y$3:Y$98,"&lt;"&amp;AF63,Z$3:Z$98,"&gt;"&amp;AE63)+COUNTIFS($AK$3:$AK$98,$AK63,AA$3:AA$98,"&lt;"&amp;AF63,AB$3:AB$98,"&gt;"&amp;AE63)+COUNTIFS($AK$3:$AK$98,$AK63,AC$3:AC$98,"&lt;"&amp;AF63,AD$3:AD$98,"&gt;"&amp;AE63)+COUNTIFS($AK$3:$AK$98,$AK63,AE$3:AE$98,"&lt;"&amp;AF63,AF$3:AF$98,"&gt;"&amp;AE63)+COUNTIFS($AK$3:$AK$98,$AK63,AG$3:AG$98,"&lt;"&amp;AF63,AH$3:AH$98,"&gt;"&amp;AE63)-(AE63&lt;AF63))</f>
        <v>0</v>
      </c>
      <c r="BL63">
        <f>BK63</f>
        <v>0</v>
      </c>
      <c r="BM63">
        <f>IF(OR($AK63="",AG63="",AH63=""),0,COUNTIFS($AK$3:$AK$98,$AK63,K$3:K$98,"&lt;"&amp;AH63,L$3:L$98,"&gt;"&amp;AG63)+COUNTIFS($AK$3:$AK$98,$AK63,M$3:M$98,"&lt;"&amp;AH63,N$3:N$98,"&gt;"&amp;AG63)+COUNTIFS($AK$3:$AK$98,$AK63,O$3:O$98,"&lt;"&amp;AH63,P$3:P$98,"&gt;"&amp;AG63)+COUNTIFS($AK$3:$AK$98,$AK63,Q$3:Q$98,"&lt;"&amp;AH63,R$3:R$98,"&gt;"&amp;AG63)+COUNTIFS($AK$3:$AK$98,$AK63,S$3:S$98,"&lt;"&amp;AH63,T$3:T$98,"&gt;"&amp;AG63)+COUNTIFS($AK$3:$AK$98,$AK63,U$3:U$98,"&lt;"&amp;AH63,V$3:V$98,"&gt;"&amp;AG63)+COUNTIFS($AK$3:$AK$98,$AK63,W$3:W$98,"&lt;"&amp;AH63,X$3:X$98,"&gt;"&amp;AG63)+COUNTIFS($AK$3:$AK$98,$AK63,Y$3:Y$98,"&lt;"&amp;AH63,Z$3:Z$98,"&gt;"&amp;AG63)+COUNTIFS($AK$3:$AK$98,$AK63,AA$3:AA$98,"&lt;"&amp;AH63,AB$3:AB$98,"&gt;"&amp;AG63)+COUNTIFS($AK$3:$AK$98,$AK63,AC$3:AC$98,"&lt;"&amp;AH63,AD$3:AD$98,"&gt;"&amp;AG63)+COUNTIFS($AK$3:$AK$98,$AK63,AE$3:AE$98,"&lt;"&amp;AH63,AF$3:AF$98,"&gt;"&amp;AG63)+COUNTIFS($AK$3:$AK$98,$AK63,AG$3:AG$98,"&lt;"&amp;AH63,AH$3:AH$98,"&gt;"&amp;AG63)-(AG63&lt;AH63))</f>
        <v>0</v>
      </c>
      <c r="BN63">
        <f>BM63</f>
        <v>0</v>
      </c>
      <c r="BO63">
        <f>IF(ISNUMBER($G63),$G63,"")</f>
        <v>1</v>
      </c>
      <c r="BP63">
        <f>IF(AND($A63&lt;&gt;"",COUNT($K63:$AH63)&gt;0),ROW(),"")</f>
        <v>63</v>
      </c>
    </row>
    <row r="64" spans="1:68" x14ac:dyDescent="0.15">
      <c r="A64" s="18" t="str">
        <f>IF($A62="","",$A62)</f>
        <v>chMobSaiyanB</v>
      </c>
      <c r="B64" s="19" t="str">
        <f>IF($A62="","","high")</f>
        <v>high</v>
      </c>
      <c r="C64" s="19"/>
      <c r="D64" s="20">
        <v>5</v>
      </c>
      <c r="E64" s="21">
        <f>IF(AND($D64="",COUNT($K64:$AH64)=0),"",IF(K64="",0,MAX(0,NETWORKDAYS(K64,IF(L64&lt;&gt;"",L64,IF($J64&lt;&gt;"",K64,$AI$1)),祝日!$A$2:$A$200)))+IF(M64="",0,MAX(0,NETWORKDAYS(M64,IF(N64&lt;&gt;"",N64,IF($J64&lt;&gt;"",M64,$AI$1)),祝日!$A$2:$A$200)))+IF(O64="",0,MAX(0,NETWORKDAYS(O64,IF(P64&lt;&gt;"",P64,IF($J64&lt;&gt;"",O64,$AI$1)),祝日!$A$2:$A$200)))+IF(Q64="",0,MAX(0,NETWORKDAYS(Q64,IF(R64&lt;&gt;"",R64,IF($J64&lt;&gt;"",Q64,$AI$1)),祝日!$A$2:$A$200)))+IF(S64="",0,MAX(0,NETWORKDAYS(S64,IF(T64&lt;&gt;"",T64,IF($J64&lt;&gt;"",S64,$AI$1)),祝日!$A$2:$A$200)))+IF(U64="",0,MAX(0,NETWORKDAYS(U64,IF(V64&lt;&gt;"",V64,IF($J64&lt;&gt;"",U64,$AI$1)),祝日!$A$2:$A$200)))+IF(W64="",0,MAX(0,NETWORKDAYS(W64,IF(X64&lt;&gt;"",X64,IF($J64&lt;&gt;"",W64,$AI$1)),祝日!$A$2:$A$200)))+IF(Y64="",0,MAX(0,NETWORKDAYS(Y64,IF(Z64&lt;&gt;"",Z64,IF($J64&lt;&gt;"",Y64,$AI$1)),祝日!$A$2:$A$200)))+IF(AA64="",0,MAX(0,NETWORKDAYS(AA64,IF(AB64&lt;&gt;"",AB64,IF($J64&lt;&gt;"",AA64,$AI$1)),祝日!$A$2:$A$200)))+IF(AC64="",0,MAX(0,NETWORKDAYS(AC64,IF(AD64&lt;&gt;"",AD64,IF($J64&lt;&gt;"",AC64,$AI$1)),祝日!$A$2:$A$200)))+IF(AE64="",0,MAX(0,NETWORKDAYS(AE64,IF(AF64&lt;&gt;"",AF64,IF($J64&lt;&gt;"",AE64,$AI$1)),祝日!$A$2:$A$200)))+IF(AG64="",0,MAX(0,NETWORKDAYS(AG64,IF(AH64&lt;&gt;"",AH64,IF($J64&lt;&gt;"",AG64,$AI$1)),祝日!$A$2:$A$200))))</f>
        <v>5</v>
      </c>
      <c r="F64" s="21">
        <f>IF($D64="","",$D64-$E64)</f>
        <v>0</v>
      </c>
      <c r="G64" s="22">
        <f>IF(OR($D64="",$D64=0),"",$E64/$D64)</f>
        <v>1</v>
      </c>
      <c r="H64" s="23" t="str">
        <f>IF($D64="","",IF($J64&lt;&gt;"","FIX",IF(AND(SUMPRODUCT((MOD(COLUMN($K64:$AH64)-COLUMN($K64),2)=0)*($K64:$AH64&lt;&gt;""))=0,SUMPRODUCT((MOD(COLUMN($K64:$AH64)-COLUMN($K64),2)=1)*($K64:$AH64&lt;&gt;""))=0),"未着手",IF(SUMPRODUCT((MOD(COLUMN($K64:$AH64)-COLUMN($K64),2)=0)*($K64:$AH64&lt;&gt;""))&gt;SUMPRODUCT((MOD(COLUMN($K64:$AH64)-COLUMN($K64),2)=1)*($K64:$AH64&lt;&gt;"")),"作業中","中断"))))</f>
        <v>FIX</v>
      </c>
      <c r="I64" s="23" t="str">
        <f>IF($H64="中断",MAX(0,$AI$1-MAX(L64,N64,P64,R64,T64,V64,X64,Z64,AB64,AD64,AF64,AH64)),"")</f>
        <v/>
      </c>
      <c r="J64" s="19" t="s">
        <v>37</v>
      </c>
      <c r="K64" s="24">
        <v>46253</v>
      </c>
      <c r="L64" s="24">
        <v>46259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K64" t="str">
        <f>IF($A62="","",IF(LOOKUP(2,1/($AJ$3:$AJ64&lt;&gt;""),$AJ$3:$AJ64)="-","",LOOKUP(2,1/($AJ$3:$AJ64&lt;&gt;""),$AJ$3:$AJ64)))</f>
        <v>CH03</v>
      </c>
      <c r="AL64" t="str">
        <f>$H64</f>
        <v>FIX</v>
      </c>
      <c r="AM64">
        <f>IF(ISNUMBER($D64),$D64,0)</f>
        <v>5</v>
      </c>
      <c r="AN64">
        <f>IF(ISNUMBER($E64),$E64,0)</f>
        <v>5</v>
      </c>
      <c r="AO64">
        <f>IF(ISNUMBER($F64),$F64,0)</f>
        <v>0</v>
      </c>
      <c r="AQ64">
        <f>IF(OR($AK64="",K64="",L64=""),0,COUNTIFS($AK$3:$AK$98,$AK64,K$3:K$98,"&lt;"&amp;L64,L$3:L$98,"&gt;"&amp;K64)+COUNTIFS($AK$3:$AK$98,$AK64,M$3:M$98,"&lt;"&amp;L64,N$3:N$98,"&gt;"&amp;K64)+COUNTIFS($AK$3:$AK$98,$AK64,O$3:O$98,"&lt;"&amp;L64,P$3:P$98,"&gt;"&amp;K64)+COUNTIFS($AK$3:$AK$98,$AK64,Q$3:Q$98,"&lt;"&amp;L64,R$3:R$98,"&gt;"&amp;K64)+COUNTIFS($AK$3:$AK$98,$AK64,S$3:S$98,"&lt;"&amp;L64,T$3:T$98,"&gt;"&amp;K64)+COUNTIFS($AK$3:$AK$98,$AK64,U$3:U$98,"&lt;"&amp;L64,V$3:V$98,"&gt;"&amp;K64)+COUNTIFS($AK$3:$AK$98,$AK64,W$3:W$98,"&lt;"&amp;L64,X$3:X$98,"&gt;"&amp;K64)+COUNTIFS($AK$3:$AK$98,$AK64,Y$3:Y$98,"&lt;"&amp;L64,Z$3:Z$98,"&gt;"&amp;K64)+COUNTIFS($AK$3:$AK$98,$AK64,AA$3:AA$98,"&lt;"&amp;L64,AB$3:AB$98,"&gt;"&amp;K64)+COUNTIFS($AK$3:$AK$98,$AK64,AC$3:AC$98,"&lt;"&amp;L64,AD$3:AD$98,"&gt;"&amp;K64)+COUNTIFS($AK$3:$AK$98,$AK64,AE$3:AE$98,"&lt;"&amp;L64,AF$3:AF$98,"&gt;"&amp;K64)+COUNTIFS($AK$3:$AK$98,$AK64,AG$3:AG$98,"&lt;"&amp;L64,AH$3:AH$98,"&gt;"&amp;K64)-(K64&lt;L64))</f>
        <v>0</v>
      </c>
      <c r="AR64">
        <f>AQ64</f>
        <v>0</v>
      </c>
      <c r="AS64">
        <f>IF(OR($AK64="",M64="",N64=""),0,COUNTIFS($AK$3:$AK$98,$AK64,K$3:K$98,"&lt;"&amp;N64,L$3:L$98,"&gt;"&amp;M64)+COUNTIFS($AK$3:$AK$98,$AK64,M$3:M$98,"&lt;"&amp;N64,N$3:N$98,"&gt;"&amp;M64)+COUNTIFS($AK$3:$AK$98,$AK64,O$3:O$98,"&lt;"&amp;N64,P$3:P$98,"&gt;"&amp;M64)+COUNTIFS($AK$3:$AK$98,$AK64,Q$3:Q$98,"&lt;"&amp;N64,R$3:R$98,"&gt;"&amp;M64)+COUNTIFS($AK$3:$AK$98,$AK64,S$3:S$98,"&lt;"&amp;N64,T$3:T$98,"&gt;"&amp;M64)+COUNTIFS($AK$3:$AK$98,$AK64,U$3:U$98,"&lt;"&amp;N64,V$3:V$98,"&gt;"&amp;M64)+COUNTIFS($AK$3:$AK$98,$AK64,W$3:W$98,"&lt;"&amp;N64,X$3:X$98,"&gt;"&amp;M64)+COUNTIFS($AK$3:$AK$98,$AK64,Y$3:Y$98,"&lt;"&amp;N64,Z$3:Z$98,"&gt;"&amp;M64)+COUNTIFS($AK$3:$AK$98,$AK64,AA$3:AA$98,"&lt;"&amp;N64,AB$3:AB$98,"&gt;"&amp;M64)+COUNTIFS($AK$3:$AK$98,$AK64,AC$3:AC$98,"&lt;"&amp;N64,AD$3:AD$98,"&gt;"&amp;M64)+COUNTIFS($AK$3:$AK$98,$AK64,AE$3:AE$98,"&lt;"&amp;N64,AF$3:AF$98,"&gt;"&amp;M64)+COUNTIFS($AK$3:$AK$98,$AK64,AG$3:AG$98,"&lt;"&amp;N64,AH$3:AH$98,"&gt;"&amp;M64)-(M64&lt;N64))</f>
        <v>0</v>
      </c>
      <c r="AT64">
        <f>AS64</f>
        <v>0</v>
      </c>
      <c r="AU64">
        <f>IF(OR($AK64="",O64="",P64=""),0,COUNTIFS($AK$3:$AK$98,$AK64,K$3:K$98,"&lt;"&amp;P64,L$3:L$98,"&gt;"&amp;O64)+COUNTIFS($AK$3:$AK$98,$AK64,M$3:M$98,"&lt;"&amp;P64,N$3:N$98,"&gt;"&amp;O64)+COUNTIFS($AK$3:$AK$98,$AK64,O$3:O$98,"&lt;"&amp;P64,P$3:P$98,"&gt;"&amp;O64)+COUNTIFS($AK$3:$AK$98,$AK64,Q$3:Q$98,"&lt;"&amp;P64,R$3:R$98,"&gt;"&amp;O64)+COUNTIFS($AK$3:$AK$98,$AK64,S$3:S$98,"&lt;"&amp;P64,T$3:T$98,"&gt;"&amp;O64)+COUNTIFS($AK$3:$AK$98,$AK64,U$3:U$98,"&lt;"&amp;P64,V$3:V$98,"&gt;"&amp;O64)+COUNTIFS($AK$3:$AK$98,$AK64,W$3:W$98,"&lt;"&amp;P64,X$3:X$98,"&gt;"&amp;O64)+COUNTIFS($AK$3:$AK$98,$AK64,Y$3:Y$98,"&lt;"&amp;P64,Z$3:Z$98,"&gt;"&amp;O64)+COUNTIFS($AK$3:$AK$98,$AK64,AA$3:AA$98,"&lt;"&amp;P64,AB$3:AB$98,"&gt;"&amp;O64)+COUNTIFS($AK$3:$AK$98,$AK64,AC$3:AC$98,"&lt;"&amp;P64,AD$3:AD$98,"&gt;"&amp;O64)+COUNTIFS($AK$3:$AK$98,$AK64,AE$3:AE$98,"&lt;"&amp;P64,AF$3:AF$98,"&gt;"&amp;O64)+COUNTIFS($AK$3:$AK$98,$AK64,AG$3:AG$98,"&lt;"&amp;P64,AH$3:AH$98,"&gt;"&amp;O64)-(O64&lt;P64))</f>
        <v>0</v>
      </c>
      <c r="AV64">
        <f>AU64</f>
        <v>0</v>
      </c>
      <c r="AW64">
        <f>IF(OR($AK64="",Q64="",R64=""),0,COUNTIFS($AK$3:$AK$98,$AK64,K$3:K$98,"&lt;"&amp;R64,L$3:L$98,"&gt;"&amp;Q64)+COUNTIFS($AK$3:$AK$98,$AK64,M$3:M$98,"&lt;"&amp;R64,N$3:N$98,"&gt;"&amp;Q64)+COUNTIFS($AK$3:$AK$98,$AK64,O$3:O$98,"&lt;"&amp;R64,P$3:P$98,"&gt;"&amp;Q64)+COUNTIFS($AK$3:$AK$98,$AK64,Q$3:Q$98,"&lt;"&amp;R64,R$3:R$98,"&gt;"&amp;Q64)+COUNTIFS($AK$3:$AK$98,$AK64,S$3:S$98,"&lt;"&amp;R64,T$3:T$98,"&gt;"&amp;Q64)+COUNTIFS($AK$3:$AK$98,$AK64,U$3:U$98,"&lt;"&amp;R64,V$3:V$98,"&gt;"&amp;Q64)+COUNTIFS($AK$3:$AK$98,$AK64,W$3:W$98,"&lt;"&amp;R64,X$3:X$98,"&gt;"&amp;Q64)+COUNTIFS($AK$3:$AK$98,$AK64,Y$3:Y$98,"&lt;"&amp;R64,Z$3:Z$98,"&gt;"&amp;Q64)+COUNTIFS($AK$3:$AK$98,$AK64,AA$3:AA$98,"&lt;"&amp;R64,AB$3:AB$98,"&gt;"&amp;Q64)+COUNTIFS($AK$3:$AK$98,$AK64,AC$3:AC$98,"&lt;"&amp;R64,AD$3:AD$98,"&gt;"&amp;Q64)+COUNTIFS($AK$3:$AK$98,$AK64,AE$3:AE$98,"&lt;"&amp;R64,AF$3:AF$98,"&gt;"&amp;Q64)+COUNTIFS($AK$3:$AK$98,$AK64,AG$3:AG$98,"&lt;"&amp;R64,AH$3:AH$98,"&gt;"&amp;Q64)-(Q64&lt;R64))</f>
        <v>0</v>
      </c>
      <c r="AX64">
        <f>AW64</f>
        <v>0</v>
      </c>
      <c r="AY64">
        <f>IF(OR($AK64="",S64="",T64=""),0,COUNTIFS($AK$3:$AK$98,$AK64,K$3:K$98,"&lt;"&amp;T64,L$3:L$98,"&gt;"&amp;S64)+COUNTIFS($AK$3:$AK$98,$AK64,M$3:M$98,"&lt;"&amp;T64,N$3:N$98,"&gt;"&amp;S64)+COUNTIFS($AK$3:$AK$98,$AK64,O$3:O$98,"&lt;"&amp;T64,P$3:P$98,"&gt;"&amp;S64)+COUNTIFS($AK$3:$AK$98,$AK64,Q$3:Q$98,"&lt;"&amp;T64,R$3:R$98,"&gt;"&amp;S64)+COUNTIFS($AK$3:$AK$98,$AK64,S$3:S$98,"&lt;"&amp;T64,T$3:T$98,"&gt;"&amp;S64)+COUNTIFS($AK$3:$AK$98,$AK64,U$3:U$98,"&lt;"&amp;T64,V$3:V$98,"&gt;"&amp;S64)+COUNTIFS($AK$3:$AK$98,$AK64,W$3:W$98,"&lt;"&amp;T64,X$3:X$98,"&gt;"&amp;S64)+COUNTIFS($AK$3:$AK$98,$AK64,Y$3:Y$98,"&lt;"&amp;T64,Z$3:Z$98,"&gt;"&amp;S64)+COUNTIFS($AK$3:$AK$98,$AK64,AA$3:AA$98,"&lt;"&amp;T64,AB$3:AB$98,"&gt;"&amp;S64)+COUNTIFS($AK$3:$AK$98,$AK64,AC$3:AC$98,"&lt;"&amp;T64,AD$3:AD$98,"&gt;"&amp;S64)+COUNTIFS($AK$3:$AK$98,$AK64,AE$3:AE$98,"&lt;"&amp;T64,AF$3:AF$98,"&gt;"&amp;S64)+COUNTIFS($AK$3:$AK$98,$AK64,AG$3:AG$98,"&lt;"&amp;T64,AH$3:AH$98,"&gt;"&amp;S64)-(S64&lt;T64))</f>
        <v>0</v>
      </c>
      <c r="AZ64">
        <f>AY64</f>
        <v>0</v>
      </c>
      <c r="BA64">
        <f>IF(OR($AK64="",U64="",V64=""),0,COUNTIFS($AK$3:$AK$98,$AK64,K$3:K$98,"&lt;"&amp;V64,L$3:L$98,"&gt;"&amp;U64)+COUNTIFS($AK$3:$AK$98,$AK64,M$3:M$98,"&lt;"&amp;V64,N$3:N$98,"&gt;"&amp;U64)+COUNTIFS($AK$3:$AK$98,$AK64,O$3:O$98,"&lt;"&amp;V64,P$3:P$98,"&gt;"&amp;U64)+COUNTIFS($AK$3:$AK$98,$AK64,Q$3:Q$98,"&lt;"&amp;V64,R$3:R$98,"&gt;"&amp;U64)+COUNTIFS($AK$3:$AK$98,$AK64,S$3:S$98,"&lt;"&amp;V64,T$3:T$98,"&gt;"&amp;U64)+COUNTIFS($AK$3:$AK$98,$AK64,U$3:U$98,"&lt;"&amp;V64,V$3:V$98,"&gt;"&amp;U64)+COUNTIFS($AK$3:$AK$98,$AK64,W$3:W$98,"&lt;"&amp;V64,X$3:X$98,"&gt;"&amp;U64)+COUNTIFS($AK$3:$AK$98,$AK64,Y$3:Y$98,"&lt;"&amp;V64,Z$3:Z$98,"&gt;"&amp;U64)+COUNTIFS($AK$3:$AK$98,$AK64,AA$3:AA$98,"&lt;"&amp;V64,AB$3:AB$98,"&gt;"&amp;U64)+COUNTIFS($AK$3:$AK$98,$AK64,AC$3:AC$98,"&lt;"&amp;V64,AD$3:AD$98,"&gt;"&amp;U64)+COUNTIFS($AK$3:$AK$98,$AK64,AE$3:AE$98,"&lt;"&amp;V64,AF$3:AF$98,"&gt;"&amp;U64)+COUNTIFS($AK$3:$AK$98,$AK64,AG$3:AG$98,"&lt;"&amp;V64,AH$3:AH$98,"&gt;"&amp;U64)-(U64&lt;V64))</f>
        <v>0</v>
      </c>
      <c r="BB64">
        <f>BA64</f>
        <v>0</v>
      </c>
      <c r="BC64">
        <f>IF(OR($AK64="",W64="",X64=""),0,COUNTIFS($AK$3:$AK$98,$AK64,K$3:K$98,"&lt;"&amp;X64,L$3:L$98,"&gt;"&amp;W64)+COUNTIFS($AK$3:$AK$98,$AK64,M$3:M$98,"&lt;"&amp;X64,N$3:N$98,"&gt;"&amp;W64)+COUNTIFS($AK$3:$AK$98,$AK64,O$3:O$98,"&lt;"&amp;X64,P$3:P$98,"&gt;"&amp;W64)+COUNTIFS($AK$3:$AK$98,$AK64,Q$3:Q$98,"&lt;"&amp;X64,R$3:R$98,"&gt;"&amp;W64)+COUNTIFS($AK$3:$AK$98,$AK64,S$3:S$98,"&lt;"&amp;X64,T$3:T$98,"&gt;"&amp;W64)+COUNTIFS($AK$3:$AK$98,$AK64,U$3:U$98,"&lt;"&amp;X64,V$3:V$98,"&gt;"&amp;W64)+COUNTIFS($AK$3:$AK$98,$AK64,W$3:W$98,"&lt;"&amp;X64,X$3:X$98,"&gt;"&amp;W64)+COUNTIFS($AK$3:$AK$98,$AK64,Y$3:Y$98,"&lt;"&amp;X64,Z$3:Z$98,"&gt;"&amp;W64)+COUNTIFS($AK$3:$AK$98,$AK64,AA$3:AA$98,"&lt;"&amp;X64,AB$3:AB$98,"&gt;"&amp;W64)+COUNTIFS($AK$3:$AK$98,$AK64,AC$3:AC$98,"&lt;"&amp;X64,AD$3:AD$98,"&gt;"&amp;W64)+COUNTIFS($AK$3:$AK$98,$AK64,AE$3:AE$98,"&lt;"&amp;X64,AF$3:AF$98,"&gt;"&amp;W64)+COUNTIFS($AK$3:$AK$98,$AK64,AG$3:AG$98,"&lt;"&amp;X64,AH$3:AH$98,"&gt;"&amp;W64)-(W64&lt;X64))</f>
        <v>0</v>
      </c>
      <c r="BD64">
        <f>BC64</f>
        <v>0</v>
      </c>
      <c r="BE64">
        <f>IF(OR($AK64="",Y64="",Z64=""),0,COUNTIFS($AK$3:$AK$98,$AK64,K$3:K$98,"&lt;"&amp;Z64,L$3:L$98,"&gt;"&amp;Y64)+COUNTIFS($AK$3:$AK$98,$AK64,M$3:M$98,"&lt;"&amp;Z64,N$3:N$98,"&gt;"&amp;Y64)+COUNTIFS($AK$3:$AK$98,$AK64,O$3:O$98,"&lt;"&amp;Z64,P$3:P$98,"&gt;"&amp;Y64)+COUNTIFS($AK$3:$AK$98,$AK64,Q$3:Q$98,"&lt;"&amp;Z64,R$3:R$98,"&gt;"&amp;Y64)+COUNTIFS($AK$3:$AK$98,$AK64,S$3:S$98,"&lt;"&amp;Z64,T$3:T$98,"&gt;"&amp;Y64)+COUNTIFS($AK$3:$AK$98,$AK64,U$3:U$98,"&lt;"&amp;Z64,V$3:V$98,"&gt;"&amp;Y64)+COUNTIFS($AK$3:$AK$98,$AK64,W$3:W$98,"&lt;"&amp;Z64,X$3:X$98,"&gt;"&amp;Y64)+COUNTIFS($AK$3:$AK$98,$AK64,Y$3:Y$98,"&lt;"&amp;Z64,Z$3:Z$98,"&gt;"&amp;Y64)+COUNTIFS($AK$3:$AK$98,$AK64,AA$3:AA$98,"&lt;"&amp;Z64,AB$3:AB$98,"&gt;"&amp;Y64)+COUNTIFS($AK$3:$AK$98,$AK64,AC$3:AC$98,"&lt;"&amp;Z64,AD$3:AD$98,"&gt;"&amp;Y64)+COUNTIFS($AK$3:$AK$98,$AK64,AE$3:AE$98,"&lt;"&amp;Z64,AF$3:AF$98,"&gt;"&amp;Y64)+COUNTIFS($AK$3:$AK$98,$AK64,AG$3:AG$98,"&lt;"&amp;Z64,AH$3:AH$98,"&gt;"&amp;Y64)-(Y64&lt;Z64))</f>
        <v>0</v>
      </c>
      <c r="BF64">
        <f>BE64</f>
        <v>0</v>
      </c>
      <c r="BG64">
        <f>IF(OR($AK64="",AA64="",AB64=""),0,COUNTIFS($AK$3:$AK$98,$AK64,K$3:K$98,"&lt;"&amp;AB64,L$3:L$98,"&gt;"&amp;AA64)+COUNTIFS($AK$3:$AK$98,$AK64,M$3:M$98,"&lt;"&amp;AB64,N$3:N$98,"&gt;"&amp;AA64)+COUNTIFS($AK$3:$AK$98,$AK64,O$3:O$98,"&lt;"&amp;AB64,P$3:P$98,"&gt;"&amp;AA64)+COUNTIFS($AK$3:$AK$98,$AK64,Q$3:Q$98,"&lt;"&amp;AB64,R$3:R$98,"&gt;"&amp;AA64)+COUNTIFS($AK$3:$AK$98,$AK64,S$3:S$98,"&lt;"&amp;AB64,T$3:T$98,"&gt;"&amp;AA64)+COUNTIFS($AK$3:$AK$98,$AK64,U$3:U$98,"&lt;"&amp;AB64,V$3:V$98,"&gt;"&amp;AA64)+COUNTIFS($AK$3:$AK$98,$AK64,W$3:W$98,"&lt;"&amp;AB64,X$3:X$98,"&gt;"&amp;AA64)+COUNTIFS($AK$3:$AK$98,$AK64,Y$3:Y$98,"&lt;"&amp;AB64,Z$3:Z$98,"&gt;"&amp;AA64)+COUNTIFS($AK$3:$AK$98,$AK64,AA$3:AA$98,"&lt;"&amp;AB64,AB$3:AB$98,"&gt;"&amp;AA64)+COUNTIFS($AK$3:$AK$98,$AK64,AC$3:AC$98,"&lt;"&amp;AB64,AD$3:AD$98,"&gt;"&amp;AA64)+COUNTIFS($AK$3:$AK$98,$AK64,AE$3:AE$98,"&lt;"&amp;AB64,AF$3:AF$98,"&gt;"&amp;AA64)+COUNTIFS($AK$3:$AK$98,$AK64,AG$3:AG$98,"&lt;"&amp;AB64,AH$3:AH$98,"&gt;"&amp;AA64)-(AA64&lt;AB64))</f>
        <v>0</v>
      </c>
      <c r="BH64">
        <f>BG64</f>
        <v>0</v>
      </c>
      <c r="BI64">
        <f>IF(OR($AK64="",AC64="",AD64=""),0,COUNTIFS($AK$3:$AK$98,$AK64,K$3:K$98,"&lt;"&amp;AD64,L$3:L$98,"&gt;"&amp;AC64)+COUNTIFS($AK$3:$AK$98,$AK64,M$3:M$98,"&lt;"&amp;AD64,N$3:N$98,"&gt;"&amp;AC64)+COUNTIFS($AK$3:$AK$98,$AK64,O$3:O$98,"&lt;"&amp;AD64,P$3:P$98,"&gt;"&amp;AC64)+COUNTIFS($AK$3:$AK$98,$AK64,Q$3:Q$98,"&lt;"&amp;AD64,R$3:R$98,"&gt;"&amp;AC64)+COUNTIFS($AK$3:$AK$98,$AK64,S$3:S$98,"&lt;"&amp;AD64,T$3:T$98,"&gt;"&amp;AC64)+COUNTIFS($AK$3:$AK$98,$AK64,U$3:U$98,"&lt;"&amp;AD64,V$3:V$98,"&gt;"&amp;AC64)+COUNTIFS($AK$3:$AK$98,$AK64,W$3:W$98,"&lt;"&amp;AD64,X$3:X$98,"&gt;"&amp;AC64)+COUNTIFS($AK$3:$AK$98,$AK64,Y$3:Y$98,"&lt;"&amp;AD64,Z$3:Z$98,"&gt;"&amp;AC64)+COUNTIFS($AK$3:$AK$98,$AK64,AA$3:AA$98,"&lt;"&amp;AD64,AB$3:AB$98,"&gt;"&amp;AC64)+COUNTIFS($AK$3:$AK$98,$AK64,AC$3:AC$98,"&lt;"&amp;AD64,AD$3:AD$98,"&gt;"&amp;AC64)+COUNTIFS($AK$3:$AK$98,$AK64,AE$3:AE$98,"&lt;"&amp;AD64,AF$3:AF$98,"&gt;"&amp;AC64)+COUNTIFS($AK$3:$AK$98,$AK64,AG$3:AG$98,"&lt;"&amp;AD64,AH$3:AH$98,"&gt;"&amp;AC64)-(AC64&lt;AD64))</f>
        <v>0</v>
      </c>
      <c r="BJ64">
        <f>BI64</f>
        <v>0</v>
      </c>
      <c r="BK64">
        <f>IF(OR($AK64="",AE64="",AF64=""),0,COUNTIFS($AK$3:$AK$98,$AK64,K$3:K$98,"&lt;"&amp;AF64,L$3:L$98,"&gt;"&amp;AE64)+COUNTIFS($AK$3:$AK$98,$AK64,M$3:M$98,"&lt;"&amp;AF64,N$3:N$98,"&gt;"&amp;AE64)+COUNTIFS($AK$3:$AK$98,$AK64,O$3:O$98,"&lt;"&amp;AF64,P$3:P$98,"&gt;"&amp;AE64)+COUNTIFS($AK$3:$AK$98,$AK64,Q$3:Q$98,"&lt;"&amp;AF64,R$3:R$98,"&gt;"&amp;AE64)+COUNTIFS($AK$3:$AK$98,$AK64,S$3:S$98,"&lt;"&amp;AF64,T$3:T$98,"&gt;"&amp;AE64)+COUNTIFS($AK$3:$AK$98,$AK64,U$3:U$98,"&lt;"&amp;AF64,V$3:V$98,"&gt;"&amp;AE64)+COUNTIFS($AK$3:$AK$98,$AK64,W$3:W$98,"&lt;"&amp;AF64,X$3:X$98,"&gt;"&amp;AE64)+COUNTIFS($AK$3:$AK$98,$AK64,Y$3:Y$98,"&lt;"&amp;AF64,Z$3:Z$98,"&gt;"&amp;AE64)+COUNTIFS($AK$3:$AK$98,$AK64,AA$3:AA$98,"&lt;"&amp;AF64,AB$3:AB$98,"&gt;"&amp;AE64)+COUNTIFS($AK$3:$AK$98,$AK64,AC$3:AC$98,"&lt;"&amp;AF64,AD$3:AD$98,"&gt;"&amp;AE64)+COUNTIFS($AK$3:$AK$98,$AK64,AE$3:AE$98,"&lt;"&amp;AF64,AF$3:AF$98,"&gt;"&amp;AE64)+COUNTIFS($AK$3:$AK$98,$AK64,AG$3:AG$98,"&lt;"&amp;AF64,AH$3:AH$98,"&gt;"&amp;AE64)-(AE64&lt;AF64))</f>
        <v>0</v>
      </c>
      <c r="BL64">
        <f>BK64</f>
        <v>0</v>
      </c>
      <c r="BM64">
        <f>IF(OR($AK64="",AG64="",AH64=""),0,COUNTIFS($AK$3:$AK$98,$AK64,K$3:K$98,"&lt;"&amp;AH64,L$3:L$98,"&gt;"&amp;AG64)+COUNTIFS($AK$3:$AK$98,$AK64,M$3:M$98,"&lt;"&amp;AH64,N$3:N$98,"&gt;"&amp;AG64)+COUNTIFS($AK$3:$AK$98,$AK64,O$3:O$98,"&lt;"&amp;AH64,P$3:P$98,"&gt;"&amp;AG64)+COUNTIFS($AK$3:$AK$98,$AK64,Q$3:Q$98,"&lt;"&amp;AH64,R$3:R$98,"&gt;"&amp;AG64)+COUNTIFS($AK$3:$AK$98,$AK64,S$3:S$98,"&lt;"&amp;AH64,T$3:T$98,"&gt;"&amp;AG64)+COUNTIFS($AK$3:$AK$98,$AK64,U$3:U$98,"&lt;"&amp;AH64,V$3:V$98,"&gt;"&amp;AG64)+COUNTIFS($AK$3:$AK$98,$AK64,W$3:W$98,"&lt;"&amp;AH64,X$3:X$98,"&gt;"&amp;AG64)+COUNTIFS($AK$3:$AK$98,$AK64,Y$3:Y$98,"&lt;"&amp;AH64,Z$3:Z$98,"&gt;"&amp;AG64)+COUNTIFS($AK$3:$AK$98,$AK64,AA$3:AA$98,"&lt;"&amp;AH64,AB$3:AB$98,"&gt;"&amp;AG64)+COUNTIFS($AK$3:$AK$98,$AK64,AC$3:AC$98,"&lt;"&amp;AH64,AD$3:AD$98,"&gt;"&amp;AG64)+COUNTIFS($AK$3:$AK$98,$AK64,AE$3:AE$98,"&lt;"&amp;AH64,AF$3:AF$98,"&gt;"&amp;AG64)+COUNTIFS($AK$3:$AK$98,$AK64,AG$3:AG$98,"&lt;"&amp;AH64,AH$3:AH$98,"&gt;"&amp;AG64)-(AG64&lt;AH64))</f>
        <v>0</v>
      </c>
      <c r="BN64">
        <f>BM64</f>
        <v>0</v>
      </c>
      <c r="BO64">
        <f>IF(ISNUMBER($G64),$G64,"")</f>
        <v>1</v>
      </c>
      <c r="BP64">
        <f>IF(AND($A64&lt;&gt;"",COUNT($K64:$AH64)&gt;0),ROW(),"")</f>
        <v>64</v>
      </c>
    </row>
    <row r="65" spans="1:68" x14ac:dyDescent="0.15">
      <c r="A65" s="25" t="str">
        <f>IF($A62="","",$A62)</f>
        <v>chMobSaiyanB</v>
      </c>
      <c r="B65" s="26" t="str">
        <f>IF($A62="","","fac")</f>
        <v>fac</v>
      </c>
      <c r="C65" s="26"/>
      <c r="D65" s="27">
        <v>4</v>
      </c>
      <c r="E65" s="28">
        <f>IF(AND($D65="",COUNT($K65:$AH65)=0),"",IF(K65="",0,MAX(0,NETWORKDAYS(K65,IF(L65&lt;&gt;"",L65,IF($J65&lt;&gt;"",K65,$AI$1)),祝日!$A$2:$A$200)))+IF(M65="",0,MAX(0,NETWORKDAYS(M65,IF(N65&lt;&gt;"",N65,IF($J65&lt;&gt;"",M65,$AI$1)),祝日!$A$2:$A$200)))+IF(O65="",0,MAX(0,NETWORKDAYS(O65,IF(P65&lt;&gt;"",P65,IF($J65&lt;&gt;"",O65,$AI$1)),祝日!$A$2:$A$200)))+IF(Q65="",0,MAX(0,NETWORKDAYS(Q65,IF(R65&lt;&gt;"",R65,IF($J65&lt;&gt;"",Q65,$AI$1)),祝日!$A$2:$A$200)))+IF(S65="",0,MAX(0,NETWORKDAYS(S65,IF(T65&lt;&gt;"",T65,IF($J65&lt;&gt;"",S65,$AI$1)),祝日!$A$2:$A$200)))+IF(U65="",0,MAX(0,NETWORKDAYS(U65,IF(V65&lt;&gt;"",V65,IF($J65&lt;&gt;"",U65,$AI$1)),祝日!$A$2:$A$200)))+IF(W65="",0,MAX(0,NETWORKDAYS(W65,IF(X65&lt;&gt;"",X65,IF($J65&lt;&gt;"",W65,$AI$1)),祝日!$A$2:$A$200)))+IF(Y65="",0,MAX(0,NETWORKDAYS(Y65,IF(Z65&lt;&gt;"",Z65,IF($J65&lt;&gt;"",Y65,$AI$1)),祝日!$A$2:$A$200)))+IF(AA65="",0,MAX(0,NETWORKDAYS(AA65,IF(AB65&lt;&gt;"",AB65,IF($J65&lt;&gt;"",AA65,$AI$1)),祝日!$A$2:$A$200)))+IF(AC65="",0,MAX(0,NETWORKDAYS(AC65,IF(AD65&lt;&gt;"",AD65,IF($J65&lt;&gt;"",AC65,$AI$1)),祝日!$A$2:$A$200)))+IF(AE65="",0,MAX(0,NETWORKDAYS(AE65,IF(AF65&lt;&gt;"",AF65,IF($J65&lt;&gt;"",AE65,$AI$1)),祝日!$A$2:$A$200)))+IF(AG65="",0,MAX(0,NETWORKDAYS(AG65,IF(AH65&lt;&gt;"",AH65,IF($J65&lt;&gt;"",AG65,$AI$1)),祝日!$A$2:$A$200))))</f>
        <v>4</v>
      </c>
      <c r="F65" s="28">
        <f>IF($D65="","",$D65-$E65)</f>
        <v>0</v>
      </c>
      <c r="G65" s="29">
        <f>IF(OR($D65="",$D65=0),"",$E65/$D65)</f>
        <v>1</v>
      </c>
      <c r="H65" s="30" t="str">
        <f>IF($D65="","",IF($J65&lt;&gt;"","FIX",IF(AND(SUMPRODUCT((MOD(COLUMN($K65:$AH65)-COLUMN($K65),2)=0)*($K65:$AH65&lt;&gt;""))=0,SUMPRODUCT((MOD(COLUMN($K65:$AH65)-COLUMN($K65),2)=1)*($K65:$AH65&lt;&gt;""))=0),"未着手",IF(SUMPRODUCT((MOD(COLUMN($K65:$AH65)-COLUMN($K65),2)=0)*($K65:$AH65&lt;&gt;""))&gt;SUMPRODUCT((MOD(COLUMN($K65:$AH65)-COLUMN($K65),2)=1)*($K65:$AH65&lt;&gt;"")),"作業中","中断"))))</f>
        <v>FIX</v>
      </c>
      <c r="I65" s="30" t="str">
        <f>IF($H65="中断",MAX(0,$AI$1-MAX(L65,N65,P65,R65,T65,V65,X65,Z65,AB65,AD65,AF65,AH65)),"")</f>
        <v/>
      </c>
      <c r="J65" s="26" t="s">
        <v>37</v>
      </c>
      <c r="K65" s="31">
        <v>46272</v>
      </c>
      <c r="L65" s="31">
        <v>46275</v>
      </c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K65" t="str">
        <f>IF($A62="","",IF(LOOKUP(2,1/($AJ$3:$AJ65&lt;&gt;""),$AJ$3:$AJ65)="-","",LOOKUP(2,1/($AJ$3:$AJ65&lt;&gt;""),$AJ$3:$AJ65)))</f>
        <v>CH03</v>
      </c>
      <c r="AL65" t="str">
        <f>$H65</f>
        <v>FIX</v>
      </c>
      <c r="AM65">
        <f>IF(ISNUMBER($D65),$D65,0)</f>
        <v>4</v>
      </c>
      <c r="AN65">
        <f>IF(ISNUMBER($E65),$E65,0)</f>
        <v>4</v>
      </c>
      <c r="AO65">
        <f>IF(ISNUMBER($F65),$F65,0)</f>
        <v>0</v>
      </c>
      <c r="AQ65">
        <f>IF(OR($AK65="",K65="",L65=""),0,COUNTIFS($AK$3:$AK$98,$AK65,K$3:K$98,"&lt;"&amp;L65,L$3:L$98,"&gt;"&amp;K65)+COUNTIFS($AK$3:$AK$98,$AK65,M$3:M$98,"&lt;"&amp;L65,N$3:N$98,"&gt;"&amp;K65)+COUNTIFS($AK$3:$AK$98,$AK65,O$3:O$98,"&lt;"&amp;L65,P$3:P$98,"&gt;"&amp;K65)+COUNTIFS($AK$3:$AK$98,$AK65,Q$3:Q$98,"&lt;"&amp;L65,R$3:R$98,"&gt;"&amp;K65)+COUNTIFS($AK$3:$AK$98,$AK65,S$3:S$98,"&lt;"&amp;L65,T$3:T$98,"&gt;"&amp;K65)+COUNTIFS($AK$3:$AK$98,$AK65,U$3:U$98,"&lt;"&amp;L65,V$3:V$98,"&gt;"&amp;K65)+COUNTIFS($AK$3:$AK$98,$AK65,W$3:W$98,"&lt;"&amp;L65,X$3:X$98,"&gt;"&amp;K65)+COUNTIFS($AK$3:$AK$98,$AK65,Y$3:Y$98,"&lt;"&amp;L65,Z$3:Z$98,"&gt;"&amp;K65)+COUNTIFS($AK$3:$AK$98,$AK65,AA$3:AA$98,"&lt;"&amp;L65,AB$3:AB$98,"&gt;"&amp;K65)+COUNTIFS($AK$3:$AK$98,$AK65,AC$3:AC$98,"&lt;"&amp;L65,AD$3:AD$98,"&gt;"&amp;K65)+COUNTIFS($AK$3:$AK$98,$AK65,AE$3:AE$98,"&lt;"&amp;L65,AF$3:AF$98,"&gt;"&amp;K65)+COUNTIFS($AK$3:$AK$98,$AK65,AG$3:AG$98,"&lt;"&amp;L65,AH$3:AH$98,"&gt;"&amp;K65)-(K65&lt;L65))</f>
        <v>0</v>
      </c>
      <c r="AR65">
        <f>AQ65</f>
        <v>0</v>
      </c>
      <c r="AS65">
        <f>IF(OR($AK65="",M65="",N65=""),0,COUNTIFS($AK$3:$AK$98,$AK65,K$3:K$98,"&lt;"&amp;N65,L$3:L$98,"&gt;"&amp;M65)+COUNTIFS($AK$3:$AK$98,$AK65,M$3:M$98,"&lt;"&amp;N65,N$3:N$98,"&gt;"&amp;M65)+COUNTIFS($AK$3:$AK$98,$AK65,O$3:O$98,"&lt;"&amp;N65,P$3:P$98,"&gt;"&amp;M65)+COUNTIFS($AK$3:$AK$98,$AK65,Q$3:Q$98,"&lt;"&amp;N65,R$3:R$98,"&gt;"&amp;M65)+COUNTIFS($AK$3:$AK$98,$AK65,S$3:S$98,"&lt;"&amp;N65,T$3:T$98,"&gt;"&amp;M65)+COUNTIFS($AK$3:$AK$98,$AK65,U$3:U$98,"&lt;"&amp;N65,V$3:V$98,"&gt;"&amp;M65)+COUNTIFS($AK$3:$AK$98,$AK65,W$3:W$98,"&lt;"&amp;N65,X$3:X$98,"&gt;"&amp;M65)+COUNTIFS($AK$3:$AK$98,$AK65,Y$3:Y$98,"&lt;"&amp;N65,Z$3:Z$98,"&gt;"&amp;M65)+COUNTIFS($AK$3:$AK$98,$AK65,AA$3:AA$98,"&lt;"&amp;N65,AB$3:AB$98,"&gt;"&amp;M65)+COUNTIFS($AK$3:$AK$98,$AK65,AC$3:AC$98,"&lt;"&amp;N65,AD$3:AD$98,"&gt;"&amp;M65)+COUNTIFS($AK$3:$AK$98,$AK65,AE$3:AE$98,"&lt;"&amp;N65,AF$3:AF$98,"&gt;"&amp;M65)+COUNTIFS($AK$3:$AK$98,$AK65,AG$3:AG$98,"&lt;"&amp;N65,AH$3:AH$98,"&gt;"&amp;M65)-(M65&lt;N65))</f>
        <v>0</v>
      </c>
      <c r="AT65">
        <f>AS65</f>
        <v>0</v>
      </c>
      <c r="AU65">
        <f>IF(OR($AK65="",O65="",P65=""),0,COUNTIFS($AK$3:$AK$98,$AK65,K$3:K$98,"&lt;"&amp;P65,L$3:L$98,"&gt;"&amp;O65)+COUNTIFS($AK$3:$AK$98,$AK65,M$3:M$98,"&lt;"&amp;P65,N$3:N$98,"&gt;"&amp;O65)+COUNTIFS($AK$3:$AK$98,$AK65,O$3:O$98,"&lt;"&amp;P65,P$3:P$98,"&gt;"&amp;O65)+COUNTIFS($AK$3:$AK$98,$AK65,Q$3:Q$98,"&lt;"&amp;P65,R$3:R$98,"&gt;"&amp;O65)+COUNTIFS($AK$3:$AK$98,$AK65,S$3:S$98,"&lt;"&amp;P65,T$3:T$98,"&gt;"&amp;O65)+COUNTIFS($AK$3:$AK$98,$AK65,U$3:U$98,"&lt;"&amp;P65,V$3:V$98,"&gt;"&amp;O65)+COUNTIFS($AK$3:$AK$98,$AK65,W$3:W$98,"&lt;"&amp;P65,X$3:X$98,"&gt;"&amp;O65)+COUNTIFS($AK$3:$AK$98,$AK65,Y$3:Y$98,"&lt;"&amp;P65,Z$3:Z$98,"&gt;"&amp;O65)+COUNTIFS($AK$3:$AK$98,$AK65,AA$3:AA$98,"&lt;"&amp;P65,AB$3:AB$98,"&gt;"&amp;O65)+COUNTIFS($AK$3:$AK$98,$AK65,AC$3:AC$98,"&lt;"&amp;P65,AD$3:AD$98,"&gt;"&amp;O65)+COUNTIFS($AK$3:$AK$98,$AK65,AE$3:AE$98,"&lt;"&amp;P65,AF$3:AF$98,"&gt;"&amp;O65)+COUNTIFS($AK$3:$AK$98,$AK65,AG$3:AG$98,"&lt;"&amp;P65,AH$3:AH$98,"&gt;"&amp;O65)-(O65&lt;P65))</f>
        <v>0</v>
      </c>
      <c r="AV65">
        <f>AU65</f>
        <v>0</v>
      </c>
      <c r="AW65">
        <f>IF(OR($AK65="",Q65="",R65=""),0,COUNTIFS($AK$3:$AK$98,$AK65,K$3:K$98,"&lt;"&amp;R65,L$3:L$98,"&gt;"&amp;Q65)+COUNTIFS($AK$3:$AK$98,$AK65,M$3:M$98,"&lt;"&amp;R65,N$3:N$98,"&gt;"&amp;Q65)+COUNTIFS($AK$3:$AK$98,$AK65,O$3:O$98,"&lt;"&amp;R65,P$3:P$98,"&gt;"&amp;Q65)+COUNTIFS($AK$3:$AK$98,$AK65,Q$3:Q$98,"&lt;"&amp;R65,R$3:R$98,"&gt;"&amp;Q65)+COUNTIFS($AK$3:$AK$98,$AK65,S$3:S$98,"&lt;"&amp;R65,T$3:T$98,"&gt;"&amp;Q65)+COUNTIFS($AK$3:$AK$98,$AK65,U$3:U$98,"&lt;"&amp;R65,V$3:V$98,"&gt;"&amp;Q65)+COUNTIFS($AK$3:$AK$98,$AK65,W$3:W$98,"&lt;"&amp;R65,X$3:X$98,"&gt;"&amp;Q65)+COUNTIFS($AK$3:$AK$98,$AK65,Y$3:Y$98,"&lt;"&amp;R65,Z$3:Z$98,"&gt;"&amp;Q65)+COUNTIFS($AK$3:$AK$98,$AK65,AA$3:AA$98,"&lt;"&amp;R65,AB$3:AB$98,"&gt;"&amp;Q65)+COUNTIFS($AK$3:$AK$98,$AK65,AC$3:AC$98,"&lt;"&amp;R65,AD$3:AD$98,"&gt;"&amp;Q65)+COUNTIFS($AK$3:$AK$98,$AK65,AE$3:AE$98,"&lt;"&amp;R65,AF$3:AF$98,"&gt;"&amp;Q65)+COUNTIFS($AK$3:$AK$98,$AK65,AG$3:AG$98,"&lt;"&amp;R65,AH$3:AH$98,"&gt;"&amp;Q65)-(Q65&lt;R65))</f>
        <v>0</v>
      </c>
      <c r="AX65">
        <f>AW65</f>
        <v>0</v>
      </c>
      <c r="AY65">
        <f>IF(OR($AK65="",S65="",T65=""),0,COUNTIFS($AK$3:$AK$98,$AK65,K$3:K$98,"&lt;"&amp;T65,L$3:L$98,"&gt;"&amp;S65)+COUNTIFS($AK$3:$AK$98,$AK65,M$3:M$98,"&lt;"&amp;T65,N$3:N$98,"&gt;"&amp;S65)+COUNTIFS($AK$3:$AK$98,$AK65,O$3:O$98,"&lt;"&amp;T65,P$3:P$98,"&gt;"&amp;S65)+COUNTIFS($AK$3:$AK$98,$AK65,Q$3:Q$98,"&lt;"&amp;T65,R$3:R$98,"&gt;"&amp;S65)+COUNTIFS($AK$3:$AK$98,$AK65,S$3:S$98,"&lt;"&amp;T65,T$3:T$98,"&gt;"&amp;S65)+COUNTIFS($AK$3:$AK$98,$AK65,U$3:U$98,"&lt;"&amp;T65,V$3:V$98,"&gt;"&amp;S65)+COUNTIFS($AK$3:$AK$98,$AK65,W$3:W$98,"&lt;"&amp;T65,X$3:X$98,"&gt;"&amp;S65)+COUNTIFS($AK$3:$AK$98,$AK65,Y$3:Y$98,"&lt;"&amp;T65,Z$3:Z$98,"&gt;"&amp;S65)+COUNTIFS($AK$3:$AK$98,$AK65,AA$3:AA$98,"&lt;"&amp;T65,AB$3:AB$98,"&gt;"&amp;S65)+COUNTIFS($AK$3:$AK$98,$AK65,AC$3:AC$98,"&lt;"&amp;T65,AD$3:AD$98,"&gt;"&amp;S65)+COUNTIFS($AK$3:$AK$98,$AK65,AE$3:AE$98,"&lt;"&amp;T65,AF$3:AF$98,"&gt;"&amp;S65)+COUNTIFS($AK$3:$AK$98,$AK65,AG$3:AG$98,"&lt;"&amp;T65,AH$3:AH$98,"&gt;"&amp;S65)-(S65&lt;T65))</f>
        <v>0</v>
      </c>
      <c r="AZ65">
        <f>AY65</f>
        <v>0</v>
      </c>
      <c r="BA65">
        <f>IF(OR($AK65="",U65="",V65=""),0,COUNTIFS($AK$3:$AK$98,$AK65,K$3:K$98,"&lt;"&amp;V65,L$3:L$98,"&gt;"&amp;U65)+COUNTIFS($AK$3:$AK$98,$AK65,M$3:M$98,"&lt;"&amp;V65,N$3:N$98,"&gt;"&amp;U65)+COUNTIFS($AK$3:$AK$98,$AK65,O$3:O$98,"&lt;"&amp;V65,P$3:P$98,"&gt;"&amp;U65)+COUNTIFS($AK$3:$AK$98,$AK65,Q$3:Q$98,"&lt;"&amp;V65,R$3:R$98,"&gt;"&amp;U65)+COUNTIFS($AK$3:$AK$98,$AK65,S$3:S$98,"&lt;"&amp;V65,T$3:T$98,"&gt;"&amp;U65)+COUNTIFS($AK$3:$AK$98,$AK65,U$3:U$98,"&lt;"&amp;V65,V$3:V$98,"&gt;"&amp;U65)+COUNTIFS($AK$3:$AK$98,$AK65,W$3:W$98,"&lt;"&amp;V65,X$3:X$98,"&gt;"&amp;U65)+COUNTIFS($AK$3:$AK$98,$AK65,Y$3:Y$98,"&lt;"&amp;V65,Z$3:Z$98,"&gt;"&amp;U65)+COUNTIFS($AK$3:$AK$98,$AK65,AA$3:AA$98,"&lt;"&amp;V65,AB$3:AB$98,"&gt;"&amp;U65)+COUNTIFS($AK$3:$AK$98,$AK65,AC$3:AC$98,"&lt;"&amp;V65,AD$3:AD$98,"&gt;"&amp;U65)+COUNTIFS($AK$3:$AK$98,$AK65,AE$3:AE$98,"&lt;"&amp;V65,AF$3:AF$98,"&gt;"&amp;U65)+COUNTIFS($AK$3:$AK$98,$AK65,AG$3:AG$98,"&lt;"&amp;V65,AH$3:AH$98,"&gt;"&amp;U65)-(U65&lt;V65))</f>
        <v>0</v>
      </c>
      <c r="BB65">
        <f>BA65</f>
        <v>0</v>
      </c>
      <c r="BC65">
        <f>IF(OR($AK65="",W65="",X65=""),0,COUNTIFS($AK$3:$AK$98,$AK65,K$3:K$98,"&lt;"&amp;X65,L$3:L$98,"&gt;"&amp;W65)+COUNTIFS($AK$3:$AK$98,$AK65,M$3:M$98,"&lt;"&amp;X65,N$3:N$98,"&gt;"&amp;W65)+COUNTIFS($AK$3:$AK$98,$AK65,O$3:O$98,"&lt;"&amp;X65,P$3:P$98,"&gt;"&amp;W65)+COUNTIFS($AK$3:$AK$98,$AK65,Q$3:Q$98,"&lt;"&amp;X65,R$3:R$98,"&gt;"&amp;W65)+COUNTIFS($AK$3:$AK$98,$AK65,S$3:S$98,"&lt;"&amp;X65,T$3:T$98,"&gt;"&amp;W65)+COUNTIFS($AK$3:$AK$98,$AK65,U$3:U$98,"&lt;"&amp;X65,V$3:V$98,"&gt;"&amp;W65)+COUNTIFS($AK$3:$AK$98,$AK65,W$3:W$98,"&lt;"&amp;X65,X$3:X$98,"&gt;"&amp;W65)+COUNTIFS($AK$3:$AK$98,$AK65,Y$3:Y$98,"&lt;"&amp;X65,Z$3:Z$98,"&gt;"&amp;W65)+COUNTIFS($AK$3:$AK$98,$AK65,AA$3:AA$98,"&lt;"&amp;X65,AB$3:AB$98,"&gt;"&amp;W65)+COUNTIFS($AK$3:$AK$98,$AK65,AC$3:AC$98,"&lt;"&amp;X65,AD$3:AD$98,"&gt;"&amp;W65)+COUNTIFS($AK$3:$AK$98,$AK65,AE$3:AE$98,"&lt;"&amp;X65,AF$3:AF$98,"&gt;"&amp;W65)+COUNTIFS($AK$3:$AK$98,$AK65,AG$3:AG$98,"&lt;"&amp;X65,AH$3:AH$98,"&gt;"&amp;W65)-(W65&lt;X65))</f>
        <v>0</v>
      </c>
      <c r="BD65">
        <f>BC65</f>
        <v>0</v>
      </c>
      <c r="BE65">
        <f>IF(OR($AK65="",Y65="",Z65=""),0,COUNTIFS($AK$3:$AK$98,$AK65,K$3:K$98,"&lt;"&amp;Z65,L$3:L$98,"&gt;"&amp;Y65)+COUNTIFS($AK$3:$AK$98,$AK65,M$3:M$98,"&lt;"&amp;Z65,N$3:N$98,"&gt;"&amp;Y65)+COUNTIFS($AK$3:$AK$98,$AK65,O$3:O$98,"&lt;"&amp;Z65,P$3:P$98,"&gt;"&amp;Y65)+COUNTIFS($AK$3:$AK$98,$AK65,Q$3:Q$98,"&lt;"&amp;Z65,R$3:R$98,"&gt;"&amp;Y65)+COUNTIFS($AK$3:$AK$98,$AK65,S$3:S$98,"&lt;"&amp;Z65,T$3:T$98,"&gt;"&amp;Y65)+COUNTIFS($AK$3:$AK$98,$AK65,U$3:U$98,"&lt;"&amp;Z65,V$3:V$98,"&gt;"&amp;Y65)+COUNTIFS($AK$3:$AK$98,$AK65,W$3:W$98,"&lt;"&amp;Z65,X$3:X$98,"&gt;"&amp;Y65)+COUNTIFS($AK$3:$AK$98,$AK65,Y$3:Y$98,"&lt;"&amp;Z65,Z$3:Z$98,"&gt;"&amp;Y65)+COUNTIFS($AK$3:$AK$98,$AK65,AA$3:AA$98,"&lt;"&amp;Z65,AB$3:AB$98,"&gt;"&amp;Y65)+COUNTIFS($AK$3:$AK$98,$AK65,AC$3:AC$98,"&lt;"&amp;Z65,AD$3:AD$98,"&gt;"&amp;Y65)+COUNTIFS($AK$3:$AK$98,$AK65,AE$3:AE$98,"&lt;"&amp;Z65,AF$3:AF$98,"&gt;"&amp;Y65)+COUNTIFS($AK$3:$AK$98,$AK65,AG$3:AG$98,"&lt;"&amp;Z65,AH$3:AH$98,"&gt;"&amp;Y65)-(Y65&lt;Z65))</f>
        <v>0</v>
      </c>
      <c r="BF65">
        <f>BE65</f>
        <v>0</v>
      </c>
      <c r="BG65">
        <f>IF(OR($AK65="",AA65="",AB65=""),0,COUNTIFS($AK$3:$AK$98,$AK65,K$3:K$98,"&lt;"&amp;AB65,L$3:L$98,"&gt;"&amp;AA65)+COUNTIFS($AK$3:$AK$98,$AK65,M$3:M$98,"&lt;"&amp;AB65,N$3:N$98,"&gt;"&amp;AA65)+COUNTIFS($AK$3:$AK$98,$AK65,O$3:O$98,"&lt;"&amp;AB65,P$3:P$98,"&gt;"&amp;AA65)+COUNTIFS($AK$3:$AK$98,$AK65,Q$3:Q$98,"&lt;"&amp;AB65,R$3:R$98,"&gt;"&amp;AA65)+COUNTIFS($AK$3:$AK$98,$AK65,S$3:S$98,"&lt;"&amp;AB65,T$3:T$98,"&gt;"&amp;AA65)+COUNTIFS($AK$3:$AK$98,$AK65,U$3:U$98,"&lt;"&amp;AB65,V$3:V$98,"&gt;"&amp;AA65)+COUNTIFS($AK$3:$AK$98,$AK65,W$3:W$98,"&lt;"&amp;AB65,X$3:X$98,"&gt;"&amp;AA65)+COUNTIFS($AK$3:$AK$98,$AK65,Y$3:Y$98,"&lt;"&amp;AB65,Z$3:Z$98,"&gt;"&amp;AA65)+COUNTIFS($AK$3:$AK$98,$AK65,AA$3:AA$98,"&lt;"&amp;AB65,AB$3:AB$98,"&gt;"&amp;AA65)+COUNTIFS($AK$3:$AK$98,$AK65,AC$3:AC$98,"&lt;"&amp;AB65,AD$3:AD$98,"&gt;"&amp;AA65)+COUNTIFS($AK$3:$AK$98,$AK65,AE$3:AE$98,"&lt;"&amp;AB65,AF$3:AF$98,"&gt;"&amp;AA65)+COUNTIFS($AK$3:$AK$98,$AK65,AG$3:AG$98,"&lt;"&amp;AB65,AH$3:AH$98,"&gt;"&amp;AA65)-(AA65&lt;AB65))</f>
        <v>0</v>
      </c>
      <c r="BH65">
        <f>BG65</f>
        <v>0</v>
      </c>
      <c r="BI65">
        <f>IF(OR($AK65="",AC65="",AD65=""),0,COUNTIFS($AK$3:$AK$98,$AK65,K$3:K$98,"&lt;"&amp;AD65,L$3:L$98,"&gt;"&amp;AC65)+COUNTIFS($AK$3:$AK$98,$AK65,M$3:M$98,"&lt;"&amp;AD65,N$3:N$98,"&gt;"&amp;AC65)+COUNTIFS($AK$3:$AK$98,$AK65,O$3:O$98,"&lt;"&amp;AD65,P$3:P$98,"&gt;"&amp;AC65)+COUNTIFS($AK$3:$AK$98,$AK65,Q$3:Q$98,"&lt;"&amp;AD65,R$3:R$98,"&gt;"&amp;AC65)+COUNTIFS($AK$3:$AK$98,$AK65,S$3:S$98,"&lt;"&amp;AD65,T$3:T$98,"&gt;"&amp;AC65)+COUNTIFS($AK$3:$AK$98,$AK65,U$3:U$98,"&lt;"&amp;AD65,V$3:V$98,"&gt;"&amp;AC65)+COUNTIFS($AK$3:$AK$98,$AK65,W$3:W$98,"&lt;"&amp;AD65,X$3:X$98,"&gt;"&amp;AC65)+COUNTIFS($AK$3:$AK$98,$AK65,Y$3:Y$98,"&lt;"&amp;AD65,Z$3:Z$98,"&gt;"&amp;AC65)+COUNTIFS($AK$3:$AK$98,$AK65,AA$3:AA$98,"&lt;"&amp;AD65,AB$3:AB$98,"&gt;"&amp;AC65)+COUNTIFS($AK$3:$AK$98,$AK65,AC$3:AC$98,"&lt;"&amp;AD65,AD$3:AD$98,"&gt;"&amp;AC65)+COUNTIFS($AK$3:$AK$98,$AK65,AE$3:AE$98,"&lt;"&amp;AD65,AF$3:AF$98,"&gt;"&amp;AC65)+COUNTIFS($AK$3:$AK$98,$AK65,AG$3:AG$98,"&lt;"&amp;AD65,AH$3:AH$98,"&gt;"&amp;AC65)-(AC65&lt;AD65))</f>
        <v>0</v>
      </c>
      <c r="BJ65">
        <f>BI65</f>
        <v>0</v>
      </c>
      <c r="BK65">
        <f>IF(OR($AK65="",AE65="",AF65=""),0,COUNTIFS($AK$3:$AK$98,$AK65,K$3:K$98,"&lt;"&amp;AF65,L$3:L$98,"&gt;"&amp;AE65)+COUNTIFS($AK$3:$AK$98,$AK65,M$3:M$98,"&lt;"&amp;AF65,N$3:N$98,"&gt;"&amp;AE65)+COUNTIFS($AK$3:$AK$98,$AK65,O$3:O$98,"&lt;"&amp;AF65,P$3:P$98,"&gt;"&amp;AE65)+COUNTIFS($AK$3:$AK$98,$AK65,Q$3:Q$98,"&lt;"&amp;AF65,R$3:R$98,"&gt;"&amp;AE65)+COUNTIFS($AK$3:$AK$98,$AK65,S$3:S$98,"&lt;"&amp;AF65,T$3:T$98,"&gt;"&amp;AE65)+COUNTIFS($AK$3:$AK$98,$AK65,U$3:U$98,"&lt;"&amp;AF65,V$3:V$98,"&gt;"&amp;AE65)+COUNTIFS($AK$3:$AK$98,$AK65,W$3:W$98,"&lt;"&amp;AF65,X$3:X$98,"&gt;"&amp;AE65)+COUNTIFS($AK$3:$AK$98,$AK65,Y$3:Y$98,"&lt;"&amp;AF65,Z$3:Z$98,"&gt;"&amp;AE65)+COUNTIFS($AK$3:$AK$98,$AK65,AA$3:AA$98,"&lt;"&amp;AF65,AB$3:AB$98,"&gt;"&amp;AE65)+COUNTIFS($AK$3:$AK$98,$AK65,AC$3:AC$98,"&lt;"&amp;AF65,AD$3:AD$98,"&gt;"&amp;AE65)+COUNTIFS($AK$3:$AK$98,$AK65,AE$3:AE$98,"&lt;"&amp;AF65,AF$3:AF$98,"&gt;"&amp;AE65)+COUNTIFS($AK$3:$AK$98,$AK65,AG$3:AG$98,"&lt;"&amp;AF65,AH$3:AH$98,"&gt;"&amp;AE65)-(AE65&lt;AF65))</f>
        <v>0</v>
      </c>
      <c r="BL65">
        <f>BK65</f>
        <v>0</v>
      </c>
      <c r="BM65">
        <f>IF(OR($AK65="",AG65="",AH65=""),0,COUNTIFS($AK$3:$AK$98,$AK65,K$3:K$98,"&lt;"&amp;AH65,L$3:L$98,"&gt;"&amp;AG65)+COUNTIFS($AK$3:$AK$98,$AK65,M$3:M$98,"&lt;"&amp;AH65,N$3:N$98,"&gt;"&amp;AG65)+COUNTIFS($AK$3:$AK$98,$AK65,O$3:O$98,"&lt;"&amp;AH65,P$3:P$98,"&gt;"&amp;AG65)+COUNTIFS($AK$3:$AK$98,$AK65,Q$3:Q$98,"&lt;"&amp;AH65,R$3:R$98,"&gt;"&amp;AG65)+COUNTIFS($AK$3:$AK$98,$AK65,S$3:S$98,"&lt;"&amp;AH65,T$3:T$98,"&gt;"&amp;AG65)+COUNTIFS($AK$3:$AK$98,$AK65,U$3:U$98,"&lt;"&amp;AH65,V$3:V$98,"&gt;"&amp;AG65)+COUNTIFS($AK$3:$AK$98,$AK65,W$3:W$98,"&lt;"&amp;AH65,X$3:X$98,"&gt;"&amp;AG65)+COUNTIFS($AK$3:$AK$98,$AK65,Y$3:Y$98,"&lt;"&amp;AH65,Z$3:Z$98,"&gt;"&amp;AG65)+COUNTIFS($AK$3:$AK$98,$AK65,AA$3:AA$98,"&lt;"&amp;AH65,AB$3:AB$98,"&gt;"&amp;AG65)+COUNTIFS($AK$3:$AK$98,$AK65,AC$3:AC$98,"&lt;"&amp;AH65,AD$3:AD$98,"&gt;"&amp;AG65)+COUNTIFS($AK$3:$AK$98,$AK65,AE$3:AE$98,"&lt;"&amp;AH65,AF$3:AF$98,"&gt;"&amp;AG65)+COUNTIFS($AK$3:$AK$98,$AK65,AG$3:AG$98,"&lt;"&amp;AH65,AH$3:AH$98,"&gt;"&amp;AG65)-(AG65&lt;AH65))</f>
        <v>0</v>
      </c>
      <c r="BN65">
        <f>BM65</f>
        <v>0</v>
      </c>
      <c r="BO65">
        <f>IF(ISNUMBER($G65),$G65,"")</f>
        <v>1</v>
      </c>
      <c r="BP65">
        <f>IF(AND($A65&lt;&gt;"",COUNT($K65:$AH65)&gt;0),ROW(),"")</f>
        <v>65</v>
      </c>
    </row>
    <row r="66" spans="1:68" x14ac:dyDescent="0.15">
      <c r="A66" s="13" t="s">
        <v>49</v>
      </c>
      <c r="B66" s="14" t="str">
        <f>IF($A66="","","total")</f>
        <v>total</v>
      </c>
      <c r="C66" s="14"/>
      <c r="D66" s="15">
        <f>IF($A66="","",SUM(D67:D69))</f>
        <v>22</v>
      </c>
      <c r="E66" s="15">
        <f>IF($A66="","",SUM(E67:E69))</f>
        <v>22</v>
      </c>
      <c r="F66" s="15">
        <f>IF($A66="","",D66-E66)</f>
        <v>0</v>
      </c>
      <c r="G66" s="16">
        <f>IF($A66="","",IFERROR(AVERAGEIFS(G67:G69,H67:H69,"&lt;&gt;未着手",H67:H69,"&lt;&gt;作業中"),""))</f>
        <v>1</v>
      </c>
      <c r="H66" s="14"/>
      <c r="I66" s="14"/>
      <c r="J66" s="14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 spans="1:68" x14ac:dyDescent="0.15">
      <c r="A67" s="18" t="str">
        <f>IF($A66="","",$A66)</f>
        <v>chMobSaiyanE</v>
      </c>
      <c r="B67" s="19" t="str">
        <f>IF($A66="","","low")</f>
        <v>low</v>
      </c>
      <c r="C67" s="19"/>
      <c r="D67" s="20">
        <v>10</v>
      </c>
      <c r="E67" s="21">
        <f>IF(AND($D67="",COUNT($K67:$AH67)=0),"",IF(K67="",0,MAX(0,NETWORKDAYS(K67,IF(L67&lt;&gt;"",L67,IF($J67&lt;&gt;"",K67,$AI$1)),祝日!$A$2:$A$200)))+IF(M67="",0,MAX(0,NETWORKDAYS(M67,IF(N67&lt;&gt;"",N67,IF($J67&lt;&gt;"",M67,$AI$1)),祝日!$A$2:$A$200)))+IF(O67="",0,MAX(0,NETWORKDAYS(O67,IF(P67&lt;&gt;"",P67,IF($J67&lt;&gt;"",O67,$AI$1)),祝日!$A$2:$A$200)))+IF(Q67="",0,MAX(0,NETWORKDAYS(Q67,IF(R67&lt;&gt;"",R67,IF($J67&lt;&gt;"",Q67,$AI$1)),祝日!$A$2:$A$200)))+IF(S67="",0,MAX(0,NETWORKDAYS(S67,IF(T67&lt;&gt;"",T67,IF($J67&lt;&gt;"",S67,$AI$1)),祝日!$A$2:$A$200)))+IF(U67="",0,MAX(0,NETWORKDAYS(U67,IF(V67&lt;&gt;"",V67,IF($J67&lt;&gt;"",U67,$AI$1)),祝日!$A$2:$A$200)))+IF(W67="",0,MAX(0,NETWORKDAYS(W67,IF(X67&lt;&gt;"",X67,IF($J67&lt;&gt;"",W67,$AI$1)),祝日!$A$2:$A$200)))+IF(Y67="",0,MAX(0,NETWORKDAYS(Y67,IF(Z67&lt;&gt;"",Z67,IF($J67&lt;&gt;"",Y67,$AI$1)),祝日!$A$2:$A$200)))+IF(AA67="",0,MAX(0,NETWORKDAYS(AA67,IF(AB67&lt;&gt;"",AB67,IF($J67&lt;&gt;"",AA67,$AI$1)),祝日!$A$2:$A$200)))+IF(AC67="",0,MAX(0,NETWORKDAYS(AC67,IF(AD67&lt;&gt;"",AD67,IF($J67&lt;&gt;"",AC67,$AI$1)),祝日!$A$2:$A$200)))+IF(AE67="",0,MAX(0,NETWORKDAYS(AE67,IF(AF67&lt;&gt;"",AF67,IF($J67&lt;&gt;"",AE67,$AI$1)),祝日!$A$2:$A$200)))+IF(AG67="",0,MAX(0,NETWORKDAYS(AG67,IF(AH67&lt;&gt;"",AH67,IF($J67&lt;&gt;"",AG67,$AI$1)),祝日!$A$2:$A$200))))</f>
        <v>10</v>
      </c>
      <c r="F67" s="21">
        <f>IF($D67="","",$D67-$E67)</f>
        <v>0</v>
      </c>
      <c r="G67" s="22">
        <f>IF(OR($D67="",$D67=0),"",$E67/$D67)</f>
        <v>1</v>
      </c>
      <c r="H67" s="23" t="str">
        <f>IF($D67="","",IF($J67&lt;&gt;"","FIX",IF(AND(SUMPRODUCT((MOD(COLUMN($K67:$AH67)-COLUMN($K67),2)=0)*($K67:$AH67&lt;&gt;""))=0,SUMPRODUCT((MOD(COLUMN($K67:$AH67)-COLUMN($K67),2)=1)*($K67:$AH67&lt;&gt;""))=0),"未着手",IF(SUMPRODUCT((MOD(COLUMN($K67:$AH67)-COLUMN($K67),2)=0)*($K67:$AH67&lt;&gt;""))&gt;SUMPRODUCT((MOD(COLUMN($K67:$AH67)-COLUMN($K67),2)=1)*($K67:$AH67&lt;&gt;"")),"作業中","中断"))))</f>
        <v>FIX</v>
      </c>
      <c r="I67" s="23" t="str">
        <f>IF($H67="中断",MAX(0,$AI$1-MAX(L67,N67,P67,R67,T67,V67,X67,Z67,AB67,AD67,AF67,AH67)),"")</f>
        <v/>
      </c>
      <c r="J67" s="19" t="s">
        <v>37</v>
      </c>
      <c r="K67" s="24">
        <v>46204</v>
      </c>
      <c r="L67" s="24">
        <v>46217</v>
      </c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K67" t="str">
        <f>IF($A66="","",IF(LOOKUP(2,1/($AJ$3:$AJ67&lt;&gt;""),$AJ$3:$AJ67)="-","",LOOKUP(2,1/($AJ$3:$AJ67&lt;&gt;""),$AJ$3:$AJ67)))</f>
        <v>CH03</v>
      </c>
      <c r="AL67" t="str">
        <f>$H67</f>
        <v>FIX</v>
      </c>
      <c r="AM67">
        <f>IF(ISNUMBER($D67),$D67,0)</f>
        <v>10</v>
      </c>
      <c r="AN67">
        <f>IF(ISNUMBER($E67),$E67,0)</f>
        <v>10</v>
      </c>
      <c r="AO67">
        <f>IF(ISNUMBER($F67),$F67,0)</f>
        <v>0</v>
      </c>
      <c r="AQ67">
        <f>IF(OR($AK67="",K67="",L67=""),0,COUNTIFS($AK$3:$AK$98,$AK67,K$3:K$98,"&lt;"&amp;L67,L$3:L$98,"&gt;"&amp;K67)+COUNTIFS($AK$3:$AK$98,$AK67,M$3:M$98,"&lt;"&amp;L67,N$3:N$98,"&gt;"&amp;K67)+COUNTIFS($AK$3:$AK$98,$AK67,O$3:O$98,"&lt;"&amp;L67,P$3:P$98,"&gt;"&amp;K67)+COUNTIFS($AK$3:$AK$98,$AK67,Q$3:Q$98,"&lt;"&amp;L67,R$3:R$98,"&gt;"&amp;K67)+COUNTIFS($AK$3:$AK$98,$AK67,S$3:S$98,"&lt;"&amp;L67,T$3:T$98,"&gt;"&amp;K67)+COUNTIFS($AK$3:$AK$98,$AK67,U$3:U$98,"&lt;"&amp;L67,V$3:V$98,"&gt;"&amp;K67)+COUNTIFS($AK$3:$AK$98,$AK67,W$3:W$98,"&lt;"&amp;L67,X$3:X$98,"&gt;"&amp;K67)+COUNTIFS($AK$3:$AK$98,$AK67,Y$3:Y$98,"&lt;"&amp;L67,Z$3:Z$98,"&gt;"&amp;K67)+COUNTIFS($AK$3:$AK$98,$AK67,AA$3:AA$98,"&lt;"&amp;L67,AB$3:AB$98,"&gt;"&amp;K67)+COUNTIFS($AK$3:$AK$98,$AK67,AC$3:AC$98,"&lt;"&amp;L67,AD$3:AD$98,"&gt;"&amp;K67)+COUNTIFS($AK$3:$AK$98,$AK67,AE$3:AE$98,"&lt;"&amp;L67,AF$3:AF$98,"&gt;"&amp;K67)+COUNTIFS($AK$3:$AK$98,$AK67,AG$3:AG$98,"&lt;"&amp;L67,AH$3:AH$98,"&gt;"&amp;K67)-(K67&lt;L67))</f>
        <v>0</v>
      </c>
      <c r="AR67">
        <f>AQ67</f>
        <v>0</v>
      </c>
      <c r="AS67">
        <f>IF(OR($AK67="",M67="",N67=""),0,COUNTIFS($AK$3:$AK$98,$AK67,K$3:K$98,"&lt;"&amp;N67,L$3:L$98,"&gt;"&amp;M67)+COUNTIFS($AK$3:$AK$98,$AK67,M$3:M$98,"&lt;"&amp;N67,N$3:N$98,"&gt;"&amp;M67)+COUNTIFS($AK$3:$AK$98,$AK67,O$3:O$98,"&lt;"&amp;N67,P$3:P$98,"&gt;"&amp;M67)+COUNTIFS($AK$3:$AK$98,$AK67,Q$3:Q$98,"&lt;"&amp;N67,R$3:R$98,"&gt;"&amp;M67)+COUNTIFS($AK$3:$AK$98,$AK67,S$3:S$98,"&lt;"&amp;N67,T$3:T$98,"&gt;"&amp;M67)+COUNTIFS($AK$3:$AK$98,$AK67,U$3:U$98,"&lt;"&amp;N67,V$3:V$98,"&gt;"&amp;M67)+COUNTIFS($AK$3:$AK$98,$AK67,W$3:W$98,"&lt;"&amp;N67,X$3:X$98,"&gt;"&amp;M67)+COUNTIFS($AK$3:$AK$98,$AK67,Y$3:Y$98,"&lt;"&amp;N67,Z$3:Z$98,"&gt;"&amp;M67)+COUNTIFS($AK$3:$AK$98,$AK67,AA$3:AA$98,"&lt;"&amp;N67,AB$3:AB$98,"&gt;"&amp;M67)+COUNTIFS($AK$3:$AK$98,$AK67,AC$3:AC$98,"&lt;"&amp;N67,AD$3:AD$98,"&gt;"&amp;M67)+COUNTIFS($AK$3:$AK$98,$AK67,AE$3:AE$98,"&lt;"&amp;N67,AF$3:AF$98,"&gt;"&amp;M67)+COUNTIFS($AK$3:$AK$98,$AK67,AG$3:AG$98,"&lt;"&amp;N67,AH$3:AH$98,"&gt;"&amp;M67)-(M67&lt;N67))</f>
        <v>0</v>
      </c>
      <c r="AT67">
        <f>AS67</f>
        <v>0</v>
      </c>
      <c r="AU67">
        <f>IF(OR($AK67="",O67="",P67=""),0,COUNTIFS($AK$3:$AK$98,$AK67,K$3:K$98,"&lt;"&amp;P67,L$3:L$98,"&gt;"&amp;O67)+COUNTIFS($AK$3:$AK$98,$AK67,M$3:M$98,"&lt;"&amp;P67,N$3:N$98,"&gt;"&amp;O67)+COUNTIFS($AK$3:$AK$98,$AK67,O$3:O$98,"&lt;"&amp;P67,P$3:P$98,"&gt;"&amp;O67)+COUNTIFS($AK$3:$AK$98,$AK67,Q$3:Q$98,"&lt;"&amp;P67,R$3:R$98,"&gt;"&amp;O67)+COUNTIFS($AK$3:$AK$98,$AK67,S$3:S$98,"&lt;"&amp;P67,T$3:T$98,"&gt;"&amp;O67)+COUNTIFS($AK$3:$AK$98,$AK67,U$3:U$98,"&lt;"&amp;P67,V$3:V$98,"&gt;"&amp;O67)+COUNTIFS($AK$3:$AK$98,$AK67,W$3:W$98,"&lt;"&amp;P67,X$3:X$98,"&gt;"&amp;O67)+COUNTIFS($AK$3:$AK$98,$AK67,Y$3:Y$98,"&lt;"&amp;P67,Z$3:Z$98,"&gt;"&amp;O67)+COUNTIFS($AK$3:$AK$98,$AK67,AA$3:AA$98,"&lt;"&amp;P67,AB$3:AB$98,"&gt;"&amp;O67)+COUNTIFS($AK$3:$AK$98,$AK67,AC$3:AC$98,"&lt;"&amp;P67,AD$3:AD$98,"&gt;"&amp;O67)+COUNTIFS($AK$3:$AK$98,$AK67,AE$3:AE$98,"&lt;"&amp;P67,AF$3:AF$98,"&gt;"&amp;O67)+COUNTIFS($AK$3:$AK$98,$AK67,AG$3:AG$98,"&lt;"&amp;P67,AH$3:AH$98,"&gt;"&amp;O67)-(O67&lt;P67))</f>
        <v>0</v>
      </c>
      <c r="AV67">
        <f>AU67</f>
        <v>0</v>
      </c>
      <c r="AW67">
        <f>IF(OR($AK67="",Q67="",R67=""),0,COUNTIFS($AK$3:$AK$98,$AK67,K$3:K$98,"&lt;"&amp;R67,L$3:L$98,"&gt;"&amp;Q67)+COUNTIFS($AK$3:$AK$98,$AK67,M$3:M$98,"&lt;"&amp;R67,N$3:N$98,"&gt;"&amp;Q67)+COUNTIFS($AK$3:$AK$98,$AK67,O$3:O$98,"&lt;"&amp;R67,P$3:P$98,"&gt;"&amp;Q67)+COUNTIFS($AK$3:$AK$98,$AK67,Q$3:Q$98,"&lt;"&amp;R67,R$3:R$98,"&gt;"&amp;Q67)+COUNTIFS($AK$3:$AK$98,$AK67,S$3:S$98,"&lt;"&amp;R67,T$3:T$98,"&gt;"&amp;Q67)+COUNTIFS($AK$3:$AK$98,$AK67,U$3:U$98,"&lt;"&amp;R67,V$3:V$98,"&gt;"&amp;Q67)+COUNTIFS($AK$3:$AK$98,$AK67,W$3:W$98,"&lt;"&amp;R67,X$3:X$98,"&gt;"&amp;Q67)+COUNTIFS($AK$3:$AK$98,$AK67,Y$3:Y$98,"&lt;"&amp;R67,Z$3:Z$98,"&gt;"&amp;Q67)+COUNTIFS($AK$3:$AK$98,$AK67,AA$3:AA$98,"&lt;"&amp;R67,AB$3:AB$98,"&gt;"&amp;Q67)+COUNTIFS($AK$3:$AK$98,$AK67,AC$3:AC$98,"&lt;"&amp;R67,AD$3:AD$98,"&gt;"&amp;Q67)+COUNTIFS($AK$3:$AK$98,$AK67,AE$3:AE$98,"&lt;"&amp;R67,AF$3:AF$98,"&gt;"&amp;Q67)+COUNTIFS($AK$3:$AK$98,$AK67,AG$3:AG$98,"&lt;"&amp;R67,AH$3:AH$98,"&gt;"&amp;Q67)-(Q67&lt;R67))</f>
        <v>0</v>
      </c>
      <c r="AX67">
        <f>AW67</f>
        <v>0</v>
      </c>
      <c r="AY67">
        <f>IF(OR($AK67="",S67="",T67=""),0,COUNTIFS($AK$3:$AK$98,$AK67,K$3:K$98,"&lt;"&amp;T67,L$3:L$98,"&gt;"&amp;S67)+COUNTIFS($AK$3:$AK$98,$AK67,M$3:M$98,"&lt;"&amp;T67,N$3:N$98,"&gt;"&amp;S67)+COUNTIFS($AK$3:$AK$98,$AK67,O$3:O$98,"&lt;"&amp;T67,P$3:P$98,"&gt;"&amp;S67)+COUNTIFS($AK$3:$AK$98,$AK67,Q$3:Q$98,"&lt;"&amp;T67,R$3:R$98,"&gt;"&amp;S67)+COUNTIFS($AK$3:$AK$98,$AK67,S$3:S$98,"&lt;"&amp;T67,T$3:T$98,"&gt;"&amp;S67)+COUNTIFS($AK$3:$AK$98,$AK67,U$3:U$98,"&lt;"&amp;T67,V$3:V$98,"&gt;"&amp;S67)+COUNTIFS($AK$3:$AK$98,$AK67,W$3:W$98,"&lt;"&amp;T67,X$3:X$98,"&gt;"&amp;S67)+COUNTIFS($AK$3:$AK$98,$AK67,Y$3:Y$98,"&lt;"&amp;T67,Z$3:Z$98,"&gt;"&amp;S67)+COUNTIFS($AK$3:$AK$98,$AK67,AA$3:AA$98,"&lt;"&amp;T67,AB$3:AB$98,"&gt;"&amp;S67)+COUNTIFS($AK$3:$AK$98,$AK67,AC$3:AC$98,"&lt;"&amp;T67,AD$3:AD$98,"&gt;"&amp;S67)+COUNTIFS($AK$3:$AK$98,$AK67,AE$3:AE$98,"&lt;"&amp;T67,AF$3:AF$98,"&gt;"&amp;S67)+COUNTIFS($AK$3:$AK$98,$AK67,AG$3:AG$98,"&lt;"&amp;T67,AH$3:AH$98,"&gt;"&amp;S67)-(S67&lt;T67))</f>
        <v>0</v>
      </c>
      <c r="AZ67">
        <f>AY67</f>
        <v>0</v>
      </c>
      <c r="BA67">
        <f>IF(OR($AK67="",U67="",V67=""),0,COUNTIFS($AK$3:$AK$98,$AK67,K$3:K$98,"&lt;"&amp;V67,L$3:L$98,"&gt;"&amp;U67)+COUNTIFS($AK$3:$AK$98,$AK67,M$3:M$98,"&lt;"&amp;V67,N$3:N$98,"&gt;"&amp;U67)+COUNTIFS($AK$3:$AK$98,$AK67,O$3:O$98,"&lt;"&amp;V67,P$3:P$98,"&gt;"&amp;U67)+COUNTIFS($AK$3:$AK$98,$AK67,Q$3:Q$98,"&lt;"&amp;V67,R$3:R$98,"&gt;"&amp;U67)+COUNTIFS($AK$3:$AK$98,$AK67,S$3:S$98,"&lt;"&amp;V67,T$3:T$98,"&gt;"&amp;U67)+COUNTIFS($AK$3:$AK$98,$AK67,U$3:U$98,"&lt;"&amp;V67,V$3:V$98,"&gt;"&amp;U67)+COUNTIFS($AK$3:$AK$98,$AK67,W$3:W$98,"&lt;"&amp;V67,X$3:X$98,"&gt;"&amp;U67)+COUNTIFS($AK$3:$AK$98,$AK67,Y$3:Y$98,"&lt;"&amp;V67,Z$3:Z$98,"&gt;"&amp;U67)+COUNTIFS($AK$3:$AK$98,$AK67,AA$3:AA$98,"&lt;"&amp;V67,AB$3:AB$98,"&gt;"&amp;U67)+COUNTIFS($AK$3:$AK$98,$AK67,AC$3:AC$98,"&lt;"&amp;V67,AD$3:AD$98,"&gt;"&amp;U67)+COUNTIFS($AK$3:$AK$98,$AK67,AE$3:AE$98,"&lt;"&amp;V67,AF$3:AF$98,"&gt;"&amp;U67)+COUNTIFS($AK$3:$AK$98,$AK67,AG$3:AG$98,"&lt;"&amp;V67,AH$3:AH$98,"&gt;"&amp;U67)-(U67&lt;V67))</f>
        <v>0</v>
      </c>
      <c r="BB67">
        <f>BA67</f>
        <v>0</v>
      </c>
      <c r="BC67">
        <f>IF(OR($AK67="",W67="",X67=""),0,COUNTIFS($AK$3:$AK$98,$AK67,K$3:K$98,"&lt;"&amp;X67,L$3:L$98,"&gt;"&amp;W67)+COUNTIFS($AK$3:$AK$98,$AK67,M$3:M$98,"&lt;"&amp;X67,N$3:N$98,"&gt;"&amp;W67)+COUNTIFS($AK$3:$AK$98,$AK67,O$3:O$98,"&lt;"&amp;X67,P$3:P$98,"&gt;"&amp;W67)+COUNTIFS($AK$3:$AK$98,$AK67,Q$3:Q$98,"&lt;"&amp;X67,R$3:R$98,"&gt;"&amp;W67)+COUNTIFS($AK$3:$AK$98,$AK67,S$3:S$98,"&lt;"&amp;X67,T$3:T$98,"&gt;"&amp;W67)+COUNTIFS($AK$3:$AK$98,$AK67,U$3:U$98,"&lt;"&amp;X67,V$3:V$98,"&gt;"&amp;W67)+COUNTIFS($AK$3:$AK$98,$AK67,W$3:W$98,"&lt;"&amp;X67,X$3:X$98,"&gt;"&amp;W67)+COUNTIFS($AK$3:$AK$98,$AK67,Y$3:Y$98,"&lt;"&amp;X67,Z$3:Z$98,"&gt;"&amp;W67)+COUNTIFS($AK$3:$AK$98,$AK67,AA$3:AA$98,"&lt;"&amp;X67,AB$3:AB$98,"&gt;"&amp;W67)+COUNTIFS($AK$3:$AK$98,$AK67,AC$3:AC$98,"&lt;"&amp;X67,AD$3:AD$98,"&gt;"&amp;W67)+COUNTIFS($AK$3:$AK$98,$AK67,AE$3:AE$98,"&lt;"&amp;X67,AF$3:AF$98,"&gt;"&amp;W67)+COUNTIFS($AK$3:$AK$98,$AK67,AG$3:AG$98,"&lt;"&amp;X67,AH$3:AH$98,"&gt;"&amp;W67)-(W67&lt;X67))</f>
        <v>0</v>
      </c>
      <c r="BD67">
        <f>BC67</f>
        <v>0</v>
      </c>
      <c r="BE67">
        <f>IF(OR($AK67="",Y67="",Z67=""),0,COUNTIFS($AK$3:$AK$98,$AK67,K$3:K$98,"&lt;"&amp;Z67,L$3:L$98,"&gt;"&amp;Y67)+COUNTIFS($AK$3:$AK$98,$AK67,M$3:M$98,"&lt;"&amp;Z67,N$3:N$98,"&gt;"&amp;Y67)+COUNTIFS($AK$3:$AK$98,$AK67,O$3:O$98,"&lt;"&amp;Z67,P$3:P$98,"&gt;"&amp;Y67)+COUNTIFS($AK$3:$AK$98,$AK67,Q$3:Q$98,"&lt;"&amp;Z67,R$3:R$98,"&gt;"&amp;Y67)+COUNTIFS($AK$3:$AK$98,$AK67,S$3:S$98,"&lt;"&amp;Z67,T$3:T$98,"&gt;"&amp;Y67)+COUNTIFS($AK$3:$AK$98,$AK67,U$3:U$98,"&lt;"&amp;Z67,V$3:V$98,"&gt;"&amp;Y67)+COUNTIFS($AK$3:$AK$98,$AK67,W$3:W$98,"&lt;"&amp;Z67,X$3:X$98,"&gt;"&amp;Y67)+COUNTIFS($AK$3:$AK$98,$AK67,Y$3:Y$98,"&lt;"&amp;Z67,Z$3:Z$98,"&gt;"&amp;Y67)+COUNTIFS($AK$3:$AK$98,$AK67,AA$3:AA$98,"&lt;"&amp;Z67,AB$3:AB$98,"&gt;"&amp;Y67)+COUNTIFS($AK$3:$AK$98,$AK67,AC$3:AC$98,"&lt;"&amp;Z67,AD$3:AD$98,"&gt;"&amp;Y67)+COUNTIFS($AK$3:$AK$98,$AK67,AE$3:AE$98,"&lt;"&amp;Z67,AF$3:AF$98,"&gt;"&amp;Y67)+COUNTIFS($AK$3:$AK$98,$AK67,AG$3:AG$98,"&lt;"&amp;Z67,AH$3:AH$98,"&gt;"&amp;Y67)-(Y67&lt;Z67))</f>
        <v>0</v>
      </c>
      <c r="BF67">
        <f>BE67</f>
        <v>0</v>
      </c>
      <c r="BG67">
        <f>IF(OR($AK67="",AA67="",AB67=""),0,COUNTIFS($AK$3:$AK$98,$AK67,K$3:K$98,"&lt;"&amp;AB67,L$3:L$98,"&gt;"&amp;AA67)+COUNTIFS($AK$3:$AK$98,$AK67,M$3:M$98,"&lt;"&amp;AB67,N$3:N$98,"&gt;"&amp;AA67)+COUNTIFS($AK$3:$AK$98,$AK67,O$3:O$98,"&lt;"&amp;AB67,P$3:P$98,"&gt;"&amp;AA67)+COUNTIFS($AK$3:$AK$98,$AK67,Q$3:Q$98,"&lt;"&amp;AB67,R$3:R$98,"&gt;"&amp;AA67)+COUNTIFS($AK$3:$AK$98,$AK67,S$3:S$98,"&lt;"&amp;AB67,T$3:T$98,"&gt;"&amp;AA67)+COUNTIFS($AK$3:$AK$98,$AK67,U$3:U$98,"&lt;"&amp;AB67,V$3:V$98,"&gt;"&amp;AA67)+COUNTIFS($AK$3:$AK$98,$AK67,W$3:W$98,"&lt;"&amp;AB67,X$3:X$98,"&gt;"&amp;AA67)+COUNTIFS($AK$3:$AK$98,$AK67,Y$3:Y$98,"&lt;"&amp;AB67,Z$3:Z$98,"&gt;"&amp;AA67)+COUNTIFS($AK$3:$AK$98,$AK67,AA$3:AA$98,"&lt;"&amp;AB67,AB$3:AB$98,"&gt;"&amp;AA67)+COUNTIFS($AK$3:$AK$98,$AK67,AC$3:AC$98,"&lt;"&amp;AB67,AD$3:AD$98,"&gt;"&amp;AA67)+COUNTIFS($AK$3:$AK$98,$AK67,AE$3:AE$98,"&lt;"&amp;AB67,AF$3:AF$98,"&gt;"&amp;AA67)+COUNTIFS($AK$3:$AK$98,$AK67,AG$3:AG$98,"&lt;"&amp;AB67,AH$3:AH$98,"&gt;"&amp;AA67)-(AA67&lt;AB67))</f>
        <v>0</v>
      </c>
      <c r="BH67">
        <f>BG67</f>
        <v>0</v>
      </c>
      <c r="BI67">
        <f>IF(OR($AK67="",AC67="",AD67=""),0,COUNTIFS($AK$3:$AK$98,$AK67,K$3:K$98,"&lt;"&amp;AD67,L$3:L$98,"&gt;"&amp;AC67)+COUNTIFS($AK$3:$AK$98,$AK67,M$3:M$98,"&lt;"&amp;AD67,N$3:N$98,"&gt;"&amp;AC67)+COUNTIFS($AK$3:$AK$98,$AK67,O$3:O$98,"&lt;"&amp;AD67,P$3:P$98,"&gt;"&amp;AC67)+COUNTIFS($AK$3:$AK$98,$AK67,Q$3:Q$98,"&lt;"&amp;AD67,R$3:R$98,"&gt;"&amp;AC67)+COUNTIFS($AK$3:$AK$98,$AK67,S$3:S$98,"&lt;"&amp;AD67,T$3:T$98,"&gt;"&amp;AC67)+COUNTIFS($AK$3:$AK$98,$AK67,U$3:U$98,"&lt;"&amp;AD67,V$3:V$98,"&gt;"&amp;AC67)+COUNTIFS($AK$3:$AK$98,$AK67,W$3:W$98,"&lt;"&amp;AD67,X$3:X$98,"&gt;"&amp;AC67)+COUNTIFS($AK$3:$AK$98,$AK67,Y$3:Y$98,"&lt;"&amp;AD67,Z$3:Z$98,"&gt;"&amp;AC67)+COUNTIFS($AK$3:$AK$98,$AK67,AA$3:AA$98,"&lt;"&amp;AD67,AB$3:AB$98,"&gt;"&amp;AC67)+COUNTIFS($AK$3:$AK$98,$AK67,AC$3:AC$98,"&lt;"&amp;AD67,AD$3:AD$98,"&gt;"&amp;AC67)+COUNTIFS($AK$3:$AK$98,$AK67,AE$3:AE$98,"&lt;"&amp;AD67,AF$3:AF$98,"&gt;"&amp;AC67)+COUNTIFS($AK$3:$AK$98,$AK67,AG$3:AG$98,"&lt;"&amp;AD67,AH$3:AH$98,"&gt;"&amp;AC67)-(AC67&lt;AD67))</f>
        <v>0</v>
      </c>
      <c r="BJ67">
        <f>BI67</f>
        <v>0</v>
      </c>
      <c r="BK67">
        <f>IF(OR($AK67="",AE67="",AF67=""),0,COUNTIFS($AK$3:$AK$98,$AK67,K$3:K$98,"&lt;"&amp;AF67,L$3:L$98,"&gt;"&amp;AE67)+COUNTIFS($AK$3:$AK$98,$AK67,M$3:M$98,"&lt;"&amp;AF67,N$3:N$98,"&gt;"&amp;AE67)+COUNTIFS($AK$3:$AK$98,$AK67,O$3:O$98,"&lt;"&amp;AF67,P$3:P$98,"&gt;"&amp;AE67)+COUNTIFS($AK$3:$AK$98,$AK67,Q$3:Q$98,"&lt;"&amp;AF67,R$3:R$98,"&gt;"&amp;AE67)+COUNTIFS($AK$3:$AK$98,$AK67,S$3:S$98,"&lt;"&amp;AF67,T$3:T$98,"&gt;"&amp;AE67)+COUNTIFS($AK$3:$AK$98,$AK67,U$3:U$98,"&lt;"&amp;AF67,V$3:V$98,"&gt;"&amp;AE67)+COUNTIFS($AK$3:$AK$98,$AK67,W$3:W$98,"&lt;"&amp;AF67,X$3:X$98,"&gt;"&amp;AE67)+COUNTIFS($AK$3:$AK$98,$AK67,Y$3:Y$98,"&lt;"&amp;AF67,Z$3:Z$98,"&gt;"&amp;AE67)+COUNTIFS($AK$3:$AK$98,$AK67,AA$3:AA$98,"&lt;"&amp;AF67,AB$3:AB$98,"&gt;"&amp;AE67)+COUNTIFS($AK$3:$AK$98,$AK67,AC$3:AC$98,"&lt;"&amp;AF67,AD$3:AD$98,"&gt;"&amp;AE67)+COUNTIFS($AK$3:$AK$98,$AK67,AE$3:AE$98,"&lt;"&amp;AF67,AF$3:AF$98,"&gt;"&amp;AE67)+COUNTIFS($AK$3:$AK$98,$AK67,AG$3:AG$98,"&lt;"&amp;AF67,AH$3:AH$98,"&gt;"&amp;AE67)-(AE67&lt;AF67))</f>
        <v>0</v>
      </c>
      <c r="BL67">
        <f>BK67</f>
        <v>0</v>
      </c>
      <c r="BM67">
        <f>IF(OR($AK67="",AG67="",AH67=""),0,COUNTIFS($AK$3:$AK$98,$AK67,K$3:K$98,"&lt;"&amp;AH67,L$3:L$98,"&gt;"&amp;AG67)+COUNTIFS($AK$3:$AK$98,$AK67,M$3:M$98,"&lt;"&amp;AH67,N$3:N$98,"&gt;"&amp;AG67)+COUNTIFS($AK$3:$AK$98,$AK67,O$3:O$98,"&lt;"&amp;AH67,P$3:P$98,"&gt;"&amp;AG67)+COUNTIFS($AK$3:$AK$98,$AK67,Q$3:Q$98,"&lt;"&amp;AH67,R$3:R$98,"&gt;"&amp;AG67)+COUNTIFS($AK$3:$AK$98,$AK67,S$3:S$98,"&lt;"&amp;AH67,T$3:T$98,"&gt;"&amp;AG67)+COUNTIFS($AK$3:$AK$98,$AK67,U$3:U$98,"&lt;"&amp;AH67,V$3:V$98,"&gt;"&amp;AG67)+COUNTIFS($AK$3:$AK$98,$AK67,W$3:W$98,"&lt;"&amp;AH67,X$3:X$98,"&gt;"&amp;AG67)+COUNTIFS($AK$3:$AK$98,$AK67,Y$3:Y$98,"&lt;"&amp;AH67,Z$3:Z$98,"&gt;"&amp;AG67)+COUNTIFS($AK$3:$AK$98,$AK67,AA$3:AA$98,"&lt;"&amp;AH67,AB$3:AB$98,"&gt;"&amp;AG67)+COUNTIFS($AK$3:$AK$98,$AK67,AC$3:AC$98,"&lt;"&amp;AH67,AD$3:AD$98,"&gt;"&amp;AG67)+COUNTIFS($AK$3:$AK$98,$AK67,AE$3:AE$98,"&lt;"&amp;AH67,AF$3:AF$98,"&gt;"&amp;AG67)+COUNTIFS($AK$3:$AK$98,$AK67,AG$3:AG$98,"&lt;"&amp;AH67,AH$3:AH$98,"&gt;"&amp;AG67)-(AG67&lt;AH67))</f>
        <v>0</v>
      </c>
      <c r="BN67">
        <f>BM67</f>
        <v>0</v>
      </c>
      <c r="BO67">
        <f>IF(ISNUMBER($G67),$G67,"")</f>
        <v>1</v>
      </c>
      <c r="BP67">
        <f>IF(AND($A67&lt;&gt;"",COUNT($K67:$AH67)&gt;0),ROW(),"")</f>
        <v>67</v>
      </c>
    </row>
    <row r="68" spans="1:68" x14ac:dyDescent="0.15">
      <c r="A68" s="18" t="str">
        <f>IF($A66="","",$A66)</f>
        <v>chMobSaiyanE</v>
      </c>
      <c r="B68" s="19" t="str">
        <f>IF($A66="","","high")</f>
        <v>high</v>
      </c>
      <c r="C68" s="19"/>
      <c r="D68" s="20">
        <v>7</v>
      </c>
      <c r="E68" s="21">
        <f>IF(AND($D68="",COUNT($K68:$AH68)=0),"",IF(K68="",0,MAX(0,NETWORKDAYS(K68,IF(L68&lt;&gt;"",L68,IF($J68&lt;&gt;"",K68,$AI$1)),祝日!$A$2:$A$200)))+IF(M68="",0,MAX(0,NETWORKDAYS(M68,IF(N68&lt;&gt;"",N68,IF($J68&lt;&gt;"",M68,$AI$1)),祝日!$A$2:$A$200)))+IF(O68="",0,MAX(0,NETWORKDAYS(O68,IF(P68&lt;&gt;"",P68,IF($J68&lt;&gt;"",O68,$AI$1)),祝日!$A$2:$A$200)))+IF(Q68="",0,MAX(0,NETWORKDAYS(Q68,IF(R68&lt;&gt;"",R68,IF($J68&lt;&gt;"",Q68,$AI$1)),祝日!$A$2:$A$200)))+IF(S68="",0,MAX(0,NETWORKDAYS(S68,IF(T68&lt;&gt;"",T68,IF($J68&lt;&gt;"",S68,$AI$1)),祝日!$A$2:$A$200)))+IF(U68="",0,MAX(0,NETWORKDAYS(U68,IF(V68&lt;&gt;"",V68,IF($J68&lt;&gt;"",U68,$AI$1)),祝日!$A$2:$A$200)))+IF(W68="",0,MAX(0,NETWORKDAYS(W68,IF(X68&lt;&gt;"",X68,IF($J68&lt;&gt;"",W68,$AI$1)),祝日!$A$2:$A$200)))+IF(Y68="",0,MAX(0,NETWORKDAYS(Y68,IF(Z68&lt;&gt;"",Z68,IF($J68&lt;&gt;"",Y68,$AI$1)),祝日!$A$2:$A$200)))+IF(AA68="",0,MAX(0,NETWORKDAYS(AA68,IF(AB68&lt;&gt;"",AB68,IF($J68&lt;&gt;"",AA68,$AI$1)),祝日!$A$2:$A$200)))+IF(AC68="",0,MAX(0,NETWORKDAYS(AC68,IF(AD68&lt;&gt;"",AD68,IF($J68&lt;&gt;"",AC68,$AI$1)),祝日!$A$2:$A$200)))+IF(AE68="",0,MAX(0,NETWORKDAYS(AE68,IF(AF68&lt;&gt;"",AF68,IF($J68&lt;&gt;"",AE68,$AI$1)),祝日!$A$2:$A$200)))+IF(AG68="",0,MAX(0,NETWORKDAYS(AG68,IF(AH68&lt;&gt;"",AH68,IF($J68&lt;&gt;"",AG68,$AI$1)),祝日!$A$2:$A$200))))</f>
        <v>7</v>
      </c>
      <c r="F68" s="21">
        <f>IF($D68="","",$D68-$E68)</f>
        <v>0</v>
      </c>
      <c r="G68" s="22">
        <f>IF(OR($D68="",$D68=0),"",$E68/$D68)</f>
        <v>1</v>
      </c>
      <c r="H68" s="23" t="str">
        <f>IF($D68="","",IF($J68&lt;&gt;"","FIX",IF(AND(SUMPRODUCT((MOD(COLUMN($K68:$AH68)-COLUMN($K68),2)=0)*($K68:$AH68&lt;&gt;""))=0,SUMPRODUCT((MOD(COLUMN($K68:$AH68)-COLUMN($K68),2)=1)*($K68:$AH68&lt;&gt;""))=0),"未着手",IF(SUMPRODUCT((MOD(COLUMN($K68:$AH68)-COLUMN($K68),2)=0)*($K68:$AH68&lt;&gt;""))&gt;SUMPRODUCT((MOD(COLUMN($K68:$AH68)-COLUMN($K68),2)=1)*($K68:$AH68&lt;&gt;"")),"作業中","中断"))))</f>
        <v>FIX</v>
      </c>
      <c r="I68" s="23" t="str">
        <f>IF($H68="中断",MAX(0,$AI$1-MAX(L68,N68,P68,R68,T68,V68,X68,Z68,AB68,AD68,AF68,AH68)),"")</f>
        <v/>
      </c>
      <c r="J68" s="19" t="s">
        <v>37</v>
      </c>
      <c r="K68" s="24">
        <v>46218</v>
      </c>
      <c r="L68" s="24">
        <v>46227</v>
      </c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K68" t="str">
        <f>IF($A66="","",IF(LOOKUP(2,1/($AJ$3:$AJ68&lt;&gt;""),$AJ$3:$AJ68)="-","",LOOKUP(2,1/($AJ$3:$AJ68&lt;&gt;""),$AJ$3:$AJ68)))</f>
        <v>CH03</v>
      </c>
      <c r="AL68" t="str">
        <f>$H68</f>
        <v>FIX</v>
      </c>
      <c r="AM68">
        <f>IF(ISNUMBER($D68),$D68,0)</f>
        <v>7</v>
      </c>
      <c r="AN68">
        <f>IF(ISNUMBER($E68),$E68,0)</f>
        <v>7</v>
      </c>
      <c r="AO68">
        <f>IF(ISNUMBER($F68),$F68,0)</f>
        <v>0</v>
      </c>
      <c r="AQ68">
        <f>IF(OR($AK68="",K68="",L68=""),0,COUNTIFS($AK$3:$AK$98,$AK68,K$3:K$98,"&lt;"&amp;L68,L$3:L$98,"&gt;"&amp;K68)+COUNTIFS($AK$3:$AK$98,$AK68,M$3:M$98,"&lt;"&amp;L68,N$3:N$98,"&gt;"&amp;K68)+COUNTIFS($AK$3:$AK$98,$AK68,O$3:O$98,"&lt;"&amp;L68,P$3:P$98,"&gt;"&amp;K68)+COUNTIFS($AK$3:$AK$98,$AK68,Q$3:Q$98,"&lt;"&amp;L68,R$3:R$98,"&gt;"&amp;K68)+COUNTIFS($AK$3:$AK$98,$AK68,S$3:S$98,"&lt;"&amp;L68,T$3:T$98,"&gt;"&amp;K68)+COUNTIFS($AK$3:$AK$98,$AK68,U$3:U$98,"&lt;"&amp;L68,V$3:V$98,"&gt;"&amp;K68)+COUNTIFS($AK$3:$AK$98,$AK68,W$3:W$98,"&lt;"&amp;L68,X$3:X$98,"&gt;"&amp;K68)+COUNTIFS($AK$3:$AK$98,$AK68,Y$3:Y$98,"&lt;"&amp;L68,Z$3:Z$98,"&gt;"&amp;K68)+COUNTIFS($AK$3:$AK$98,$AK68,AA$3:AA$98,"&lt;"&amp;L68,AB$3:AB$98,"&gt;"&amp;K68)+COUNTIFS($AK$3:$AK$98,$AK68,AC$3:AC$98,"&lt;"&amp;L68,AD$3:AD$98,"&gt;"&amp;K68)+COUNTIFS($AK$3:$AK$98,$AK68,AE$3:AE$98,"&lt;"&amp;L68,AF$3:AF$98,"&gt;"&amp;K68)+COUNTIFS($AK$3:$AK$98,$AK68,AG$3:AG$98,"&lt;"&amp;L68,AH$3:AH$98,"&gt;"&amp;K68)-(K68&lt;L68))</f>
        <v>0</v>
      </c>
      <c r="AR68">
        <f>AQ68</f>
        <v>0</v>
      </c>
      <c r="AS68">
        <f>IF(OR($AK68="",M68="",N68=""),0,COUNTIFS($AK$3:$AK$98,$AK68,K$3:K$98,"&lt;"&amp;N68,L$3:L$98,"&gt;"&amp;M68)+COUNTIFS($AK$3:$AK$98,$AK68,M$3:M$98,"&lt;"&amp;N68,N$3:N$98,"&gt;"&amp;M68)+COUNTIFS($AK$3:$AK$98,$AK68,O$3:O$98,"&lt;"&amp;N68,P$3:P$98,"&gt;"&amp;M68)+COUNTIFS($AK$3:$AK$98,$AK68,Q$3:Q$98,"&lt;"&amp;N68,R$3:R$98,"&gt;"&amp;M68)+COUNTIFS($AK$3:$AK$98,$AK68,S$3:S$98,"&lt;"&amp;N68,T$3:T$98,"&gt;"&amp;M68)+COUNTIFS($AK$3:$AK$98,$AK68,U$3:U$98,"&lt;"&amp;N68,V$3:V$98,"&gt;"&amp;M68)+COUNTIFS($AK$3:$AK$98,$AK68,W$3:W$98,"&lt;"&amp;N68,X$3:X$98,"&gt;"&amp;M68)+COUNTIFS($AK$3:$AK$98,$AK68,Y$3:Y$98,"&lt;"&amp;N68,Z$3:Z$98,"&gt;"&amp;M68)+COUNTIFS($AK$3:$AK$98,$AK68,AA$3:AA$98,"&lt;"&amp;N68,AB$3:AB$98,"&gt;"&amp;M68)+COUNTIFS($AK$3:$AK$98,$AK68,AC$3:AC$98,"&lt;"&amp;N68,AD$3:AD$98,"&gt;"&amp;M68)+COUNTIFS($AK$3:$AK$98,$AK68,AE$3:AE$98,"&lt;"&amp;N68,AF$3:AF$98,"&gt;"&amp;M68)+COUNTIFS($AK$3:$AK$98,$AK68,AG$3:AG$98,"&lt;"&amp;N68,AH$3:AH$98,"&gt;"&amp;M68)-(M68&lt;N68))</f>
        <v>0</v>
      </c>
      <c r="AT68">
        <f>AS68</f>
        <v>0</v>
      </c>
      <c r="AU68">
        <f>IF(OR($AK68="",O68="",P68=""),0,COUNTIFS($AK$3:$AK$98,$AK68,K$3:K$98,"&lt;"&amp;P68,L$3:L$98,"&gt;"&amp;O68)+COUNTIFS($AK$3:$AK$98,$AK68,M$3:M$98,"&lt;"&amp;P68,N$3:N$98,"&gt;"&amp;O68)+COUNTIFS($AK$3:$AK$98,$AK68,O$3:O$98,"&lt;"&amp;P68,P$3:P$98,"&gt;"&amp;O68)+COUNTIFS($AK$3:$AK$98,$AK68,Q$3:Q$98,"&lt;"&amp;P68,R$3:R$98,"&gt;"&amp;O68)+COUNTIFS($AK$3:$AK$98,$AK68,S$3:S$98,"&lt;"&amp;P68,T$3:T$98,"&gt;"&amp;O68)+COUNTIFS($AK$3:$AK$98,$AK68,U$3:U$98,"&lt;"&amp;P68,V$3:V$98,"&gt;"&amp;O68)+COUNTIFS($AK$3:$AK$98,$AK68,W$3:W$98,"&lt;"&amp;P68,X$3:X$98,"&gt;"&amp;O68)+COUNTIFS($AK$3:$AK$98,$AK68,Y$3:Y$98,"&lt;"&amp;P68,Z$3:Z$98,"&gt;"&amp;O68)+COUNTIFS($AK$3:$AK$98,$AK68,AA$3:AA$98,"&lt;"&amp;P68,AB$3:AB$98,"&gt;"&amp;O68)+COUNTIFS($AK$3:$AK$98,$AK68,AC$3:AC$98,"&lt;"&amp;P68,AD$3:AD$98,"&gt;"&amp;O68)+COUNTIFS($AK$3:$AK$98,$AK68,AE$3:AE$98,"&lt;"&amp;P68,AF$3:AF$98,"&gt;"&amp;O68)+COUNTIFS($AK$3:$AK$98,$AK68,AG$3:AG$98,"&lt;"&amp;P68,AH$3:AH$98,"&gt;"&amp;O68)-(O68&lt;P68))</f>
        <v>0</v>
      </c>
      <c r="AV68">
        <f>AU68</f>
        <v>0</v>
      </c>
      <c r="AW68">
        <f>IF(OR($AK68="",Q68="",R68=""),0,COUNTIFS($AK$3:$AK$98,$AK68,K$3:K$98,"&lt;"&amp;R68,L$3:L$98,"&gt;"&amp;Q68)+COUNTIFS($AK$3:$AK$98,$AK68,M$3:M$98,"&lt;"&amp;R68,N$3:N$98,"&gt;"&amp;Q68)+COUNTIFS($AK$3:$AK$98,$AK68,O$3:O$98,"&lt;"&amp;R68,P$3:P$98,"&gt;"&amp;Q68)+COUNTIFS($AK$3:$AK$98,$AK68,Q$3:Q$98,"&lt;"&amp;R68,R$3:R$98,"&gt;"&amp;Q68)+COUNTIFS($AK$3:$AK$98,$AK68,S$3:S$98,"&lt;"&amp;R68,T$3:T$98,"&gt;"&amp;Q68)+COUNTIFS($AK$3:$AK$98,$AK68,U$3:U$98,"&lt;"&amp;R68,V$3:V$98,"&gt;"&amp;Q68)+COUNTIFS($AK$3:$AK$98,$AK68,W$3:W$98,"&lt;"&amp;R68,X$3:X$98,"&gt;"&amp;Q68)+COUNTIFS($AK$3:$AK$98,$AK68,Y$3:Y$98,"&lt;"&amp;R68,Z$3:Z$98,"&gt;"&amp;Q68)+COUNTIFS($AK$3:$AK$98,$AK68,AA$3:AA$98,"&lt;"&amp;R68,AB$3:AB$98,"&gt;"&amp;Q68)+COUNTIFS($AK$3:$AK$98,$AK68,AC$3:AC$98,"&lt;"&amp;R68,AD$3:AD$98,"&gt;"&amp;Q68)+COUNTIFS($AK$3:$AK$98,$AK68,AE$3:AE$98,"&lt;"&amp;R68,AF$3:AF$98,"&gt;"&amp;Q68)+COUNTIFS($AK$3:$AK$98,$AK68,AG$3:AG$98,"&lt;"&amp;R68,AH$3:AH$98,"&gt;"&amp;Q68)-(Q68&lt;R68))</f>
        <v>0</v>
      </c>
      <c r="AX68">
        <f>AW68</f>
        <v>0</v>
      </c>
      <c r="AY68">
        <f>IF(OR($AK68="",S68="",T68=""),0,COUNTIFS($AK$3:$AK$98,$AK68,K$3:K$98,"&lt;"&amp;T68,L$3:L$98,"&gt;"&amp;S68)+COUNTIFS($AK$3:$AK$98,$AK68,M$3:M$98,"&lt;"&amp;T68,N$3:N$98,"&gt;"&amp;S68)+COUNTIFS($AK$3:$AK$98,$AK68,O$3:O$98,"&lt;"&amp;T68,P$3:P$98,"&gt;"&amp;S68)+COUNTIFS($AK$3:$AK$98,$AK68,Q$3:Q$98,"&lt;"&amp;T68,R$3:R$98,"&gt;"&amp;S68)+COUNTIFS($AK$3:$AK$98,$AK68,S$3:S$98,"&lt;"&amp;T68,T$3:T$98,"&gt;"&amp;S68)+COUNTIFS($AK$3:$AK$98,$AK68,U$3:U$98,"&lt;"&amp;T68,V$3:V$98,"&gt;"&amp;S68)+COUNTIFS($AK$3:$AK$98,$AK68,W$3:W$98,"&lt;"&amp;T68,X$3:X$98,"&gt;"&amp;S68)+COUNTIFS($AK$3:$AK$98,$AK68,Y$3:Y$98,"&lt;"&amp;T68,Z$3:Z$98,"&gt;"&amp;S68)+COUNTIFS($AK$3:$AK$98,$AK68,AA$3:AA$98,"&lt;"&amp;T68,AB$3:AB$98,"&gt;"&amp;S68)+COUNTIFS($AK$3:$AK$98,$AK68,AC$3:AC$98,"&lt;"&amp;T68,AD$3:AD$98,"&gt;"&amp;S68)+COUNTIFS($AK$3:$AK$98,$AK68,AE$3:AE$98,"&lt;"&amp;T68,AF$3:AF$98,"&gt;"&amp;S68)+COUNTIFS($AK$3:$AK$98,$AK68,AG$3:AG$98,"&lt;"&amp;T68,AH$3:AH$98,"&gt;"&amp;S68)-(S68&lt;T68))</f>
        <v>0</v>
      </c>
      <c r="AZ68">
        <f>AY68</f>
        <v>0</v>
      </c>
      <c r="BA68">
        <f>IF(OR($AK68="",U68="",V68=""),0,COUNTIFS($AK$3:$AK$98,$AK68,K$3:K$98,"&lt;"&amp;V68,L$3:L$98,"&gt;"&amp;U68)+COUNTIFS($AK$3:$AK$98,$AK68,M$3:M$98,"&lt;"&amp;V68,N$3:N$98,"&gt;"&amp;U68)+COUNTIFS($AK$3:$AK$98,$AK68,O$3:O$98,"&lt;"&amp;V68,P$3:P$98,"&gt;"&amp;U68)+COUNTIFS($AK$3:$AK$98,$AK68,Q$3:Q$98,"&lt;"&amp;V68,R$3:R$98,"&gt;"&amp;U68)+COUNTIFS($AK$3:$AK$98,$AK68,S$3:S$98,"&lt;"&amp;V68,T$3:T$98,"&gt;"&amp;U68)+COUNTIFS($AK$3:$AK$98,$AK68,U$3:U$98,"&lt;"&amp;V68,V$3:V$98,"&gt;"&amp;U68)+COUNTIFS($AK$3:$AK$98,$AK68,W$3:W$98,"&lt;"&amp;V68,X$3:X$98,"&gt;"&amp;U68)+COUNTIFS($AK$3:$AK$98,$AK68,Y$3:Y$98,"&lt;"&amp;V68,Z$3:Z$98,"&gt;"&amp;U68)+COUNTIFS($AK$3:$AK$98,$AK68,AA$3:AA$98,"&lt;"&amp;V68,AB$3:AB$98,"&gt;"&amp;U68)+COUNTIFS($AK$3:$AK$98,$AK68,AC$3:AC$98,"&lt;"&amp;V68,AD$3:AD$98,"&gt;"&amp;U68)+COUNTIFS($AK$3:$AK$98,$AK68,AE$3:AE$98,"&lt;"&amp;V68,AF$3:AF$98,"&gt;"&amp;U68)+COUNTIFS($AK$3:$AK$98,$AK68,AG$3:AG$98,"&lt;"&amp;V68,AH$3:AH$98,"&gt;"&amp;U68)-(U68&lt;V68))</f>
        <v>0</v>
      </c>
      <c r="BB68">
        <f>BA68</f>
        <v>0</v>
      </c>
      <c r="BC68">
        <f>IF(OR($AK68="",W68="",X68=""),0,COUNTIFS($AK$3:$AK$98,$AK68,K$3:K$98,"&lt;"&amp;X68,L$3:L$98,"&gt;"&amp;W68)+COUNTIFS($AK$3:$AK$98,$AK68,M$3:M$98,"&lt;"&amp;X68,N$3:N$98,"&gt;"&amp;W68)+COUNTIFS($AK$3:$AK$98,$AK68,O$3:O$98,"&lt;"&amp;X68,P$3:P$98,"&gt;"&amp;W68)+COUNTIFS($AK$3:$AK$98,$AK68,Q$3:Q$98,"&lt;"&amp;X68,R$3:R$98,"&gt;"&amp;W68)+COUNTIFS($AK$3:$AK$98,$AK68,S$3:S$98,"&lt;"&amp;X68,T$3:T$98,"&gt;"&amp;W68)+COUNTIFS($AK$3:$AK$98,$AK68,U$3:U$98,"&lt;"&amp;X68,V$3:V$98,"&gt;"&amp;W68)+COUNTIFS($AK$3:$AK$98,$AK68,W$3:W$98,"&lt;"&amp;X68,X$3:X$98,"&gt;"&amp;W68)+COUNTIFS($AK$3:$AK$98,$AK68,Y$3:Y$98,"&lt;"&amp;X68,Z$3:Z$98,"&gt;"&amp;W68)+COUNTIFS($AK$3:$AK$98,$AK68,AA$3:AA$98,"&lt;"&amp;X68,AB$3:AB$98,"&gt;"&amp;W68)+COUNTIFS($AK$3:$AK$98,$AK68,AC$3:AC$98,"&lt;"&amp;X68,AD$3:AD$98,"&gt;"&amp;W68)+COUNTIFS($AK$3:$AK$98,$AK68,AE$3:AE$98,"&lt;"&amp;X68,AF$3:AF$98,"&gt;"&amp;W68)+COUNTIFS($AK$3:$AK$98,$AK68,AG$3:AG$98,"&lt;"&amp;X68,AH$3:AH$98,"&gt;"&amp;W68)-(W68&lt;X68))</f>
        <v>0</v>
      </c>
      <c r="BD68">
        <f>BC68</f>
        <v>0</v>
      </c>
      <c r="BE68">
        <f>IF(OR($AK68="",Y68="",Z68=""),0,COUNTIFS($AK$3:$AK$98,$AK68,K$3:K$98,"&lt;"&amp;Z68,L$3:L$98,"&gt;"&amp;Y68)+COUNTIFS($AK$3:$AK$98,$AK68,M$3:M$98,"&lt;"&amp;Z68,N$3:N$98,"&gt;"&amp;Y68)+COUNTIFS($AK$3:$AK$98,$AK68,O$3:O$98,"&lt;"&amp;Z68,P$3:P$98,"&gt;"&amp;Y68)+COUNTIFS($AK$3:$AK$98,$AK68,Q$3:Q$98,"&lt;"&amp;Z68,R$3:R$98,"&gt;"&amp;Y68)+COUNTIFS($AK$3:$AK$98,$AK68,S$3:S$98,"&lt;"&amp;Z68,T$3:T$98,"&gt;"&amp;Y68)+COUNTIFS($AK$3:$AK$98,$AK68,U$3:U$98,"&lt;"&amp;Z68,V$3:V$98,"&gt;"&amp;Y68)+COUNTIFS($AK$3:$AK$98,$AK68,W$3:W$98,"&lt;"&amp;Z68,X$3:X$98,"&gt;"&amp;Y68)+COUNTIFS($AK$3:$AK$98,$AK68,Y$3:Y$98,"&lt;"&amp;Z68,Z$3:Z$98,"&gt;"&amp;Y68)+COUNTIFS($AK$3:$AK$98,$AK68,AA$3:AA$98,"&lt;"&amp;Z68,AB$3:AB$98,"&gt;"&amp;Y68)+COUNTIFS($AK$3:$AK$98,$AK68,AC$3:AC$98,"&lt;"&amp;Z68,AD$3:AD$98,"&gt;"&amp;Y68)+COUNTIFS($AK$3:$AK$98,$AK68,AE$3:AE$98,"&lt;"&amp;Z68,AF$3:AF$98,"&gt;"&amp;Y68)+COUNTIFS($AK$3:$AK$98,$AK68,AG$3:AG$98,"&lt;"&amp;Z68,AH$3:AH$98,"&gt;"&amp;Y68)-(Y68&lt;Z68))</f>
        <v>0</v>
      </c>
      <c r="BF68">
        <f>BE68</f>
        <v>0</v>
      </c>
      <c r="BG68">
        <f>IF(OR($AK68="",AA68="",AB68=""),0,COUNTIFS($AK$3:$AK$98,$AK68,K$3:K$98,"&lt;"&amp;AB68,L$3:L$98,"&gt;"&amp;AA68)+COUNTIFS($AK$3:$AK$98,$AK68,M$3:M$98,"&lt;"&amp;AB68,N$3:N$98,"&gt;"&amp;AA68)+COUNTIFS($AK$3:$AK$98,$AK68,O$3:O$98,"&lt;"&amp;AB68,P$3:P$98,"&gt;"&amp;AA68)+COUNTIFS($AK$3:$AK$98,$AK68,Q$3:Q$98,"&lt;"&amp;AB68,R$3:R$98,"&gt;"&amp;AA68)+COUNTIFS($AK$3:$AK$98,$AK68,S$3:S$98,"&lt;"&amp;AB68,T$3:T$98,"&gt;"&amp;AA68)+COUNTIFS($AK$3:$AK$98,$AK68,U$3:U$98,"&lt;"&amp;AB68,V$3:V$98,"&gt;"&amp;AA68)+COUNTIFS($AK$3:$AK$98,$AK68,W$3:W$98,"&lt;"&amp;AB68,X$3:X$98,"&gt;"&amp;AA68)+COUNTIFS($AK$3:$AK$98,$AK68,Y$3:Y$98,"&lt;"&amp;AB68,Z$3:Z$98,"&gt;"&amp;AA68)+COUNTIFS($AK$3:$AK$98,$AK68,AA$3:AA$98,"&lt;"&amp;AB68,AB$3:AB$98,"&gt;"&amp;AA68)+COUNTIFS($AK$3:$AK$98,$AK68,AC$3:AC$98,"&lt;"&amp;AB68,AD$3:AD$98,"&gt;"&amp;AA68)+COUNTIFS($AK$3:$AK$98,$AK68,AE$3:AE$98,"&lt;"&amp;AB68,AF$3:AF$98,"&gt;"&amp;AA68)+COUNTIFS($AK$3:$AK$98,$AK68,AG$3:AG$98,"&lt;"&amp;AB68,AH$3:AH$98,"&gt;"&amp;AA68)-(AA68&lt;AB68))</f>
        <v>0</v>
      </c>
      <c r="BH68">
        <f>BG68</f>
        <v>0</v>
      </c>
      <c r="BI68">
        <f>IF(OR($AK68="",AC68="",AD68=""),0,COUNTIFS($AK$3:$AK$98,$AK68,K$3:K$98,"&lt;"&amp;AD68,L$3:L$98,"&gt;"&amp;AC68)+COUNTIFS($AK$3:$AK$98,$AK68,M$3:M$98,"&lt;"&amp;AD68,N$3:N$98,"&gt;"&amp;AC68)+COUNTIFS($AK$3:$AK$98,$AK68,O$3:O$98,"&lt;"&amp;AD68,P$3:P$98,"&gt;"&amp;AC68)+COUNTIFS($AK$3:$AK$98,$AK68,Q$3:Q$98,"&lt;"&amp;AD68,R$3:R$98,"&gt;"&amp;AC68)+COUNTIFS($AK$3:$AK$98,$AK68,S$3:S$98,"&lt;"&amp;AD68,T$3:T$98,"&gt;"&amp;AC68)+COUNTIFS($AK$3:$AK$98,$AK68,U$3:U$98,"&lt;"&amp;AD68,V$3:V$98,"&gt;"&amp;AC68)+COUNTIFS($AK$3:$AK$98,$AK68,W$3:W$98,"&lt;"&amp;AD68,X$3:X$98,"&gt;"&amp;AC68)+COUNTIFS($AK$3:$AK$98,$AK68,Y$3:Y$98,"&lt;"&amp;AD68,Z$3:Z$98,"&gt;"&amp;AC68)+COUNTIFS($AK$3:$AK$98,$AK68,AA$3:AA$98,"&lt;"&amp;AD68,AB$3:AB$98,"&gt;"&amp;AC68)+COUNTIFS($AK$3:$AK$98,$AK68,AC$3:AC$98,"&lt;"&amp;AD68,AD$3:AD$98,"&gt;"&amp;AC68)+COUNTIFS($AK$3:$AK$98,$AK68,AE$3:AE$98,"&lt;"&amp;AD68,AF$3:AF$98,"&gt;"&amp;AC68)+COUNTIFS($AK$3:$AK$98,$AK68,AG$3:AG$98,"&lt;"&amp;AD68,AH$3:AH$98,"&gt;"&amp;AC68)-(AC68&lt;AD68))</f>
        <v>0</v>
      </c>
      <c r="BJ68">
        <f>BI68</f>
        <v>0</v>
      </c>
      <c r="BK68">
        <f>IF(OR($AK68="",AE68="",AF68=""),0,COUNTIFS($AK$3:$AK$98,$AK68,K$3:K$98,"&lt;"&amp;AF68,L$3:L$98,"&gt;"&amp;AE68)+COUNTIFS($AK$3:$AK$98,$AK68,M$3:M$98,"&lt;"&amp;AF68,N$3:N$98,"&gt;"&amp;AE68)+COUNTIFS($AK$3:$AK$98,$AK68,O$3:O$98,"&lt;"&amp;AF68,P$3:P$98,"&gt;"&amp;AE68)+COUNTIFS($AK$3:$AK$98,$AK68,Q$3:Q$98,"&lt;"&amp;AF68,R$3:R$98,"&gt;"&amp;AE68)+COUNTIFS($AK$3:$AK$98,$AK68,S$3:S$98,"&lt;"&amp;AF68,T$3:T$98,"&gt;"&amp;AE68)+COUNTIFS($AK$3:$AK$98,$AK68,U$3:U$98,"&lt;"&amp;AF68,V$3:V$98,"&gt;"&amp;AE68)+COUNTIFS($AK$3:$AK$98,$AK68,W$3:W$98,"&lt;"&amp;AF68,X$3:X$98,"&gt;"&amp;AE68)+COUNTIFS($AK$3:$AK$98,$AK68,Y$3:Y$98,"&lt;"&amp;AF68,Z$3:Z$98,"&gt;"&amp;AE68)+COUNTIFS($AK$3:$AK$98,$AK68,AA$3:AA$98,"&lt;"&amp;AF68,AB$3:AB$98,"&gt;"&amp;AE68)+COUNTIFS($AK$3:$AK$98,$AK68,AC$3:AC$98,"&lt;"&amp;AF68,AD$3:AD$98,"&gt;"&amp;AE68)+COUNTIFS($AK$3:$AK$98,$AK68,AE$3:AE$98,"&lt;"&amp;AF68,AF$3:AF$98,"&gt;"&amp;AE68)+COUNTIFS($AK$3:$AK$98,$AK68,AG$3:AG$98,"&lt;"&amp;AF68,AH$3:AH$98,"&gt;"&amp;AE68)-(AE68&lt;AF68))</f>
        <v>0</v>
      </c>
      <c r="BL68">
        <f>BK68</f>
        <v>0</v>
      </c>
      <c r="BM68">
        <f>IF(OR($AK68="",AG68="",AH68=""),0,COUNTIFS($AK$3:$AK$98,$AK68,K$3:K$98,"&lt;"&amp;AH68,L$3:L$98,"&gt;"&amp;AG68)+COUNTIFS($AK$3:$AK$98,$AK68,M$3:M$98,"&lt;"&amp;AH68,N$3:N$98,"&gt;"&amp;AG68)+COUNTIFS($AK$3:$AK$98,$AK68,O$3:O$98,"&lt;"&amp;AH68,P$3:P$98,"&gt;"&amp;AG68)+COUNTIFS($AK$3:$AK$98,$AK68,Q$3:Q$98,"&lt;"&amp;AH68,R$3:R$98,"&gt;"&amp;AG68)+COUNTIFS($AK$3:$AK$98,$AK68,S$3:S$98,"&lt;"&amp;AH68,T$3:T$98,"&gt;"&amp;AG68)+COUNTIFS($AK$3:$AK$98,$AK68,U$3:U$98,"&lt;"&amp;AH68,V$3:V$98,"&gt;"&amp;AG68)+COUNTIFS($AK$3:$AK$98,$AK68,W$3:W$98,"&lt;"&amp;AH68,X$3:X$98,"&gt;"&amp;AG68)+COUNTIFS($AK$3:$AK$98,$AK68,Y$3:Y$98,"&lt;"&amp;AH68,Z$3:Z$98,"&gt;"&amp;AG68)+COUNTIFS($AK$3:$AK$98,$AK68,AA$3:AA$98,"&lt;"&amp;AH68,AB$3:AB$98,"&gt;"&amp;AG68)+COUNTIFS($AK$3:$AK$98,$AK68,AC$3:AC$98,"&lt;"&amp;AH68,AD$3:AD$98,"&gt;"&amp;AG68)+COUNTIFS($AK$3:$AK$98,$AK68,AE$3:AE$98,"&lt;"&amp;AH68,AF$3:AF$98,"&gt;"&amp;AG68)+COUNTIFS($AK$3:$AK$98,$AK68,AG$3:AG$98,"&lt;"&amp;AH68,AH$3:AH$98,"&gt;"&amp;AG68)-(AG68&lt;AH68))</f>
        <v>0</v>
      </c>
      <c r="BN68">
        <f>BM68</f>
        <v>0</v>
      </c>
      <c r="BO68">
        <f>IF(ISNUMBER($G68),$G68,"")</f>
        <v>1</v>
      </c>
      <c r="BP68">
        <f>IF(AND($A68&lt;&gt;"",COUNT($K68:$AH68)&gt;0),ROW(),"")</f>
        <v>68</v>
      </c>
    </row>
    <row r="69" spans="1:68" x14ac:dyDescent="0.15">
      <c r="A69" s="25" t="str">
        <f>IF($A66="","",$A66)</f>
        <v>chMobSaiyanE</v>
      </c>
      <c r="B69" s="26" t="str">
        <f>IF($A66="","","fac")</f>
        <v>fac</v>
      </c>
      <c r="C69" s="26"/>
      <c r="D69" s="27">
        <v>5</v>
      </c>
      <c r="E69" s="28">
        <f>IF(AND($D69="",COUNT($K69:$AH69)=0),"",IF(K69="",0,MAX(0,NETWORKDAYS(K69,IF(L69&lt;&gt;"",L69,IF($J69&lt;&gt;"",K69,$AI$1)),祝日!$A$2:$A$200)))+IF(M69="",0,MAX(0,NETWORKDAYS(M69,IF(N69&lt;&gt;"",N69,IF($J69&lt;&gt;"",M69,$AI$1)),祝日!$A$2:$A$200)))+IF(O69="",0,MAX(0,NETWORKDAYS(O69,IF(P69&lt;&gt;"",P69,IF($J69&lt;&gt;"",O69,$AI$1)),祝日!$A$2:$A$200)))+IF(Q69="",0,MAX(0,NETWORKDAYS(Q69,IF(R69&lt;&gt;"",R69,IF($J69&lt;&gt;"",Q69,$AI$1)),祝日!$A$2:$A$200)))+IF(S69="",0,MAX(0,NETWORKDAYS(S69,IF(T69&lt;&gt;"",T69,IF($J69&lt;&gt;"",S69,$AI$1)),祝日!$A$2:$A$200)))+IF(U69="",0,MAX(0,NETWORKDAYS(U69,IF(V69&lt;&gt;"",V69,IF($J69&lt;&gt;"",U69,$AI$1)),祝日!$A$2:$A$200)))+IF(W69="",0,MAX(0,NETWORKDAYS(W69,IF(X69&lt;&gt;"",X69,IF($J69&lt;&gt;"",W69,$AI$1)),祝日!$A$2:$A$200)))+IF(Y69="",0,MAX(0,NETWORKDAYS(Y69,IF(Z69&lt;&gt;"",Z69,IF($J69&lt;&gt;"",Y69,$AI$1)),祝日!$A$2:$A$200)))+IF(AA69="",0,MAX(0,NETWORKDAYS(AA69,IF(AB69&lt;&gt;"",AB69,IF($J69&lt;&gt;"",AA69,$AI$1)),祝日!$A$2:$A$200)))+IF(AC69="",0,MAX(0,NETWORKDAYS(AC69,IF(AD69&lt;&gt;"",AD69,IF($J69&lt;&gt;"",AC69,$AI$1)),祝日!$A$2:$A$200)))+IF(AE69="",0,MAX(0,NETWORKDAYS(AE69,IF(AF69&lt;&gt;"",AF69,IF($J69&lt;&gt;"",AE69,$AI$1)),祝日!$A$2:$A$200)))+IF(AG69="",0,MAX(0,NETWORKDAYS(AG69,IF(AH69&lt;&gt;"",AH69,IF($J69&lt;&gt;"",AG69,$AI$1)),祝日!$A$2:$A$200))))</f>
        <v>5</v>
      </c>
      <c r="F69" s="28">
        <f>IF($D69="","",$D69-$E69)</f>
        <v>0</v>
      </c>
      <c r="G69" s="29">
        <f>IF(OR($D69="",$D69=0),"",$E69/$D69)</f>
        <v>1</v>
      </c>
      <c r="H69" s="30" t="str">
        <f>IF($D69="","",IF($J69&lt;&gt;"","FIX",IF(AND(SUMPRODUCT((MOD(COLUMN($K69:$AH69)-COLUMN($K69),2)=0)*($K69:$AH69&lt;&gt;""))=0,SUMPRODUCT((MOD(COLUMN($K69:$AH69)-COLUMN($K69),2)=1)*($K69:$AH69&lt;&gt;""))=0),"未着手",IF(SUMPRODUCT((MOD(COLUMN($K69:$AH69)-COLUMN($K69),2)=0)*($K69:$AH69&lt;&gt;""))&gt;SUMPRODUCT((MOD(COLUMN($K69:$AH69)-COLUMN($K69),2)=1)*($K69:$AH69&lt;&gt;"")),"作業中","中断"))))</f>
        <v>FIX</v>
      </c>
      <c r="I69" s="30" t="str">
        <f>IF($H69="中断",MAX(0,$AI$1-MAX(L69,N69,P69,R69,T69,V69,X69,Z69,AB69,AD69,AF69,AH69)),"")</f>
        <v/>
      </c>
      <c r="J69" s="26" t="s">
        <v>37</v>
      </c>
      <c r="K69" s="31">
        <v>46230</v>
      </c>
      <c r="L69" s="31">
        <v>46234</v>
      </c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K69" t="str">
        <f>IF($A66="","",IF(LOOKUP(2,1/($AJ$3:$AJ69&lt;&gt;""),$AJ$3:$AJ69)="-","",LOOKUP(2,1/($AJ$3:$AJ69&lt;&gt;""),$AJ$3:$AJ69)))</f>
        <v>CH03</v>
      </c>
      <c r="AL69" t="str">
        <f>$H69</f>
        <v>FIX</v>
      </c>
      <c r="AM69">
        <f>IF(ISNUMBER($D69),$D69,0)</f>
        <v>5</v>
      </c>
      <c r="AN69">
        <f>IF(ISNUMBER($E69),$E69,0)</f>
        <v>5</v>
      </c>
      <c r="AO69">
        <f>IF(ISNUMBER($F69),$F69,0)</f>
        <v>0</v>
      </c>
      <c r="AQ69">
        <f>IF(OR($AK69="",K69="",L69=""),0,COUNTIFS($AK$3:$AK$98,$AK69,K$3:K$98,"&lt;"&amp;L69,L$3:L$98,"&gt;"&amp;K69)+COUNTIFS($AK$3:$AK$98,$AK69,M$3:M$98,"&lt;"&amp;L69,N$3:N$98,"&gt;"&amp;K69)+COUNTIFS($AK$3:$AK$98,$AK69,O$3:O$98,"&lt;"&amp;L69,P$3:P$98,"&gt;"&amp;K69)+COUNTIFS($AK$3:$AK$98,$AK69,Q$3:Q$98,"&lt;"&amp;L69,R$3:R$98,"&gt;"&amp;K69)+COUNTIFS($AK$3:$AK$98,$AK69,S$3:S$98,"&lt;"&amp;L69,T$3:T$98,"&gt;"&amp;K69)+COUNTIFS($AK$3:$AK$98,$AK69,U$3:U$98,"&lt;"&amp;L69,V$3:V$98,"&gt;"&amp;K69)+COUNTIFS($AK$3:$AK$98,$AK69,W$3:W$98,"&lt;"&amp;L69,X$3:X$98,"&gt;"&amp;K69)+COUNTIFS($AK$3:$AK$98,$AK69,Y$3:Y$98,"&lt;"&amp;L69,Z$3:Z$98,"&gt;"&amp;K69)+COUNTIFS($AK$3:$AK$98,$AK69,AA$3:AA$98,"&lt;"&amp;L69,AB$3:AB$98,"&gt;"&amp;K69)+COUNTIFS($AK$3:$AK$98,$AK69,AC$3:AC$98,"&lt;"&amp;L69,AD$3:AD$98,"&gt;"&amp;K69)+COUNTIFS($AK$3:$AK$98,$AK69,AE$3:AE$98,"&lt;"&amp;L69,AF$3:AF$98,"&gt;"&amp;K69)+COUNTIFS($AK$3:$AK$98,$AK69,AG$3:AG$98,"&lt;"&amp;L69,AH$3:AH$98,"&gt;"&amp;K69)-(K69&lt;L69))</f>
        <v>0</v>
      </c>
      <c r="AR69">
        <f>AQ69</f>
        <v>0</v>
      </c>
      <c r="AS69">
        <f>IF(OR($AK69="",M69="",N69=""),0,COUNTIFS($AK$3:$AK$98,$AK69,K$3:K$98,"&lt;"&amp;N69,L$3:L$98,"&gt;"&amp;M69)+COUNTIFS($AK$3:$AK$98,$AK69,M$3:M$98,"&lt;"&amp;N69,N$3:N$98,"&gt;"&amp;M69)+COUNTIFS($AK$3:$AK$98,$AK69,O$3:O$98,"&lt;"&amp;N69,P$3:P$98,"&gt;"&amp;M69)+COUNTIFS($AK$3:$AK$98,$AK69,Q$3:Q$98,"&lt;"&amp;N69,R$3:R$98,"&gt;"&amp;M69)+COUNTIFS($AK$3:$AK$98,$AK69,S$3:S$98,"&lt;"&amp;N69,T$3:T$98,"&gt;"&amp;M69)+COUNTIFS($AK$3:$AK$98,$AK69,U$3:U$98,"&lt;"&amp;N69,V$3:V$98,"&gt;"&amp;M69)+COUNTIFS($AK$3:$AK$98,$AK69,W$3:W$98,"&lt;"&amp;N69,X$3:X$98,"&gt;"&amp;M69)+COUNTIFS($AK$3:$AK$98,$AK69,Y$3:Y$98,"&lt;"&amp;N69,Z$3:Z$98,"&gt;"&amp;M69)+COUNTIFS($AK$3:$AK$98,$AK69,AA$3:AA$98,"&lt;"&amp;N69,AB$3:AB$98,"&gt;"&amp;M69)+COUNTIFS($AK$3:$AK$98,$AK69,AC$3:AC$98,"&lt;"&amp;N69,AD$3:AD$98,"&gt;"&amp;M69)+COUNTIFS($AK$3:$AK$98,$AK69,AE$3:AE$98,"&lt;"&amp;N69,AF$3:AF$98,"&gt;"&amp;M69)+COUNTIFS($AK$3:$AK$98,$AK69,AG$3:AG$98,"&lt;"&amp;N69,AH$3:AH$98,"&gt;"&amp;M69)-(M69&lt;N69))</f>
        <v>0</v>
      </c>
      <c r="AT69">
        <f>AS69</f>
        <v>0</v>
      </c>
      <c r="AU69">
        <f>IF(OR($AK69="",O69="",P69=""),0,COUNTIFS($AK$3:$AK$98,$AK69,K$3:K$98,"&lt;"&amp;P69,L$3:L$98,"&gt;"&amp;O69)+COUNTIFS($AK$3:$AK$98,$AK69,M$3:M$98,"&lt;"&amp;P69,N$3:N$98,"&gt;"&amp;O69)+COUNTIFS($AK$3:$AK$98,$AK69,O$3:O$98,"&lt;"&amp;P69,P$3:P$98,"&gt;"&amp;O69)+COUNTIFS($AK$3:$AK$98,$AK69,Q$3:Q$98,"&lt;"&amp;P69,R$3:R$98,"&gt;"&amp;O69)+COUNTIFS($AK$3:$AK$98,$AK69,S$3:S$98,"&lt;"&amp;P69,T$3:T$98,"&gt;"&amp;O69)+COUNTIFS($AK$3:$AK$98,$AK69,U$3:U$98,"&lt;"&amp;P69,V$3:V$98,"&gt;"&amp;O69)+COUNTIFS($AK$3:$AK$98,$AK69,W$3:W$98,"&lt;"&amp;P69,X$3:X$98,"&gt;"&amp;O69)+COUNTIFS($AK$3:$AK$98,$AK69,Y$3:Y$98,"&lt;"&amp;P69,Z$3:Z$98,"&gt;"&amp;O69)+COUNTIFS($AK$3:$AK$98,$AK69,AA$3:AA$98,"&lt;"&amp;P69,AB$3:AB$98,"&gt;"&amp;O69)+COUNTIFS($AK$3:$AK$98,$AK69,AC$3:AC$98,"&lt;"&amp;P69,AD$3:AD$98,"&gt;"&amp;O69)+COUNTIFS($AK$3:$AK$98,$AK69,AE$3:AE$98,"&lt;"&amp;P69,AF$3:AF$98,"&gt;"&amp;O69)+COUNTIFS($AK$3:$AK$98,$AK69,AG$3:AG$98,"&lt;"&amp;P69,AH$3:AH$98,"&gt;"&amp;O69)-(O69&lt;P69))</f>
        <v>0</v>
      </c>
      <c r="AV69">
        <f>AU69</f>
        <v>0</v>
      </c>
      <c r="AW69">
        <f>IF(OR($AK69="",Q69="",R69=""),0,COUNTIFS($AK$3:$AK$98,$AK69,K$3:K$98,"&lt;"&amp;R69,L$3:L$98,"&gt;"&amp;Q69)+COUNTIFS($AK$3:$AK$98,$AK69,M$3:M$98,"&lt;"&amp;R69,N$3:N$98,"&gt;"&amp;Q69)+COUNTIFS($AK$3:$AK$98,$AK69,O$3:O$98,"&lt;"&amp;R69,P$3:P$98,"&gt;"&amp;Q69)+COUNTIFS($AK$3:$AK$98,$AK69,Q$3:Q$98,"&lt;"&amp;R69,R$3:R$98,"&gt;"&amp;Q69)+COUNTIFS($AK$3:$AK$98,$AK69,S$3:S$98,"&lt;"&amp;R69,T$3:T$98,"&gt;"&amp;Q69)+COUNTIFS($AK$3:$AK$98,$AK69,U$3:U$98,"&lt;"&amp;R69,V$3:V$98,"&gt;"&amp;Q69)+COUNTIFS($AK$3:$AK$98,$AK69,W$3:W$98,"&lt;"&amp;R69,X$3:X$98,"&gt;"&amp;Q69)+COUNTIFS($AK$3:$AK$98,$AK69,Y$3:Y$98,"&lt;"&amp;R69,Z$3:Z$98,"&gt;"&amp;Q69)+COUNTIFS($AK$3:$AK$98,$AK69,AA$3:AA$98,"&lt;"&amp;R69,AB$3:AB$98,"&gt;"&amp;Q69)+COUNTIFS($AK$3:$AK$98,$AK69,AC$3:AC$98,"&lt;"&amp;R69,AD$3:AD$98,"&gt;"&amp;Q69)+COUNTIFS($AK$3:$AK$98,$AK69,AE$3:AE$98,"&lt;"&amp;R69,AF$3:AF$98,"&gt;"&amp;Q69)+COUNTIFS($AK$3:$AK$98,$AK69,AG$3:AG$98,"&lt;"&amp;R69,AH$3:AH$98,"&gt;"&amp;Q69)-(Q69&lt;R69))</f>
        <v>0</v>
      </c>
      <c r="AX69">
        <f>AW69</f>
        <v>0</v>
      </c>
      <c r="AY69">
        <f>IF(OR($AK69="",S69="",T69=""),0,COUNTIFS($AK$3:$AK$98,$AK69,K$3:K$98,"&lt;"&amp;T69,L$3:L$98,"&gt;"&amp;S69)+COUNTIFS($AK$3:$AK$98,$AK69,M$3:M$98,"&lt;"&amp;T69,N$3:N$98,"&gt;"&amp;S69)+COUNTIFS($AK$3:$AK$98,$AK69,O$3:O$98,"&lt;"&amp;T69,P$3:P$98,"&gt;"&amp;S69)+COUNTIFS($AK$3:$AK$98,$AK69,Q$3:Q$98,"&lt;"&amp;T69,R$3:R$98,"&gt;"&amp;S69)+COUNTIFS($AK$3:$AK$98,$AK69,S$3:S$98,"&lt;"&amp;T69,T$3:T$98,"&gt;"&amp;S69)+COUNTIFS($AK$3:$AK$98,$AK69,U$3:U$98,"&lt;"&amp;T69,V$3:V$98,"&gt;"&amp;S69)+COUNTIFS($AK$3:$AK$98,$AK69,W$3:W$98,"&lt;"&amp;T69,X$3:X$98,"&gt;"&amp;S69)+COUNTIFS($AK$3:$AK$98,$AK69,Y$3:Y$98,"&lt;"&amp;T69,Z$3:Z$98,"&gt;"&amp;S69)+COUNTIFS($AK$3:$AK$98,$AK69,AA$3:AA$98,"&lt;"&amp;T69,AB$3:AB$98,"&gt;"&amp;S69)+COUNTIFS($AK$3:$AK$98,$AK69,AC$3:AC$98,"&lt;"&amp;T69,AD$3:AD$98,"&gt;"&amp;S69)+COUNTIFS($AK$3:$AK$98,$AK69,AE$3:AE$98,"&lt;"&amp;T69,AF$3:AF$98,"&gt;"&amp;S69)+COUNTIFS($AK$3:$AK$98,$AK69,AG$3:AG$98,"&lt;"&amp;T69,AH$3:AH$98,"&gt;"&amp;S69)-(S69&lt;T69))</f>
        <v>0</v>
      </c>
      <c r="AZ69">
        <f>AY69</f>
        <v>0</v>
      </c>
      <c r="BA69">
        <f>IF(OR($AK69="",U69="",V69=""),0,COUNTIFS($AK$3:$AK$98,$AK69,K$3:K$98,"&lt;"&amp;V69,L$3:L$98,"&gt;"&amp;U69)+COUNTIFS($AK$3:$AK$98,$AK69,M$3:M$98,"&lt;"&amp;V69,N$3:N$98,"&gt;"&amp;U69)+COUNTIFS($AK$3:$AK$98,$AK69,O$3:O$98,"&lt;"&amp;V69,P$3:P$98,"&gt;"&amp;U69)+COUNTIFS($AK$3:$AK$98,$AK69,Q$3:Q$98,"&lt;"&amp;V69,R$3:R$98,"&gt;"&amp;U69)+COUNTIFS($AK$3:$AK$98,$AK69,S$3:S$98,"&lt;"&amp;V69,T$3:T$98,"&gt;"&amp;U69)+COUNTIFS($AK$3:$AK$98,$AK69,U$3:U$98,"&lt;"&amp;V69,V$3:V$98,"&gt;"&amp;U69)+COUNTIFS($AK$3:$AK$98,$AK69,W$3:W$98,"&lt;"&amp;V69,X$3:X$98,"&gt;"&amp;U69)+COUNTIFS($AK$3:$AK$98,$AK69,Y$3:Y$98,"&lt;"&amp;V69,Z$3:Z$98,"&gt;"&amp;U69)+COUNTIFS($AK$3:$AK$98,$AK69,AA$3:AA$98,"&lt;"&amp;V69,AB$3:AB$98,"&gt;"&amp;U69)+COUNTIFS($AK$3:$AK$98,$AK69,AC$3:AC$98,"&lt;"&amp;V69,AD$3:AD$98,"&gt;"&amp;U69)+COUNTIFS($AK$3:$AK$98,$AK69,AE$3:AE$98,"&lt;"&amp;V69,AF$3:AF$98,"&gt;"&amp;U69)+COUNTIFS($AK$3:$AK$98,$AK69,AG$3:AG$98,"&lt;"&amp;V69,AH$3:AH$98,"&gt;"&amp;U69)-(U69&lt;V69))</f>
        <v>0</v>
      </c>
      <c r="BB69">
        <f>BA69</f>
        <v>0</v>
      </c>
      <c r="BC69">
        <f>IF(OR($AK69="",W69="",X69=""),0,COUNTIFS($AK$3:$AK$98,$AK69,K$3:K$98,"&lt;"&amp;X69,L$3:L$98,"&gt;"&amp;W69)+COUNTIFS($AK$3:$AK$98,$AK69,M$3:M$98,"&lt;"&amp;X69,N$3:N$98,"&gt;"&amp;W69)+COUNTIFS($AK$3:$AK$98,$AK69,O$3:O$98,"&lt;"&amp;X69,P$3:P$98,"&gt;"&amp;W69)+COUNTIFS($AK$3:$AK$98,$AK69,Q$3:Q$98,"&lt;"&amp;X69,R$3:R$98,"&gt;"&amp;W69)+COUNTIFS($AK$3:$AK$98,$AK69,S$3:S$98,"&lt;"&amp;X69,T$3:T$98,"&gt;"&amp;W69)+COUNTIFS($AK$3:$AK$98,$AK69,U$3:U$98,"&lt;"&amp;X69,V$3:V$98,"&gt;"&amp;W69)+COUNTIFS($AK$3:$AK$98,$AK69,W$3:W$98,"&lt;"&amp;X69,X$3:X$98,"&gt;"&amp;W69)+COUNTIFS($AK$3:$AK$98,$AK69,Y$3:Y$98,"&lt;"&amp;X69,Z$3:Z$98,"&gt;"&amp;W69)+COUNTIFS($AK$3:$AK$98,$AK69,AA$3:AA$98,"&lt;"&amp;X69,AB$3:AB$98,"&gt;"&amp;W69)+COUNTIFS($AK$3:$AK$98,$AK69,AC$3:AC$98,"&lt;"&amp;X69,AD$3:AD$98,"&gt;"&amp;W69)+COUNTIFS($AK$3:$AK$98,$AK69,AE$3:AE$98,"&lt;"&amp;X69,AF$3:AF$98,"&gt;"&amp;W69)+COUNTIFS($AK$3:$AK$98,$AK69,AG$3:AG$98,"&lt;"&amp;X69,AH$3:AH$98,"&gt;"&amp;W69)-(W69&lt;X69))</f>
        <v>0</v>
      </c>
      <c r="BD69">
        <f>BC69</f>
        <v>0</v>
      </c>
      <c r="BE69">
        <f>IF(OR($AK69="",Y69="",Z69=""),0,COUNTIFS($AK$3:$AK$98,$AK69,K$3:K$98,"&lt;"&amp;Z69,L$3:L$98,"&gt;"&amp;Y69)+COUNTIFS($AK$3:$AK$98,$AK69,M$3:M$98,"&lt;"&amp;Z69,N$3:N$98,"&gt;"&amp;Y69)+COUNTIFS($AK$3:$AK$98,$AK69,O$3:O$98,"&lt;"&amp;Z69,P$3:P$98,"&gt;"&amp;Y69)+COUNTIFS($AK$3:$AK$98,$AK69,Q$3:Q$98,"&lt;"&amp;Z69,R$3:R$98,"&gt;"&amp;Y69)+COUNTIFS($AK$3:$AK$98,$AK69,S$3:S$98,"&lt;"&amp;Z69,T$3:T$98,"&gt;"&amp;Y69)+COUNTIFS($AK$3:$AK$98,$AK69,U$3:U$98,"&lt;"&amp;Z69,V$3:V$98,"&gt;"&amp;Y69)+COUNTIFS($AK$3:$AK$98,$AK69,W$3:W$98,"&lt;"&amp;Z69,X$3:X$98,"&gt;"&amp;Y69)+COUNTIFS($AK$3:$AK$98,$AK69,Y$3:Y$98,"&lt;"&amp;Z69,Z$3:Z$98,"&gt;"&amp;Y69)+COUNTIFS($AK$3:$AK$98,$AK69,AA$3:AA$98,"&lt;"&amp;Z69,AB$3:AB$98,"&gt;"&amp;Y69)+COUNTIFS($AK$3:$AK$98,$AK69,AC$3:AC$98,"&lt;"&amp;Z69,AD$3:AD$98,"&gt;"&amp;Y69)+COUNTIFS($AK$3:$AK$98,$AK69,AE$3:AE$98,"&lt;"&amp;Z69,AF$3:AF$98,"&gt;"&amp;Y69)+COUNTIFS($AK$3:$AK$98,$AK69,AG$3:AG$98,"&lt;"&amp;Z69,AH$3:AH$98,"&gt;"&amp;Y69)-(Y69&lt;Z69))</f>
        <v>0</v>
      </c>
      <c r="BF69">
        <f>BE69</f>
        <v>0</v>
      </c>
      <c r="BG69">
        <f>IF(OR($AK69="",AA69="",AB69=""),0,COUNTIFS($AK$3:$AK$98,$AK69,K$3:K$98,"&lt;"&amp;AB69,L$3:L$98,"&gt;"&amp;AA69)+COUNTIFS($AK$3:$AK$98,$AK69,M$3:M$98,"&lt;"&amp;AB69,N$3:N$98,"&gt;"&amp;AA69)+COUNTIFS($AK$3:$AK$98,$AK69,O$3:O$98,"&lt;"&amp;AB69,P$3:P$98,"&gt;"&amp;AA69)+COUNTIFS($AK$3:$AK$98,$AK69,Q$3:Q$98,"&lt;"&amp;AB69,R$3:R$98,"&gt;"&amp;AA69)+COUNTIFS($AK$3:$AK$98,$AK69,S$3:S$98,"&lt;"&amp;AB69,T$3:T$98,"&gt;"&amp;AA69)+COUNTIFS($AK$3:$AK$98,$AK69,U$3:U$98,"&lt;"&amp;AB69,V$3:V$98,"&gt;"&amp;AA69)+COUNTIFS($AK$3:$AK$98,$AK69,W$3:W$98,"&lt;"&amp;AB69,X$3:X$98,"&gt;"&amp;AA69)+COUNTIFS($AK$3:$AK$98,$AK69,Y$3:Y$98,"&lt;"&amp;AB69,Z$3:Z$98,"&gt;"&amp;AA69)+COUNTIFS($AK$3:$AK$98,$AK69,AA$3:AA$98,"&lt;"&amp;AB69,AB$3:AB$98,"&gt;"&amp;AA69)+COUNTIFS($AK$3:$AK$98,$AK69,AC$3:AC$98,"&lt;"&amp;AB69,AD$3:AD$98,"&gt;"&amp;AA69)+COUNTIFS($AK$3:$AK$98,$AK69,AE$3:AE$98,"&lt;"&amp;AB69,AF$3:AF$98,"&gt;"&amp;AA69)+COUNTIFS($AK$3:$AK$98,$AK69,AG$3:AG$98,"&lt;"&amp;AB69,AH$3:AH$98,"&gt;"&amp;AA69)-(AA69&lt;AB69))</f>
        <v>0</v>
      </c>
      <c r="BH69">
        <f>BG69</f>
        <v>0</v>
      </c>
      <c r="BI69">
        <f>IF(OR($AK69="",AC69="",AD69=""),0,COUNTIFS($AK$3:$AK$98,$AK69,K$3:K$98,"&lt;"&amp;AD69,L$3:L$98,"&gt;"&amp;AC69)+COUNTIFS($AK$3:$AK$98,$AK69,M$3:M$98,"&lt;"&amp;AD69,N$3:N$98,"&gt;"&amp;AC69)+COUNTIFS($AK$3:$AK$98,$AK69,O$3:O$98,"&lt;"&amp;AD69,P$3:P$98,"&gt;"&amp;AC69)+COUNTIFS($AK$3:$AK$98,$AK69,Q$3:Q$98,"&lt;"&amp;AD69,R$3:R$98,"&gt;"&amp;AC69)+COUNTIFS($AK$3:$AK$98,$AK69,S$3:S$98,"&lt;"&amp;AD69,T$3:T$98,"&gt;"&amp;AC69)+COUNTIFS($AK$3:$AK$98,$AK69,U$3:U$98,"&lt;"&amp;AD69,V$3:V$98,"&gt;"&amp;AC69)+COUNTIFS($AK$3:$AK$98,$AK69,W$3:W$98,"&lt;"&amp;AD69,X$3:X$98,"&gt;"&amp;AC69)+COUNTIFS($AK$3:$AK$98,$AK69,Y$3:Y$98,"&lt;"&amp;AD69,Z$3:Z$98,"&gt;"&amp;AC69)+COUNTIFS($AK$3:$AK$98,$AK69,AA$3:AA$98,"&lt;"&amp;AD69,AB$3:AB$98,"&gt;"&amp;AC69)+COUNTIFS($AK$3:$AK$98,$AK69,AC$3:AC$98,"&lt;"&amp;AD69,AD$3:AD$98,"&gt;"&amp;AC69)+COUNTIFS($AK$3:$AK$98,$AK69,AE$3:AE$98,"&lt;"&amp;AD69,AF$3:AF$98,"&gt;"&amp;AC69)+COUNTIFS($AK$3:$AK$98,$AK69,AG$3:AG$98,"&lt;"&amp;AD69,AH$3:AH$98,"&gt;"&amp;AC69)-(AC69&lt;AD69))</f>
        <v>0</v>
      </c>
      <c r="BJ69">
        <f>BI69</f>
        <v>0</v>
      </c>
      <c r="BK69">
        <f>IF(OR($AK69="",AE69="",AF69=""),0,COUNTIFS($AK$3:$AK$98,$AK69,K$3:K$98,"&lt;"&amp;AF69,L$3:L$98,"&gt;"&amp;AE69)+COUNTIFS($AK$3:$AK$98,$AK69,M$3:M$98,"&lt;"&amp;AF69,N$3:N$98,"&gt;"&amp;AE69)+COUNTIFS($AK$3:$AK$98,$AK69,O$3:O$98,"&lt;"&amp;AF69,P$3:P$98,"&gt;"&amp;AE69)+COUNTIFS($AK$3:$AK$98,$AK69,Q$3:Q$98,"&lt;"&amp;AF69,R$3:R$98,"&gt;"&amp;AE69)+COUNTIFS($AK$3:$AK$98,$AK69,S$3:S$98,"&lt;"&amp;AF69,T$3:T$98,"&gt;"&amp;AE69)+COUNTIFS($AK$3:$AK$98,$AK69,U$3:U$98,"&lt;"&amp;AF69,V$3:V$98,"&gt;"&amp;AE69)+COUNTIFS($AK$3:$AK$98,$AK69,W$3:W$98,"&lt;"&amp;AF69,X$3:X$98,"&gt;"&amp;AE69)+COUNTIFS($AK$3:$AK$98,$AK69,Y$3:Y$98,"&lt;"&amp;AF69,Z$3:Z$98,"&gt;"&amp;AE69)+COUNTIFS($AK$3:$AK$98,$AK69,AA$3:AA$98,"&lt;"&amp;AF69,AB$3:AB$98,"&gt;"&amp;AE69)+COUNTIFS($AK$3:$AK$98,$AK69,AC$3:AC$98,"&lt;"&amp;AF69,AD$3:AD$98,"&gt;"&amp;AE69)+COUNTIFS($AK$3:$AK$98,$AK69,AE$3:AE$98,"&lt;"&amp;AF69,AF$3:AF$98,"&gt;"&amp;AE69)+COUNTIFS($AK$3:$AK$98,$AK69,AG$3:AG$98,"&lt;"&amp;AF69,AH$3:AH$98,"&gt;"&amp;AE69)-(AE69&lt;AF69))</f>
        <v>0</v>
      </c>
      <c r="BL69">
        <f>BK69</f>
        <v>0</v>
      </c>
      <c r="BM69">
        <f>IF(OR($AK69="",AG69="",AH69=""),0,COUNTIFS($AK$3:$AK$98,$AK69,K$3:K$98,"&lt;"&amp;AH69,L$3:L$98,"&gt;"&amp;AG69)+COUNTIFS($AK$3:$AK$98,$AK69,M$3:M$98,"&lt;"&amp;AH69,N$3:N$98,"&gt;"&amp;AG69)+COUNTIFS($AK$3:$AK$98,$AK69,O$3:O$98,"&lt;"&amp;AH69,P$3:P$98,"&gt;"&amp;AG69)+COUNTIFS($AK$3:$AK$98,$AK69,Q$3:Q$98,"&lt;"&amp;AH69,R$3:R$98,"&gt;"&amp;AG69)+COUNTIFS($AK$3:$AK$98,$AK69,S$3:S$98,"&lt;"&amp;AH69,T$3:T$98,"&gt;"&amp;AG69)+COUNTIFS($AK$3:$AK$98,$AK69,U$3:U$98,"&lt;"&amp;AH69,V$3:V$98,"&gt;"&amp;AG69)+COUNTIFS($AK$3:$AK$98,$AK69,W$3:W$98,"&lt;"&amp;AH69,X$3:X$98,"&gt;"&amp;AG69)+COUNTIFS($AK$3:$AK$98,$AK69,Y$3:Y$98,"&lt;"&amp;AH69,Z$3:Z$98,"&gt;"&amp;AG69)+COUNTIFS($AK$3:$AK$98,$AK69,AA$3:AA$98,"&lt;"&amp;AH69,AB$3:AB$98,"&gt;"&amp;AG69)+COUNTIFS($AK$3:$AK$98,$AK69,AC$3:AC$98,"&lt;"&amp;AH69,AD$3:AD$98,"&gt;"&amp;AG69)+COUNTIFS($AK$3:$AK$98,$AK69,AE$3:AE$98,"&lt;"&amp;AH69,AF$3:AF$98,"&gt;"&amp;AG69)+COUNTIFS($AK$3:$AK$98,$AK69,AG$3:AG$98,"&lt;"&amp;AH69,AH$3:AH$98,"&gt;"&amp;AG69)-(AG69&lt;AH69))</f>
        <v>0</v>
      </c>
      <c r="BN69">
        <f>BM69</f>
        <v>0</v>
      </c>
      <c r="BO69">
        <f>IF(ISNUMBER($G69),$G69,"")</f>
        <v>1</v>
      </c>
      <c r="BP69">
        <f>IF(AND($A69&lt;&gt;"",COUNT($K69:$AH69)&gt;0),ROW(),"")</f>
        <v>69</v>
      </c>
    </row>
    <row r="70" spans="1:68" ht="14.25" customHeight="1" x14ac:dyDescent="0.15">
      <c r="A70" s="9" t="s">
        <v>50</v>
      </c>
      <c r="B70" s="9"/>
      <c r="C70" s="9"/>
      <c r="D70" s="9"/>
      <c r="E70" s="9"/>
      <c r="F70" s="9"/>
      <c r="G70" s="9"/>
      <c r="H70" s="9"/>
      <c r="I70" s="9"/>
      <c r="J70" s="9"/>
      <c r="AJ70" t="s">
        <v>51</v>
      </c>
      <c r="BP70" t="str">
        <f>IF(COUNT($BP71:$BP$98)&gt;0,ROW(),"")</f>
        <v/>
      </c>
    </row>
    <row r="71" spans="1:68" x14ac:dyDescent="0.15">
      <c r="A71" s="13"/>
      <c r="B71" s="14" t="str">
        <f>IF($A71="","","total")</f>
        <v/>
      </c>
      <c r="C71" s="14"/>
      <c r="D71" s="15" t="str">
        <f>IF($A71="","",SUM(D72:D74))</f>
        <v/>
      </c>
      <c r="E71" s="15" t="str">
        <f>IF($A71="","",SUM(E72:E74))</f>
        <v/>
      </c>
      <c r="F71" s="15" t="str">
        <f>IF($A71="","",D71-E71)</f>
        <v/>
      </c>
      <c r="G71" s="16" t="str">
        <f>IF($A71="","",IFERROR(AVERAGEIFS(G72:G74,H72:H74,"&lt;&gt;未着手",H72:H74,"&lt;&gt;作業中"),""))</f>
        <v/>
      </c>
      <c r="H71" s="14"/>
      <c r="I71" s="14"/>
      <c r="J71" s="14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 spans="1:68" x14ac:dyDescent="0.15">
      <c r="A72" s="18" t="str">
        <f>IF($A71="","",$A71)</f>
        <v/>
      </c>
      <c r="B72" s="19" t="str">
        <f>IF($A71="","","low")</f>
        <v/>
      </c>
      <c r="C72" s="19"/>
      <c r="D72" s="20"/>
      <c r="E72" s="21" t="str">
        <f>IF(AND($D72="",COUNT($K72:$AH72)=0),"",IF(K72="",0,MAX(0,NETWORKDAYS(K72,IF(L72&lt;&gt;"",L72,IF($J72&lt;&gt;"",K72,$AI$1)),祝日!$A$2:$A$200)))+IF(M72="",0,MAX(0,NETWORKDAYS(M72,IF(N72&lt;&gt;"",N72,IF($J72&lt;&gt;"",M72,$AI$1)),祝日!$A$2:$A$200)))+IF(O72="",0,MAX(0,NETWORKDAYS(O72,IF(P72&lt;&gt;"",P72,IF($J72&lt;&gt;"",O72,$AI$1)),祝日!$A$2:$A$200)))+IF(Q72="",0,MAX(0,NETWORKDAYS(Q72,IF(R72&lt;&gt;"",R72,IF($J72&lt;&gt;"",Q72,$AI$1)),祝日!$A$2:$A$200)))+IF(S72="",0,MAX(0,NETWORKDAYS(S72,IF(T72&lt;&gt;"",T72,IF($J72&lt;&gt;"",S72,$AI$1)),祝日!$A$2:$A$200)))+IF(U72="",0,MAX(0,NETWORKDAYS(U72,IF(V72&lt;&gt;"",V72,IF($J72&lt;&gt;"",U72,$AI$1)),祝日!$A$2:$A$200)))+IF(W72="",0,MAX(0,NETWORKDAYS(W72,IF(X72&lt;&gt;"",X72,IF($J72&lt;&gt;"",W72,$AI$1)),祝日!$A$2:$A$200)))+IF(Y72="",0,MAX(0,NETWORKDAYS(Y72,IF(Z72&lt;&gt;"",Z72,IF($J72&lt;&gt;"",Y72,$AI$1)),祝日!$A$2:$A$200)))+IF(AA72="",0,MAX(0,NETWORKDAYS(AA72,IF(AB72&lt;&gt;"",AB72,IF($J72&lt;&gt;"",AA72,$AI$1)),祝日!$A$2:$A$200)))+IF(AC72="",0,MAX(0,NETWORKDAYS(AC72,IF(AD72&lt;&gt;"",AD72,IF($J72&lt;&gt;"",AC72,$AI$1)),祝日!$A$2:$A$200)))+IF(AE72="",0,MAX(0,NETWORKDAYS(AE72,IF(AF72&lt;&gt;"",AF72,IF($J72&lt;&gt;"",AE72,$AI$1)),祝日!$A$2:$A$200)))+IF(AG72="",0,MAX(0,NETWORKDAYS(AG72,IF(AH72&lt;&gt;"",AH72,IF($J72&lt;&gt;"",AG72,$AI$1)),祝日!$A$2:$A$200))))</f>
        <v/>
      </c>
      <c r="F72" s="21" t="str">
        <f>IF($D72="","",$D72-$E72)</f>
        <v/>
      </c>
      <c r="G72" s="22" t="str">
        <f>IF(OR($D72="",$D72=0),"",$E72/$D72)</f>
        <v/>
      </c>
      <c r="H72" s="23" t="str">
        <f>IF($D72="","",IF($J72&lt;&gt;"","FIX",IF(AND(SUMPRODUCT((MOD(COLUMN($K72:$AH72)-COLUMN($K72),2)=0)*($K72:$AH72&lt;&gt;""))=0,SUMPRODUCT((MOD(COLUMN($K72:$AH72)-COLUMN($K72),2)=1)*($K72:$AH72&lt;&gt;""))=0),"未着手",IF(SUMPRODUCT((MOD(COLUMN($K72:$AH72)-COLUMN($K72),2)=0)*($K72:$AH72&lt;&gt;""))&gt;SUMPRODUCT((MOD(COLUMN($K72:$AH72)-COLUMN($K72),2)=1)*($K72:$AH72&lt;&gt;"")),"作業中","中断"))))</f>
        <v/>
      </c>
      <c r="I72" s="23" t="str">
        <f>IF($H72="中断",MAX(0,$AI$1-MAX(L72,N72,P72,R72,T72,V72,X72,Z72,AB72,AD72,AF72,AH72)),"")</f>
        <v/>
      </c>
      <c r="J72" s="19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K72" t="str">
        <f>IF($A71="","",IF(LOOKUP(2,1/($AJ$3:$AJ72&lt;&gt;""),$AJ$3:$AJ72)="-","",LOOKUP(2,1/($AJ$3:$AJ72&lt;&gt;""),$AJ$3:$AJ72)))</f>
        <v/>
      </c>
      <c r="AL72" t="str">
        <f>$H72</f>
        <v/>
      </c>
      <c r="AM72">
        <f>IF(ISNUMBER($D72),$D72,0)</f>
        <v>0</v>
      </c>
      <c r="AN72">
        <f>IF(ISNUMBER($E72),$E72,0)</f>
        <v>0</v>
      </c>
      <c r="AO72">
        <f>IF(ISNUMBER($F72),$F72,0)</f>
        <v>0</v>
      </c>
      <c r="AQ72">
        <f>IF(OR($AK72="",K72="",L72=""),0,COUNTIFS($AK$3:$AK$98,$AK72,K$3:K$98,"&lt;"&amp;L72,L$3:L$98,"&gt;"&amp;K72)+COUNTIFS($AK$3:$AK$98,$AK72,M$3:M$98,"&lt;"&amp;L72,N$3:N$98,"&gt;"&amp;K72)+COUNTIFS($AK$3:$AK$98,$AK72,O$3:O$98,"&lt;"&amp;L72,P$3:P$98,"&gt;"&amp;K72)+COUNTIFS($AK$3:$AK$98,$AK72,Q$3:Q$98,"&lt;"&amp;L72,R$3:R$98,"&gt;"&amp;K72)+COUNTIFS($AK$3:$AK$98,$AK72,S$3:S$98,"&lt;"&amp;L72,T$3:T$98,"&gt;"&amp;K72)+COUNTIFS($AK$3:$AK$98,$AK72,U$3:U$98,"&lt;"&amp;L72,V$3:V$98,"&gt;"&amp;K72)+COUNTIFS($AK$3:$AK$98,$AK72,W$3:W$98,"&lt;"&amp;L72,X$3:X$98,"&gt;"&amp;K72)+COUNTIFS($AK$3:$AK$98,$AK72,Y$3:Y$98,"&lt;"&amp;L72,Z$3:Z$98,"&gt;"&amp;K72)+COUNTIFS($AK$3:$AK$98,$AK72,AA$3:AA$98,"&lt;"&amp;L72,AB$3:AB$98,"&gt;"&amp;K72)+COUNTIFS($AK$3:$AK$98,$AK72,AC$3:AC$98,"&lt;"&amp;L72,AD$3:AD$98,"&gt;"&amp;K72)+COUNTIFS($AK$3:$AK$98,$AK72,AE$3:AE$98,"&lt;"&amp;L72,AF$3:AF$98,"&gt;"&amp;K72)+COUNTIFS($AK$3:$AK$98,$AK72,AG$3:AG$98,"&lt;"&amp;L72,AH$3:AH$98,"&gt;"&amp;K72)-(K72&lt;L72))</f>
        <v>0</v>
      </c>
      <c r="AR72">
        <f>AQ72</f>
        <v>0</v>
      </c>
      <c r="AS72">
        <f>IF(OR($AK72="",M72="",N72=""),0,COUNTIFS($AK$3:$AK$98,$AK72,K$3:K$98,"&lt;"&amp;N72,L$3:L$98,"&gt;"&amp;M72)+COUNTIFS($AK$3:$AK$98,$AK72,M$3:M$98,"&lt;"&amp;N72,N$3:N$98,"&gt;"&amp;M72)+COUNTIFS($AK$3:$AK$98,$AK72,O$3:O$98,"&lt;"&amp;N72,P$3:P$98,"&gt;"&amp;M72)+COUNTIFS($AK$3:$AK$98,$AK72,Q$3:Q$98,"&lt;"&amp;N72,R$3:R$98,"&gt;"&amp;M72)+COUNTIFS($AK$3:$AK$98,$AK72,S$3:S$98,"&lt;"&amp;N72,T$3:T$98,"&gt;"&amp;M72)+COUNTIFS($AK$3:$AK$98,$AK72,U$3:U$98,"&lt;"&amp;N72,V$3:V$98,"&gt;"&amp;M72)+COUNTIFS($AK$3:$AK$98,$AK72,W$3:W$98,"&lt;"&amp;N72,X$3:X$98,"&gt;"&amp;M72)+COUNTIFS($AK$3:$AK$98,$AK72,Y$3:Y$98,"&lt;"&amp;N72,Z$3:Z$98,"&gt;"&amp;M72)+COUNTIFS($AK$3:$AK$98,$AK72,AA$3:AA$98,"&lt;"&amp;N72,AB$3:AB$98,"&gt;"&amp;M72)+COUNTIFS($AK$3:$AK$98,$AK72,AC$3:AC$98,"&lt;"&amp;N72,AD$3:AD$98,"&gt;"&amp;M72)+COUNTIFS($AK$3:$AK$98,$AK72,AE$3:AE$98,"&lt;"&amp;N72,AF$3:AF$98,"&gt;"&amp;M72)+COUNTIFS($AK$3:$AK$98,$AK72,AG$3:AG$98,"&lt;"&amp;N72,AH$3:AH$98,"&gt;"&amp;M72)-(M72&lt;N72))</f>
        <v>0</v>
      </c>
      <c r="AT72">
        <f>AS72</f>
        <v>0</v>
      </c>
      <c r="AU72">
        <f>IF(OR($AK72="",O72="",P72=""),0,COUNTIFS($AK$3:$AK$98,$AK72,K$3:K$98,"&lt;"&amp;P72,L$3:L$98,"&gt;"&amp;O72)+COUNTIFS($AK$3:$AK$98,$AK72,M$3:M$98,"&lt;"&amp;P72,N$3:N$98,"&gt;"&amp;O72)+COUNTIFS($AK$3:$AK$98,$AK72,O$3:O$98,"&lt;"&amp;P72,P$3:P$98,"&gt;"&amp;O72)+COUNTIFS($AK$3:$AK$98,$AK72,Q$3:Q$98,"&lt;"&amp;P72,R$3:R$98,"&gt;"&amp;O72)+COUNTIFS($AK$3:$AK$98,$AK72,S$3:S$98,"&lt;"&amp;P72,T$3:T$98,"&gt;"&amp;O72)+COUNTIFS($AK$3:$AK$98,$AK72,U$3:U$98,"&lt;"&amp;P72,V$3:V$98,"&gt;"&amp;O72)+COUNTIFS($AK$3:$AK$98,$AK72,W$3:W$98,"&lt;"&amp;P72,X$3:X$98,"&gt;"&amp;O72)+COUNTIFS($AK$3:$AK$98,$AK72,Y$3:Y$98,"&lt;"&amp;P72,Z$3:Z$98,"&gt;"&amp;O72)+COUNTIFS($AK$3:$AK$98,$AK72,AA$3:AA$98,"&lt;"&amp;P72,AB$3:AB$98,"&gt;"&amp;O72)+COUNTIFS($AK$3:$AK$98,$AK72,AC$3:AC$98,"&lt;"&amp;P72,AD$3:AD$98,"&gt;"&amp;O72)+COUNTIFS($AK$3:$AK$98,$AK72,AE$3:AE$98,"&lt;"&amp;P72,AF$3:AF$98,"&gt;"&amp;O72)+COUNTIFS($AK$3:$AK$98,$AK72,AG$3:AG$98,"&lt;"&amp;P72,AH$3:AH$98,"&gt;"&amp;O72)-(O72&lt;P72))</f>
        <v>0</v>
      </c>
      <c r="AV72">
        <f>AU72</f>
        <v>0</v>
      </c>
      <c r="AW72">
        <f>IF(OR($AK72="",Q72="",R72=""),0,COUNTIFS($AK$3:$AK$98,$AK72,K$3:K$98,"&lt;"&amp;R72,L$3:L$98,"&gt;"&amp;Q72)+COUNTIFS($AK$3:$AK$98,$AK72,M$3:M$98,"&lt;"&amp;R72,N$3:N$98,"&gt;"&amp;Q72)+COUNTIFS($AK$3:$AK$98,$AK72,O$3:O$98,"&lt;"&amp;R72,P$3:P$98,"&gt;"&amp;Q72)+COUNTIFS($AK$3:$AK$98,$AK72,Q$3:Q$98,"&lt;"&amp;R72,R$3:R$98,"&gt;"&amp;Q72)+COUNTIFS($AK$3:$AK$98,$AK72,S$3:S$98,"&lt;"&amp;R72,T$3:T$98,"&gt;"&amp;Q72)+COUNTIFS($AK$3:$AK$98,$AK72,U$3:U$98,"&lt;"&amp;R72,V$3:V$98,"&gt;"&amp;Q72)+COUNTIFS($AK$3:$AK$98,$AK72,W$3:W$98,"&lt;"&amp;R72,X$3:X$98,"&gt;"&amp;Q72)+COUNTIFS($AK$3:$AK$98,$AK72,Y$3:Y$98,"&lt;"&amp;R72,Z$3:Z$98,"&gt;"&amp;Q72)+COUNTIFS($AK$3:$AK$98,$AK72,AA$3:AA$98,"&lt;"&amp;R72,AB$3:AB$98,"&gt;"&amp;Q72)+COUNTIFS($AK$3:$AK$98,$AK72,AC$3:AC$98,"&lt;"&amp;R72,AD$3:AD$98,"&gt;"&amp;Q72)+COUNTIFS($AK$3:$AK$98,$AK72,AE$3:AE$98,"&lt;"&amp;R72,AF$3:AF$98,"&gt;"&amp;Q72)+COUNTIFS($AK$3:$AK$98,$AK72,AG$3:AG$98,"&lt;"&amp;R72,AH$3:AH$98,"&gt;"&amp;Q72)-(Q72&lt;R72))</f>
        <v>0</v>
      </c>
      <c r="AX72">
        <f>AW72</f>
        <v>0</v>
      </c>
      <c r="AY72">
        <f>IF(OR($AK72="",S72="",T72=""),0,COUNTIFS($AK$3:$AK$98,$AK72,K$3:K$98,"&lt;"&amp;T72,L$3:L$98,"&gt;"&amp;S72)+COUNTIFS($AK$3:$AK$98,$AK72,M$3:M$98,"&lt;"&amp;T72,N$3:N$98,"&gt;"&amp;S72)+COUNTIFS($AK$3:$AK$98,$AK72,O$3:O$98,"&lt;"&amp;T72,P$3:P$98,"&gt;"&amp;S72)+COUNTIFS($AK$3:$AK$98,$AK72,Q$3:Q$98,"&lt;"&amp;T72,R$3:R$98,"&gt;"&amp;S72)+COUNTIFS($AK$3:$AK$98,$AK72,S$3:S$98,"&lt;"&amp;T72,T$3:T$98,"&gt;"&amp;S72)+COUNTIFS($AK$3:$AK$98,$AK72,U$3:U$98,"&lt;"&amp;T72,V$3:V$98,"&gt;"&amp;S72)+COUNTIFS($AK$3:$AK$98,$AK72,W$3:W$98,"&lt;"&amp;T72,X$3:X$98,"&gt;"&amp;S72)+COUNTIFS($AK$3:$AK$98,$AK72,Y$3:Y$98,"&lt;"&amp;T72,Z$3:Z$98,"&gt;"&amp;S72)+COUNTIFS($AK$3:$AK$98,$AK72,AA$3:AA$98,"&lt;"&amp;T72,AB$3:AB$98,"&gt;"&amp;S72)+COUNTIFS($AK$3:$AK$98,$AK72,AC$3:AC$98,"&lt;"&amp;T72,AD$3:AD$98,"&gt;"&amp;S72)+COUNTIFS($AK$3:$AK$98,$AK72,AE$3:AE$98,"&lt;"&amp;T72,AF$3:AF$98,"&gt;"&amp;S72)+COUNTIFS($AK$3:$AK$98,$AK72,AG$3:AG$98,"&lt;"&amp;T72,AH$3:AH$98,"&gt;"&amp;S72)-(S72&lt;T72))</f>
        <v>0</v>
      </c>
      <c r="AZ72">
        <f>AY72</f>
        <v>0</v>
      </c>
      <c r="BA72">
        <f>IF(OR($AK72="",U72="",V72=""),0,COUNTIFS($AK$3:$AK$98,$AK72,K$3:K$98,"&lt;"&amp;V72,L$3:L$98,"&gt;"&amp;U72)+COUNTIFS($AK$3:$AK$98,$AK72,M$3:M$98,"&lt;"&amp;V72,N$3:N$98,"&gt;"&amp;U72)+COUNTIFS($AK$3:$AK$98,$AK72,O$3:O$98,"&lt;"&amp;V72,P$3:P$98,"&gt;"&amp;U72)+COUNTIFS($AK$3:$AK$98,$AK72,Q$3:Q$98,"&lt;"&amp;V72,R$3:R$98,"&gt;"&amp;U72)+COUNTIFS($AK$3:$AK$98,$AK72,S$3:S$98,"&lt;"&amp;V72,T$3:T$98,"&gt;"&amp;U72)+COUNTIFS($AK$3:$AK$98,$AK72,U$3:U$98,"&lt;"&amp;V72,V$3:V$98,"&gt;"&amp;U72)+COUNTIFS($AK$3:$AK$98,$AK72,W$3:W$98,"&lt;"&amp;V72,X$3:X$98,"&gt;"&amp;U72)+COUNTIFS($AK$3:$AK$98,$AK72,Y$3:Y$98,"&lt;"&amp;V72,Z$3:Z$98,"&gt;"&amp;U72)+COUNTIFS($AK$3:$AK$98,$AK72,AA$3:AA$98,"&lt;"&amp;V72,AB$3:AB$98,"&gt;"&amp;U72)+COUNTIFS($AK$3:$AK$98,$AK72,AC$3:AC$98,"&lt;"&amp;V72,AD$3:AD$98,"&gt;"&amp;U72)+COUNTIFS($AK$3:$AK$98,$AK72,AE$3:AE$98,"&lt;"&amp;V72,AF$3:AF$98,"&gt;"&amp;U72)+COUNTIFS($AK$3:$AK$98,$AK72,AG$3:AG$98,"&lt;"&amp;V72,AH$3:AH$98,"&gt;"&amp;U72)-(U72&lt;V72))</f>
        <v>0</v>
      </c>
      <c r="BB72">
        <f>BA72</f>
        <v>0</v>
      </c>
      <c r="BC72">
        <f>IF(OR($AK72="",W72="",X72=""),0,COUNTIFS($AK$3:$AK$98,$AK72,K$3:K$98,"&lt;"&amp;X72,L$3:L$98,"&gt;"&amp;W72)+COUNTIFS($AK$3:$AK$98,$AK72,M$3:M$98,"&lt;"&amp;X72,N$3:N$98,"&gt;"&amp;W72)+COUNTIFS($AK$3:$AK$98,$AK72,O$3:O$98,"&lt;"&amp;X72,P$3:P$98,"&gt;"&amp;W72)+COUNTIFS($AK$3:$AK$98,$AK72,Q$3:Q$98,"&lt;"&amp;X72,R$3:R$98,"&gt;"&amp;W72)+COUNTIFS($AK$3:$AK$98,$AK72,S$3:S$98,"&lt;"&amp;X72,T$3:T$98,"&gt;"&amp;W72)+COUNTIFS($AK$3:$AK$98,$AK72,U$3:U$98,"&lt;"&amp;X72,V$3:V$98,"&gt;"&amp;W72)+COUNTIFS($AK$3:$AK$98,$AK72,W$3:W$98,"&lt;"&amp;X72,X$3:X$98,"&gt;"&amp;W72)+COUNTIFS($AK$3:$AK$98,$AK72,Y$3:Y$98,"&lt;"&amp;X72,Z$3:Z$98,"&gt;"&amp;W72)+COUNTIFS($AK$3:$AK$98,$AK72,AA$3:AA$98,"&lt;"&amp;X72,AB$3:AB$98,"&gt;"&amp;W72)+COUNTIFS($AK$3:$AK$98,$AK72,AC$3:AC$98,"&lt;"&amp;X72,AD$3:AD$98,"&gt;"&amp;W72)+COUNTIFS($AK$3:$AK$98,$AK72,AE$3:AE$98,"&lt;"&amp;X72,AF$3:AF$98,"&gt;"&amp;W72)+COUNTIFS($AK$3:$AK$98,$AK72,AG$3:AG$98,"&lt;"&amp;X72,AH$3:AH$98,"&gt;"&amp;W72)-(W72&lt;X72))</f>
        <v>0</v>
      </c>
      <c r="BD72">
        <f>BC72</f>
        <v>0</v>
      </c>
      <c r="BE72">
        <f>IF(OR($AK72="",Y72="",Z72=""),0,COUNTIFS($AK$3:$AK$98,$AK72,K$3:K$98,"&lt;"&amp;Z72,L$3:L$98,"&gt;"&amp;Y72)+COUNTIFS($AK$3:$AK$98,$AK72,M$3:M$98,"&lt;"&amp;Z72,N$3:N$98,"&gt;"&amp;Y72)+COUNTIFS($AK$3:$AK$98,$AK72,O$3:O$98,"&lt;"&amp;Z72,P$3:P$98,"&gt;"&amp;Y72)+COUNTIFS($AK$3:$AK$98,$AK72,Q$3:Q$98,"&lt;"&amp;Z72,R$3:R$98,"&gt;"&amp;Y72)+COUNTIFS($AK$3:$AK$98,$AK72,S$3:S$98,"&lt;"&amp;Z72,T$3:T$98,"&gt;"&amp;Y72)+COUNTIFS($AK$3:$AK$98,$AK72,U$3:U$98,"&lt;"&amp;Z72,V$3:V$98,"&gt;"&amp;Y72)+COUNTIFS($AK$3:$AK$98,$AK72,W$3:W$98,"&lt;"&amp;Z72,X$3:X$98,"&gt;"&amp;Y72)+COUNTIFS($AK$3:$AK$98,$AK72,Y$3:Y$98,"&lt;"&amp;Z72,Z$3:Z$98,"&gt;"&amp;Y72)+COUNTIFS($AK$3:$AK$98,$AK72,AA$3:AA$98,"&lt;"&amp;Z72,AB$3:AB$98,"&gt;"&amp;Y72)+COUNTIFS($AK$3:$AK$98,$AK72,AC$3:AC$98,"&lt;"&amp;Z72,AD$3:AD$98,"&gt;"&amp;Y72)+COUNTIFS($AK$3:$AK$98,$AK72,AE$3:AE$98,"&lt;"&amp;Z72,AF$3:AF$98,"&gt;"&amp;Y72)+COUNTIFS($AK$3:$AK$98,$AK72,AG$3:AG$98,"&lt;"&amp;Z72,AH$3:AH$98,"&gt;"&amp;Y72)-(Y72&lt;Z72))</f>
        <v>0</v>
      </c>
      <c r="BF72">
        <f>BE72</f>
        <v>0</v>
      </c>
      <c r="BG72">
        <f>IF(OR($AK72="",AA72="",AB72=""),0,COUNTIFS($AK$3:$AK$98,$AK72,K$3:K$98,"&lt;"&amp;AB72,L$3:L$98,"&gt;"&amp;AA72)+COUNTIFS($AK$3:$AK$98,$AK72,M$3:M$98,"&lt;"&amp;AB72,N$3:N$98,"&gt;"&amp;AA72)+COUNTIFS($AK$3:$AK$98,$AK72,O$3:O$98,"&lt;"&amp;AB72,P$3:P$98,"&gt;"&amp;AA72)+COUNTIFS($AK$3:$AK$98,$AK72,Q$3:Q$98,"&lt;"&amp;AB72,R$3:R$98,"&gt;"&amp;AA72)+COUNTIFS($AK$3:$AK$98,$AK72,S$3:S$98,"&lt;"&amp;AB72,T$3:T$98,"&gt;"&amp;AA72)+COUNTIFS($AK$3:$AK$98,$AK72,U$3:U$98,"&lt;"&amp;AB72,V$3:V$98,"&gt;"&amp;AA72)+COUNTIFS($AK$3:$AK$98,$AK72,W$3:W$98,"&lt;"&amp;AB72,X$3:X$98,"&gt;"&amp;AA72)+COUNTIFS($AK$3:$AK$98,$AK72,Y$3:Y$98,"&lt;"&amp;AB72,Z$3:Z$98,"&gt;"&amp;AA72)+COUNTIFS($AK$3:$AK$98,$AK72,AA$3:AA$98,"&lt;"&amp;AB72,AB$3:AB$98,"&gt;"&amp;AA72)+COUNTIFS($AK$3:$AK$98,$AK72,AC$3:AC$98,"&lt;"&amp;AB72,AD$3:AD$98,"&gt;"&amp;AA72)+COUNTIFS($AK$3:$AK$98,$AK72,AE$3:AE$98,"&lt;"&amp;AB72,AF$3:AF$98,"&gt;"&amp;AA72)+COUNTIFS($AK$3:$AK$98,$AK72,AG$3:AG$98,"&lt;"&amp;AB72,AH$3:AH$98,"&gt;"&amp;AA72)-(AA72&lt;AB72))</f>
        <v>0</v>
      </c>
      <c r="BH72">
        <f>BG72</f>
        <v>0</v>
      </c>
      <c r="BI72">
        <f>IF(OR($AK72="",AC72="",AD72=""),0,COUNTIFS($AK$3:$AK$98,$AK72,K$3:K$98,"&lt;"&amp;AD72,L$3:L$98,"&gt;"&amp;AC72)+COUNTIFS($AK$3:$AK$98,$AK72,M$3:M$98,"&lt;"&amp;AD72,N$3:N$98,"&gt;"&amp;AC72)+COUNTIFS($AK$3:$AK$98,$AK72,O$3:O$98,"&lt;"&amp;AD72,P$3:P$98,"&gt;"&amp;AC72)+COUNTIFS($AK$3:$AK$98,$AK72,Q$3:Q$98,"&lt;"&amp;AD72,R$3:R$98,"&gt;"&amp;AC72)+COUNTIFS($AK$3:$AK$98,$AK72,S$3:S$98,"&lt;"&amp;AD72,T$3:T$98,"&gt;"&amp;AC72)+COUNTIFS($AK$3:$AK$98,$AK72,U$3:U$98,"&lt;"&amp;AD72,V$3:V$98,"&gt;"&amp;AC72)+COUNTIFS($AK$3:$AK$98,$AK72,W$3:W$98,"&lt;"&amp;AD72,X$3:X$98,"&gt;"&amp;AC72)+COUNTIFS($AK$3:$AK$98,$AK72,Y$3:Y$98,"&lt;"&amp;AD72,Z$3:Z$98,"&gt;"&amp;AC72)+COUNTIFS($AK$3:$AK$98,$AK72,AA$3:AA$98,"&lt;"&amp;AD72,AB$3:AB$98,"&gt;"&amp;AC72)+COUNTIFS($AK$3:$AK$98,$AK72,AC$3:AC$98,"&lt;"&amp;AD72,AD$3:AD$98,"&gt;"&amp;AC72)+COUNTIFS($AK$3:$AK$98,$AK72,AE$3:AE$98,"&lt;"&amp;AD72,AF$3:AF$98,"&gt;"&amp;AC72)+COUNTIFS($AK$3:$AK$98,$AK72,AG$3:AG$98,"&lt;"&amp;AD72,AH$3:AH$98,"&gt;"&amp;AC72)-(AC72&lt;AD72))</f>
        <v>0</v>
      </c>
      <c r="BJ72">
        <f>BI72</f>
        <v>0</v>
      </c>
      <c r="BK72">
        <f>IF(OR($AK72="",AE72="",AF72=""),0,COUNTIFS($AK$3:$AK$98,$AK72,K$3:K$98,"&lt;"&amp;AF72,L$3:L$98,"&gt;"&amp;AE72)+COUNTIFS($AK$3:$AK$98,$AK72,M$3:M$98,"&lt;"&amp;AF72,N$3:N$98,"&gt;"&amp;AE72)+COUNTIFS($AK$3:$AK$98,$AK72,O$3:O$98,"&lt;"&amp;AF72,P$3:P$98,"&gt;"&amp;AE72)+COUNTIFS($AK$3:$AK$98,$AK72,Q$3:Q$98,"&lt;"&amp;AF72,R$3:R$98,"&gt;"&amp;AE72)+COUNTIFS($AK$3:$AK$98,$AK72,S$3:S$98,"&lt;"&amp;AF72,T$3:T$98,"&gt;"&amp;AE72)+COUNTIFS($AK$3:$AK$98,$AK72,U$3:U$98,"&lt;"&amp;AF72,V$3:V$98,"&gt;"&amp;AE72)+COUNTIFS($AK$3:$AK$98,$AK72,W$3:W$98,"&lt;"&amp;AF72,X$3:X$98,"&gt;"&amp;AE72)+COUNTIFS($AK$3:$AK$98,$AK72,Y$3:Y$98,"&lt;"&amp;AF72,Z$3:Z$98,"&gt;"&amp;AE72)+COUNTIFS($AK$3:$AK$98,$AK72,AA$3:AA$98,"&lt;"&amp;AF72,AB$3:AB$98,"&gt;"&amp;AE72)+COUNTIFS($AK$3:$AK$98,$AK72,AC$3:AC$98,"&lt;"&amp;AF72,AD$3:AD$98,"&gt;"&amp;AE72)+COUNTIFS($AK$3:$AK$98,$AK72,AE$3:AE$98,"&lt;"&amp;AF72,AF$3:AF$98,"&gt;"&amp;AE72)+COUNTIFS($AK$3:$AK$98,$AK72,AG$3:AG$98,"&lt;"&amp;AF72,AH$3:AH$98,"&gt;"&amp;AE72)-(AE72&lt;AF72))</f>
        <v>0</v>
      </c>
      <c r="BL72">
        <f>BK72</f>
        <v>0</v>
      </c>
      <c r="BM72">
        <f>IF(OR($AK72="",AG72="",AH72=""),0,COUNTIFS($AK$3:$AK$98,$AK72,K$3:K$98,"&lt;"&amp;AH72,L$3:L$98,"&gt;"&amp;AG72)+COUNTIFS($AK$3:$AK$98,$AK72,M$3:M$98,"&lt;"&amp;AH72,N$3:N$98,"&gt;"&amp;AG72)+COUNTIFS($AK$3:$AK$98,$AK72,O$3:O$98,"&lt;"&amp;AH72,P$3:P$98,"&gt;"&amp;AG72)+COUNTIFS($AK$3:$AK$98,$AK72,Q$3:Q$98,"&lt;"&amp;AH72,R$3:R$98,"&gt;"&amp;AG72)+COUNTIFS($AK$3:$AK$98,$AK72,S$3:S$98,"&lt;"&amp;AH72,T$3:T$98,"&gt;"&amp;AG72)+COUNTIFS($AK$3:$AK$98,$AK72,U$3:U$98,"&lt;"&amp;AH72,V$3:V$98,"&gt;"&amp;AG72)+COUNTIFS($AK$3:$AK$98,$AK72,W$3:W$98,"&lt;"&amp;AH72,X$3:X$98,"&gt;"&amp;AG72)+COUNTIFS($AK$3:$AK$98,$AK72,Y$3:Y$98,"&lt;"&amp;AH72,Z$3:Z$98,"&gt;"&amp;AG72)+COUNTIFS($AK$3:$AK$98,$AK72,AA$3:AA$98,"&lt;"&amp;AH72,AB$3:AB$98,"&gt;"&amp;AG72)+COUNTIFS($AK$3:$AK$98,$AK72,AC$3:AC$98,"&lt;"&amp;AH72,AD$3:AD$98,"&gt;"&amp;AG72)+COUNTIFS($AK$3:$AK$98,$AK72,AE$3:AE$98,"&lt;"&amp;AH72,AF$3:AF$98,"&gt;"&amp;AG72)+COUNTIFS($AK$3:$AK$98,$AK72,AG$3:AG$98,"&lt;"&amp;AH72,AH$3:AH$98,"&gt;"&amp;AG72)-(AG72&lt;AH72))</f>
        <v>0</v>
      </c>
      <c r="BN72">
        <f>BM72</f>
        <v>0</v>
      </c>
      <c r="BO72" t="str">
        <f>IF(ISNUMBER($G72),$G72,"")</f>
        <v/>
      </c>
      <c r="BP72" t="str">
        <f>IF(AND($A72&lt;&gt;"",COUNT($K72:$AH72)&gt;0),ROW(),"")</f>
        <v/>
      </c>
    </row>
    <row r="73" spans="1:68" x14ac:dyDescent="0.15">
      <c r="A73" s="18" t="str">
        <f>IF($A71="","",$A71)</f>
        <v/>
      </c>
      <c r="B73" s="19" t="str">
        <f>IF($A71="","","high")</f>
        <v/>
      </c>
      <c r="C73" s="19"/>
      <c r="D73" s="20"/>
      <c r="E73" s="21" t="str">
        <f>IF(AND($D73="",COUNT($K73:$AH73)=0),"",IF(K73="",0,MAX(0,NETWORKDAYS(K73,IF(L73&lt;&gt;"",L73,IF($J73&lt;&gt;"",K73,$AI$1)),祝日!$A$2:$A$200)))+IF(M73="",0,MAX(0,NETWORKDAYS(M73,IF(N73&lt;&gt;"",N73,IF($J73&lt;&gt;"",M73,$AI$1)),祝日!$A$2:$A$200)))+IF(O73="",0,MAX(0,NETWORKDAYS(O73,IF(P73&lt;&gt;"",P73,IF($J73&lt;&gt;"",O73,$AI$1)),祝日!$A$2:$A$200)))+IF(Q73="",0,MAX(0,NETWORKDAYS(Q73,IF(R73&lt;&gt;"",R73,IF($J73&lt;&gt;"",Q73,$AI$1)),祝日!$A$2:$A$200)))+IF(S73="",0,MAX(0,NETWORKDAYS(S73,IF(T73&lt;&gt;"",T73,IF($J73&lt;&gt;"",S73,$AI$1)),祝日!$A$2:$A$200)))+IF(U73="",0,MAX(0,NETWORKDAYS(U73,IF(V73&lt;&gt;"",V73,IF($J73&lt;&gt;"",U73,$AI$1)),祝日!$A$2:$A$200)))+IF(W73="",0,MAX(0,NETWORKDAYS(W73,IF(X73&lt;&gt;"",X73,IF($J73&lt;&gt;"",W73,$AI$1)),祝日!$A$2:$A$200)))+IF(Y73="",0,MAX(0,NETWORKDAYS(Y73,IF(Z73&lt;&gt;"",Z73,IF($J73&lt;&gt;"",Y73,$AI$1)),祝日!$A$2:$A$200)))+IF(AA73="",0,MAX(0,NETWORKDAYS(AA73,IF(AB73&lt;&gt;"",AB73,IF($J73&lt;&gt;"",AA73,$AI$1)),祝日!$A$2:$A$200)))+IF(AC73="",0,MAX(0,NETWORKDAYS(AC73,IF(AD73&lt;&gt;"",AD73,IF($J73&lt;&gt;"",AC73,$AI$1)),祝日!$A$2:$A$200)))+IF(AE73="",0,MAX(0,NETWORKDAYS(AE73,IF(AF73&lt;&gt;"",AF73,IF($J73&lt;&gt;"",AE73,$AI$1)),祝日!$A$2:$A$200)))+IF(AG73="",0,MAX(0,NETWORKDAYS(AG73,IF(AH73&lt;&gt;"",AH73,IF($J73&lt;&gt;"",AG73,$AI$1)),祝日!$A$2:$A$200))))</f>
        <v/>
      </c>
      <c r="F73" s="21" t="str">
        <f>IF($D73="","",$D73-$E73)</f>
        <v/>
      </c>
      <c r="G73" s="22" t="str">
        <f>IF(OR($D73="",$D73=0),"",$E73/$D73)</f>
        <v/>
      </c>
      <c r="H73" s="23" t="str">
        <f>IF($D73="","",IF($J73&lt;&gt;"","FIX",IF(AND(SUMPRODUCT((MOD(COLUMN($K73:$AH73)-COLUMN($K73),2)=0)*($K73:$AH73&lt;&gt;""))=0,SUMPRODUCT((MOD(COLUMN($K73:$AH73)-COLUMN($K73),2)=1)*($K73:$AH73&lt;&gt;""))=0),"未着手",IF(SUMPRODUCT((MOD(COLUMN($K73:$AH73)-COLUMN($K73),2)=0)*($K73:$AH73&lt;&gt;""))&gt;SUMPRODUCT((MOD(COLUMN($K73:$AH73)-COLUMN($K73),2)=1)*($K73:$AH73&lt;&gt;"")),"作業中","中断"))))</f>
        <v/>
      </c>
      <c r="I73" s="23" t="str">
        <f>IF($H73="中断",MAX(0,$AI$1-MAX(L73,N73,P73,R73,T73,V73,X73,Z73,AB73,AD73,AF73,AH73)),"")</f>
        <v/>
      </c>
      <c r="J73" s="19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K73" t="str">
        <f>IF($A71="","",IF(LOOKUP(2,1/($AJ$3:$AJ73&lt;&gt;""),$AJ$3:$AJ73)="-","",LOOKUP(2,1/($AJ$3:$AJ73&lt;&gt;""),$AJ$3:$AJ73)))</f>
        <v/>
      </c>
      <c r="AL73" t="str">
        <f>$H73</f>
        <v/>
      </c>
      <c r="AM73">
        <f>IF(ISNUMBER($D73),$D73,0)</f>
        <v>0</v>
      </c>
      <c r="AN73">
        <f>IF(ISNUMBER($E73),$E73,0)</f>
        <v>0</v>
      </c>
      <c r="AO73">
        <f>IF(ISNUMBER($F73),$F73,0)</f>
        <v>0</v>
      </c>
      <c r="AQ73">
        <f>IF(OR($AK73="",K73="",L73=""),0,COUNTIFS($AK$3:$AK$98,$AK73,K$3:K$98,"&lt;"&amp;L73,L$3:L$98,"&gt;"&amp;K73)+COUNTIFS($AK$3:$AK$98,$AK73,M$3:M$98,"&lt;"&amp;L73,N$3:N$98,"&gt;"&amp;K73)+COUNTIFS($AK$3:$AK$98,$AK73,O$3:O$98,"&lt;"&amp;L73,P$3:P$98,"&gt;"&amp;K73)+COUNTIFS($AK$3:$AK$98,$AK73,Q$3:Q$98,"&lt;"&amp;L73,R$3:R$98,"&gt;"&amp;K73)+COUNTIFS($AK$3:$AK$98,$AK73,S$3:S$98,"&lt;"&amp;L73,T$3:T$98,"&gt;"&amp;K73)+COUNTIFS($AK$3:$AK$98,$AK73,U$3:U$98,"&lt;"&amp;L73,V$3:V$98,"&gt;"&amp;K73)+COUNTIFS($AK$3:$AK$98,$AK73,W$3:W$98,"&lt;"&amp;L73,X$3:X$98,"&gt;"&amp;K73)+COUNTIFS($AK$3:$AK$98,$AK73,Y$3:Y$98,"&lt;"&amp;L73,Z$3:Z$98,"&gt;"&amp;K73)+COUNTIFS($AK$3:$AK$98,$AK73,AA$3:AA$98,"&lt;"&amp;L73,AB$3:AB$98,"&gt;"&amp;K73)+COUNTIFS($AK$3:$AK$98,$AK73,AC$3:AC$98,"&lt;"&amp;L73,AD$3:AD$98,"&gt;"&amp;K73)+COUNTIFS($AK$3:$AK$98,$AK73,AE$3:AE$98,"&lt;"&amp;L73,AF$3:AF$98,"&gt;"&amp;K73)+COUNTIFS($AK$3:$AK$98,$AK73,AG$3:AG$98,"&lt;"&amp;L73,AH$3:AH$98,"&gt;"&amp;K73)-(K73&lt;L73))</f>
        <v>0</v>
      </c>
      <c r="AR73">
        <f>AQ73</f>
        <v>0</v>
      </c>
      <c r="AS73">
        <f>IF(OR($AK73="",M73="",N73=""),0,COUNTIFS($AK$3:$AK$98,$AK73,K$3:K$98,"&lt;"&amp;N73,L$3:L$98,"&gt;"&amp;M73)+COUNTIFS($AK$3:$AK$98,$AK73,M$3:M$98,"&lt;"&amp;N73,N$3:N$98,"&gt;"&amp;M73)+COUNTIFS($AK$3:$AK$98,$AK73,O$3:O$98,"&lt;"&amp;N73,P$3:P$98,"&gt;"&amp;M73)+COUNTIFS($AK$3:$AK$98,$AK73,Q$3:Q$98,"&lt;"&amp;N73,R$3:R$98,"&gt;"&amp;M73)+COUNTIFS($AK$3:$AK$98,$AK73,S$3:S$98,"&lt;"&amp;N73,T$3:T$98,"&gt;"&amp;M73)+COUNTIFS($AK$3:$AK$98,$AK73,U$3:U$98,"&lt;"&amp;N73,V$3:V$98,"&gt;"&amp;M73)+COUNTIFS($AK$3:$AK$98,$AK73,W$3:W$98,"&lt;"&amp;N73,X$3:X$98,"&gt;"&amp;M73)+COUNTIFS($AK$3:$AK$98,$AK73,Y$3:Y$98,"&lt;"&amp;N73,Z$3:Z$98,"&gt;"&amp;M73)+COUNTIFS($AK$3:$AK$98,$AK73,AA$3:AA$98,"&lt;"&amp;N73,AB$3:AB$98,"&gt;"&amp;M73)+COUNTIFS($AK$3:$AK$98,$AK73,AC$3:AC$98,"&lt;"&amp;N73,AD$3:AD$98,"&gt;"&amp;M73)+COUNTIFS($AK$3:$AK$98,$AK73,AE$3:AE$98,"&lt;"&amp;N73,AF$3:AF$98,"&gt;"&amp;M73)+COUNTIFS($AK$3:$AK$98,$AK73,AG$3:AG$98,"&lt;"&amp;N73,AH$3:AH$98,"&gt;"&amp;M73)-(M73&lt;N73))</f>
        <v>0</v>
      </c>
      <c r="AT73">
        <f>AS73</f>
        <v>0</v>
      </c>
      <c r="AU73">
        <f>IF(OR($AK73="",O73="",P73=""),0,COUNTIFS($AK$3:$AK$98,$AK73,K$3:K$98,"&lt;"&amp;P73,L$3:L$98,"&gt;"&amp;O73)+COUNTIFS($AK$3:$AK$98,$AK73,M$3:M$98,"&lt;"&amp;P73,N$3:N$98,"&gt;"&amp;O73)+COUNTIFS($AK$3:$AK$98,$AK73,O$3:O$98,"&lt;"&amp;P73,P$3:P$98,"&gt;"&amp;O73)+COUNTIFS($AK$3:$AK$98,$AK73,Q$3:Q$98,"&lt;"&amp;P73,R$3:R$98,"&gt;"&amp;O73)+COUNTIFS($AK$3:$AK$98,$AK73,S$3:S$98,"&lt;"&amp;P73,T$3:T$98,"&gt;"&amp;O73)+COUNTIFS($AK$3:$AK$98,$AK73,U$3:U$98,"&lt;"&amp;P73,V$3:V$98,"&gt;"&amp;O73)+COUNTIFS($AK$3:$AK$98,$AK73,W$3:W$98,"&lt;"&amp;P73,X$3:X$98,"&gt;"&amp;O73)+COUNTIFS($AK$3:$AK$98,$AK73,Y$3:Y$98,"&lt;"&amp;P73,Z$3:Z$98,"&gt;"&amp;O73)+COUNTIFS($AK$3:$AK$98,$AK73,AA$3:AA$98,"&lt;"&amp;P73,AB$3:AB$98,"&gt;"&amp;O73)+COUNTIFS($AK$3:$AK$98,$AK73,AC$3:AC$98,"&lt;"&amp;P73,AD$3:AD$98,"&gt;"&amp;O73)+COUNTIFS($AK$3:$AK$98,$AK73,AE$3:AE$98,"&lt;"&amp;P73,AF$3:AF$98,"&gt;"&amp;O73)+COUNTIFS($AK$3:$AK$98,$AK73,AG$3:AG$98,"&lt;"&amp;P73,AH$3:AH$98,"&gt;"&amp;O73)-(O73&lt;P73))</f>
        <v>0</v>
      </c>
      <c r="AV73">
        <f>AU73</f>
        <v>0</v>
      </c>
      <c r="AW73">
        <f>IF(OR($AK73="",Q73="",R73=""),0,COUNTIFS($AK$3:$AK$98,$AK73,K$3:K$98,"&lt;"&amp;R73,L$3:L$98,"&gt;"&amp;Q73)+COUNTIFS($AK$3:$AK$98,$AK73,M$3:M$98,"&lt;"&amp;R73,N$3:N$98,"&gt;"&amp;Q73)+COUNTIFS($AK$3:$AK$98,$AK73,O$3:O$98,"&lt;"&amp;R73,P$3:P$98,"&gt;"&amp;Q73)+COUNTIFS($AK$3:$AK$98,$AK73,Q$3:Q$98,"&lt;"&amp;R73,R$3:R$98,"&gt;"&amp;Q73)+COUNTIFS($AK$3:$AK$98,$AK73,S$3:S$98,"&lt;"&amp;R73,T$3:T$98,"&gt;"&amp;Q73)+COUNTIFS($AK$3:$AK$98,$AK73,U$3:U$98,"&lt;"&amp;R73,V$3:V$98,"&gt;"&amp;Q73)+COUNTIFS($AK$3:$AK$98,$AK73,W$3:W$98,"&lt;"&amp;R73,X$3:X$98,"&gt;"&amp;Q73)+COUNTIFS($AK$3:$AK$98,$AK73,Y$3:Y$98,"&lt;"&amp;R73,Z$3:Z$98,"&gt;"&amp;Q73)+COUNTIFS($AK$3:$AK$98,$AK73,AA$3:AA$98,"&lt;"&amp;R73,AB$3:AB$98,"&gt;"&amp;Q73)+COUNTIFS($AK$3:$AK$98,$AK73,AC$3:AC$98,"&lt;"&amp;R73,AD$3:AD$98,"&gt;"&amp;Q73)+COUNTIFS($AK$3:$AK$98,$AK73,AE$3:AE$98,"&lt;"&amp;R73,AF$3:AF$98,"&gt;"&amp;Q73)+COUNTIFS($AK$3:$AK$98,$AK73,AG$3:AG$98,"&lt;"&amp;R73,AH$3:AH$98,"&gt;"&amp;Q73)-(Q73&lt;R73))</f>
        <v>0</v>
      </c>
      <c r="AX73">
        <f>AW73</f>
        <v>0</v>
      </c>
      <c r="AY73">
        <f>IF(OR($AK73="",S73="",T73=""),0,COUNTIFS($AK$3:$AK$98,$AK73,K$3:K$98,"&lt;"&amp;T73,L$3:L$98,"&gt;"&amp;S73)+COUNTIFS($AK$3:$AK$98,$AK73,M$3:M$98,"&lt;"&amp;T73,N$3:N$98,"&gt;"&amp;S73)+COUNTIFS($AK$3:$AK$98,$AK73,O$3:O$98,"&lt;"&amp;T73,P$3:P$98,"&gt;"&amp;S73)+COUNTIFS($AK$3:$AK$98,$AK73,Q$3:Q$98,"&lt;"&amp;T73,R$3:R$98,"&gt;"&amp;S73)+COUNTIFS($AK$3:$AK$98,$AK73,S$3:S$98,"&lt;"&amp;T73,T$3:T$98,"&gt;"&amp;S73)+COUNTIFS($AK$3:$AK$98,$AK73,U$3:U$98,"&lt;"&amp;T73,V$3:V$98,"&gt;"&amp;S73)+COUNTIFS($AK$3:$AK$98,$AK73,W$3:W$98,"&lt;"&amp;T73,X$3:X$98,"&gt;"&amp;S73)+COUNTIFS($AK$3:$AK$98,$AK73,Y$3:Y$98,"&lt;"&amp;T73,Z$3:Z$98,"&gt;"&amp;S73)+COUNTIFS($AK$3:$AK$98,$AK73,AA$3:AA$98,"&lt;"&amp;T73,AB$3:AB$98,"&gt;"&amp;S73)+COUNTIFS($AK$3:$AK$98,$AK73,AC$3:AC$98,"&lt;"&amp;T73,AD$3:AD$98,"&gt;"&amp;S73)+COUNTIFS($AK$3:$AK$98,$AK73,AE$3:AE$98,"&lt;"&amp;T73,AF$3:AF$98,"&gt;"&amp;S73)+COUNTIFS($AK$3:$AK$98,$AK73,AG$3:AG$98,"&lt;"&amp;T73,AH$3:AH$98,"&gt;"&amp;S73)-(S73&lt;T73))</f>
        <v>0</v>
      </c>
      <c r="AZ73">
        <f>AY73</f>
        <v>0</v>
      </c>
      <c r="BA73">
        <f>IF(OR($AK73="",U73="",V73=""),0,COUNTIFS($AK$3:$AK$98,$AK73,K$3:K$98,"&lt;"&amp;V73,L$3:L$98,"&gt;"&amp;U73)+COUNTIFS($AK$3:$AK$98,$AK73,M$3:M$98,"&lt;"&amp;V73,N$3:N$98,"&gt;"&amp;U73)+COUNTIFS($AK$3:$AK$98,$AK73,O$3:O$98,"&lt;"&amp;V73,P$3:P$98,"&gt;"&amp;U73)+COUNTIFS($AK$3:$AK$98,$AK73,Q$3:Q$98,"&lt;"&amp;V73,R$3:R$98,"&gt;"&amp;U73)+COUNTIFS($AK$3:$AK$98,$AK73,S$3:S$98,"&lt;"&amp;V73,T$3:T$98,"&gt;"&amp;U73)+COUNTIFS($AK$3:$AK$98,$AK73,U$3:U$98,"&lt;"&amp;V73,V$3:V$98,"&gt;"&amp;U73)+COUNTIFS($AK$3:$AK$98,$AK73,W$3:W$98,"&lt;"&amp;V73,X$3:X$98,"&gt;"&amp;U73)+COUNTIFS($AK$3:$AK$98,$AK73,Y$3:Y$98,"&lt;"&amp;V73,Z$3:Z$98,"&gt;"&amp;U73)+COUNTIFS($AK$3:$AK$98,$AK73,AA$3:AA$98,"&lt;"&amp;V73,AB$3:AB$98,"&gt;"&amp;U73)+COUNTIFS($AK$3:$AK$98,$AK73,AC$3:AC$98,"&lt;"&amp;V73,AD$3:AD$98,"&gt;"&amp;U73)+COUNTIFS($AK$3:$AK$98,$AK73,AE$3:AE$98,"&lt;"&amp;V73,AF$3:AF$98,"&gt;"&amp;U73)+COUNTIFS($AK$3:$AK$98,$AK73,AG$3:AG$98,"&lt;"&amp;V73,AH$3:AH$98,"&gt;"&amp;U73)-(U73&lt;V73))</f>
        <v>0</v>
      </c>
      <c r="BB73">
        <f>BA73</f>
        <v>0</v>
      </c>
      <c r="BC73">
        <f>IF(OR($AK73="",W73="",X73=""),0,COUNTIFS($AK$3:$AK$98,$AK73,K$3:K$98,"&lt;"&amp;X73,L$3:L$98,"&gt;"&amp;W73)+COUNTIFS($AK$3:$AK$98,$AK73,M$3:M$98,"&lt;"&amp;X73,N$3:N$98,"&gt;"&amp;W73)+COUNTIFS($AK$3:$AK$98,$AK73,O$3:O$98,"&lt;"&amp;X73,P$3:P$98,"&gt;"&amp;W73)+COUNTIFS($AK$3:$AK$98,$AK73,Q$3:Q$98,"&lt;"&amp;X73,R$3:R$98,"&gt;"&amp;W73)+COUNTIFS($AK$3:$AK$98,$AK73,S$3:S$98,"&lt;"&amp;X73,T$3:T$98,"&gt;"&amp;W73)+COUNTIFS($AK$3:$AK$98,$AK73,U$3:U$98,"&lt;"&amp;X73,V$3:V$98,"&gt;"&amp;W73)+COUNTIFS($AK$3:$AK$98,$AK73,W$3:W$98,"&lt;"&amp;X73,X$3:X$98,"&gt;"&amp;W73)+COUNTIFS($AK$3:$AK$98,$AK73,Y$3:Y$98,"&lt;"&amp;X73,Z$3:Z$98,"&gt;"&amp;W73)+COUNTIFS($AK$3:$AK$98,$AK73,AA$3:AA$98,"&lt;"&amp;X73,AB$3:AB$98,"&gt;"&amp;W73)+COUNTIFS($AK$3:$AK$98,$AK73,AC$3:AC$98,"&lt;"&amp;X73,AD$3:AD$98,"&gt;"&amp;W73)+COUNTIFS($AK$3:$AK$98,$AK73,AE$3:AE$98,"&lt;"&amp;X73,AF$3:AF$98,"&gt;"&amp;W73)+COUNTIFS($AK$3:$AK$98,$AK73,AG$3:AG$98,"&lt;"&amp;X73,AH$3:AH$98,"&gt;"&amp;W73)-(W73&lt;X73))</f>
        <v>0</v>
      </c>
      <c r="BD73">
        <f>BC73</f>
        <v>0</v>
      </c>
      <c r="BE73">
        <f>IF(OR($AK73="",Y73="",Z73=""),0,COUNTIFS($AK$3:$AK$98,$AK73,K$3:K$98,"&lt;"&amp;Z73,L$3:L$98,"&gt;"&amp;Y73)+COUNTIFS($AK$3:$AK$98,$AK73,M$3:M$98,"&lt;"&amp;Z73,N$3:N$98,"&gt;"&amp;Y73)+COUNTIFS($AK$3:$AK$98,$AK73,O$3:O$98,"&lt;"&amp;Z73,P$3:P$98,"&gt;"&amp;Y73)+COUNTIFS($AK$3:$AK$98,$AK73,Q$3:Q$98,"&lt;"&amp;Z73,R$3:R$98,"&gt;"&amp;Y73)+COUNTIFS($AK$3:$AK$98,$AK73,S$3:S$98,"&lt;"&amp;Z73,T$3:T$98,"&gt;"&amp;Y73)+COUNTIFS($AK$3:$AK$98,$AK73,U$3:U$98,"&lt;"&amp;Z73,V$3:V$98,"&gt;"&amp;Y73)+COUNTIFS($AK$3:$AK$98,$AK73,W$3:W$98,"&lt;"&amp;Z73,X$3:X$98,"&gt;"&amp;Y73)+COUNTIFS($AK$3:$AK$98,$AK73,Y$3:Y$98,"&lt;"&amp;Z73,Z$3:Z$98,"&gt;"&amp;Y73)+COUNTIFS($AK$3:$AK$98,$AK73,AA$3:AA$98,"&lt;"&amp;Z73,AB$3:AB$98,"&gt;"&amp;Y73)+COUNTIFS($AK$3:$AK$98,$AK73,AC$3:AC$98,"&lt;"&amp;Z73,AD$3:AD$98,"&gt;"&amp;Y73)+COUNTIFS($AK$3:$AK$98,$AK73,AE$3:AE$98,"&lt;"&amp;Z73,AF$3:AF$98,"&gt;"&amp;Y73)+COUNTIFS($AK$3:$AK$98,$AK73,AG$3:AG$98,"&lt;"&amp;Z73,AH$3:AH$98,"&gt;"&amp;Y73)-(Y73&lt;Z73))</f>
        <v>0</v>
      </c>
      <c r="BF73">
        <f>BE73</f>
        <v>0</v>
      </c>
      <c r="BG73">
        <f>IF(OR($AK73="",AA73="",AB73=""),0,COUNTIFS($AK$3:$AK$98,$AK73,K$3:K$98,"&lt;"&amp;AB73,L$3:L$98,"&gt;"&amp;AA73)+COUNTIFS($AK$3:$AK$98,$AK73,M$3:M$98,"&lt;"&amp;AB73,N$3:N$98,"&gt;"&amp;AA73)+COUNTIFS($AK$3:$AK$98,$AK73,O$3:O$98,"&lt;"&amp;AB73,P$3:P$98,"&gt;"&amp;AA73)+COUNTIFS($AK$3:$AK$98,$AK73,Q$3:Q$98,"&lt;"&amp;AB73,R$3:R$98,"&gt;"&amp;AA73)+COUNTIFS($AK$3:$AK$98,$AK73,S$3:S$98,"&lt;"&amp;AB73,T$3:T$98,"&gt;"&amp;AA73)+COUNTIFS($AK$3:$AK$98,$AK73,U$3:U$98,"&lt;"&amp;AB73,V$3:V$98,"&gt;"&amp;AA73)+COUNTIFS($AK$3:$AK$98,$AK73,W$3:W$98,"&lt;"&amp;AB73,X$3:X$98,"&gt;"&amp;AA73)+COUNTIFS($AK$3:$AK$98,$AK73,Y$3:Y$98,"&lt;"&amp;AB73,Z$3:Z$98,"&gt;"&amp;AA73)+COUNTIFS($AK$3:$AK$98,$AK73,AA$3:AA$98,"&lt;"&amp;AB73,AB$3:AB$98,"&gt;"&amp;AA73)+COUNTIFS($AK$3:$AK$98,$AK73,AC$3:AC$98,"&lt;"&amp;AB73,AD$3:AD$98,"&gt;"&amp;AA73)+COUNTIFS($AK$3:$AK$98,$AK73,AE$3:AE$98,"&lt;"&amp;AB73,AF$3:AF$98,"&gt;"&amp;AA73)+COUNTIFS($AK$3:$AK$98,$AK73,AG$3:AG$98,"&lt;"&amp;AB73,AH$3:AH$98,"&gt;"&amp;AA73)-(AA73&lt;AB73))</f>
        <v>0</v>
      </c>
      <c r="BH73">
        <f>BG73</f>
        <v>0</v>
      </c>
      <c r="BI73">
        <f>IF(OR($AK73="",AC73="",AD73=""),0,COUNTIFS($AK$3:$AK$98,$AK73,K$3:K$98,"&lt;"&amp;AD73,L$3:L$98,"&gt;"&amp;AC73)+COUNTIFS($AK$3:$AK$98,$AK73,M$3:M$98,"&lt;"&amp;AD73,N$3:N$98,"&gt;"&amp;AC73)+COUNTIFS($AK$3:$AK$98,$AK73,O$3:O$98,"&lt;"&amp;AD73,P$3:P$98,"&gt;"&amp;AC73)+COUNTIFS($AK$3:$AK$98,$AK73,Q$3:Q$98,"&lt;"&amp;AD73,R$3:R$98,"&gt;"&amp;AC73)+COUNTIFS($AK$3:$AK$98,$AK73,S$3:S$98,"&lt;"&amp;AD73,T$3:T$98,"&gt;"&amp;AC73)+COUNTIFS($AK$3:$AK$98,$AK73,U$3:U$98,"&lt;"&amp;AD73,V$3:V$98,"&gt;"&amp;AC73)+COUNTIFS($AK$3:$AK$98,$AK73,W$3:W$98,"&lt;"&amp;AD73,X$3:X$98,"&gt;"&amp;AC73)+COUNTIFS($AK$3:$AK$98,$AK73,Y$3:Y$98,"&lt;"&amp;AD73,Z$3:Z$98,"&gt;"&amp;AC73)+COUNTIFS($AK$3:$AK$98,$AK73,AA$3:AA$98,"&lt;"&amp;AD73,AB$3:AB$98,"&gt;"&amp;AC73)+COUNTIFS($AK$3:$AK$98,$AK73,AC$3:AC$98,"&lt;"&amp;AD73,AD$3:AD$98,"&gt;"&amp;AC73)+COUNTIFS($AK$3:$AK$98,$AK73,AE$3:AE$98,"&lt;"&amp;AD73,AF$3:AF$98,"&gt;"&amp;AC73)+COUNTIFS($AK$3:$AK$98,$AK73,AG$3:AG$98,"&lt;"&amp;AD73,AH$3:AH$98,"&gt;"&amp;AC73)-(AC73&lt;AD73))</f>
        <v>0</v>
      </c>
      <c r="BJ73">
        <f>BI73</f>
        <v>0</v>
      </c>
      <c r="BK73">
        <f>IF(OR($AK73="",AE73="",AF73=""),0,COUNTIFS($AK$3:$AK$98,$AK73,K$3:K$98,"&lt;"&amp;AF73,L$3:L$98,"&gt;"&amp;AE73)+COUNTIFS($AK$3:$AK$98,$AK73,M$3:M$98,"&lt;"&amp;AF73,N$3:N$98,"&gt;"&amp;AE73)+COUNTIFS($AK$3:$AK$98,$AK73,O$3:O$98,"&lt;"&amp;AF73,P$3:P$98,"&gt;"&amp;AE73)+COUNTIFS($AK$3:$AK$98,$AK73,Q$3:Q$98,"&lt;"&amp;AF73,R$3:R$98,"&gt;"&amp;AE73)+COUNTIFS($AK$3:$AK$98,$AK73,S$3:S$98,"&lt;"&amp;AF73,T$3:T$98,"&gt;"&amp;AE73)+COUNTIFS($AK$3:$AK$98,$AK73,U$3:U$98,"&lt;"&amp;AF73,V$3:V$98,"&gt;"&amp;AE73)+COUNTIFS($AK$3:$AK$98,$AK73,W$3:W$98,"&lt;"&amp;AF73,X$3:X$98,"&gt;"&amp;AE73)+COUNTIFS($AK$3:$AK$98,$AK73,Y$3:Y$98,"&lt;"&amp;AF73,Z$3:Z$98,"&gt;"&amp;AE73)+COUNTIFS($AK$3:$AK$98,$AK73,AA$3:AA$98,"&lt;"&amp;AF73,AB$3:AB$98,"&gt;"&amp;AE73)+COUNTIFS($AK$3:$AK$98,$AK73,AC$3:AC$98,"&lt;"&amp;AF73,AD$3:AD$98,"&gt;"&amp;AE73)+COUNTIFS($AK$3:$AK$98,$AK73,AE$3:AE$98,"&lt;"&amp;AF73,AF$3:AF$98,"&gt;"&amp;AE73)+COUNTIFS($AK$3:$AK$98,$AK73,AG$3:AG$98,"&lt;"&amp;AF73,AH$3:AH$98,"&gt;"&amp;AE73)-(AE73&lt;AF73))</f>
        <v>0</v>
      </c>
      <c r="BL73">
        <f>BK73</f>
        <v>0</v>
      </c>
      <c r="BM73">
        <f>IF(OR($AK73="",AG73="",AH73=""),0,COUNTIFS($AK$3:$AK$98,$AK73,K$3:K$98,"&lt;"&amp;AH73,L$3:L$98,"&gt;"&amp;AG73)+COUNTIFS($AK$3:$AK$98,$AK73,M$3:M$98,"&lt;"&amp;AH73,N$3:N$98,"&gt;"&amp;AG73)+COUNTIFS($AK$3:$AK$98,$AK73,O$3:O$98,"&lt;"&amp;AH73,P$3:P$98,"&gt;"&amp;AG73)+COUNTIFS($AK$3:$AK$98,$AK73,Q$3:Q$98,"&lt;"&amp;AH73,R$3:R$98,"&gt;"&amp;AG73)+COUNTIFS($AK$3:$AK$98,$AK73,S$3:S$98,"&lt;"&amp;AH73,T$3:T$98,"&gt;"&amp;AG73)+COUNTIFS($AK$3:$AK$98,$AK73,U$3:U$98,"&lt;"&amp;AH73,V$3:V$98,"&gt;"&amp;AG73)+COUNTIFS($AK$3:$AK$98,$AK73,W$3:W$98,"&lt;"&amp;AH73,X$3:X$98,"&gt;"&amp;AG73)+COUNTIFS($AK$3:$AK$98,$AK73,Y$3:Y$98,"&lt;"&amp;AH73,Z$3:Z$98,"&gt;"&amp;AG73)+COUNTIFS($AK$3:$AK$98,$AK73,AA$3:AA$98,"&lt;"&amp;AH73,AB$3:AB$98,"&gt;"&amp;AG73)+COUNTIFS($AK$3:$AK$98,$AK73,AC$3:AC$98,"&lt;"&amp;AH73,AD$3:AD$98,"&gt;"&amp;AG73)+COUNTIFS($AK$3:$AK$98,$AK73,AE$3:AE$98,"&lt;"&amp;AH73,AF$3:AF$98,"&gt;"&amp;AG73)+COUNTIFS($AK$3:$AK$98,$AK73,AG$3:AG$98,"&lt;"&amp;AH73,AH$3:AH$98,"&gt;"&amp;AG73)-(AG73&lt;AH73))</f>
        <v>0</v>
      </c>
      <c r="BN73">
        <f>BM73</f>
        <v>0</v>
      </c>
      <c r="BO73" t="str">
        <f>IF(ISNUMBER($G73),$G73,"")</f>
        <v/>
      </c>
      <c r="BP73" t="str">
        <f>IF(AND($A73&lt;&gt;"",COUNT($K73:$AH73)&gt;0),ROW(),"")</f>
        <v/>
      </c>
    </row>
    <row r="74" spans="1:68" x14ac:dyDescent="0.15">
      <c r="A74" s="25" t="str">
        <f>IF($A71="","",$A71)</f>
        <v/>
      </c>
      <c r="B74" s="26" t="str">
        <f>IF($A71="","","fac")</f>
        <v/>
      </c>
      <c r="C74" s="26"/>
      <c r="D74" s="27"/>
      <c r="E74" s="28" t="str">
        <f>IF(AND($D74="",COUNT($K74:$AH74)=0),"",IF(K74="",0,MAX(0,NETWORKDAYS(K74,IF(L74&lt;&gt;"",L74,IF($J74&lt;&gt;"",K74,$AI$1)),祝日!$A$2:$A$200)))+IF(M74="",0,MAX(0,NETWORKDAYS(M74,IF(N74&lt;&gt;"",N74,IF($J74&lt;&gt;"",M74,$AI$1)),祝日!$A$2:$A$200)))+IF(O74="",0,MAX(0,NETWORKDAYS(O74,IF(P74&lt;&gt;"",P74,IF($J74&lt;&gt;"",O74,$AI$1)),祝日!$A$2:$A$200)))+IF(Q74="",0,MAX(0,NETWORKDAYS(Q74,IF(R74&lt;&gt;"",R74,IF($J74&lt;&gt;"",Q74,$AI$1)),祝日!$A$2:$A$200)))+IF(S74="",0,MAX(0,NETWORKDAYS(S74,IF(T74&lt;&gt;"",T74,IF($J74&lt;&gt;"",S74,$AI$1)),祝日!$A$2:$A$200)))+IF(U74="",0,MAX(0,NETWORKDAYS(U74,IF(V74&lt;&gt;"",V74,IF($J74&lt;&gt;"",U74,$AI$1)),祝日!$A$2:$A$200)))+IF(W74="",0,MAX(0,NETWORKDAYS(W74,IF(X74&lt;&gt;"",X74,IF($J74&lt;&gt;"",W74,$AI$1)),祝日!$A$2:$A$200)))+IF(Y74="",0,MAX(0,NETWORKDAYS(Y74,IF(Z74&lt;&gt;"",Z74,IF($J74&lt;&gt;"",Y74,$AI$1)),祝日!$A$2:$A$200)))+IF(AA74="",0,MAX(0,NETWORKDAYS(AA74,IF(AB74&lt;&gt;"",AB74,IF($J74&lt;&gt;"",AA74,$AI$1)),祝日!$A$2:$A$200)))+IF(AC74="",0,MAX(0,NETWORKDAYS(AC74,IF(AD74&lt;&gt;"",AD74,IF($J74&lt;&gt;"",AC74,$AI$1)),祝日!$A$2:$A$200)))+IF(AE74="",0,MAX(0,NETWORKDAYS(AE74,IF(AF74&lt;&gt;"",AF74,IF($J74&lt;&gt;"",AE74,$AI$1)),祝日!$A$2:$A$200)))+IF(AG74="",0,MAX(0,NETWORKDAYS(AG74,IF(AH74&lt;&gt;"",AH74,IF($J74&lt;&gt;"",AG74,$AI$1)),祝日!$A$2:$A$200))))</f>
        <v/>
      </c>
      <c r="F74" s="28" t="str">
        <f>IF($D74="","",$D74-$E74)</f>
        <v/>
      </c>
      <c r="G74" s="29" t="str">
        <f>IF(OR($D74="",$D74=0),"",$E74/$D74)</f>
        <v/>
      </c>
      <c r="H74" s="30" t="str">
        <f>IF($D74="","",IF($J74&lt;&gt;"","FIX",IF(AND(SUMPRODUCT((MOD(COLUMN($K74:$AH74)-COLUMN($K74),2)=0)*($K74:$AH74&lt;&gt;""))=0,SUMPRODUCT((MOD(COLUMN($K74:$AH74)-COLUMN($K74),2)=1)*($K74:$AH74&lt;&gt;""))=0),"未着手",IF(SUMPRODUCT((MOD(COLUMN($K74:$AH74)-COLUMN($K74),2)=0)*($K74:$AH74&lt;&gt;""))&gt;SUMPRODUCT((MOD(COLUMN($K74:$AH74)-COLUMN($K74),2)=1)*($K74:$AH74&lt;&gt;"")),"作業中","中断"))))</f>
        <v/>
      </c>
      <c r="I74" s="30" t="str">
        <f>IF($H74="中断",MAX(0,$AI$1-MAX(L74,N74,P74,R74,T74,V74,X74,Z74,AB74,AD74,AF74,AH74)),"")</f>
        <v/>
      </c>
      <c r="J74" s="26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K74" t="str">
        <f>IF($A71="","",IF(LOOKUP(2,1/($AJ$3:$AJ74&lt;&gt;""),$AJ$3:$AJ74)="-","",LOOKUP(2,1/($AJ$3:$AJ74&lt;&gt;""),$AJ$3:$AJ74)))</f>
        <v/>
      </c>
      <c r="AL74" t="str">
        <f>$H74</f>
        <v/>
      </c>
      <c r="AM74">
        <f>IF(ISNUMBER($D74),$D74,0)</f>
        <v>0</v>
      </c>
      <c r="AN74">
        <f>IF(ISNUMBER($E74),$E74,0)</f>
        <v>0</v>
      </c>
      <c r="AO74">
        <f>IF(ISNUMBER($F74),$F74,0)</f>
        <v>0</v>
      </c>
      <c r="AQ74">
        <f>IF(OR($AK74="",K74="",L74=""),0,COUNTIFS($AK$3:$AK$98,$AK74,K$3:K$98,"&lt;"&amp;L74,L$3:L$98,"&gt;"&amp;K74)+COUNTIFS($AK$3:$AK$98,$AK74,M$3:M$98,"&lt;"&amp;L74,N$3:N$98,"&gt;"&amp;K74)+COUNTIFS($AK$3:$AK$98,$AK74,O$3:O$98,"&lt;"&amp;L74,P$3:P$98,"&gt;"&amp;K74)+COUNTIFS($AK$3:$AK$98,$AK74,Q$3:Q$98,"&lt;"&amp;L74,R$3:R$98,"&gt;"&amp;K74)+COUNTIFS($AK$3:$AK$98,$AK74,S$3:S$98,"&lt;"&amp;L74,T$3:T$98,"&gt;"&amp;K74)+COUNTIFS($AK$3:$AK$98,$AK74,U$3:U$98,"&lt;"&amp;L74,V$3:V$98,"&gt;"&amp;K74)+COUNTIFS($AK$3:$AK$98,$AK74,W$3:W$98,"&lt;"&amp;L74,X$3:X$98,"&gt;"&amp;K74)+COUNTIFS($AK$3:$AK$98,$AK74,Y$3:Y$98,"&lt;"&amp;L74,Z$3:Z$98,"&gt;"&amp;K74)+COUNTIFS($AK$3:$AK$98,$AK74,AA$3:AA$98,"&lt;"&amp;L74,AB$3:AB$98,"&gt;"&amp;K74)+COUNTIFS($AK$3:$AK$98,$AK74,AC$3:AC$98,"&lt;"&amp;L74,AD$3:AD$98,"&gt;"&amp;K74)+COUNTIFS($AK$3:$AK$98,$AK74,AE$3:AE$98,"&lt;"&amp;L74,AF$3:AF$98,"&gt;"&amp;K74)+COUNTIFS($AK$3:$AK$98,$AK74,AG$3:AG$98,"&lt;"&amp;L74,AH$3:AH$98,"&gt;"&amp;K74)-(K74&lt;L74))</f>
        <v>0</v>
      </c>
      <c r="AR74">
        <f>AQ74</f>
        <v>0</v>
      </c>
      <c r="AS74">
        <f>IF(OR($AK74="",M74="",N74=""),0,COUNTIFS($AK$3:$AK$98,$AK74,K$3:K$98,"&lt;"&amp;N74,L$3:L$98,"&gt;"&amp;M74)+COUNTIFS($AK$3:$AK$98,$AK74,M$3:M$98,"&lt;"&amp;N74,N$3:N$98,"&gt;"&amp;M74)+COUNTIFS($AK$3:$AK$98,$AK74,O$3:O$98,"&lt;"&amp;N74,P$3:P$98,"&gt;"&amp;M74)+COUNTIFS($AK$3:$AK$98,$AK74,Q$3:Q$98,"&lt;"&amp;N74,R$3:R$98,"&gt;"&amp;M74)+COUNTIFS($AK$3:$AK$98,$AK74,S$3:S$98,"&lt;"&amp;N74,T$3:T$98,"&gt;"&amp;M74)+COUNTIFS($AK$3:$AK$98,$AK74,U$3:U$98,"&lt;"&amp;N74,V$3:V$98,"&gt;"&amp;M74)+COUNTIFS($AK$3:$AK$98,$AK74,W$3:W$98,"&lt;"&amp;N74,X$3:X$98,"&gt;"&amp;M74)+COUNTIFS($AK$3:$AK$98,$AK74,Y$3:Y$98,"&lt;"&amp;N74,Z$3:Z$98,"&gt;"&amp;M74)+COUNTIFS($AK$3:$AK$98,$AK74,AA$3:AA$98,"&lt;"&amp;N74,AB$3:AB$98,"&gt;"&amp;M74)+COUNTIFS($AK$3:$AK$98,$AK74,AC$3:AC$98,"&lt;"&amp;N74,AD$3:AD$98,"&gt;"&amp;M74)+COUNTIFS($AK$3:$AK$98,$AK74,AE$3:AE$98,"&lt;"&amp;N74,AF$3:AF$98,"&gt;"&amp;M74)+COUNTIFS($AK$3:$AK$98,$AK74,AG$3:AG$98,"&lt;"&amp;N74,AH$3:AH$98,"&gt;"&amp;M74)-(M74&lt;N74))</f>
        <v>0</v>
      </c>
      <c r="AT74">
        <f>AS74</f>
        <v>0</v>
      </c>
      <c r="AU74">
        <f>IF(OR($AK74="",O74="",P74=""),0,COUNTIFS($AK$3:$AK$98,$AK74,K$3:K$98,"&lt;"&amp;P74,L$3:L$98,"&gt;"&amp;O74)+COUNTIFS($AK$3:$AK$98,$AK74,M$3:M$98,"&lt;"&amp;P74,N$3:N$98,"&gt;"&amp;O74)+COUNTIFS($AK$3:$AK$98,$AK74,O$3:O$98,"&lt;"&amp;P74,P$3:P$98,"&gt;"&amp;O74)+COUNTIFS($AK$3:$AK$98,$AK74,Q$3:Q$98,"&lt;"&amp;P74,R$3:R$98,"&gt;"&amp;O74)+COUNTIFS($AK$3:$AK$98,$AK74,S$3:S$98,"&lt;"&amp;P74,T$3:T$98,"&gt;"&amp;O74)+COUNTIFS($AK$3:$AK$98,$AK74,U$3:U$98,"&lt;"&amp;P74,V$3:V$98,"&gt;"&amp;O74)+COUNTIFS($AK$3:$AK$98,$AK74,W$3:W$98,"&lt;"&amp;P74,X$3:X$98,"&gt;"&amp;O74)+COUNTIFS($AK$3:$AK$98,$AK74,Y$3:Y$98,"&lt;"&amp;P74,Z$3:Z$98,"&gt;"&amp;O74)+COUNTIFS($AK$3:$AK$98,$AK74,AA$3:AA$98,"&lt;"&amp;P74,AB$3:AB$98,"&gt;"&amp;O74)+COUNTIFS($AK$3:$AK$98,$AK74,AC$3:AC$98,"&lt;"&amp;P74,AD$3:AD$98,"&gt;"&amp;O74)+COUNTIFS($AK$3:$AK$98,$AK74,AE$3:AE$98,"&lt;"&amp;P74,AF$3:AF$98,"&gt;"&amp;O74)+COUNTIFS($AK$3:$AK$98,$AK74,AG$3:AG$98,"&lt;"&amp;P74,AH$3:AH$98,"&gt;"&amp;O74)-(O74&lt;P74))</f>
        <v>0</v>
      </c>
      <c r="AV74">
        <f>AU74</f>
        <v>0</v>
      </c>
      <c r="AW74">
        <f>IF(OR($AK74="",Q74="",R74=""),0,COUNTIFS($AK$3:$AK$98,$AK74,K$3:K$98,"&lt;"&amp;R74,L$3:L$98,"&gt;"&amp;Q74)+COUNTIFS($AK$3:$AK$98,$AK74,M$3:M$98,"&lt;"&amp;R74,N$3:N$98,"&gt;"&amp;Q74)+COUNTIFS($AK$3:$AK$98,$AK74,O$3:O$98,"&lt;"&amp;R74,P$3:P$98,"&gt;"&amp;Q74)+COUNTIFS($AK$3:$AK$98,$AK74,Q$3:Q$98,"&lt;"&amp;R74,R$3:R$98,"&gt;"&amp;Q74)+COUNTIFS($AK$3:$AK$98,$AK74,S$3:S$98,"&lt;"&amp;R74,T$3:T$98,"&gt;"&amp;Q74)+COUNTIFS($AK$3:$AK$98,$AK74,U$3:U$98,"&lt;"&amp;R74,V$3:V$98,"&gt;"&amp;Q74)+COUNTIFS($AK$3:$AK$98,$AK74,W$3:W$98,"&lt;"&amp;R74,X$3:X$98,"&gt;"&amp;Q74)+COUNTIFS($AK$3:$AK$98,$AK74,Y$3:Y$98,"&lt;"&amp;R74,Z$3:Z$98,"&gt;"&amp;Q74)+COUNTIFS($AK$3:$AK$98,$AK74,AA$3:AA$98,"&lt;"&amp;R74,AB$3:AB$98,"&gt;"&amp;Q74)+COUNTIFS($AK$3:$AK$98,$AK74,AC$3:AC$98,"&lt;"&amp;R74,AD$3:AD$98,"&gt;"&amp;Q74)+COUNTIFS($AK$3:$AK$98,$AK74,AE$3:AE$98,"&lt;"&amp;R74,AF$3:AF$98,"&gt;"&amp;Q74)+COUNTIFS($AK$3:$AK$98,$AK74,AG$3:AG$98,"&lt;"&amp;R74,AH$3:AH$98,"&gt;"&amp;Q74)-(Q74&lt;R74))</f>
        <v>0</v>
      </c>
      <c r="AX74">
        <f>AW74</f>
        <v>0</v>
      </c>
      <c r="AY74">
        <f>IF(OR($AK74="",S74="",T74=""),0,COUNTIFS($AK$3:$AK$98,$AK74,K$3:K$98,"&lt;"&amp;T74,L$3:L$98,"&gt;"&amp;S74)+COUNTIFS($AK$3:$AK$98,$AK74,M$3:M$98,"&lt;"&amp;T74,N$3:N$98,"&gt;"&amp;S74)+COUNTIFS($AK$3:$AK$98,$AK74,O$3:O$98,"&lt;"&amp;T74,P$3:P$98,"&gt;"&amp;S74)+COUNTIFS($AK$3:$AK$98,$AK74,Q$3:Q$98,"&lt;"&amp;T74,R$3:R$98,"&gt;"&amp;S74)+COUNTIFS($AK$3:$AK$98,$AK74,S$3:S$98,"&lt;"&amp;T74,T$3:T$98,"&gt;"&amp;S74)+COUNTIFS($AK$3:$AK$98,$AK74,U$3:U$98,"&lt;"&amp;T74,V$3:V$98,"&gt;"&amp;S74)+COUNTIFS($AK$3:$AK$98,$AK74,W$3:W$98,"&lt;"&amp;T74,X$3:X$98,"&gt;"&amp;S74)+COUNTIFS($AK$3:$AK$98,$AK74,Y$3:Y$98,"&lt;"&amp;T74,Z$3:Z$98,"&gt;"&amp;S74)+COUNTIFS($AK$3:$AK$98,$AK74,AA$3:AA$98,"&lt;"&amp;T74,AB$3:AB$98,"&gt;"&amp;S74)+COUNTIFS($AK$3:$AK$98,$AK74,AC$3:AC$98,"&lt;"&amp;T74,AD$3:AD$98,"&gt;"&amp;S74)+COUNTIFS($AK$3:$AK$98,$AK74,AE$3:AE$98,"&lt;"&amp;T74,AF$3:AF$98,"&gt;"&amp;S74)+COUNTIFS($AK$3:$AK$98,$AK74,AG$3:AG$98,"&lt;"&amp;T74,AH$3:AH$98,"&gt;"&amp;S74)-(S74&lt;T74))</f>
        <v>0</v>
      </c>
      <c r="AZ74">
        <f>AY74</f>
        <v>0</v>
      </c>
      <c r="BA74">
        <f>IF(OR($AK74="",U74="",V74=""),0,COUNTIFS($AK$3:$AK$98,$AK74,K$3:K$98,"&lt;"&amp;V74,L$3:L$98,"&gt;"&amp;U74)+COUNTIFS($AK$3:$AK$98,$AK74,M$3:M$98,"&lt;"&amp;V74,N$3:N$98,"&gt;"&amp;U74)+COUNTIFS($AK$3:$AK$98,$AK74,O$3:O$98,"&lt;"&amp;V74,P$3:P$98,"&gt;"&amp;U74)+COUNTIFS($AK$3:$AK$98,$AK74,Q$3:Q$98,"&lt;"&amp;V74,R$3:R$98,"&gt;"&amp;U74)+COUNTIFS($AK$3:$AK$98,$AK74,S$3:S$98,"&lt;"&amp;V74,T$3:T$98,"&gt;"&amp;U74)+COUNTIFS($AK$3:$AK$98,$AK74,U$3:U$98,"&lt;"&amp;V74,V$3:V$98,"&gt;"&amp;U74)+COUNTIFS($AK$3:$AK$98,$AK74,W$3:W$98,"&lt;"&amp;V74,X$3:X$98,"&gt;"&amp;U74)+COUNTIFS($AK$3:$AK$98,$AK74,Y$3:Y$98,"&lt;"&amp;V74,Z$3:Z$98,"&gt;"&amp;U74)+COUNTIFS($AK$3:$AK$98,$AK74,AA$3:AA$98,"&lt;"&amp;V74,AB$3:AB$98,"&gt;"&amp;U74)+COUNTIFS($AK$3:$AK$98,$AK74,AC$3:AC$98,"&lt;"&amp;V74,AD$3:AD$98,"&gt;"&amp;U74)+COUNTIFS($AK$3:$AK$98,$AK74,AE$3:AE$98,"&lt;"&amp;V74,AF$3:AF$98,"&gt;"&amp;U74)+COUNTIFS($AK$3:$AK$98,$AK74,AG$3:AG$98,"&lt;"&amp;V74,AH$3:AH$98,"&gt;"&amp;U74)-(U74&lt;V74))</f>
        <v>0</v>
      </c>
      <c r="BB74">
        <f>BA74</f>
        <v>0</v>
      </c>
      <c r="BC74">
        <f>IF(OR($AK74="",W74="",X74=""),0,COUNTIFS($AK$3:$AK$98,$AK74,K$3:K$98,"&lt;"&amp;X74,L$3:L$98,"&gt;"&amp;W74)+COUNTIFS($AK$3:$AK$98,$AK74,M$3:M$98,"&lt;"&amp;X74,N$3:N$98,"&gt;"&amp;W74)+COUNTIFS($AK$3:$AK$98,$AK74,O$3:O$98,"&lt;"&amp;X74,P$3:P$98,"&gt;"&amp;W74)+COUNTIFS($AK$3:$AK$98,$AK74,Q$3:Q$98,"&lt;"&amp;X74,R$3:R$98,"&gt;"&amp;W74)+COUNTIFS($AK$3:$AK$98,$AK74,S$3:S$98,"&lt;"&amp;X74,T$3:T$98,"&gt;"&amp;W74)+COUNTIFS($AK$3:$AK$98,$AK74,U$3:U$98,"&lt;"&amp;X74,V$3:V$98,"&gt;"&amp;W74)+COUNTIFS($AK$3:$AK$98,$AK74,W$3:W$98,"&lt;"&amp;X74,X$3:X$98,"&gt;"&amp;W74)+COUNTIFS($AK$3:$AK$98,$AK74,Y$3:Y$98,"&lt;"&amp;X74,Z$3:Z$98,"&gt;"&amp;W74)+COUNTIFS($AK$3:$AK$98,$AK74,AA$3:AA$98,"&lt;"&amp;X74,AB$3:AB$98,"&gt;"&amp;W74)+COUNTIFS($AK$3:$AK$98,$AK74,AC$3:AC$98,"&lt;"&amp;X74,AD$3:AD$98,"&gt;"&amp;W74)+COUNTIFS($AK$3:$AK$98,$AK74,AE$3:AE$98,"&lt;"&amp;X74,AF$3:AF$98,"&gt;"&amp;W74)+COUNTIFS($AK$3:$AK$98,$AK74,AG$3:AG$98,"&lt;"&amp;X74,AH$3:AH$98,"&gt;"&amp;W74)-(W74&lt;X74))</f>
        <v>0</v>
      </c>
      <c r="BD74">
        <f>BC74</f>
        <v>0</v>
      </c>
      <c r="BE74">
        <f>IF(OR($AK74="",Y74="",Z74=""),0,COUNTIFS($AK$3:$AK$98,$AK74,K$3:K$98,"&lt;"&amp;Z74,L$3:L$98,"&gt;"&amp;Y74)+COUNTIFS($AK$3:$AK$98,$AK74,M$3:M$98,"&lt;"&amp;Z74,N$3:N$98,"&gt;"&amp;Y74)+COUNTIFS($AK$3:$AK$98,$AK74,O$3:O$98,"&lt;"&amp;Z74,P$3:P$98,"&gt;"&amp;Y74)+COUNTIFS($AK$3:$AK$98,$AK74,Q$3:Q$98,"&lt;"&amp;Z74,R$3:R$98,"&gt;"&amp;Y74)+COUNTIFS($AK$3:$AK$98,$AK74,S$3:S$98,"&lt;"&amp;Z74,T$3:T$98,"&gt;"&amp;Y74)+COUNTIFS($AK$3:$AK$98,$AK74,U$3:U$98,"&lt;"&amp;Z74,V$3:V$98,"&gt;"&amp;Y74)+COUNTIFS($AK$3:$AK$98,$AK74,W$3:W$98,"&lt;"&amp;Z74,X$3:X$98,"&gt;"&amp;Y74)+COUNTIFS($AK$3:$AK$98,$AK74,Y$3:Y$98,"&lt;"&amp;Z74,Z$3:Z$98,"&gt;"&amp;Y74)+COUNTIFS($AK$3:$AK$98,$AK74,AA$3:AA$98,"&lt;"&amp;Z74,AB$3:AB$98,"&gt;"&amp;Y74)+COUNTIFS($AK$3:$AK$98,$AK74,AC$3:AC$98,"&lt;"&amp;Z74,AD$3:AD$98,"&gt;"&amp;Y74)+COUNTIFS($AK$3:$AK$98,$AK74,AE$3:AE$98,"&lt;"&amp;Z74,AF$3:AF$98,"&gt;"&amp;Y74)+COUNTIFS($AK$3:$AK$98,$AK74,AG$3:AG$98,"&lt;"&amp;Z74,AH$3:AH$98,"&gt;"&amp;Y74)-(Y74&lt;Z74))</f>
        <v>0</v>
      </c>
      <c r="BF74">
        <f>BE74</f>
        <v>0</v>
      </c>
      <c r="BG74">
        <f>IF(OR($AK74="",AA74="",AB74=""),0,COUNTIFS($AK$3:$AK$98,$AK74,K$3:K$98,"&lt;"&amp;AB74,L$3:L$98,"&gt;"&amp;AA74)+COUNTIFS($AK$3:$AK$98,$AK74,M$3:M$98,"&lt;"&amp;AB74,N$3:N$98,"&gt;"&amp;AA74)+COUNTIFS($AK$3:$AK$98,$AK74,O$3:O$98,"&lt;"&amp;AB74,P$3:P$98,"&gt;"&amp;AA74)+COUNTIFS($AK$3:$AK$98,$AK74,Q$3:Q$98,"&lt;"&amp;AB74,R$3:R$98,"&gt;"&amp;AA74)+COUNTIFS($AK$3:$AK$98,$AK74,S$3:S$98,"&lt;"&amp;AB74,T$3:T$98,"&gt;"&amp;AA74)+COUNTIFS($AK$3:$AK$98,$AK74,U$3:U$98,"&lt;"&amp;AB74,V$3:V$98,"&gt;"&amp;AA74)+COUNTIFS($AK$3:$AK$98,$AK74,W$3:W$98,"&lt;"&amp;AB74,X$3:X$98,"&gt;"&amp;AA74)+COUNTIFS($AK$3:$AK$98,$AK74,Y$3:Y$98,"&lt;"&amp;AB74,Z$3:Z$98,"&gt;"&amp;AA74)+COUNTIFS($AK$3:$AK$98,$AK74,AA$3:AA$98,"&lt;"&amp;AB74,AB$3:AB$98,"&gt;"&amp;AA74)+COUNTIFS($AK$3:$AK$98,$AK74,AC$3:AC$98,"&lt;"&amp;AB74,AD$3:AD$98,"&gt;"&amp;AA74)+COUNTIFS($AK$3:$AK$98,$AK74,AE$3:AE$98,"&lt;"&amp;AB74,AF$3:AF$98,"&gt;"&amp;AA74)+COUNTIFS($AK$3:$AK$98,$AK74,AG$3:AG$98,"&lt;"&amp;AB74,AH$3:AH$98,"&gt;"&amp;AA74)-(AA74&lt;AB74))</f>
        <v>0</v>
      </c>
      <c r="BH74">
        <f>BG74</f>
        <v>0</v>
      </c>
      <c r="BI74">
        <f>IF(OR($AK74="",AC74="",AD74=""),0,COUNTIFS($AK$3:$AK$98,$AK74,K$3:K$98,"&lt;"&amp;AD74,L$3:L$98,"&gt;"&amp;AC74)+COUNTIFS($AK$3:$AK$98,$AK74,M$3:M$98,"&lt;"&amp;AD74,N$3:N$98,"&gt;"&amp;AC74)+COUNTIFS($AK$3:$AK$98,$AK74,O$3:O$98,"&lt;"&amp;AD74,P$3:P$98,"&gt;"&amp;AC74)+COUNTIFS($AK$3:$AK$98,$AK74,Q$3:Q$98,"&lt;"&amp;AD74,R$3:R$98,"&gt;"&amp;AC74)+COUNTIFS($AK$3:$AK$98,$AK74,S$3:S$98,"&lt;"&amp;AD74,T$3:T$98,"&gt;"&amp;AC74)+COUNTIFS($AK$3:$AK$98,$AK74,U$3:U$98,"&lt;"&amp;AD74,V$3:V$98,"&gt;"&amp;AC74)+COUNTIFS($AK$3:$AK$98,$AK74,W$3:W$98,"&lt;"&amp;AD74,X$3:X$98,"&gt;"&amp;AC74)+COUNTIFS($AK$3:$AK$98,$AK74,Y$3:Y$98,"&lt;"&amp;AD74,Z$3:Z$98,"&gt;"&amp;AC74)+COUNTIFS($AK$3:$AK$98,$AK74,AA$3:AA$98,"&lt;"&amp;AD74,AB$3:AB$98,"&gt;"&amp;AC74)+COUNTIFS($AK$3:$AK$98,$AK74,AC$3:AC$98,"&lt;"&amp;AD74,AD$3:AD$98,"&gt;"&amp;AC74)+COUNTIFS($AK$3:$AK$98,$AK74,AE$3:AE$98,"&lt;"&amp;AD74,AF$3:AF$98,"&gt;"&amp;AC74)+COUNTIFS($AK$3:$AK$98,$AK74,AG$3:AG$98,"&lt;"&amp;AD74,AH$3:AH$98,"&gt;"&amp;AC74)-(AC74&lt;AD74))</f>
        <v>0</v>
      </c>
      <c r="BJ74">
        <f>BI74</f>
        <v>0</v>
      </c>
      <c r="BK74">
        <f>IF(OR($AK74="",AE74="",AF74=""),0,COUNTIFS($AK$3:$AK$98,$AK74,K$3:K$98,"&lt;"&amp;AF74,L$3:L$98,"&gt;"&amp;AE74)+COUNTIFS($AK$3:$AK$98,$AK74,M$3:M$98,"&lt;"&amp;AF74,N$3:N$98,"&gt;"&amp;AE74)+COUNTIFS($AK$3:$AK$98,$AK74,O$3:O$98,"&lt;"&amp;AF74,P$3:P$98,"&gt;"&amp;AE74)+COUNTIFS($AK$3:$AK$98,$AK74,Q$3:Q$98,"&lt;"&amp;AF74,R$3:R$98,"&gt;"&amp;AE74)+COUNTIFS($AK$3:$AK$98,$AK74,S$3:S$98,"&lt;"&amp;AF74,T$3:T$98,"&gt;"&amp;AE74)+COUNTIFS($AK$3:$AK$98,$AK74,U$3:U$98,"&lt;"&amp;AF74,V$3:V$98,"&gt;"&amp;AE74)+COUNTIFS($AK$3:$AK$98,$AK74,W$3:W$98,"&lt;"&amp;AF74,X$3:X$98,"&gt;"&amp;AE74)+COUNTIFS($AK$3:$AK$98,$AK74,Y$3:Y$98,"&lt;"&amp;AF74,Z$3:Z$98,"&gt;"&amp;AE74)+COUNTIFS($AK$3:$AK$98,$AK74,AA$3:AA$98,"&lt;"&amp;AF74,AB$3:AB$98,"&gt;"&amp;AE74)+COUNTIFS($AK$3:$AK$98,$AK74,AC$3:AC$98,"&lt;"&amp;AF74,AD$3:AD$98,"&gt;"&amp;AE74)+COUNTIFS($AK$3:$AK$98,$AK74,AE$3:AE$98,"&lt;"&amp;AF74,AF$3:AF$98,"&gt;"&amp;AE74)+COUNTIFS($AK$3:$AK$98,$AK74,AG$3:AG$98,"&lt;"&amp;AF74,AH$3:AH$98,"&gt;"&amp;AE74)-(AE74&lt;AF74))</f>
        <v>0</v>
      </c>
      <c r="BL74">
        <f>BK74</f>
        <v>0</v>
      </c>
      <c r="BM74">
        <f>IF(OR($AK74="",AG74="",AH74=""),0,COUNTIFS($AK$3:$AK$98,$AK74,K$3:K$98,"&lt;"&amp;AH74,L$3:L$98,"&gt;"&amp;AG74)+COUNTIFS($AK$3:$AK$98,$AK74,M$3:M$98,"&lt;"&amp;AH74,N$3:N$98,"&gt;"&amp;AG74)+COUNTIFS($AK$3:$AK$98,$AK74,O$3:O$98,"&lt;"&amp;AH74,P$3:P$98,"&gt;"&amp;AG74)+COUNTIFS($AK$3:$AK$98,$AK74,Q$3:Q$98,"&lt;"&amp;AH74,R$3:R$98,"&gt;"&amp;AG74)+COUNTIFS($AK$3:$AK$98,$AK74,S$3:S$98,"&lt;"&amp;AH74,T$3:T$98,"&gt;"&amp;AG74)+COUNTIFS($AK$3:$AK$98,$AK74,U$3:U$98,"&lt;"&amp;AH74,V$3:V$98,"&gt;"&amp;AG74)+COUNTIFS($AK$3:$AK$98,$AK74,W$3:W$98,"&lt;"&amp;AH74,X$3:X$98,"&gt;"&amp;AG74)+COUNTIFS($AK$3:$AK$98,$AK74,Y$3:Y$98,"&lt;"&amp;AH74,Z$3:Z$98,"&gt;"&amp;AG74)+COUNTIFS($AK$3:$AK$98,$AK74,AA$3:AA$98,"&lt;"&amp;AH74,AB$3:AB$98,"&gt;"&amp;AG74)+COUNTIFS($AK$3:$AK$98,$AK74,AC$3:AC$98,"&lt;"&amp;AH74,AD$3:AD$98,"&gt;"&amp;AG74)+COUNTIFS($AK$3:$AK$98,$AK74,AE$3:AE$98,"&lt;"&amp;AH74,AF$3:AF$98,"&gt;"&amp;AG74)+COUNTIFS($AK$3:$AK$98,$AK74,AG$3:AG$98,"&lt;"&amp;AH74,AH$3:AH$98,"&gt;"&amp;AG74)-(AG74&lt;AH74))</f>
        <v>0</v>
      </c>
      <c r="BN74">
        <f>BM74</f>
        <v>0</v>
      </c>
      <c r="BO74" t="str">
        <f>IF(ISNUMBER($G74),$G74,"")</f>
        <v/>
      </c>
      <c r="BP74" t="str">
        <f>IF(AND($A74&lt;&gt;"",COUNT($K74:$AH74)&gt;0),ROW(),"")</f>
        <v/>
      </c>
    </row>
    <row r="75" spans="1:68" x14ac:dyDescent="0.15">
      <c r="A75" s="13" t="s">
        <v>52</v>
      </c>
      <c r="B75" s="14" t="str">
        <f>IF($A75="","","total")</f>
        <v>total</v>
      </c>
      <c r="C75" s="14"/>
      <c r="D75" s="15">
        <f>IF($A75="","",SUM(D76:D78))</f>
        <v>30</v>
      </c>
      <c r="E75" s="15">
        <f>IF($A75="","",SUM(E76:E78))</f>
        <v>0</v>
      </c>
      <c r="F75" s="15">
        <f>IF($A75="","",D75-E75)</f>
        <v>30</v>
      </c>
      <c r="G75" s="16" t="str">
        <f>IF($A75="","",IFERROR(AVERAGEIFS(G76:G78,H76:H78,"&lt;&gt;未着手",H76:H78,"&lt;&gt;作業中"),""))</f>
        <v/>
      </c>
      <c r="H75" s="14"/>
      <c r="I75" s="14"/>
      <c r="J75" s="14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</row>
    <row r="76" spans="1:68" x14ac:dyDescent="0.15">
      <c r="A76" s="18" t="str">
        <f>IF($A75="","",$A75)</f>
        <v>chAosaA</v>
      </c>
      <c r="B76" s="19" t="str">
        <f>IF($A75="","","low")</f>
        <v>low</v>
      </c>
      <c r="C76" s="19"/>
      <c r="D76" s="20">
        <v>12</v>
      </c>
      <c r="E76" s="21">
        <f>IF(AND($D76="",COUNT($K76:$AH76)=0),"",IF(K76="",0,MAX(0,NETWORKDAYS(K76,IF(L76&lt;&gt;"",L76,IF($J76&lt;&gt;"",K76,$AI$1)),祝日!$A$2:$A$200)))+IF(M76="",0,MAX(0,NETWORKDAYS(M76,IF(N76&lt;&gt;"",N76,IF($J76&lt;&gt;"",M76,$AI$1)),祝日!$A$2:$A$200)))+IF(O76="",0,MAX(0,NETWORKDAYS(O76,IF(P76&lt;&gt;"",P76,IF($J76&lt;&gt;"",O76,$AI$1)),祝日!$A$2:$A$200)))+IF(Q76="",0,MAX(0,NETWORKDAYS(Q76,IF(R76&lt;&gt;"",R76,IF($J76&lt;&gt;"",Q76,$AI$1)),祝日!$A$2:$A$200)))+IF(S76="",0,MAX(0,NETWORKDAYS(S76,IF(T76&lt;&gt;"",T76,IF($J76&lt;&gt;"",S76,$AI$1)),祝日!$A$2:$A$200)))+IF(U76="",0,MAX(0,NETWORKDAYS(U76,IF(V76&lt;&gt;"",V76,IF($J76&lt;&gt;"",U76,$AI$1)),祝日!$A$2:$A$200)))+IF(W76="",0,MAX(0,NETWORKDAYS(W76,IF(X76&lt;&gt;"",X76,IF($J76&lt;&gt;"",W76,$AI$1)),祝日!$A$2:$A$200)))+IF(Y76="",0,MAX(0,NETWORKDAYS(Y76,IF(Z76&lt;&gt;"",Z76,IF($J76&lt;&gt;"",Y76,$AI$1)),祝日!$A$2:$A$200)))+IF(AA76="",0,MAX(0,NETWORKDAYS(AA76,IF(AB76&lt;&gt;"",AB76,IF($J76&lt;&gt;"",AA76,$AI$1)),祝日!$A$2:$A$200)))+IF(AC76="",0,MAX(0,NETWORKDAYS(AC76,IF(AD76&lt;&gt;"",AD76,IF($J76&lt;&gt;"",AC76,$AI$1)),祝日!$A$2:$A$200)))+IF(AE76="",0,MAX(0,NETWORKDAYS(AE76,IF(AF76&lt;&gt;"",AF76,IF($J76&lt;&gt;"",AE76,$AI$1)),祝日!$A$2:$A$200)))+IF(AG76="",0,MAX(0,NETWORKDAYS(AG76,IF(AH76&lt;&gt;"",AH76,IF($J76&lt;&gt;"",AG76,$AI$1)),祝日!$A$2:$A$200))))</f>
        <v>0</v>
      </c>
      <c r="F76" s="21">
        <f>IF($D76="","",$D76-$E76)</f>
        <v>12</v>
      </c>
      <c r="G76" s="22">
        <f>IF(OR($D76="",$D76=0),"",$E76/$D76)</f>
        <v>0</v>
      </c>
      <c r="H76" s="23" t="str">
        <f>IF($D76="","",IF($J76&lt;&gt;"","FIX",IF(AND(SUMPRODUCT((MOD(COLUMN($K76:$AH76)-COLUMN($K76),2)=0)*($K76:$AH76&lt;&gt;""))=0,SUMPRODUCT((MOD(COLUMN($K76:$AH76)-COLUMN($K76),2)=1)*($K76:$AH76&lt;&gt;""))=0),"未着手",IF(SUMPRODUCT((MOD(COLUMN($K76:$AH76)-COLUMN($K76),2)=0)*($K76:$AH76&lt;&gt;""))&gt;SUMPRODUCT((MOD(COLUMN($K76:$AH76)-COLUMN($K76),2)=1)*($K76:$AH76&lt;&gt;"")),"作業中","中断"))))</f>
        <v>未着手</v>
      </c>
      <c r="I76" s="23" t="str">
        <f>IF($H76="中断",MAX(0,$AI$1-MAX(L76,N76,P76,R76,T76,V76,X76,Z76,AB76,AD76,AF76,AH76)),"")</f>
        <v/>
      </c>
      <c r="J76" s="19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K76" t="str">
        <f>IF($A75="","",IF(LOOKUP(2,1/($AJ$3:$AJ76&lt;&gt;""),$AJ$3:$AJ76)="-","",LOOKUP(2,1/($AJ$3:$AJ76&lt;&gt;""),$AJ$3:$AJ76)))</f>
        <v/>
      </c>
      <c r="AL76" t="str">
        <f>$H76</f>
        <v>未着手</v>
      </c>
      <c r="AM76">
        <f>IF(ISNUMBER($D76),$D76,0)</f>
        <v>12</v>
      </c>
      <c r="AN76">
        <f>IF(ISNUMBER($E76),$E76,0)</f>
        <v>0</v>
      </c>
      <c r="AO76">
        <f>IF(ISNUMBER($F76),$F76,0)</f>
        <v>12</v>
      </c>
      <c r="AQ76">
        <f>IF(OR($AK76="",K76="",L76=""),0,COUNTIFS($AK$3:$AK$98,$AK76,K$3:K$98,"&lt;"&amp;L76,L$3:L$98,"&gt;"&amp;K76)+COUNTIFS($AK$3:$AK$98,$AK76,M$3:M$98,"&lt;"&amp;L76,N$3:N$98,"&gt;"&amp;K76)+COUNTIFS($AK$3:$AK$98,$AK76,O$3:O$98,"&lt;"&amp;L76,P$3:P$98,"&gt;"&amp;K76)+COUNTIFS($AK$3:$AK$98,$AK76,Q$3:Q$98,"&lt;"&amp;L76,R$3:R$98,"&gt;"&amp;K76)+COUNTIFS($AK$3:$AK$98,$AK76,S$3:S$98,"&lt;"&amp;L76,T$3:T$98,"&gt;"&amp;K76)+COUNTIFS($AK$3:$AK$98,$AK76,U$3:U$98,"&lt;"&amp;L76,V$3:V$98,"&gt;"&amp;K76)+COUNTIFS($AK$3:$AK$98,$AK76,W$3:W$98,"&lt;"&amp;L76,X$3:X$98,"&gt;"&amp;K76)+COUNTIFS($AK$3:$AK$98,$AK76,Y$3:Y$98,"&lt;"&amp;L76,Z$3:Z$98,"&gt;"&amp;K76)+COUNTIFS($AK$3:$AK$98,$AK76,AA$3:AA$98,"&lt;"&amp;L76,AB$3:AB$98,"&gt;"&amp;K76)+COUNTIFS($AK$3:$AK$98,$AK76,AC$3:AC$98,"&lt;"&amp;L76,AD$3:AD$98,"&gt;"&amp;K76)+COUNTIFS($AK$3:$AK$98,$AK76,AE$3:AE$98,"&lt;"&amp;L76,AF$3:AF$98,"&gt;"&amp;K76)+COUNTIFS($AK$3:$AK$98,$AK76,AG$3:AG$98,"&lt;"&amp;L76,AH$3:AH$98,"&gt;"&amp;K76)-(K76&lt;L76))</f>
        <v>0</v>
      </c>
      <c r="AR76">
        <f>AQ76</f>
        <v>0</v>
      </c>
      <c r="AS76">
        <f>IF(OR($AK76="",M76="",N76=""),0,COUNTIFS($AK$3:$AK$98,$AK76,K$3:K$98,"&lt;"&amp;N76,L$3:L$98,"&gt;"&amp;M76)+COUNTIFS($AK$3:$AK$98,$AK76,M$3:M$98,"&lt;"&amp;N76,N$3:N$98,"&gt;"&amp;M76)+COUNTIFS($AK$3:$AK$98,$AK76,O$3:O$98,"&lt;"&amp;N76,P$3:P$98,"&gt;"&amp;M76)+COUNTIFS($AK$3:$AK$98,$AK76,Q$3:Q$98,"&lt;"&amp;N76,R$3:R$98,"&gt;"&amp;M76)+COUNTIFS($AK$3:$AK$98,$AK76,S$3:S$98,"&lt;"&amp;N76,T$3:T$98,"&gt;"&amp;M76)+COUNTIFS($AK$3:$AK$98,$AK76,U$3:U$98,"&lt;"&amp;N76,V$3:V$98,"&gt;"&amp;M76)+COUNTIFS($AK$3:$AK$98,$AK76,W$3:W$98,"&lt;"&amp;N76,X$3:X$98,"&gt;"&amp;M76)+COUNTIFS($AK$3:$AK$98,$AK76,Y$3:Y$98,"&lt;"&amp;N76,Z$3:Z$98,"&gt;"&amp;M76)+COUNTIFS($AK$3:$AK$98,$AK76,AA$3:AA$98,"&lt;"&amp;N76,AB$3:AB$98,"&gt;"&amp;M76)+COUNTIFS($AK$3:$AK$98,$AK76,AC$3:AC$98,"&lt;"&amp;N76,AD$3:AD$98,"&gt;"&amp;M76)+COUNTIFS($AK$3:$AK$98,$AK76,AE$3:AE$98,"&lt;"&amp;N76,AF$3:AF$98,"&gt;"&amp;M76)+COUNTIFS($AK$3:$AK$98,$AK76,AG$3:AG$98,"&lt;"&amp;N76,AH$3:AH$98,"&gt;"&amp;M76)-(M76&lt;N76))</f>
        <v>0</v>
      </c>
      <c r="AT76">
        <f>AS76</f>
        <v>0</v>
      </c>
      <c r="AU76">
        <f>IF(OR($AK76="",O76="",P76=""),0,COUNTIFS($AK$3:$AK$98,$AK76,K$3:K$98,"&lt;"&amp;P76,L$3:L$98,"&gt;"&amp;O76)+COUNTIFS($AK$3:$AK$98,$AK76,M$3:M$98,"&lt;"&amp;P76,N$3:N$98,"&gt;"&amp;O76)+COUNTIFS($AK$3:$AK$98,$AK76,O$3:O$98,"&lt;"&amp;P76,P$3:P$98,"&gt;"&amp;O76)+COUNTIFS($AK$3:$AK$98,$AK76,Q$3:Q$98,"&lt;"&amp;P76,R$3:R$98,"&gt;"&amp;O76)+COUNTIFS($AK$3:$AK$98,$AK76,S$3:S$98,"&lt;"&amp;P76,T$3:T$98,"&gt;"&amp;O76)+COUNTIFS($AK$3:$AK$98,$AK76,U$3:U$98,"&lt;"&amp;P76,V$3:V$98,"&gt;"&amp;O76)+COUNTIFS($AK$3:$AK$98,$AK76,W$3:W$98,"&lt;"&amp;P76,X$3:X$98,"&gt;"&amp;O76)+COUNTIFS($AK$3:$AK$98,$AK76,Y$3:Y$98,"&lt;"&amp;P76,Z$3:Z$98,"&gt;"&amp;O76)+COUNTIFS($AK$3:$AK$98,$AK76,AA$3:AA$98,"&lt;"&amp;P76,AB$3:AB$98,"&gt;"&amp;O76)+COUNTIFS($AK$3:$AK$98,$AK76,AC$3:AC$98,"&lt;"&amp;P76,AD$3:AD$98,"&gt;"&amp;O76)+COUNTIFS($AK$3:$AK$98,$AK76,AE$3:AE$98,"&lt;"&amp;P76,AF$3:AF$98,"&gt;"&amp;O76)+COUNTIFS($AK$3:$AK$98,$AK76,AG$3:AG$98,"&lt;"&amp;P76,AH$3:AH$98,"&gt;"&amp;O76)-(O76&lt;P76))</f>
        <v>0</v>
      </c>
      <c r="AV76">
        <f>AU76</f>
        <v>0</v>
      </c>
      <c r="AW76">
        <f>IF(OR($AK76="",Q76="",R76=""),0,COUNTIFS($AK$3:$AK$98,$AK76,K$3:K$98,"&lt;"&amp;R76,L$3:L$98,"&gt;"&amp;Q76)+COUNTIFS($AK$3:$AK$98,$AK76,M$3:M$98,"&lt;"&amp;R76,N$3:N$98,"&gt;"&amp;Q76)+COUNTIFS($AK$3:$AK$98,$AK76,O$3:O$98,"&lt;"&amp;R76,P$3:P$98,"&gt;"&amp;Q76)+COUNTIFS($AK$3:$AK$98,$AK76,Q$3:Q$98,"&lt;"&amp;R76,R$3:R$98,"&gt;"&amp;Q76)+COUNTIFS($AK$3:$AK$98,$AK76,S$3:S$98,"&lt;"&amp;R76,T$3:T$98,"&gt;"&amp;Q76)+COUNTIFS($AK$3:$AK$98,$AK76,U$3:U$98,"&lt;"&amp;R76,V$3:V$98,"&gt;"&amp;Q76)+COUNTIFS($AK$3:$AK$98,$AK76,W$3:W$98,"&lt;"&amp;R76,X$3:X$98,"&gt;"&amp;Q76)+COUNTIFS($AK$3:$AK$98,$AK76,Y$3:Y$98,"&lt;"&amp;R76,Z$3:Z$98,"&gt;"&amp;Q76)+COUNTIFS($AK$3:$AK$98,$AK76,AA$3:AA$98,"&lt;"&amp;R76,AB$3:AB$98,"&gt;"&amp;Q76)+COUNTIFS($AK$3:$AK$98,$AK76,AC$3:AC$98,"&lt;"&amp;R76,AD$3:AD$98,"&gt;"&amp;Q76)+COUNTIFS($AK$3:$AK$98,$AK76,AE$3:AE$98,"&lt;"&amp;R76,AF$3:AF$98,"&gt;"&amp;Q76)+COUNTIFS($AK$3:$AK$98,$AK76,AG$3:AG$98,"&lt;"&amp;R76,AH$3:AH$98,"&gt;"&amp;Q76)-(Q76&lt;R76))</f>
        <v>0</v>
      </c>
      <c r="AX76">
        <f>AW76</f>
        <v>0</v>
      </c>
      <c r="AY76">
        <f>IF(OR($AK76="",S76="",T76=""),0,COUNTIFS($AK$3:$AK$98,$AK76,K$3:K$98,"&lt;"&amp;T76,L$3:L$98,"&gt;"&amp;S76)+COUNTIFS($AK$3:$AK$98,$AK76,M$3:M$98,"&lt;"&amp;T76,N$3:N$98,"&gt;"&amp;S76)+COUNTIFS($AK$3:$AK$98,$AK76,O$3:O$98,"&lt;"&amp;T76,P$3:P$98,"&gt;"&amp;S76)+COUNTIFS($AK$3:$AK$98,$AK76,Q$3:Q$98,"&lt;"&amp;T76,R$3:R$98,"&gt;"&amp;S76)+COUNTIFS($AK$3:$AK$98,$AK76,S$3:S$98,"&lt;"&amp;T76,T$3:T$98,"&gt;"&amp;S76)+COUNTIFS($AK$3:$AK$98,$AK76,U$3:U$98,"&lt;"&amp;T76,V$3:V$98,"&gt;"&amp;S76)+COUNTIFS($AK$3:$AK$98,$AK76,W$3:W$98,"&lt;"&amp;T76,X$3:X$98,"&gt;"&amp;S76)+COUNTIFS($AK$3:$AK$98,$AK76,Y$3:Y$98,"&lt;"&amp;T76,Z$3:Z$98,"&gt;"&amp;S76)+COUNTIFS($AK$3:$AK$98,$AK76,AA$3:AA$98,"&lt;"&amp;T76,AB$3:AB$98,"&gt;"&amp;S76)+COUNTIFS($AK$3:$AK$98,$AK76,AC$3:AC$98,"&lt;"&amp;T76,AD$3:AD$98,"&gt;"&amp;S76)+COUNTIFS($AK$3:$AK$98,$AK76,AE$3:AE$98,"&lt;"&amp;T76,AF$3:AF$98,"&gt;"&amp;S76)+COUNTIFS($AK$3:$AK$98,$AK76,AG$3:AG$98,"&lt;"&amp;T76,AH$3:AH$98,"&gt;"&amp;S76)-(S76&lt;T76))</f>
        <v>0</v>
      </c>
      <c r="AZ76">
        <f>AY76</f>
        <v>0</v>
      </c>
      <c r="BA76">
        <f>IF(OR($AK76="",U76="",V76=""),0,COUNTIFS($AK$3:$AK$98,$AK76,K$3:K$98,"&lt;"&amp;V76,L$3:L$98,"&gt;"&amp;U76)+COUNTIFS($AK$3:$AK$98,$AK76,M$3:M$98,"&lt;"&amp;V76,N$3:N$98,"&gt;"&amp;U76)+COUNTIFS($AK$3:$AK$98,$AK76,O$3:O$98,"&lt;"&amp;V76,P$3:P$98,"&gt;"&amp;U76)+COUNTIFS($AK$3:$AK$98,$AK76,Q$3:Q$98,"&lt;"&amp;V76,R$3:R$98,"&gt;"&amp;U76)+COUNTIFS($AK$3:$AK$98,$AK76,S$3:S$98,"&lt;"&amp;V76,T$3:T$98,"&gt;"&amp;U76)+COUNTIFS($AK$3:$AK$98,$AK76,U$3:U$98,"&lt;"&amp;V76,V$3:V$98,"&gt;"&amp;U76)+COUNTIFS($AK$3:$AK$98,$AK76,W$3:W$98,"&lt;"&amp;V76,X$3:X$98,"&gt;"&amp;U76)+COUNTIFS($AK$3:$AK$98,$AK76,Y$3:Y$98,"&lt;"&amp;V76,Z$3:Z$98,"&gt;"&amp;U76)+COUNTIFS($AK$3:$AK$98,$AK76,AA$3:AA$98,"&lt;"&amp;V76,AB$3:AB$98,"&gt;"&amp;U76)+COUNTIFS($AK$3:$AK$98,$AK76,AC$3:AC$98,"&lt;"&amp;V76,AD$3:AD$98,"&gt;"&amp;U76)+COUNTIFS($AK$3:$AK$98,$AK76,AE$3:AE$98,"&lt;"&amp;V76,AF$3:AF$98,"&gt;"&amp;U76)+COUNTIFS($AK$3:$AK$98,$AK76,AG$3:AG$98,"&lt;"&amp;V76,AH$3:AH$98,"&gt;"&amp;U76)-(U76&lt;V76))</f>
        <v>0</v>
      </c>
      <c r="BB76">
        <f>BA76</f>
        <v>0</v>
      </c>
      <c r="BC76">
        <f>IF(OR($AK76="",W76="",X76=""),0,COUNTIFS($AK$3:$AK$98,$AK76,K$3:K$98,"&lt;"&amp;X76,L$3:L$98,"&gt;"&amp;W76)+COUNTIFS($AK$3:$AK$98,$AK76,M$3:M$98,"&lt;"&amp;X76,N$3:N$98,"&gt;"&amp;W76)+COUNTIFS($AK$3:$AK$98,$AK76,O$3:O$98,"&lt;"&amp;X76,P$3:P$98,"&gt;"&amp;W76)+COUNTIFS($AK$3:$AK$98,$AK76,Q$3:Q$98,"&lt;"&amp;X76,R$3:R$98,"&gt;"&amp;W76)+COUNTIFS($AK$3:$AK$98,$AK76,S$3:S$98,"&lt;"&amp;X76,T$3:T$98,"&gt;"&amp;W76)+COUNTIFS($AK$3:$AK$98,$AK76,U$3:U$98,"&lt;"&amp;X76,V$3:V$98,"&gt;"&amp;W76)+COUNTIFS($AK$3:$AK$98,$AK76,W$3:W$98,"&lt;"&amp;X76,X$3:X$98,"&gt;"&amp;W76)+COUNTIFS($AK$3:$AK$98,$AK76,Y$3:Y$98,"&lt;"&amp;X76,Z$3:Z$98,"&gt;"&amp;W76)+COUNTIFS($AK$3:$AK$98,$AK76,AA$3:AA$98,"&lt;"&amp;X76,AB$3:AB$98,"&gt;"&amp;W76)+COUNTIFS($AK$3:$AK$98,$AK76,AC$3:AC$98,"&lt;"&amp;X76,AD$3:AD$98,"&gt;"&amp;W76)+COUNTIFS($AK$3:$AK$98,$AK76,AE$3:AE$98,"&lt;"&amp;X76,AF$3:AF$98,"&gt;"&amp;W76)+COUNTIFS($AK$3:$AK$98,$AK76,AG$3:AG$98,"&lt;"&amp;X76,AH$3:AH$98,"&gt;"&amp;W76)-(W76&lt;X76))</f>
        <v>0</v>
      </c>
      <c r="BD76">
        <f>BC76</f>
        <v>0</v>
      </c>
      <c r="BE76">
        <f>IF(OR($AK76="",Y76="",Z76=""),0,COUNTIFS($AK$3:$AK$98,$AK76,K$3:K$98,"&lt;"&amp;Z76,L$3:L$98,"&gt;"&amp;Y76)+COUNTIFS($AK$3:$AK$98,$AK76,M$3:M$98,"&lt;"&amp;Z76,N$3:N$98,"&gt;"&amp;Y76)+COUNTIFS($AK$3:$AK$98,$AK76,O$3:O$98,"&lt;"&amp;Z76,P$3:P$98,"&gt;"&amp;Y76)+COUNTIFS($AK$3:$AK$98,$AK76,Q$3:Q$98,"&lt;"&amp;Z76,R$3:R$98,"&gt;"&amp;Y76)+COUNTIFS($AK$3:$AK$98,$AK76,S$3:S$98,"&lt;"&amp;Z76,T$3:T$98,"&gt;"&amp;Y76)+COUNTIFS($AK$3:$AK$98,$AK76,U$3:U$98,"&lt;"&amp;Z76,V$3:V$98,"&gt;"&amp;Y76)+COUNTIFS($AK$3:$AK$98,$AK76,W$3:W$98,"&lt;"&amp;Z76,X$3:X$98,"&gt;"&amp;Y76)+COUNTIFS($AK$3:$AK$98,$AK76,Y$3:Y$98,"&lt;"&amp;Z76,Z$3:Z$98,"&gt;"&amp;Y76)+COUNTIFS($AK$3:$AK$98,$AK76,AA$3:AA$98,"&lt;"&amp;Z76,AB$3:AB$98,"&gt;"&amp;Y76)+COUNTIFS($AK$3:$AK$98,$AK76,AC$3:AC$98,"&lt;"&amp;Z76,AD$3:AD$98,"&gt;"&amp;Y76)+COUNTIFS($AK$3:$AK$98,$AK76,AE$3:AE$98,"&lt;"&amp;Z76,AF$3:AF$98,"&gt;"&amp;Y76)+COUNTIFS($AK$3:$AK$98,$AK76,AG$3:AG$98,"&lt;"&amp;Z76,AH$3:AH$98,"&gt;"&amp;Y76)-(Y76&lt;Z76))</f>
        <v>0</v>
      </c>
      <c r="BF76">
        <f>BE76</f>
        <v>0</v>
      </c>
      <c r="BG76">
        <f>IF(OR($AK76="",AA76="",AB76=""),0,COUNTIFS($AK$3:$AK$98,$AK76,K$3:K$98,"&lt;"&amp;AB76,L$3:L$98,"&gt;"&amp;AA76)+COUNTIFS($AK$3:$AK$98,$AK76,M$3:M$98,"&lt;"&amp;AB76,N$3:N$98,"&gt;"&amp;AA76)+COUNTIFS($AK$3:$AK$98,$AK76,O$3:O$98,"&lt;"&amp;AB76,P$3:P$98,"&gt;"&amp;AA76)+COUNTIFS($AK$3:$AK$98,$AK76,Q$3:Q$98,"&lt;"&amp;AB76,R$3:R$98,"&gt;"&amp;AA76)+COUNTIFS($AK$3:$AK$98,$AK76,S$3:S$98,"&lt;"&amp;AB76,T$3:T$98,"&gt;"&amp;AA76)+COUNTIFS($AK$3:$AK$98,$AK76,U$3:U$98,"&lt;"&amp;AB76,V$3:V$98,"&gt;"&amp;AA76)+COUNTIFS($AK$3:$AK$98,$AK76,W$3:W$98,"&lt;"&amp;AB76,X$3:X$98,"&gt;"&amp;AA76)+COUNTIFS($AK$3:$AK$98,$AK76,Y$3:Y$98,"&lt;"&amp;AB76,Z$3:Z$98,"&gt;"&amp;AA76)+COUNTIFS($AK$3:$AK$98,$AK76,AA$3:AA$98,"&lt;"&amp;AB76,AB$3:AB$98,"&gt;"&amp;AA76)+COUNTIFS($AK$3:$AK$98,$AK76,AC$3:AC$98,"&lt;"&amp;AB76,AD$3:AD$98,"&gt;"&amp;AA76)+COUNTIFS($AK$3:$AK$98,$AK76,AE$3:AE$98,"&lt;"&amp;AB76,AF$3:AF$98,"&gt;"&amp;AA76)+COUNTIFS($AK$3:$AK$98,$AK76,AG$3:AG$98,"&lt;"&amp;AB76,AH$3:AH$98,"&gt;"&amp;AA76)-(AA76&lt;AB76))</f>
        <v>0</v>
      </c>
      <c r="BH76">
        <f>BG76</f>
        <v>0</v>
      </c>
      <c r="BI76">
        <f>IF(OR($AK76="",AC76="",AD76=""),0,COUNTIFS($AK$3:$AK$98,$AK76,K$3:K$98,"&lt;"&amp;AD76,L$3:L$98,"&gt;"&amp;AC76)+COUNTIFS($AK$3:$AK$98,$AK76,M$3:M$98,"&lt;"&amp;AD76,N$3:N$98,"&gt;"&amp;AC76)+COUNTIFS($AK$3:$AK$98,$AK76,O$3:O$98,"&lt;"&amp;AD76,P$3:P$98,"&gt;"&amp;AC76)+COUNTIFS($AK$3:$AK$98,$AK76,Q$3:Q$98,"&lt;"&amp;AD76,R$3:R$98,"&gt;"&amp;AC76)+COUNTIFS($AK$3:$AK$98,$AK76,S$3:S$98,"&lt;"&amp;AD76,T$3:T$98,"&gt;"&amp;AC76)+COUNTIFS($AK$3:$AK$98,$AK76,U$3:U$98,"&lt;"&amp;AD76,V$3:V$98,"&gt;"&amp;AC76)+COUNTIFS($AK$3:$AK$98,$AK76,W$3:W$98,"&lt;"&amp;AD76,X$3:X$98,"&gt;"&amp;AC76)+COUNTIFS($AK$3:$AK$98,$AK76,Y$3:Y$98,"&lt;"&amp;AD76,Z$3:Z$98,"&gt;"&amp;AC76)+COUNTIFS($AK$3:$AK$98,$AK76,AA$3:AA$98,"&lt;"&amp;AD76,AB$3:AB$98,"&gt;"&amp;AC76)+COUNTIFS($AK$3:$AK$98,$AK76,AC$3:AC$98,"&lt;"&amp;AD76,AD$3:AD$98,"&gt;"&amp;AC76)+COUNTIFS($AK$3:$AK$98,$AK76,AE$3:AE$98,"&lt;"&amp;AD76,AF$3:AF$98,"&gt;"&amp;AC76)+COUNTIFS($AK$3:$AK$98,$AK76,AG$3:AG$98,"&lt;"&amp;AD76,AH$3:AH$98,"&gt;"&amp;AC76)-(AC76&lt;AD76))</f>
        <v>0</v>
      </c>
      <c r="BJ76">
        <f>BI76</f>
        <v>0</v>
      </c>
      <c r="BK76">
        <f>IF(OR($AK76="",AE76="",AF76=""),0,COUNTIFS($AK$3:$AK$98,$AK76,K$3:K$98,"&lt;"&amp;AF76,L$3:L$98,"&gt;"&amp;AE76)+COUNTIFS($AK$3:$AK$98,$AK76,M$3:M$98,"&lt;"&amp;AF76,N$3:N$98,"&gt;"&amp;AE76)+COUNTIFS($AK$3:$AK$98,$AK76,O$3:O$98,"&lt;"&amp;AF76,P$3:P$98,"&gt;"&amp;AE76)+COUNTIFS($AK$3:$AK$98,$AK76,Q$3:Q$98,"&lt;"&amp;AF76,R$3:R$98,"&gt;"&amp;AE76)+COUNTIFS($AK$3:$AK$98,$AK76,S$3:S$98,"&lt;"&amp;AF76,T$3:T$98,"&gt;"&amp;AE76)+COUNTIFS($AK$3:$AK$98,$AK76,U$3:U$98,"&lt;"&amp;AF76,V$3:V$98,"&gt;"&amp;AE76)+COUNTIFS($AK$3:$AK$98,$AK76,W$3:W$98,"&lt;"&amp;AF76,X$3:X$98,"&gt;"&amp;AE76)+COUNTIFS($AK$3:$AK$98,$AK76,Y$3:Y$98,"&lt;"&amp;AF76,Z$3:Z$98,"&gt;"&amp;AE76)+COUNTIFS($AK$3:$AK$98,$AK76,AA$3:AA$98,"&lt;"&amp;AF76,AB$3:AB$98,"&gt;"&amp;AE76)+COUNTIFS($AK$3:$AK$98,$AK76,AC$3:AC$98,"&lt;"&amp;AF76,AD$3:AD$98,"&gt;"&amp;AE76)+COUNTIFS($AK$3:$AK$98,$AK76,AE$3:AE$98,"&lt;"&amp;AF76,AF$3:AF$98,"&gt;"&amp;AE76)+COUNTIFS($AK$3:$AK$98,$AK76,AG$3:AG$98,"&lt;"&amp;AF76,AH$3:AH$98,"&gt;"&amp;AE76)-(AE76&lt;AF76))</f>
        <v>0</v>
      </c>
      <c r="BL76">
        <f>BK76</f>
        <v>0</v>
      </c>
      <c r="BM76">
        <f>IF(OR($AK76="",AG76="",AH76=""),0,COUNTIFS($AK$3:$AK$98,$AK76,K$3:K$98,"&lt;"&amp;AH76,L$3:L$98,"&gt;"&amp;AG76)+COUNTIFS($AK$3:$AK$98,$AK76,M$3:M$98,"&lt;"&amp;AH76,N$3:N$98,"&gt;"&amp;AG76)+COUNTIFS($AK$3:$AK$98,$AK76,O$3:O$98,"&lt;"&amp;AH76,P$3:P$98,"&gt;"&amp;AG76)+COUNTIFS($AK$3:$AK$98,$AK76,Q$3:Q$98,"&lt;"&amp;AH76,R$3:R$98,"&gt;"&amp;AG76)+COUNTIFS($AK$3:$AK$98,$AK76,S$3:S$98,"&lt;"&amp;AH76,T$3:T$98,"&gt;"&amp;AG76)+COUNTIFS($AK$3:$AK$98,$AK76,U$3:U$98,"&lt;"&amp;AH76,V$3:V$98,"&gt;"&amp;AG76)+COUNTIFS($AK$3:$AK$98,$AK76,W$3:W$98,"&lt;"&amp;AH76,X$3:X$98,"&gt;"&amp;AG76)+COUNTIFS($AK$3:$AK$98,$AK76,Y$3:Y$98,"&lt;"&amp;AH76,Z$3:Z$98,"&gt;"&amp;AG76)+COUNTIFS($AK$3:$AK$98,$AK76,AA$3:AA$98,"&lt;"&amp;AH76,AB$3:AB$98,"&gt;"&amp;AG76)+COUNTIFS($AK$3:$AK$98,$AK76,AC$3:AC$98,"&lt;"&amp;AH76,AD$3:AD$98,"&gt;"&amp;AG76)+COUNTIFS($AK$3:$AK$98,$AK76,AE$3:AE$98,"&lt;"&amp;AH76,AF$3:AF$98,"&gt;"&amp;AG76)+COUNTIFS($AK$3:$AK$98,$AK76,AG$3:AG$98,"&lt;"&amp;AH76,AH$3:AH$98,"&gt;"&amp;AG76)-(AG76&lt;AH76))</f>
        <v>0</v>
      </c>
      <c r="BN76">
        <f>BM76</f>
        <v>0</v>
      </c>
      <c r="BO76">
        <f>IF(ISNUMBER($G76),$G76,"")</f>
        <v>0</v>
      </c>
      <c r="BP76" t="str">
        <f>IF(AND($A76&lt;&gt;"",COUNT($K76:$AH76)&gt;0),ROW(),"")</f>
        <v/>
      </c>
    </row>
    <row r="77" spans="1:68" x14ac:dyDescent="0.15">
      <c r="A77" s="18" t="str">
        <f>IF($A75="","",$A75)</f>
        <v>chAosaA</v>
      </c>
      <c r="B77" s="19" t="str">
        <f>IF($A75="","","high")</f>
        <v>high</v>
      </c>
      <c r="C77" s="19"/>
      <c r="D77" s="20">
        <v>9</v>
      </c>
      <c r="E77" s="21">
        <f>IF(AND($D77="",COUNT($K77:$AH77)=0),"",IF(K77="",0,MAX(0,NETWORKDAYS(K77,IF(L77&lt;&gt;"",L77,IF($J77&lt;&gt;"",K77,$AI$1)),祝日!$A$2:$A$200)))+IF(M77="",0,MAX(0,NETWORKDAYS(M77,IF(N77&lt;&gt;"",N77,IF($J77&lt;&gt;"",M77,$AI$1)),祝日!$A$2:$A$200)))+IF(O77="",0,MAX(0,NETWORKDAYS(O77,IF(P77&lt;&gt;"",P77,IF($J77&lt;&gt;"",O77,$AI$1)),祝日!$A$2:$A$200)))+IF(Q77="",0,MAX(0,NETWORKDAYS(Q77,IF(R77&lt;&gt;"",R77,IF($J77&lt;&gt;"",Q77,$AI$1)),祝日!$A$2:$A$200)))+IF(S77="",0,MAX(0,NETWORKDAYS(S77,IF(T77&lt;&gt;"",T77,IF($J77&lt;&gt;"",S77,$AI$1)),祝日!$A$2:$A$200)))+IF(U77="",0,MAX(0,NETWORKDAYS(U77,IF(V77&lt;&gt;"",V77,IF($J77&lt;&gt;"",U77,$AI$1)),祝日!$A$2:$A$200)))+IF(W77="",0,MAX(0,NETWORKDAYS(W77,IF(X77&lt;&gt;"",X77,IF($J77&lt;&gt;"",W77,$AI$1)),祝日!$A$2:$A$200)))+IF(Y77="",0,MAX(0,NETWORKDAYS(Y77,IF(Z77&lt;&gt;"",Z77,IF($J77&lt;&gt;"",Y77,$AI$1)),祝日!$A$2:$A$200)))+IF(AA77="",0,MAX(0,NETWORKDAYS(AA77,IF(AB77&lt;&gt;"",AB77,IF($J77&lt;&gt;"",AA77,$AI$1)),祝日!$A$2:$A$200)))+IF(AC77="",0,MAX(0,NETWORKDAYS(AC77,IF(AD77&lt;&gt;"",AD77,IF($J77&lt;&gt;"",AC77,$AI$1)),祝日!$A$2:$A$200)))+IF(AE77="",0,MAX(0,NETWORKDAYS(AE77,IF(AF77&lt;&gt;"",AF77,IF($J77&lt;&gt;"",AE77,$AI$1)),祝日!$A$2:$A$200)))+IF(AG77="",0,MAX(0,NETWORKDAYS(AG77,IF(AH77&lt;&gt;"",AH77,IF($J77&lt;&gt;"",AG77,$AI$1)),祝日!$A$2:$A$200))))</f>
        <v>0</v>
      </c>
      <c r="F77" s="21">
        <f>IF($D77="","",$D77-$E77)</f>
        <v>9</v>
      </c>
      <c r="G77" s="22">
        <f>IF(OR($D77="",$D77=0),"",$E77/$D77)</f>
        <v>0</v>
      </c>
      <c r="H77" s="23" t="str">
        <f>IF($D77="","",IF($J77&lt;&gt;"","FIX",IF(AND(SUMPRODUCT((MOD(COLUMN($K77:$AH77)-COLUMN($K77),2)=0)*($K77:$AH77&lt;&gt;""))=0,SUMPRODUCT((MOD(COLUMN($K77:$AH77)-COLUMN($K77),2)=1)*($K77:$AH77&lt;&gt;""))=0),"未着手",IF(SUMPRODUCT((MOD(COLUMN($K77:$AH77)-COLUMN($K77),2)=0)*($K77:$AH77&lt;&gt;""))&gt;SUMPRODUCT((MOD(COLUMN($K77:$AH77)-COLUMN($K77),2)=1)*($K77:$AH77&lt;&gt;"")),"作業中","中断"))))</f>
        <v>未着手</v>
      </c>
      <c r="I77" s="23" t="str">
        <f>IF($H77="中断",MAX(0,$AI$1-MAX(L77,N77,P77,R77,T77,V77,X77,Z77,AB77,AD77,AF77,AH77)),"")</f>
        <v/>
      </c>
      <c r="J77" s="19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K77" t="str">
        <f>IF($A75="","",IF(LOOKUP(2,1/($AJ$3:$AJ77&lt;&gt;""),$AJ$3:$AJ77)="-","",LOOKUP(2,1/($AJ$3:$AJ77&lt;&gt;""),$AJ$3:$AJ77)))</f>
        <v/>
      </c>
      <c r="AL77" t="str">
        <f>$H77</f>
        <v>未着手</v>
      </c>
      <c r="AM77">
        <f>IF(ISNUMBER($D77),$D77,0)</f>
        <v>9</v>
      </c>
      <c r="AN77">
        <f>IF(ISNUMBER($E77),$E77,0)</f>
        <v>0</v>
      </c>
      <c r="AO77">
        <f>IF(ISNUMBER($F77),$F77,0)</f>
        <v>9</v>
      </c>
      <c r="AQ77">
        <f>IF(OR($AK77="",K77="",L77=""),0,COUNTIFS($AK$3:$AK$98,$AK77,K$3:K$98,"&lt;"&amp;L77,L$3:L$98,"&gt;"&amp;K77)+COUNTIFS($AK$3:$AK$98,$AK77,M$3:M$98,"&lt;"&amp;L77,N$3:N$98,"&gt;"&amp;K77)+COUNTIFS($AK$3:$AK$98,$AK77,O$3:O$98,"&lt;"&amp;L77,P$3:P$98,"&gt;"&amp;K77)+COUNTIFS($AK$3:$AK$98,$AK77,Q$3:Q$98,"&lt;"&amp;L77,R$3:R$98,"&gt;"&amp;K77)+COUNTIFS($AK$3:$AK$98,$AK77,S$3:S$98,"&lt;"&amp;L77,T$3:T$98,"&gt;"&amp;K77)+COUNTIFS($AK$3:$AK$98,$AK77,U$3:U$98,"&lt;"&amp;L77,V$3:V$98,"&gt;"&amp;K77)+COUNTIFS($AK$3:$AK$98,$AK77,W$3:W$98,"&lt;"&amp;L77,X$3:X$98,"&gt;"&amp;K77)+COUNTIFS($AK$3:$AK$98,$AK77,Y$3:Y$98,"&lt;"&amp;L77,Z$3:Z$98,"&gt;"&amp;K77)+COUNTIFS($AK$3:$AK$98,$AK77,AA$3:AA$98,"&lt;"&amp;L77,AB$3:AB$98,"&gt;"&amp;K77)+COUNTIFS($AK$3:$AK$98,$AK77,AC$3:AC$98,"&lt;"&amp;L77,AD$3:AD$98,"&gt;"&amp;K77)+COUNTIFS($AK$3:$AK$98,$AK77,AE$3:AE$98,"&lt;"&amp;L77,AF$3:AF$98,"&gt;"&amp;K77)+COUNTIFS($AK$3:$AK$98,$AK77,AG$3:AG$98,"&lt;"&amp;L77,AH$3:AH$98,"&gt;"&amp;K77)-(K77&lt;L77))</f>
        <v>0</v>
      </c>
      <c r="AR77">
        <f>AQ77</f>
        <v>0</v>
      </c>
      <c r="AS77">
        <f>IF(OR($AK77="",M77="",N77=""),0,COUNTIFS($AK$3:$AK$98,$AK77,K$3:K$98,"&lt;"&amp;N77,L$3:L$98,"&gt;"&amp;M77)+COUNTIFS($AK$3:$AK$98,$AK77,M$3:M$98,"&lt;"&amp;N77,N$3:N$98,"&gt;"&amp;M77)+COUNTIFS($AK$3:$AK$98,$AK77,O$3:O$98,"&lt;"&amp;N77,P$3:P$98,"&gt;"&amp;M77)+COUNTIFS($AK$3:$AK$98,$AK77,Q$3:Q$98,"&lt;"&amp;N77,R$3:R$98,"&gt;"&amp;M77)+COUNTIFS($AK$3:$AK$98,$AK77,S$3:S$98,"&lt;"&amp;N77,T$3:T$98,"&gt;"&amp;M77)+COUNTIFS($AK$3:$AK$98,$AK77,U$3:U$98,"&lt;"&amp;N77,V$3:V$98,"&gt;"&amp;M77)+COUNTIFS($AK$3:$AK$98,$AK77,W$3:W$98,"&lt;"&amp;N77,X$3:X$98,"&gt;"&amp;M77)+COUNTIFS($AK$3:$AK$98,$AK77,Y$3:Y$98,"&lt;"&amp;N77,Z$3:Z$98,"&gt;"&amp;M77)+COUNTIFS($AK$3:$AK$98,$AK77,AA$3:AA$98,"&lt;"&amp;N77,AB$3:AB$98,"&gt;"&amp;M77)+COUNTIFS($AK$3:$AK$98,$AK77,AC$3:AC$98,"&lt;"&amp;N77,AD$3:AD$98,"&gt;"&amp;M77)+COUNTIFS($AK$3:$AK$98,$AK77,AE$3:AE$98,"&lt;"&amp;N77,AF$3:AF$98,"&gt;"&amp;M77)+COUNTIFS($AK$3:$AK$98,$AK77,AG$3:AG$98,"&lt;"&amp;N77,AH$3:AH$98,"&gt;"&amp;M77)-(M77&lt;N77))</f>
        <v>0</v>
      </c>
      <c r="AT77">
        <f>AS77</f>
        <v>0</v>
      </c>
      <c r="AU77">
        <f>IF(OR($AK77="",O77="",P77=""),0,COUNTIFS($AK$3:$AK$98,$AK77,K$3:K$98,"&lt;"&amp;P77,L$3:L$98,"&gt;"&amp;O77)+COUNTIFS($AK$3:$AK$98,$AK77,M$3:M$98,"&lt;"&amp;P77,N$3:N$98,"&gt;"&amp;O77)+COUNTIFS($AK$3:$AK$98,$AK77,O$3:O$98,"&lt;"&amp;P77,P$3:P$98,"&gt;"&amp;O77)+COUNTIFS($AK$3:$AK$98,$AK77,Q$3:Q$98,"&lt;"&amp;P77,R$3:R$98,"&gt;"&amp;O77)+COUNTIFS($AK$3:$AK$98,$AK77,S$3:S$98,"&lt;"&amp;P77,T$3:T$98,"&gt;"&amp;O77)+COUNTIFS($AK$3:$AK$98,$AK77,U$3:U$98,"&lt;"&amp;P77,V$3:V$98,"&gt;"&amp;O77)+COUNTIFS($AK$3:$AK$98,$AK77,W$3:W$98,"&lt;"&amp;P77,X$3:X$98,"&gt;"&amp;O77)+COUNTIFS($AK$3:$AK$98,$AK77,Y$3:Y$98,"&lt;"&amp;P77,Z$3:Z$98,"&gt;"&amp;O77)+COUNTIFS($AK$3:$AK$98,$AK77,AA$3:AA$98,"&lt;"&amp;P77,AB$3:AB$98,"&gt;"&amp;O77)+COUNTIFS($AK$3:$AK$98,$AK77,AC$3:AC$98,"&lt;"&amp;P77,AD$3:AD$98,"&gt;"&amp;O77)+COUNTIFS($AK$3:$AK$98,$AK77,AE$3:AE$98,"&lt;"&amp;P77,AF$3:AF$98,"&gt;"&amp;O77)+COUNTIFS($AK$3:$AK$98,$AK77,AG$3:AG$98,"&lt;"&amp;P77,AH$3:AH$98,"&gt;"&amp;O77)-(O77&lt;P77))</f>
        <v>0</v>
      </c>
      <c r="AV77">
        <f>AU77</f>
        <v>0</v>
      </c>
      <c r="AW77">
        <f>IF(OR($AK77="",Q77="",R77=""),0,COUNTIFS($AK$3:$AK$98,$AK77,K$3:K$98,"&lt;"&amp;R77,L$3:L$98,"&gt;"&amp;Q77)+COUNTIFS($AK$3:$AK$98,$AK77,M$3:M$98,"&lt;"&amp;R77,N$3:N$98,"&gt;"&amp;Q77)+COUNTIFS($AK$3:$AK$98,$AK77,O$3:O$98,"&lt;"&amp;R77,P$3:P$98,"&gt;"&amp;Q77)+COUNTIFS($AK$3:$AK$98,$AK77,Q$3:Q$98,"&lt;"&amp;R77,R$3:R$98,"&gt;"&amp;Q77)+COUNTIFS($AK$3:$AK$98,$AK77,S$3:S$98,"&lt;"&amp;R77,T$3:T$98,"&gt;"&amp;Q77)+COUNTIFS($AK$3:$AK$98,$AK77,U$3:U$98,"&lt;"&amp;R77,V$3:V$98,"&gt;"&amp;Q77)+COUNTIFS($AK$3:$AK$98,$AK77,W$3:W$98,"&lt;"&amp;R77,X$3:X$98,"&gt;"&amp;Q77)+COUNTIFS($AK$3:$AK$98,$AK77,Y$3:Y$98,"&lt;"&amp;R77,Z$3:Z$98,"&gt;"&amp;Q77)+COUNTIFS($AK$3:$AK$98,$AK77,AA$3:AA$98,"&lt;"&amp;R77,AB$3:AB$98,"&gt;"&amp;Q77)+COUNTIFS($AK$3:$AK$98,$AK77,AC$3:AC$98,"&lt;"&amp;R77,AD$3:AD$98,"&gt;"&amp;Q77)+COUNTIFS($AK$3:$AK$98,$AK77,AE$3:AE$98,"&lt;"&amp;R77,AF$3:AF$98,"&gt;"&amp;Q77)+COUNTIFS($AK$3:$AK$98,$AK77,AG$3:AG$98,"&lt;"&amp;R77,AH$3:AH$98,"&gt;"&amp;Q77)-(Q77&lt;R77))</f>
        <v>0</v>
      </c>
      <c r="AX77">
        <f>AW77</f>
        <v>0</v>
      </c>
      <c r="AY77">
        <f>IF(OR($AK77="",S77="",T77=""),0,COUNTIFS($AK$3:$AK$98,$AK77,K$3:K$98,"&lt;"&amp;T77,L$3:L$98,"&gt;"&amp;S77)+COUNTIFS($AK$3:$AK$98,$AK77,M$3:M$98,"&lt;"&amp;T77,N$3:N$98,"&gt;"&amp;S77)+COUNTIFS($AK$3:$AK$98,$AK77,O$3:O$98,"&lt;"&amp;T77,P$3:P$98,"&gt;"&amp;S77)+COUNTIFS($AK$3:$AK$98,$AK77,Q$3:Q$98,"&lt;"&amp;T77,R$3:R$98,"&gt;"&amp;S77)+COUNTIFS($AK$3:$AK$98,$AK77,S$3:S$98,"&lt;"&amp;T77,T$3:T$98,"&gt;"&amp;S77)+COUNTIFS($AK$3:$AK$98,$AK77,U$3:U$98,"&lt;"&amp;T77,V$3:V$98,"&gt;"&amp;S77)+COUNTIFS($AK$3:$AK$98,$AK77,W$3:W$98,"&lt;"&amp;T77,X$3:X$98,"&gt;"&amp;S77)+COUNTIFS($AK$3:$AK$98,$AK77,Y$3:Y$98,"&lt;"&amp;T77,Z$3:Z$98,"&gt;"&amp;S77)+COUNTIFS($AK$3:$AK$98,$AK77,AA$3:AA$98,"&lt;"&amp;T77,AB$3:AB$98,"&gt;"&amp;S77)+COUNTIFS($AK$3:$AK$98,$AK77,AC$3:AC$98,"&lt;"&amp;T77,AD$3:AD$98,"&gt;"&amp;S77)+COUNTIFS($AK$3:$AK$98,$AK77,AE$3:AE$98,"&lt;"&amp;T77,AF$3:AF$98,"&gt;"&amp;S77)+COUNTIFS($AK$3:$AK$98,$AK77,AG$3:AG$98,"&lt;"&amp;T77,AH$3:AH$98,"&gt;"&amp;S77)-(S77&lt;T77))</f>
        <v>0</v>
      </c>
      <c r="AZ77">
        <f>AY77</f>
        <v>0</v>
      </c>
      <c r="BA77">
        <f>IF(OR($AK77="",U77="",V77=""),0,COUNTIFS($AK$3:$AK$98,$AK77,K$3:K$98,"&lt;"&amp;V77,L$3:L$98,"&gt;"&amp;U77)+COUNTIFS($AK$3:$AK$98,$AK77,M$3:M$98,"&lt;"&amp;V77,N$3:N$98,"&gt;"&amp;U77)+COUNTIFS($AK$3:$AK$98,$AK77,O$3:O$98,"&lt;"&amp;V77,P$3:P$98,"&gt;"&amp;U77)+COUNTIFS($AK$3:$AK$98,$AK77,Q$3:Q$98,"&lt;"&amp;V77,R$3:R$98,"&gt;"&amp;U77)+COUNTIFS($AK$3:$AK$98,$AK77,S$3:S$98,"&lt;"&amp;V77,T$3:T$98,"&gt;"&amp;U77)+COUNTIFS($AK$3:$AK$98,$AK77,U$3:U$98,"&lt;"&amp;V77,V$3:V$98,"&gt;"&amp;U77)+COUNTIFS($AK$3:$AK$98,$AK77,W$3:W$98,"&lt;"&amp;V77,X$3:X$98,"&gt;"&amp;U77)+COUNTIFS($AK$3:$AK$98,$AK77,Y$3:Y$98,"&lt;"&amp;V77,Z$3:Z$98,"&gt;"&amp;U77)+COUNTIFS($AK$3:$AK$98,$AK77,AA$3:AA$98,"&lt;"&amp;V77,AB$3:AB$98,"&gt;"&amp;U77)+COUNTIFS($AK$3:$AK$98,$AK77,AC$3:AC$98,"&lt;"&amp;V77,AD$3:AD$98,"&gt;"&amp;U77)+COUNTIFS($AK$3:$AK$98,$AK77,AE$3:AE$98,"&lt;"&amp;V77,AF$3:AF$98,"&gt;"&amp;U77)+COUNTIFS($AK$3:$AK$98,$AK77,AG$3:AG$98,"&lt;"&amp;V77,AH$3:AH$98,"&gt;"&amp;U77)-(U77&lt;V77))</f>
        <v>0</v>
      </c>
      <c r="BB77">
        <f>BA77</f>
        <v>0</v>
      </c>
      <c r="BC77">
        <f>IF(OR($AK77="",W77="",X77=""),0,COUNTIFS($AK$3:$AK$98,$AK77,K$3:K$98,"&lt;"&amp;X77,L$3:L$98,"&gt;"&amp;W77)+COUNTIFS($AK$3:$AK$98,$AK77,M$3:M$98,"&lt;"&amp;X77,N$3:N$98,"&gt;"&amp;W77)+COUNTIFS($AK$3:$AK$98,$AK77,O$3:O$98,"&lt;"&amp;X77,P$3:P$98,"&gt;"&amp;W77)+COUNTIFS($AK$3:$AK$98,$AK77,Q$3:Q$98,"&lt;"&amp;X77,R$3:R$98,"&gt;"&amp;W77)+COUNTIFS($AK$3:$AK$98,$AK77,S$3:S$98,"&lt;"&amp;X77,T$3:T$98,"&gt;"&amp;W77)+COUNTIFS($AK$3:$AK$98,$AK77,U$3:U$98,"&lt;"&amp;X77,V$3:V$98,"&gt;"&amp;W77)+COUNTIFS($AK$3:$AK$98,$AK77,W$3:W$98,"&lt;"&amp;X77,X$3:X$98,"&gt;"&amp;W77)+COUNTIFS($AK$3:$AK$98,$AK77,Y$3:Y$98,"&lt;"&amp;X77,Z$3:Z$98,"&gt;"&amp;W77)+COUNTIFS($AK$3:$AK$98,$AK77,AA$3:AA$98,"&lt;"&amp;X77,AB$3:AB$98,"&gt;"&amp;W77)+COUNTIFS($AK$3:$AK$98,$AK77,AC$3:AC$98,"&lt;"&amp;X77,AD$3:AD$98,"&gt;"&amp;W77)+COUNTIFS($AK$3:$AK$98,$AK77,AE$3:AE$98,"&lt;"&amp;X77,AF$3:AF$98,"&gt;"&amp;W77)+COUNTIFS($AK$3:$AK$98,$AK77,AG$3:AG$98,"&lt;"&amp;X77,AH$3:AH$98,"&gt;"&amp;W77)-(W77&lt;X77))</f>
        <v>0</v>
      </c>
      <c r="BD77">
        <f>BC77</f>
        <v>0</v>
      </c>
      <c r="BE77">
        <f>IF(OR($AK77="",Y77="",Z77=""),0,COUNTIFS($AK$3:$AK$98,$AK77,K$3:K$98,"&lt;"&amp;Z77,L$3:L$98,"&gt;"&amp;Y77)+COUNTIFS($AK$3:$AK$98,$AK77,M$3:M$98,"&lt;"&amp;Z77,N$3:N$98,"&gt;"&amp;Y77)+COUNTIFS($AK$3:$AK$98,$AK77,O$3:O$98,"&lt;"&amp;Z77,P$3:P$98,"&gt;"&amp;Y77)+COUNTIFS($AK$3:$AK$98,$AK77,Q$3:Q$98,"&lt;"&amp;Z77,R$3:R$98,"&gt;"&amp;Y77)+COUNTIFS($AK$3:$AK$98,$AK77,S$3:S$98,"&lt;"&amp;Z77,T$3:T$98,"&gt;"&amp;Y77)+COUNTIFS($AK$3:$AK$98,$AK77,U$3:U$98,"&lt;"&amp;Z77,V$3:V$98,"&gt;"&amp;Y77)+COUNTIFS($AK$3:$AK$98,$AK77,W$3:W$98,"&lt;"&amp;Z77,X$3:X$98,"&gt;"&amp;Y77)+COUNTIFS($AK$3:$AK$98,$AK77,Y$3:Y$98,"&lt;"&amp;Z77,Z$3:Z$98,"&gt;"&amp;Y77)+COUNTIFS($AK$3:$AK$98,$AK77,AA$3:AA$98,"&lt;"&amp;Z77,AB$3:AB$98,"&gt;"&amp;Y77)+COUNTIFS($AK$3:$AK$98,$AK77,AC$3:AC$98,"&lt;"&amp;Z77,AD$3:AD$98,"&gt;"&amp;Y77)+COUNTIFS($AK$3:$AK$98,$AK77,AE$3:AE$98,"&lt;"&amp;Z77,AF$3:AF$98,"&gt;"&amp;Y77)+COUNTIFS($AK$3:$AK$98,$AK77,AG$3:AG$98,"&lt;"&amp;Z77,AH$3:AH$98,"&gt;"&amp;Y77)-(Y77&lt;Z77))</f>
        <v>0</v>
      </c>
      <c r="BF77">
        <f>BE77</f>
        <v>0</v>
      </c>
      <c r="BG77">
        <f>IF(OR($AK77="",AA77="",AB77=""),0,COUNTIFS($AK$3:$AK$98,$AK77,K$3:K$98,"&lt;"&amp;AB77,L$3:L$98,"&gt;"&amp;AA77)+COUNTIFS($AK$3:$AK$98,$AK77,M$3:M$98,"&lt;"&amp;AB77,N$3:N$98,"&gt;"&amp;AA77)+COUNTIFS($AK$3:$AK$98,$AK77,O$3:O$98,"&lt;"&amp;AB77,P$3:P$98,"&gt;"&amp;AA77)+COUNTIFS($AK$3:$AK$98,$AK77,Q$3:Q$98,"&lt;"&amp;AB77,R$3:R$98,"&gt;"&amp;AA77)+COUNTIFS($AK$3:$AK$98,$AK77,S$3:S$98,"&lt;"&amp;AB77,T$3:T$98,"&gt;"&amp;AA77)+COUNTIFS($AK$3:$AK$98,$AK77,U$3:U$98,"&lt;"&amp;AB77,V$3:V$98,"&gt;"&amp;AA77)+COUNTIFS($AK$3:$AK$98,$AK77,W$3:W$98,"&lt;"&amp;AB77,X$3:X$98,"&gt;"&amp;AA77)+COUNTIFS($AK$3:$AK$98,$AK77,Y$3:Y$98,"&lt;"&amp;AB77,Z$3:Z$98,"&gt;"&amp;AA77)+COUNTIFS($AK$3:$AK$98,$AK77,AA$3:AA$98,"&lt;"&amp;AB77,AB$3:AB$98,"&gt;"&amp;AA77)+COUNTIFS($AK$3:$AK$98,$AK77,AC$3:AC$98,"&lt;"&amp;AB77,AD$3:AD$98,"&gt;"&amp;AA77)+COUNTIFS($AK$3:$AK$98,$AK77,AE$3:AE$98,"&lt;"&amp;AB77,AF$3:AF$98,"&gt;"&amp;AA77)+COUNTIFS($AK$3:$AK$98,$AK77,AG$3:AG$98,"&lt;"&amp;AB77,AH$3:AH$98,"&gt;"&amp;AA77)-(AA77&lt;AB77))</f>
        <v>0</v>
      </c>
      <c r="BH77">
        <f>BG77</f>
        <v>0</v>
      </c>
      <c r="BI77">
        <f>IF(OR($AK77="",AC77="",AD77=""),0,COUNTIFS($AK$3:$AK$98,$AK77,K$3:K$98,"&lt;"&amp;AD77,L$3:L$98,"&gt;"&amp;AC77)+COUNTIFS($AK$3:$AK$98,$AK77,M$3:M$98,"&lt;"&amp;AD77,N$3:N$98,"&gt;"&amp;AC77)+COUNTIFS($AK$3:$AK$98,$AK77,O$3:O$98,"&lt;"&amp;AD77,P$3:P$98,"&gt;"&amp;AC77)+COUNTIFS($AK$3:$AK$98,$AK77,Q$3:Q$98,"&lt;"&amp;AD77,R$3:R$98,"&gt;"&amp;AC77)+COUNTIFS($AK$3:$AK$98,$AK77,S$3:S$98,"&lt;"&amp;AD77,T$3:T$98,"&gt;"&amp;AC77)+COUNTIFS($AK$3:$AK$98,$AK77,U$3:U$98,"&lt;"&amp;AD77,V$3:V$98,"&gt;"&amp;AC77)+COUNTIFS($AK$3:$AK$98,$AK77,W$3:W$98,"&lt;"&amp;AD77,X$3:X$98,"&gt;"&amp;AC77)+COUNTIFS($AK$3:$AK$98,$AK77,Y$3:Y$98,"&lt;"&amp;AD77,Z$3:Z$98,"&gt;"&amp;AC77)+COUNTIFS($AK$3:$AK$98,$AK77,AA$3:AA$98,"&lt;"&amp;AD77,AB$3:AB$98,"&gt;"&amp;AC77)+COUNTIFS($AK$3:$AK$98,$AK77,AC$3:AC$98,"&lt;"&amp;AD77,AD$3:AD$98,"&gt;"&amp;AC77)+COUNTIFS($AK$3:$AK$98,$AK77,AE$3:AE$98,"&lt;"&amp;AD77,AF$3:AF$98,"&gt;"&amp;AC77)+COUNTIFS($AK$3:$AK$98,$AK77,AG$3:AG$98,"&lt;"&amp;AD77,AH$3:AH$98,"&gt;"&amp;AC77)-(AC77&lt;AD77))</f>
        <v>0</v>
      </c>
      <c r="BJ77">
        <f>BI77</f>
        <v>0</v>
      </c>
      <c r="BK77">
        <f>IF(OR($AK77="",AE77="",AF77=""),0,COUNTIFS($AK$3:$AK$98,$AK77,K$3:K$98,"&lt;"&amp;AF77,L$3:L$98,"&gt;"&amp;AE77)+COUNTIFS($AK$3:$AK$98,$AK77,M$3:M$98,"&lt;"&amp;AF77,N$3:N$98,"&gt;"&amp;AE77)+COUNTIFS($AK$3:$AK$98,$AK77,O$3:O$98,"&lt;"&amp;AF77,P$3:P$98,"&gt;"&amp;AE77)+COUNTIFS($AK$3:$AK$98,$AK77,Q$3:Q$98,"&lt;"&amp;AF77,R$3:R$98,"&gt;"&amp;AE77)+COUNTIFS($AK$3:$AK$98,$AK77,S$3:S$98,"&lt;"&amp;AF77,T$3:T$98,"&gt;"&amp;AE77)+COUNTIFS($AK$3:$AK$98,$AK77,U$3:U$98,"&lt;"&amp;AF77,V$3:V$98,"&gt;"&amp;AE77)+COUNTIFS($AK$3:$AK$98,$AK77,W$3:W$98,"&lt;"&amp;AF77,X$3:X$98,"&gt;"&amp;AE77)+COUNTIFS($AK$3:$AK$98,$AK77,Y$3:Y$98,"&lt;"&amp;AF77,Z$3:Z$98,"&gt;"&amp;AE77)+COUNTIFS($AK$3:$AK$98,$AK77,AA$3:AA$98,"&lt;"&amp;AF77,AB$3:AB$98,"&gt;"&amp;AE77)+COUNTIFS($AK$3:$AK$98,$AK77,AC$3:AC$98,"&lt;"&amp;AF77,AD$3:AD$98,"&gt;"&amp;AE77)+COUNTIFS($AK$3:$AK$98,$AK77,AE$3:AE$98,"&lt;"&amp;AF77,AF$3:AF$98,"&gt;"&amp;AE77)+COUNTIFS($AK$3:$AK$98,$AK77,AG$3:AG$98,"&lt;"&amp;AF77,AH$3:AH$98,"&gt;"&amp;AE77)-(AE77&lt;AF77))</f>
        <v>0</v>
      </c>
      <c r="BL77">
        <f>BK77</f>
        <v>0</v>
      </c>
      <c r="BM77">
        <f>IF(OR($AK77="",AG77="",AH77=""),0,COUNTIFS($AK$3:$AK$98,$AK77,K$3:K$98,"&lt;"&amp;AH77,L$3:L$98,"&gt;"&amp;AG77)+COUNTIFS($AK$3:$AK$98,$AK77,M$3:M$98,"&lt;"&amp;AH77,N$3:N$98,"&gt;"&amp;AG77)+COUNTIFS($AK$3:$AK$98,$AK77,O$3:O$98,"&lt;"&amp;AH77,P$3:P$98,"&gt;"&amp;AG77)+COUNTIFS($AK$3:$AK$98,$AK77,Q$3:Q$98,"&lt;"&amp;AH77,R$3:R$98,"&gt;"&amp;AG77)+COUNTIFS($AK$3:$AK$98,$AK77,S$3:S$98,"&lt;"&amp;AH77,T$3:T$98,"&gt;"&amp;AG77)+COUNTIFS($AK$3:$AK$98,$AK77,U$3:U$98,"&lt;"&amp;AH77,V$3:V$98,"&gt;"&amp;AG77)+COUNTIFS($AK$3:$AK$98,$AK77,W$3:W$98,"&lt;"&amp;AH77,X$3:X$98,"&gt;"&amp;AG77)+COUNTIFS($AK$3:$AK$98,$AK77,Y$3:Y$98,"&lt;"&amp;AH77,Z$3:Z$98,"&gt;"&amp;AG77)+COUNTIFS($AK$3:$AK$98,$AK77,AA$3:AA$98,"&lt;"&amp;AH77,AB$3:AB$98,"&gt;"&amp;AG77)+COUNTIFS($AK$3:$AK$98,$AK77,AC$3:AC$98,"&lt;"&amp;AH77,AD$3:AD$98,"&gt;"&amp;AG77)+COUNTIFS($AK$3:$AK$98,$AK77,AE$3:AE$98,"&lt;"&amp;AH77,AF$3:AF$98,"&gt;"&amp;AG77)+COUNTIFS($AK$3:$AK$98,$AK77,AG$3:AG$98,"&lt;"&amp;AH77,AH$3:AH$98,"&gt;"&amp;AG77)-(AG77&lt;AH77))</f>
        <v>0</v>
      </c>
      <c r="BN77">
        <f>BM77</f>
        <v>0</v>
      </c>
      <c r="BO77">
        <f>IF(ISNUMBER($G77),$G77,"")</f>
        <v>0</v>
      </c>
      <c r="BP77" t="str">
        <f>IF(AND($A77&lt;&gt;"",COUNT($K77:$AH77)&gt;0),ROW(),"")</f>
        <v/>
      </c>
    </row>
    <row r="78" spans="1:68" x14ac:dyDescent="0.15">
      <c r="A78" s="25" t="str">
        <f>IF($A75="","",$A75)</f>
        <v>chAosaA</v>
      </c>
      <c r="B78" s="26" t="str">
        <f>IF($A75="","","fac")</f>
        <v>fac</v>
      </c>
      <c r="C78" s="26"/>
      <c r="D78" s="27">
        <v>9</v>
      </c>
      <c r="E78" s="28">
        <f>IF(AND($D78="",COUNT($K78:$AH78)=0),"",IF(K78="",0,MAX(0,NETWORKDAYS(K78,IF(L78&lt;&gt;"",L78,IF($J78&lt;&gt;"",K78,$AI$1)),祝日!$A$2:$A$200)))+IF(M78="",0,MAX(0,NETWORKDAYS(M78,IF(N78&lt;&gt;"",N78,IF($J78&lt;&gt;"",M78,$AI$1)),祝日!$A$2:$A$200)))+IF(O78="",0,MAX(0,NETWORKDAYS(O78,IF(P78&lt;&gt;"",P78,IF($J78&lt;&gt;"",O78,$AI$1)),祝日!$A$2:$A$200)))+IF(Q78="",0,MAX(0,NETWORKDAYS(Q78,IF(R78&lt;&gt;"",R78,IF($J78&lt;&gt;"",Q78,$AI$1)),祝日!$A$2:$A$200)))+IF(S78="",0,MAX(0,NETWORKDAYS(S78,IF(T78&lt;&gt;"",T78,IF($J78&lt;&gt;"",S78,$AI$1)),祝日!$A$2:$A$200)))+IF(U78="",0,MAX(0,NETWORKDAYS(U78,IF(V78&lt;&gt;"",V78,IF($J78&lt;&gt;"",U78,$AI$1)),祝日!$A$2:$A$200)))+IF(W78="",0,MAX(0,NETWORKDAYS(W78,IF(X78&lt;&gt;"",X78,IF($J78&lt;&gt;"",W78,$AI$1)),祝日!$A$2:$A$200)))+IF(Y78="",0,MAX(0,NETWORKDAYS(Y78,IF(Z78&lt;&gt;"",Z78,IF($J78&lt;&gt;"",Y78,$AI$1)),祝日!$A$2:$A$200)))+IF(AA78="",0,MAX(0,NETWORKDAYS(AA78,IF(AB78&lt;&gt;"",AB78,IF($J78&lt;&gt;"",AA78,$AI$1)),祝日!$A$2:$A$200)))+IF(AC78="",0,MAX(0,NETWORKDAYS(AC78,IF(AD78&lt;&gt;"",AD78,IF($J78&lt;&gt;"",AC78,$AI$1)),祝日!$A$2:$A$200)))+IF(AE78="",0,MAX(0,NETWORKDAYS(AE78,IF(AF78&lt;&gt;"",AF78,IF($J78&lt;&gt;"",AE78,$AI$1)),祝日!$A$2:$A$200)))+IF(AG78="",0,MAX(0,NETWORKDAYS(AG78,IF(AH78&lt;&gt;"",AH78,IF($J78&lt;&gt;"",AG78,$AI$1)),祝日!$A$2:$A$200))))</f>
        <v>0</v>
      </c>
      <c r="F78" s="28">
        <f>IF($D78="","",$D78-$E78)</f>
        <v>9</v>
      </c>
      <c r="G78" s="29">
        <f>IF(OR($D78="",$D78=0),"",$E78/$D78)</f>
        <v>0</v>
      </c>
      <c r="H78" s="30" t="str">
        <f>IF($D78="","",IF($J78&lt;&gt;"","FIX",IF(AND(SUMPRODUCT((MOD(COLUMN($K78:$AH78)-COLUMN($K78),2)=0)*($K78:$AH78&lt;&gt;""))=0,SUMPRODUCT((MOD(COLUMN($K78:$AH78)-COLUMN($K78),2)=1)*($K78:$AH78&lt;&gt;""))=0),"未着手",IF(SUMPRODUCT((MOD(COLUMN($K78:$AH78)-COLUMN($K78),2)=0)*($K78:$AH78&lt;&gt;""))&gt;SUMPRODUCT((MOD(COLUMN($K78:$AH78)-COLUMN($K78),2)=1)*($K78:$AH78&lt;&gt;"")),"作業中","中断"))))</f>
        <v>未着手</v>
      </c>
      <c r="I78" s="30" t="str">
        <f>IF($H78="中断",MAX(0,$AI$1-MAX(L78,N78,P78,R78,T78,V78,X78,Z78,AB78,AD78,AF78,AH78)),"")</f>
        <v/>
      </c>
      <c r="J78" s="26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K78" t="str">
        <f>IF($A75="","",IF(LOOKUP(2,1/($AJ$3:$AJ78&lt;&gt;""),$AJ$3:$AJ78)="-","",LOOKUP(2,1/($AJ$3:$AJ78&lt;&gt;""),$AJ$3:$AJ78)))</f>
        <v/>
      </c>
      <c r="AL78" t="str">
        <f>$H78</f>
        <v>未着手</v>
      </c>
      <c r="AM78">
        <f>IF(ISNUMBER($D78),$D78,0)</f>
        <v>9</v>
      </c>
      <c r="AN78">
        <f>IF(ISNUMBER($E78),$E78,0)</f>
        <v>0</v>
      </c>
      <c r="AO78">
        <f>IF(ISNUMBER($F78),$F78,0)</f>
        <v>9</v>
      </c>
      <c r="AQ78">
        <f>IF(OR($AK78="",K78="",L78=""),0,COUNTIFS($AK$3:$AK$98,$AK78,K$3:K$98,"&lt;"&amp;L78,L$3:L$98,"&gt;"&amp;K78)+COUNTIFS($AK$3:$AK$98,$AK78,M$3:M$98,"&lt;"&amp;L78,N$3:N$98,"&gt;"&amp;K78)+COUNTIFS($AK$3:$AK$98,$AK78,O$3:O$98,"&lt;"&amp;L78,P$3:P$98,"&gt;"&amp;K78)+COUNTIFS($AK$3:$AK$98,$AK78,Q$3:Q$98,"&lt;"&amp;L78,R$3:R$98,"&gt;"&amp;K78)+COUNTIFS($AK$3:$AK$98,$AK78,S$3:S$98,"&lt;"&amp;L78,T$3:T$98,"&gt;"&amp;K78)+COUNTIFS($AK$3:$AK$98,$AK78,U$3:U$98,"&lt;"&amp;L78,V$3:V$98,"&gt;"&amp;K78)+COUNTIFS($AK$3:$AK$98,$AK78,W$3:W$98,"&lt;"&amp;L78,X$3:X$98,"&gt;"&amp;K78)+COUNTIFS($AK$3:$AK$98,$AK78,Y$3:Y$98,"&lt;"&amp;L78,Z$3:Z$98,"&gt;"&amp;K78)+COUNTIFS($AK$3:$AK$98,$AK78,AA$3:AA$98,"&lt;"&amp;L78,AB$3:AB$98,"&gt;"&amp;K78)+COUNTIFS($AK$3:$AK$98,$AK78,AC$3:AC$98,"&lt;"&amp;L78,AD$3:AD$98,"&gt;"&amp;K78)+COUNTIFS($AK$3:$AK$98,$AK78,AE$3:AE$98,"&lt;"&amp;L78,AF$3:AF$98,"&gt;"&amp;K78)+COUNTIFS($AK$3:$AK$98,$AK78,AG$3:AG$98,"&lt;"&amp;L78,AH$3:AH$98,"&gt;"&amp;K78)-(K78&lt;L78))</f>
        <v>0</v>
      </c>
      <c r="AR78">
        <f>AQ78</f>
        <v>0</v>
      </c>
      <c r="AS78">
        <f>IF(OR($AK78="",M78="",N78=""),0,COUNTIFS($AK$3:$AK$98,$AK78,K$3:K$98,"&lt;"&amp;N78,L$3:L$98,"&gt;"&amp;M78)+COUNTIFS($AK$3:$AK$98,$AK78,M$3:M$98,"&lt;"&amp;N78,N$3:N$98,"&gt;"&amp;M78)+COUNTIFS($AK$3:$AK$98,$AK78,O$3:O$98,"&lt;"&amp;N78,P$3:P$98,"&gt;"&amp;M78)+COUNTIFS($AK$3:$AK$98,$AK78,Q$3:Q$98,"&lt;"&amp;N78,R$3:R$98,"&gt;"&amp;M78)+COUNTIFS($AK$3:$AK$98,$AK78,S$3:S$98,"&lt;"&amp;N78,T$3:T$98,"&gt;"&amp;M78)+COUNTIFS($AK$3:$AK$98,$AK78,U$3:U$98,"&lt;"&amp;N78,V$3:V$98,"&gt;"&amp;M78)+COUNTIFS($AK$3:$AK$98,$AK78,W$3:W$98,"&lt;"&amp;N78,X$3:X$98,"&gt;"&amp;M78)+COUNTIFS($AK$3:$AK$98,$AK78,Y$3:Y$98,"&lt;"&amp;N78,Z$3:Z$98,"&gt;"&amp;M78)+COUNTIFS($AK$3:$AK$98,$AK78,AA$3:AA$98,"&lt;"&amp;N78,AB$3:AB$98,"&gt;"&amp;M78)+COUNTIFS($AK$3:$AK$98,$AK78,AC$3:AC$98,"&lt;"&amp;N78,AD$3:AD$98,"&gt;"&amp;M78)+COUNTIFS($AK$3:$AK$98,$AK78,AE$3:AE$98,"&lt;"&amp;N78,AF$3:AF$98,"&gt;"&amp;M78)+COUNTIFS($AK$3:$AK$98,$AK78,AG$3:AG$98,"&lt;"&amp;N78,AH$3:AH$98,"&gt;"&amp;M78)-(M78&lt;N78))</f>
        <v>0</v>
      </c>
      <c r="AT78">
        <f>AS78</f>
        <v>0</v>
      </c>
      <c r="AU78">
        <f>IF(OR($AK78="",O78="",P78=""),0,COUNTIFS($AK$3:$AK$98,$AK78,K$3:K$98,"&lt;"&amp;P78,L$3:L$98,"&gt;"&amp;O78)+COUNTIFS($AK$3:$AK$98,$AK78,M$3:M$98,"&lt;"&amp;P78,N$3:N$98,"&gt;"&amp;O78)+COUNTIFS($AK$3:$AK$98,$AK78,O$3:O$98,"&lt;"&amp;P78,P$3:P$98,"&gt;"&amp;O78)+COUNTIFS($AK$3:$AK$98,$AK78,Q$3:Q$98,"&lt;"&amp;P78,R$3:R$98,"&gt;"&amp;O78)+COUNTIFS($AK$3:$AK$98,$AK78,S$3:S$98,"&lt;"&amp;P78,T$3:T$98,"&gt;"&amp;O78)+COUNTIFS($AK$3:$AK$98,$AK78,U$3:U$98,"&lt;"&amp;P78,V$3:V$98,"&gt;"&amp;O78)+COUNTIFS($AK$3:$AK$98,$AK78,W$3:W$98,"&lt;"&amp;P78,X$3:X$98,"&gt;"&amp;O78)+COUNTIFS($AK$3:$AK$98,$AK78,Y$3:Y$98,"&lt;"&amp;P78,Z$3:Z$98,"&gt;"&amp;O78)+COUNTIFS($AK$3:$AK$98,$AK78,AA$3:AA$98,"&lt;"&amp;P78,AB$3:AB$98,"&gt;"&amp;O78)+COUNTIFS($AK$3:$AK$98,$AK78,AC$3:AC$98,"&lt;"&amp;P78,AD$3:AD$98,"&gt;"&amp;O78)+COUNTIFS($AK$3:$AK$98,$AK78,AE$3:AE$98,"&lt;"&amp;P78,AF$3:AF$98,"&gt;"&amp;O78)+COUNTIFS($AK$3:$AK$98,$AK78,AG$3:AG$98,"&lt;"&amp;P78,AH$3:AH$98,"&gt;"&amp;O78)-(O78&lt;P78))</f>
        <v>0</v>
      </c>
      <c r="AV78">
        <f>AU78</f>
        <v>0</v>
      </c>
      <c r="AW78">
        <f>IF(OR($AK78="",Q78="",R78=""),0,COUNTIFS($AK$3:$AK$98,$AK78,K$3:K$98,"&lt;"&amp;R78,L$3:L$98,"&gt;"&amp;Q78)+COUNTIFS($AK$3:$AK$98,$AK78,M$3:M$98,"&lt;"&amp;R78,N$3:N$98,"&gt;"&amp;Q78)+COUNTIFS($AK$3:$AK$98,$AK78,O$3:O$98,"&lt;"&amp;R78,P$3:P$98,"&gt;"&amp;Q78)+COUNTIFS($AK$3:$AK$98,$AK78,Q$3:Q$98,"&lt;"&amp;R78,R$3:R$98,"&gt;"&amp;Q78)+COUNTIFS($AK$3:$AK$98,$AK78,S$3:S$98,"&lt;"&amp;R78,T$3:T$98,"&gt;"&amp;Q78)+COUNTIFS($AK$3:$AK$98,$AK78,U$3:U$98,"&lt;"&amp;R78,V$3:V$98,"&gt;"&amp;Q78)+COUNTIFS($AK$3:$AK$98,$AK78,W$3:W$98,"&lt;"&amp;R78,X$3:X$98,"&gt;"&amp;Q78)+COUNTIFS($AK$3:$AK$98,$AK78,Y$3:Y$98,"&lt;"&amp;R78,Z$3:Z$98,"&gt;"&amp;Q78)+COUNTIFS($AK$3:$AK$98,$AK78,AA$3:AA$98,"&lt;"&amp;R78,AB$3:AB$98,"&gt;"&amp;Q78)+COUNTIFS($AK$3:$AK$98,$AK78,AC$3:AC$98,"&lt;"&amp;R78,AD$3:AD$98,"&gt;"&amp;Q78)+COUNTIFS($AK$3:$AK$98,$AK78,AE$3:AE$98,"&lt;"&amp;R78,AF$3:AF$98,"&gt;"&amp;Q78)+COUNTIFS($AK$3:$AK$98,$AK78,AG$3:AG$98,"&lt;"&amp;R78,AH$3:AH$98,"&gt;"&amp;Q78)-(Q78&lt;R78))</f>
        <v>0</v>
      </c>
      <c r="AX78">
        <f>AW78</f>
        <v>0</v>
      </c>
      <c r="AY78">
        <f>IF(OR($AK78="",S78="",T78=""),0,COUNTIFS($AK$3:$AK$98,$AK78,K$3:K$98,"&lt;"&amp;T78,L$3:L$98,"&gt;"&amp;S78)+COUNTIFS($AK$3:$AK$98,$AK78,M$3:M$98,"&lt;"&amp;T78,N$3:N$98,"&gt;"&amp;S78)+COUNTIFS($AK$3:$AK$98,$AK78,O$3:O$98,"&lt;"&amp;T78,P$3:P$98,"&gt;"&amp;S78)+COUNTIFS($AK$3:$AK$98,$AK78,Q$3:Q$98,"&lt;"&amp;T78,R$3:R$98,"&gt;"&amp;S78)+COUNTIFS($AK$3:$AK$98,$AK78,S$3:S$98,"&lt;"&amp;T78,T$3:T$98,"&gt;"&amp;S78)+COUNTIFS($AK$3:$AK$98,$AK78,U$3:U$98,"&lt;"&amp;T78,V$3:V$98,"&gt;"&amp;S78)+COUNTIFS($AK$3:$AK$98,$AK78,W$3:W$98,"&lt;"&amp;T78,X$3:X$98,"&gt;"&amp;S78)+COUNTIFS($AK$3:$AK$98,$AK78,Y$3:Y$98,"&lt;"&amp;T78,Z$3:Z$98,"&gt;"&amp;S78)+COUNTIFS($AK$3:$AK$98,$AK78,AA$3:AA$98,"&lt;"&amp;T78,AB$3:AB$98,"&gt;"&amp;S78)+COUNTIFS($AK$3:$AK$98,$AK78,AC$3:AC$98,"&lt;"&amp;T78,AD$3:AD$98,"&gt;"&amp;S78)+COUNTIFS($AK$3:$AK$98,$AK78,AE$3:AE$98,"&lt;"&amp;T78,AF$3:AF$98,"&gt;"&amp;S78)+COUNTIFS($AK$3:$AK$98,$AK78,AG$3:AG$98,"&lt;"&amp;T78,AH$3:AH$98,"&gt;"&amp;S78)-(S78&lt;T78))</f>
        <v>0</v>
      </c>
      <c r="AZ78">
        <f>AY78</f>
        <v>0</v>
      </c>
      <c r="BA78">
        <f>IF(OR($AK78="",U78="",V78=""),0,COUNTIFS($AK$3:$AK$98,$AK78,K$3:K$98,"&lt;"&amp;V78,L$3:L$98,"&gt;"&amp;U78)+COUNTIFS($AK$3:$AK$98,$AK78,M$3:M$98,"&lt;"&amp;V78,N$3:N$98,"&gt;"&amp;U78)+COUNTIFS($AK$3:$AK$98,$AK78,O$3:O$98,"&lt;"&amp;V78,P$3:P$98,"&gt;"&amp;U78)+COUNTIFS($AK$3:$AK$98,$AK78,Q$3:Q$98,"&lt;"&amp;V78,R$3:R$98,"&gt;"&amp;U78)+COUNTIFS($AK$3:$AK$98,$AK78,S$3:S$98,"&lt;"&amp;V78,T$3:T$98,"&gt;"&amp;U78)+COUNTIFS($AK$3:$AK$98,$AK78,U$3:U$98,"&lt;"&amp;V78,V$3:V$98,"&gt;"&amp;U78)+COUNTIFS($AK$3:$AK$98,$AK78,W$3:W$98,"&lt;"&amp;V78,X$3:X$98,"&gt;"&amp;U78)+COUNTIFS($AK$3:$AK$98,$AK78,Y$3:Y$98,"&lt;"&amp;V78,Z$3:Z$98,"&gt;"&amp;U78)+COUNTIFS($AK$3:$AK$98,$AK78,AA$3:AA$98,"&lt;"&amp;V78,AB$3:AB$98,"&gt;"&amp;U78)+COUNTIFS($AK$3:$AK$98,$AK78,AC$3:AC$98,"&lt;"&amp;V78,AD$3:AD$98,"&gt;"&amp;U78)+COUNTIFS($AK$3:$AK$98,$AK78,AE$3:AE$98,"&lt;"&amp;V78,AF$3:AF$98,"&gt;"&amp;U78)+COUNTIFS($AK$3:$AK$98,$AK78,AG$3:AG$98,"&lt;"&amp;V78,AH$3:AH$98,"&gt;"&amp;U78)-(U78&lt;V78))</f>
        <v>0</v>
      </c>
      <c r="BB78">
        <f>BA78</f>
        <v>0</v>
      </c>
      <c r="BC78">
        <f>IF(OR($AK78="",W78="",X78=""),0,COUNTIFS($AK$3:$AK$98,$AK78,K$3:K$98,"&lt;"&amp;X78,L$3:L$98,"&gt;"&amp;W78)+COUNTIFS($AK$3:$AK$98,$AK78,M$3:M$98,"&lt;"&amp;X78,N$3:N$98,"&gt;"&amp;W78)+COUNTIFS($AK$3:$AK$98,$AK78,O$3:O$98,"&lt;"&amp;X78,P$3:P$98,"&gt;"&amp;W78)+COUNTIFS($AK$3:$AK$98,$AK78,Q$3:Q$98,"&lt;"&amp;X78,R$3:R$98,"&gt;"&amp;W78)+COUNTIFS($AK$3:$AK$98,$AK78,S$3:S$98,"&lt;"&amp;X78,T$3:T$98,"&gt;"&amp;W78)+COUNTIFS($AK$3:$AK$98,$AK78,U$3:U$98,"&lt;"&amp;X78,V$3:V$98,"&gt;"&amp;W78)+COUNTIFS($AK$3:$AK$98,$AK78,W$3:W$98,"&lt;"&amp;X78,X$3:X$98,"&gt;"&amp;W78)+COUNTIFS($AK$3:$AK$98,$AK78,Y$3:Y$98,"&lt;"&amp;X78,Z$3:Z$98,"&gt;"&amp;W78)+COUNTIFS($AK$3:$AK$98,$AK78,AA$3:AA$98,"&lt;"&amp;X78,AB$3:AB$98,"&gt;"&amp;W78)+COUNTIFS($AK$3:$AK$98,$AK78,AC$3:AC$98,"&lt;"&amp;X78,AD$3:AD$98,"&gt;"&amp;W78)+COUNTIFS($AK$3:$AK$98,$AK78,AE$3:AE$98,"&lt;"&amp;X78,AF$3:AF$98,"&gt;"&amp;W78)+COUNTIFS($AK$3:$AK$98,$AK78,AG$3:AG$98,"&lt;"&amp;X78,AH$3:AH$98,"&gt;"&amp;W78)-(W78&lt;X78))</f>
        <v>0</v>
      </c>
      <c r="BD78">
        <f>BC78</f>
        <v>0</v>
      </c>
      <c r="BE78">
        <f>IF(OR($AK78="",Y78="",Z78=""),0,COUNTIFS($AK$3:$AK$98,$AK78,K$3:K$98,"&lt;"&amp;Z78,L$3:L$98,"&gt;"&amp;Y78)+COUNTIFS($AK$3:$AK$98,$AK78,M$3:M$98,"&lt;"&amp;Z78,N$3:N$98,"&gt;"&amp;Y78)+COUNTIFS($AK$3:$AK$98,$AK78,O$3:O$98,"&lt;"&amp;Z78,P$3:P$98,"&gt;"&amp;Y78)+COUNTIFS($AK$3:$AK$98,$AK78,Q$3:Q$98,"&lt;"&amp;Z78,R$3:R$98,"&gt;"&amp;Y78)+COUNTIFS($AK$3:$AK$98,$AK78,S$3:S$98,"&lt;"&amp;Z78,T$3:T$98,"&gt;"&amp;Y78)+COUNTIFS($AK$3:$AK$98,$AK78,U$3:U$98,"&lt;"&amp;Z78,V$3:V$98,"&gt;"&amp;Y78)+COUNTIFS($AK$3:$AK$98,$AK78,W$3:W$98,"&lt;"&amp;Z78,X$3:X$98,"&gt;"&amp;Y78)+COUNTIFS($AK$3:$AK$98,$AK78,Y$3:Y$98,"&lt;"&amp;Z78,Z$3:Z$98,"&gt;"&amp;Y78)+COUNTIFS($AK$3:$AK$98,$AK78,AA$3:AA$98,"&lt;"&amp;Z78,AB$3:AB$98,"&gt;"&amp;Y78)+COUNTIFS($AK$3:$AK$98,$AK78,AC$3:AC$98,"&lt;"&amp;Z78,AD$3:AD$98,"&gt;"&amp;Y78)+COUNTIFS($AK$3:$AK$98,$AK78,AE$3:AE$98,"&lt;"&amp;Z78,AF$3:AF$98,"&gt;"&amp;Y78)+COUNTIFS($AK$3:$AK$98,$AK78,AG$3:AG$98,"&lt;"&amp;Z78,AH$3:AH$98,"&gt;"&amp;Y78)-(Y78&lt;Z78))</f>
        <v>0</v>
      </c>
      <c r="BF78">
        <f>BE78</f>
        <v>0</v>
      </c>
      <c r="BG78">
        <f>IF(OR($AK78="",AA78="",AB78=""),0,COUNTIFS($AK$3:$AK$98,$AK78,K$3:K$98,"&lt;"&amp;AB78,L$3:L$98,"&gt;"&amp;AA78)+COUNTIFS($AK$3:$AK$98,$AK78,M$3:M$98,"&lt;"&amp;AB78,N$3:N$98,"&gt;"&amp;AA78)+COUNTIFS($AK$3:$AK$98,$AK78,O$3:O$98,"&lt;"&amp;AB78,P$3:P$98,"&gt;"&amp;AA78)+COUNTIFS($AK$3:$AK$98,$AK78,Q$3:Q$98,"&lt;"&amp;AB78,R$3:R$98,"&gt;"&amp;AA78)+COUNTIFS($AK$3:$AK$98,$AK78,S$3:S$98,"&lt;"&amp;AB78,T$3:T$98,"&gt;"&amp;AA78)+COUNTIFS($AK$3:$AK$98,$AK78,U$3:U$98,"&lt;"&amp;AB78,V$3:V$98,"&gt;"&amp;AA78)+COUNTIFS($AK$3:$AK$98,$AK78,W$3:W$98,"&lt;"&amp;AB78,X$3:X$98,"&gt;"&amp;AA78)+COUNTIFS($AK$3:$AK$98,$AK78,Y$3:Y$98,"&lt;"&amp;AB78,Z$3:Z$98,"&gt;"&amp;AA78)+COUNTIFS($AK$3:$AK$98,$AK78,AA$3:AA$98,"&lt;"&amp;AB78,AB$3:AB$98,"&gt;"&amp;AA78)+COUNTIFS($AK$3:$AK$98,$AK78,AC$3:AC$98,"&lt;"&amp;AB78,AD$3:AD$98,"&gt;"&amp;AA78)+COUNTIFS($AK$3:$AK$98,$AK78,AE$3:AE$98,"&lt;"&amp;AB78,AF$3:AF$98,"&gt;"&amp;AA78)+COUNTIFS($AK$3:$AK$98,$AK78,AG$3:AG$98,"&lt;"&amp;AB78,AH$3:AH$98,"&gt;"&amp;AA78)-(AA78&lt;AB78))</f>
        <v>0</v>
      </c>
      <c r="BH78">
        <f>BG78</f>
        <v>0</v>
      </c>
      <c r="BI78">
        <f>IF(OR($AK78="",AC78="",AD78=""),0,COUNTIFS($AK$3:$AK$98,$AK78,K$3:K$98,"&lt;"&amp;AD78,L$3:L$98,"&gt;"&amp;AC78)+COUNTIFS($AK$3:$AK$98,$AK78,M$3:M$98,"&lt;"&amp;AD78,N$3:N$98,"&gt;"&amp;AC78)+COUNTIFS($AK$3:$AK$98,$AK78,O$3:O$98,"&lt;"&amp;AD78,P$3:P$98,"&gt;"&amp;AC78)+COUNTIFS($AK$3:$AK$98,$AK78,Q$3:Q$98,"&lt;"&amp;AD78,R$3:R$98,"&gt;"&amp;AC78)+COUNTIFS($AK$3:$AK$98,$AK78,S$3:S$98,"&lt;"&amp;AD78,T$3:T$98,"&gt;"&amp;AC78)+COUNTIFS($AK$3:$AK$98,$AK78,U$3:U$98,"&lt;"&amp;AD78,V$3:V$98,"&gt;"&amp;AC78)+COUNTIFS($AK$3:$AK$98,$AK78,W$3:W$98,"&lt;"&amp;AD78,X$3:X$98,"&gt;"&amp;AC78)+COUNTIFS($AK$3:$AK$98,$AK78,Y$3:Y$98,"&lt;"&amp;AD78,Z$3:Z$98,"&gt;"&amp;AC78)+COUNTIFS($AK$3:$AK$98,$AK78,AA$3:AA$98,"&lt;"&amp;AD78,AB$3:AB$98,"&gt;"&amp;AC78)+COUNTIFS($AK$3:$AK$98,$AK78,AC$3:AC$98,"&lt;"&amp;AD78,AD$3:AD$98,"&gt;"&amp;AC78)+COUNTIFS($AK$3:$AK$98,$AK78,AE$3:AE$98,"&lt;"&amp;AD78,AF$3:AF$98,"&gt;"&amp;AC78)+COUNTIFS($AK$3:$AK$98,$AK78,AG$3:AG$98,"&lt;"&amp;AD78,AH$3:AH$98,"&gt;"&amp;AC78)-(AC78&lt;AD78))</f>
        <v>0</v>
      </c>
      <c r="BJ78">
        <f>BI78</f>
        <v>0</v>
      </c>
      <c r="BK78">
        <f>IF(OR($AK78="",AE78="",AF78=""),0,COUNTIFS($AK$3:$AK$98,$AK78,K$3:K$98,"&lt;"&amp;AF78,L$3:L$98,"&gt;"&amp;AE78)+COUNTIFS($AK$3:$AK$98,$AK78,M$3:M$98,"&lt;"&amp;AF78,N$3:N$98,"&gt;"&amp;AE78)+COUNTIFS($AK$3:$AK$98,$AK78,O$3:O$98,"&lt;"&amp;AF78,P$3:P$98,"&gt;"&amp;AE78)+COUNTIFS($AK$3:$AK$98,$AK78,Q$3:Q$98,"&lt;"&amp;AF78,R$3:R$98,"&gt;"&amp;AE78)+COUNTIFS($AK$3:$AK$98,$AK78,S$3:S$98,"&lt;"&amp;AF78,T$3:T$98,"&gt;"&amp;AE78)+COUNTIFS($AK$3:$AK$98,$AK78,U$3:U$98,"&lt;"&amp;AF78,V$3:V$98,"&gt;"&amp;AE78)+COUNTIFS($AK$3:$AK$98,$AK78,W$3:W$98,"&lt;"&amp;AF78,X$3:X$98,"&gt;"&amp;AE78)+COUNTIFS($AK$3:$AK$98,$AK78,Y$3:Y$98,"&lt;"&amp;AF78,Z$3:Z$98,"&gt;"&amp;AE78)+COUNTIFS($AK$3:$AK$98,$AK78,AA$3:AA$98,"&lt;"&amp;AF78,AB$3:AB$98,"&gt;"&amp;AE78)+COUNTIFS($AK$3:$AK$98,$AK78,AC$3:AC$98,"&lt;"&amp;AF78,AD$3:AD$98,"&gt;"&amp;AE78)+COUNTIFS($AK$3:$AK$98,$AK78,AE$3:AE$98,"&lt;"&amp;AF78,AF$3:AF$98,"&gt;"&amp;AE78)+COUNTIFS($AK$3:$AK$98,$AK78,AG$3:AG$98,"&lt;"&amp;AF78,AH$3:AH$98,"&gt;"&amp;AE78)-(AE78&lt;AF78))</f>
        <v>0</v>
      </c>
      <c r="BL78">
        <f>BK78</f>
        <v>0</v>
      </c>
      <c r="BM78">
        <f>IF(OR($AK78="",AG78="",AH78=""),0,COUNTIFS($AK$3:$AK$98,$AK78,K$3:K$98,"&lt;"&amp;AH78,L$3:L$98,"&gt;"&amp;AG78)+COUNTIFS($AK$3:$AK$98,$AK78,M$3:M$98,"&lt;"&amp;AH78,N$3:N$98,"&gt;"&amp;AG78)+COUNTIFS($AK$3:$AK$98,$AK78,O$3:O$98,"&lt;"&amp;AH78,P$3:P$98,"&gt;"&amp;AG78)+COUNTIFS($AK$3:$AK$98,$AK78,Q$3:Q$98,"&lt;"&amp;AH78,R$3:R$98,"&gt;"&amp;AG78)+COUNTIFS($AK$3:$AK$98,$AK78,S$3:S$98,"&lt;"&amp;AH78,T$3:T$98,"&gt;"&amp;AG78)+COUNTIFS($AK$3:$AK$98,$AK78,U$3:U$98,"&lt;"&amp;AH78,V$3:V$98,"&gt;"&amp;AG78)+COUNTIFS($AK$3:$AK$98,$AK78,W$3:W$98,"&lt;"&amp;AH78,X$3:X$98,"&gt;"&amp;AG78)+COUNTIFS($AK$3:$AK$98,$AK78,Y$3:Y$98,"&lt;"&amp;AH78,Z$3:Z$98,"&gt;"&amp;AG78)+COUNTIFS($AK$3:$AK$98,$AK78,AA$3:AA$98,"&lt;"&amp;AH78,AB$3:AB$98,"&gt;"&amp;AG78)+COUNTIFS($AK$3:$AK$98,$AK78,AC$3:AC$98,"&lt;"&amp;AH78,AD$3:AD$98,"&gt;"&amp;AG78)+COUNTIFS($AK$3:$AK$98,$AK78,AE$3:AE$98,"&lt;"&amp;AH78,AF$3:AF$98,"&gt;"&amp;AG78)+COUNTIFS($AK$3:$AK$98,$AK78,AG$3:AG$98,"&lt;"&amp;AH78,AH$3:AH$98,"&gt;"&amp;AG78)-(AG78&lt;AH78))</f>
        <v>0</v>
      </c>
      <c r="BN78">
        <f>BM78</f>
        <v>0</v>
      </c>
      <c r="BO78">
        <f>IF(ISNUMBER($G78),$G78,"")</f>
        <v>0</v>
      </c>
      <c r="BP78" t="str">
        <f>IF(AND($A78&lt;&gt;"",COUNT($K78:$AH78)&gt;0),ROW(),"")</f>
        <v/>
      </c>
    </row>
    <row r="79" spans="1:68" x14ac:dyDescent="0.15">
      <c r="A79" s="13" t="s">
        <v>53</v>
      </c>
      <c r="B79" s="14" t="str">
        <f>IF($A79="","","total")</f>
        <v>total</v>
      </c>
      <c r="C79" s="14"/>
      <c r="D79" s="15">
        <f>IF($A79="","",SUM(D80:D82))</f>
        <v>22</v>
      </c>
      <c r="E79" s="15">
        <f>IF($A79="","",SUM(E80:E82))</f>
        <v>0</v>
      </c>
      <c r="F79" s="15">
        <f>IF($A79="","",D79-E79)</f>
        <v>22</v>
      </c>
      <c r="G79" s="16" t="str">
        <f>IF($A79="","",IFERROR(AVERAGEIFS(G80:G82,H80:H82,"&lt;&gt;未着手",H80:H82,"&lt;&gt;作業中"),""))</f>
        <v/>
      </c>
      <c r="H79" s="14"/>
      <c r="I79" s="14"/>
      <c r="J79" s="14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  <row r="80" spans="1:68" x14ac:dyDescent="0.15">
      <c r="A80" s="18" t="str">
        <f>IF($A79="","",$A79)</f>
        <v>chMozukuA</v>
      </c>
      <c r="B80" s="19" t="str">
        <f>IF($A79="","","low")</f>
        <v>low</v>
      </c>
      <c r="C80" s="19"/>
      <c r="D80" s="20">
        <v>12</v>
      </c>
      <c r="E80" s="21">
        <f>IF(AND($D80="",COUNT($K80:$AH80)=0),"",IF(K80="",0,MAX(0,NETWORKDAYS(K80,IF(L80&lt;&gt;"",L80,IF($J80&lt;&gt;"",K80,$AI$1)),祝日!$A$2:$A$200)))+IF(M80="",0,MAX(0,NETWORKDAYS(M80,IF(N80&lt;&gt;"",N80,IF($J80&lt;&gt;"",M80,$AI$1)),祝日!$A$2:$A$200)))+IF(O80="",0,MAX(0,NETWORKDAYS(O80,IF(P80&lt;&gt;"",P80,IF($J80&lt;&gt;"",O80,$AI$1)),祝日!$A$2:$A$200)))+IF(Q80="",0,MAX(0,NETWORKDAYS(Q80,IF(R80&lt;&gt;"",R80,IF($J80&lt;&gt;"",Q80,$AI$1)),祝日!$A$2:$A$200)))+IF(S80="",0,MAX(0,NETWORKDAYS(S80,IF(T80&lt;&gt;"",T80,IF($J80&lt;&gt;"",S80,$AI$1)),祝日!$A$2:$A$200)))+IF(U80="",0,MAX(0,NETWORKDAYS(U80,IF(V80&lt;&gt;"",V80,IF($J80&lt;&gt;"",U80,$AI$1)),祝日!$A$2:$A$200)))+IF(W80="",0,MAX(0,NETWORKDAYS(W80,IF(X80&lt;&gt;"",X80,IF($J80&lt;&gt;"",W80,$AI$1)),祝日!$A$2:$A$200)))+IF(Y80="",0,MAX(0,NETWORKDAYS(Y80,IF(Z80&lt;&gt;"",Z80,IF($J80&lt;&gt;"",Y80,$AI$1)),祝日!$A$2:$A$200)))+IF(AA80="",0,MAX(0,NETWORKDAYS(AA80,IF(AB80&lt;&gt;"",AB80,IF($J80&lt;&gt;"",AA80,$AI$1)),祝日!$A$2:$A$200)))+IF(AC80="",0,MAX(0,NETWORKDAYS(AC80,IF(AD80&lt;&gt;"",AD80,IF($J80&lt;&gt;"",AC80,$AI$1)),祝日!$A$2:$A$200)))+IF(AE80="",0,MAX(0,NETWORKDAYS(AE80,IF(AF80&lt;&gt;"",AF80,IF($J80&lt;&gt;"",AE80,$AI$1)),祝日!$A$2:$A$200)))+IF(AG80="",0,MAX(0,NETWORKDAYS(AG80,IF(AH80&lt;&gt;"",AH80,IF($J80&lt;&gt;"",AG80,$AI$1)),祝日!$A$2:$A$200))))</f>
        <v>0</v>
      </c>
      <c r="F80" s="21">
        <f>IF($D80="","",$D80-$E80)</f>
        <v>12</v>
      </c>
      <c r="G80" s="22">
        <f>IF(OR($D80="",$D80=0),"",$E80/$D80)</f>
        <v>0</v>
      </c>
      <c r="H80" s="23" t="str">
        <f>IF($D80="","",IF($J80&lt;&gt;"","FIX",IF(AND(SUMPRODUCT((MOD(COLUMN($K80:$AH80)-COLUMN($K80),2)=0)*($K80:$AH80&lt;&gt;""))=0,SUMPRODUCT((MOD(COLUMN($K80:$AH80)-COLUMN($K80),2)=1)*($K80:$AH80&lt;&gt;""))=0),"未着手",IF(SUMPRODUCT((MOD(COLUMN($K80:$AH80)-COLUMN($K80),2)=0)*($K80:$AH80&lt;&gt;""))&gt;SUMPRODUCT((MOD(COLUMN($K80:$AH80)-COLUMN($K80),2)=1)*($K80:$AH80&lt;&gt;"")),"作業中","中断"))))</f>
        <v>未着手</v>
      </c>
      <c r="I80" s="23" t="str">
        <f>IF($H80="中断",MAX(0,$AI$1-MAX(L80,N80,P80,R80,T80,V80,X80,Z80,AB80,AD80,AF80,AH80)),"")</f>
        <v/>
      </c>
      <c r="J80" s="19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K80" t="str">
        <f>IF($A79="","",IF(LOOKUP(2,1/($AJ$3:$AJ80&lt;&gt;""),$AJ$3:$AJ80)="-","",LOOKUP(2,1/($AJ$3:$AJ80&lt;&gt;""),$AJ$3:$AJ80)))</f>
        <v/>
      </c>
      <c r="AL80" t="str">
        <f>$H80</f>
        <v>未着手</v>
      </c>
      <c r="AM80">
        <f>IF(ISNUMBER($D80),$D80,0)</f>
        <v>12</v>
      </c>
      <c r="AN80">
        <f>IF(ISNUMBER($E80),$E80,0)</f>
        <v>0</v>
      </c>
      <c r="AO80">
        <f>IF(ISNUMBER($F80),$F80,0)</f>
        <v>12</v>
      </c>
      <c r="AQ80">
        <f>IF(OR($AK80="",K80="",L80=""),0,COUNTIFS($AK$3:$AK$98,$AK80,K$3:K$98,"&lt;"&amp;L80,L$3:L$98,"&gt;"&amp;K80)+COUNTIFS($AK$3:$AK$98,$AK80,M$3:M$98,"&lt;"&amp;L80,N$3:N$98,"&gt;"&amp;K80)+COUNTIFS($AK$3:$AK$98,$AK80,O$3:O$98,"&lt;"&amp;L80,P$3:P$98,"&gt;"&amp;K80)+COUNTIFS($AK$3:$AK$98,$AK80,Q$3:Q$98,"&lt;"&amp;L80,R$3:R$98,"&gt;"&amp;K80)+COUNTIFS($AK$3:$AK$98,$AK80,S$3:S$98,"&lt;"&amp;L80,T$3:T$98,"&gt;"&amp;K80)+COUNTIFS($AK$3:$AK$98,$AK80,U$3:U$98,"&lt;"&amp;L80,V$3:V$98,"&gt;"&amp;K80)+COUNTIFS($AK$3:$AK$98,$AK80,W$3:W$98,"&lt;"&amp;L80,X$3:X$98,"&gt;"&amp;K80)+COUNTIFS($AK$3:$AK$98,$AK80,Y$3:Y$98,"&lt;"&amp;L80,Z$3:Z$98,"&gt;"&amp;K80)+COUNTIFS($AK$3:$AK$98,$AK80,AA$3:AA$98,"&lt;"&amp;L80,AB$3:AB$98,"&gt;"&amp;K80)+COUNTIFS($AK$3:$AK$98,$AK80,AC$3:AC$98,"&lt;"&amp;L80,AD$3:AD$98,"&gt;"&amp;K80)+COUNTIFS($AK$3:$AK$98,$AK80,AE$3:AE$98,"&lt;"&amp;L80,AF$3:AF$98,"&gt;"&amp;K80)+COUNTIFS($AK$3:$AK$98,$AK80,AG$3:AG$98,"&lt;"&amp;L80,AH$3:AH$98,"&gt;"&amp;K80)-(K80&lt;L80))</f>
        <v>0</v>
      </c>
      <c r="AR80">
        <f>AQ80</f>
        <v>0</v>
      </c>
      <c r="AS80">
        <f>IF(OR($AK80="",M80="",N80=""),0,COUNTIFS($AK$3:$AK$98,$AK80,K$3:K$98,"&lt;"&amp;N80,L$3:L$98,"&gt;"&amp;M80)+COUNTIFS($AK$3:$AK$98,$AK80,M$3:M$98,"&lt;"&amp;N80,N$3:N$98,"&gt;"&amp;M80)+COUNTIFS($AK$3:$AK$98,$AK80,O$3:O$98,"&lt;"&amp;N80,P$3:P$98,"&gt;"&amp;M80)+COUNTIFS($AK$3:$AK$98,$AK80,Q$3:Q$98,"&lt;"&amp;N80,R$3:R$98,"&gt;"&amp;M80)+COUNTIFS($AK$3:$AK$98,$AK80,S$3:S$98,"&lt;"&amp;N80,T$3:T$98,"&gt;"&amp;M80)+COUNTIFS($AK$3:$AK$98,$AK80,U$3:U$98,"&lt;"&amp;N80,V$3:V$98,"&gt;"&amp;M80)+COUNTIFS($AK$3:$AK$98,$AK80,W$3:W$98,"&lt;"&amp;N80,X$3:X$98,"&gt;"&amp;M80)+COUNTIFS($AK$3:$AK$98,$AK80,Y$3:Y$98,"&lt;"&amp;N80,Z$3:Z$98,"&gt;"&amp;M80)+COUNTIFS($AK$3:$AK$98,$AK80,AA$3:AA$98,"&lt;"&amp;N80,AB$3:AB$98,"&gt;"&amp;M80)+COUNTIFS($AK$3:$AK$98,$AK80,AC$3:AC$98,"&lt;"&amp;N80,AD$3:AD$98,"&gt;"&amp;M80)+COUNTIFS($AK$3:$AK$98,$AK80,AE$3:AE$98,"&lt;"&amp;N80,AF$3:AF$98,"&gt;"&amp;M80)+COUNTIFS($AK$3:$AK$98,$AK80,AG$3:AG$98,"&lt;"&amp;N80,AH$3:AH$98,"&gt;"&amp;M80)-(M80&lt;N80))</f>
        <v>0</v>
      </c>
      <c r="AT80">
        <f>AS80</f>
        <v>0</v>
      </c>
      <c r="AU80">
        <f>IF(OR($AK80="",O80="",P80=""),0,COUNTIFS($AK$3:$AK$98,$AK80,K$3:K$98,"&lt;"&amp;P80,L$3:L$98,"&gt;"&amp;O80)+COUNTIFS($AK$3:$AK$98,$AK80,M$3:M$98,"&lt;"&amp;P80,N$3:N$98,"&gt;"&amp;O80)+COUNTIFS($AK$3:$AK$98,$AK80,O$3:O$98,"&lt;"&amp;P80,P$3:P$98,"&gt;"&amp;O80)+COUNTIFS($AK$3:$AK$98,$AK80,Q$3:Q$98,"&lt;"&amp;P80,R$3:R$98,"&gt;"&amp;O80)+COUNTIFS($AK$3:$AK$98,$AK80,S$3:S$98,"&lt;"&amp;P80,T$3:T$98,"&gt;"&amp;O80)+COUNTIFS($AK$3:$AK$98,$AK80,U$3:U$98,"&lt;"&amp;P80,V$3:V$98,"&gt;"&amp;O80)+COUNTIFS($AK$3:$AK$98,$AK80,W$3:W$98,"&lt;"&amp;P80,X$3:X$98,"&gt;"&amp;O80)+COUNTIFS($AK$3:$AK$98,$AK80,Y$3:Y$98,"&lt;"&amp;P80,Z$3:Z$98,"&gt;"&amp;O80)+COUNTIFS($AK$3:$AK$98,$AK80,AA$3:AA$98,"&lt;"&amp;P80,AB$3:AB$98,"&gt;"&amp;O80)+COUNTIFS($AK$3:$AK$98,$AK80,AC$3:AC$98,"&lt;"&amp;P80,AD$3:AD$98,"&gt;"&amp;O80)+COUNTIFS($AK$3:$AK$98,$AK80,AE$3:AE$98,"&lt;"&amp;P80,AF$3:AF$98,"&gt;"&amp;O80)+COUNTIFS($AK$3:$AK$98,$AK80,AG$3:AG$98,"&lt;"&amp;P80,AH$3:AH$98,"&gt;"&amp;O80)-(O80&lt;P80))</f>
        <v>0</v>
      </c>
      <c r="AV80">
        <f>AU80</f>
        <v>0</v>
      </c>
      <c r="AW80">
        <f>IF(OR($AK80="",Q80="",R80=""),0,COUNTIFS($AK$3:$AK$98,$AK80,K$3:K$98,"&lt;"&amp;R80,L$3:L$98,"&gt;"&amp;Q80)+COUNTIFS($AK$3:$AK$98,$AK80,M$3:M$98,"&lt;"&amp;R80,N$3:N$98,"&gt;"&amp;Q80)+COUNTIFS($AK$3:$AK$98,$AK80,O$3:O$98,"&lt;"&amp;R80,P$3:P$98,"&gt;"&amp;Q80)+COUNTIFS($AK$3:$AK$98,$AK80,Q$3:Q$98,"&lt;"&amp;R80,R$3:R$98,"&gt;"&amp;Q80)+COUNTIFS($AK$3:$AK$98,$AK80,S$3:S$98,"&lt;"&amp;R80,T$3:T$98,"&gt;"&amp;Q80)+COUNTIFS($AK$3:$AK$98,$AK80,U$3:U$98,"&lt;"&amp;R80,V$3:V$98,"&gt;"&amp;Q80)+COUNTIFS($AK$3:$AK$98,$AK80,W$3:W$98,"&lt;"&amp;R80,X$3:X$98,"&gt;"&amp;Q80)+COUNTIFS($AK$3:$AK$98,$AK80,Y$3:Y$98,"&lt;"&amp;R80,Z$3:Z$98,"&gt;"&amp;Q80)+COUNTIFS($AK$3:$AK$98,$AK80,AA$3:AA$98,"&lt;"&amp;R80,AB$3:AB$98,"&gt;"&amp;Q80)+COUNTIFS($AK$3:$AK$98,$AK80,AC$3:AC$98,"&lt;"&amp;R80,AD$3:AD$98,"&gt;"&amp;Q80)+COUNTIFS($AK$3:$AK$98,$AK80,AE$3:AE$98,"&lt;"&amp;R80,AF$3:AF$98,"&gt;"&amp;Q80)+COUNTIFS($AK$3:$AK$98,$AK80,AG$3:AG$98,"&lt;"&amp;R80,AH$3:AH$98,"&gt;"&amp;Q80)-(Q80&lt;R80))</f>
        <v>0</v>
      </c>
      <c r="AX80">
        <f>AW80</f>
        <v>0</v>
      </c>
      <c r="AY80">
        <f>IF(OR($AK80="",S80="",T80=""),0,COUNTIFS($AK$3:$AK$98,$AK80,K$3:K$98,"&lt;"&amp;T80,L$3:L$98,"&gt;"&amp;S80)+COUNTIFS($AK$3:$AK$98,$AK80,M$3:M$98,"&lt;"&amp;T80,N$3:N$98,"&gt;"&amp;S80)+COUNTIFS($AK$3:$AK$98,$AK80,O$3:O$98,"&lt;"&amp;T80,P$3:P$98,"&gt;"&amp;S80)+COUNTIFS($AK$3:$AK$98,$AK80,Q$3:Q$98,"&lt;"&amp;T80,R$3:R$98,"&gt;"&amp;S80)+COUNTIFS($AK$3:$AK$98,$AK80,S$3:S$98,"&lt;"&amp;T80,T$3:T$98,"&gt;"&amp;S80)+COUNTIFS($AK$3:$AK$98,$AK80,U$3:U$98,"&lt;"&amp;T80,V$3:V$98,"&gt;"&amp;S80)+COUNTIFS($AK$3:$AK$98,$AK80,W$3:W$98,"&lt;"&amp;T80,X$3:X$98,"&gt;"&amp;S80)+COUNTIFS($AK$3:$AK$98,$AK80,Y$3:Y$98,"&lt;"&amp;T80,Z$3:Z$98,"&gt;"&amp;S80)+COUNTIFS($AK$3:$AK$98,$AK80,AA$3:AA$98,"&lt;"&amp;T80,AB$3:AB$98,"&gt;"&amp;S80)+COUNTIFS($AK$3:$AK$98,$AK80,AC$3:AC$98,"&lt;"&amp;T80,AD$3:AD$98,"&gt;"&amp;S80)+COUNTIFS($AK$3:$AK$98,$AK80,AE$3:AE$98,"&lt;"&amp;T80,AF$3:AF$98,"&gt;"&amp;S80)+COUNTIFS($AK$3:$AK$98,$AK80,AG$3:AG$98,"&lt;"&amp;T80,AH$3:AH$98,"&gt;"&amp;S80)-(S80&lt;T80))</f>
        <v>0</v>
      </c>
      <c r="AZ80">
        <f>AY80</f>
        <v>0</v>
      </c>
      <c r="BA80">
        <f>IF(OR($AK80="",U80="",V80=""),0,COUNTIFS($AK$3:$AK$98,$AK80,K$3:K$98,"&lt;"&amp;V80,L$3:L$98,"&gt;"&amp;U80)+COUNTIFS($AK$3:$AK$98,$AK80,M$3:M$98,"&lt;"&amp;V80,N$3:N$98,"&gt;"&amp;U80)+COUNTIFS($AK$3:$AK$98,$AK80,O$3:O$98,"&lt;"&amp;V80,P$3:P$98,"&gt;"&amp;U80)+COUNTIFS($AK$3:$AK$98,$AK80,Q$3:Q$98,"&lt;"&amp;V80,R$3:R$98,"&gt;"&amp;U80)+COUNTIFS($AK$3:$AK$98,$AK80,S$3:S$98,"&lt;"&amp;V80,T$3:T$98,"&gt;"&amp;U80)+COUNTIFS($AK$3:$AK$98,$AK80,U$3:U$98,"&lt;"&amp;V80,V$3:V$98,"&gt;"&amp;U80)+COUNTIFS($AK$3:$AK$98,$AK80,W$3:W$98,"&lt;"&amp;V80,X$3:X$98,"&gt;"&amp;U80)+COUNTIFS($AK$3:$AK$98,$AK80,Y$3:Y$98,"&lt;"&amp;V80,Z$3:Z$98,"&gt;"&amp;U80)+COUNTIFS($AK$3:$AK$98,$AK80,AA$3:AA$98,"&lt;"&amp;V80,AB$3:AB$98,"&gt;"&amp;U80)+COUNTIFS($AK$3:$AK$98,$AK80,AC$3:AC$98,"&lt;"&amp;V80,AD$3:AD$98,"&gt;"&amp;U80)+COUNTIFS($AK$3:$AK$98,$AK80,AE$3:AE$98,"&lt;"&amp;V80,AF$3:AF$98,"&gt;"&amp;U80)+COUNTIFS($AK$3:$AK$98,$AK80,AG$3:AG$98,"&lt;"&amp;V80,AH$3:AH$98,"&gt;"&amp;U80)-(U80&lt;V80))</f>
        <v>0</v>
      </c>
      <c r="BB80">
        <f>BA80</f>
        <v>0</v>
      </c>
      <c r="BC80">
        <f>IF(OR($AK80="",W80="",X80=""),0,COUNTIFS($AK$3:$AK$98,$AK80,K$3:K$98,"&lt;"&amp;X80,L$3:L$98,"&gt;"&amp;W80)+COUNTIFS($AK$3:$AK$98,$AK80,M$3:M$98,"&lt;"&amp;X80,N$3:N$98,"&gt;"&amp;W80)+COUNTIFS($AK$3:$AK$98,$AK80,O$3:O$98,"&lt;"&amp;X80,P$3:P$98,"&gt;"&amp;W80)+COUNTIFS($AK$3:$AK$98,$AK80,Q$3:Q$98,"&lt;"&amp;X80,R$3:R$98,"&gt;"&amp;W80)+COUNTIFS($AK$3:$AK$98,$AK80,S$3:S$98,"&lt;"&amp;X80,T$3:T$98,"&gt;"&amp;W80)+COUNTIFS($AK$3:$AK$98,$AK80,U$3:U$98,"&lt;"&amp;X80,V$3:V$98,"&gt;"&amp;W80)+COUNTIFS($AK$3:$AK$98,$AK80,W$3:W$98,"&lt;"&amp;X80,X$3:X$98,"&gt;"&amp;W80)+COUNTIFS($AK$3:$AK$98,$AK80,Y$3:Y$98,"&lt;"&amp;X80,Z$3:Z$98,"&gt;"&amp;W80)+COUNTIFS($AK$3:$AK$98,$AK80,AA$3:AA$98,"&lt;"&amp;X80,AB$3:AB$98,"&gt;"&amp;W80)+COUNTIFS($AK$3:$AK$98,$AK80,AC$3:AC$98,"&lt;"&amp;X80,AD$3:AD$98,"&gt;"&amp;W80)+COUNTIFS($AK$3:$AK$98,$AK80,AE$3:AE$98,"&lt;"&amp;X80,AF$3:AF$98,"&gt;"&amp;W80)+COUNTIFS($AK$3:$AK$98,$AK80,AG$3:AG$98,"&lt;"&amp;X80,AH$3:AH$98,"&gt;"&amp;W80)-(W80&lt;X80))</f>
        <v>0</v>
      </c>
      <c r="BD80">
        <f>BC80</f>
        <v>0</v>
      </c>
      <c r="BE80">
        <f>IF(OR($AK80="",Y80="",Z80=""),0,COUNTIFS($AK$3:$AK$98,$AK80,K$3:K$98,"&lt;"&amp;Z80,L$3:L$98,"&gt;"&amp;Y80)+COUNTIFS($AK$3:$AK$98,$AK80,M$3:M$98,"&lt;"&amp;Z80,N$3:N$98,"&gt;"&amp;Y80)+COUNTIFS($AK$3:$AK$98,$AK80,O$3:O$98,"&lt;"&amp;Z80,P$3:P$98,"&gt;"&amp;Y80)+COUNTIFS($AK$3:$AK$98,$AK80,Q$3:Q$98,"&lt;"&amp;Z80,R$3:R$98,"&gt;"&amp;Y80)+COUNTIFS($AK$3:$AK$98,$AK80,S$3:S$98,"&lt;"&amp;Z80,T$3:T$98,"&gt;"&amp;Y80)+COUNTIFS($AK$3:$AK$98,$AK80,U$3:U$98,"&lt;"&amp;Z80,V$3:V$98,"&gt;"&amp;Y80)+COUNTIFS($AK$3:$AK$98,$AK80,W$3:W$98,"&lt;"&amp;Z80,X$3:X$98,"&gt;"&amp;Y80)+COUNTIFS($AK$3:$AK$98,$AK80,Y$3:Y$98,"&lt;"&amp;Z80,Z$3:Z$98,"&gt;"&amp;Y80)+COUNTIFS($AK$3:$AK$98,$AK80,AA$3:AA$98,"&lt;"&amp;Z80,AB$3:AB$98,"&gt;"&amp;Y80)+COUNTIFS($AK$3:$AK$98,$AK80,AC$3:AC$98,"&lt;"&amp;Z80,AD$3:AD$98,"&gt;"&amp;Y80)+COUNTIFS($AK$3:$AK$98,$AK80,AE$3:AE$98,"&lt;"&amp;Z80,AF$3:AF$98,"&gt;"&amp;Y80)+COUNTIFS($AK$3:$AK$98,$AK80,AG$3:AG$98,"&lt;"&amp;Z80,AH$3:AH$98,"&gt;"&amp;Y80)-(Y80&lt;Z80))</f>
        <v>0</v>
      </c>
      <c r="BF80">
        <f>BE80</f>
        <v>0</v>
      </c>
      <c r="BG80">
        <f>IF(OR($AK80="",AA80="",AB80=""),0,COUNTIFS($AK$3:$AK$98,$AK80,K$3:K$98,"&lt;"&amp;AB80,L$3:L$98,"&gt;"&amp;AA80)+COUNTIFS($AK$3:$AK$98,$AK80,M$3:M$98,"&lt;"&amp;AB80,N$3:N$98,"&gt;"&amp;AA80)+COUNTIFS($AK$3:$AK$98,$AK80,O$3:O$98,"&lt;"&amp;AB80,P$3:P$98,"&gt;"&amp;AA80)+COUNTIFS($AK$3:$AK$98,$AK80,Q$3:Q$98,"&lt;"&amp;AB80,R$3:R$98,"&gt;"&amp;AA80)+COUNTIFS($AK$3:$AK$98,$AK80,S$3:S$98,"&lt;"&amp;AB80,T$3:T$98,"&gt;"&amp;AA80)+COUNTIFS($AK$3:$AK$98,$AK80,U$3:U$98,"&lt;"&amp;AB80,V$3:V$98,"&gt;"&amp;AA80)+COUNTIFS($AK$3:$AK$98,$AK80,W$3:W$98,"&lt;"&amp;AB80,X$3:X$98,"&gt;"&amp;AA80)+COUNTIFS($AK$3:$AK$98,$AK80,Y$3:Y$98,"&lt;"&amp;AB80,Z$3:Z$98,"&gt;"&amp;AA80)+COUNTIFS($AK$3:$AK$98,$AK80,AA$3:AA$98,"&lt;"&amp;AB80,AB$3:AB$98,"&gt;"&amp;AA80)+COUNTIFS($AK$3:$AK$98,$AK80,AC$3:AC$98,"&lt;"&amp;AB80,AD$3:AD$98,"&gt;"&amp;AA80)+COUNTIFS($AK$3:$AK$98,$AK80,AE$3:AE$98,"&lt;"&amp;AB80,AF$3:AF$98,"&gt;"&amp;AA80)+COUNTIFS($AK$3:$AK$98,$AK80,AG$3:AG$98,"&lt;"&amp;AB80,AH$3:AH$98,"&gt;"&amp;AA80)-(AA80&lt;AB80))</f>
        <v>0</v>
      </c>
      <c r="BH80">
        <f>BG80</f>
        <v>0</v>
      </c>
      <c r="BI80">
        <f>IF(OR($AK80="",AC80="",AD80=""),0,COUNTIFS($AK$3:$AK$98,$AK80,K$3:K$98,"&lt;"&amp;AD80,L$3:L$98,"&gt;"&amp;AC80)+COUNTIFS($AK$3:$AK$98,$AK80,M$3:M$98,"&lt;"&amp;AD80,N$3:N$98,"&gt;"&amp;AC80)+COUNTIFS($AK$3:$AK$98,$AK80,O$3:O$98,"&lt;"&amp;AD80,P$3:P$98,"&gt;"&amp;AC80)+COUNTIFS($AK$3:$AK$98,$AK80,Q$3:Q$98,"&lt;"&amp;AD80,R$3:R$98,"&gt;"&amp;AC80)+COUNTIFS($AK$3:$AK$98,$AK80,S$3:S$98,"&lt;"&amp;AD80,T$3:T$98,"&gt;"&amp;AC80)+COUNTIFS($AK$3:$AK$98,$AK80,U$3:U$98,"&lt;"&amp;AD80,V$3:V$98,"&gt;"&amp;AC80)+COUNTIFS($AK$3:$AK$98,$AK80,W$3:W$98,"&lt;"&amp;AD80,X$3:X$98,"&gt;"&amp;AC80)+COUNTIFS($AK$3:$AK$98,$AK80,Y$3:Y$98,"&lt;"&amp;AD80,Z$3:Z$98,"&gt;"&amp;AC80)+COUNTIFS($AK$3:$AK$98,$AK80,AA$3:AA$98,"&lt;"&amp;AD80,AB$3:AB$98,"&gt;"&amp;AC80)+COUNTIFS($AK$3:$AK$98,$AK80,AC$3:AC$98,"&lt;"&amp;AD80,AD$3:AD$98,"&gt;"&amp;AC80)+COUNTIFS($AK$3:$AK$98,$AK80,AE$3:AE$98,"&lt;"&amp;AD80,AF$3:AF$98,"&gt;"&amp;AC80)+COUNTIFS($AK$3:$AK$98,$AK80,AG$3:AG$98,"&lt;"&amp;AD80,AH$3:AH$98,"&gt;"&amp;AC80)-(AC80&lt;AD80))</f>
        <v>0</v>
      </c>
      <c r="BJ80">
        <f>BI80</f>
        <v>0</v>
      </c>
      <c r="BK80">
        <f>IF(OR($AK80="",AE80="",AF80=""),0,COUNTIFS($AK$3:$AK$98,$AK80,K$3:K$98,"&lt;"&amp;AF80,L$3:L$98,"&gt;"&amp;AE80)+COUNTIFS($AK$3:$AK$98,$AK80,M$3:M$98,"&lt;"&amp;AF80,N$3:N$98,"&gt;"&amp;AE80)+COUNTIFS($AK$3:$AK$98,$AK80,O$3:O$98,"&lt;"&amp;AF80,P$3:P$98,"&gt;"&amp;AE80)+COUNTIFS($AK$3:$AK$98,$AK80,Q$3:Q$98,"&lt;"&amp;AF80,R$3:R$98,"&gt;"&amp;AE80)+COUNTIFS($AK$3:$AK$98,$AK80,S$3:S$98,"&lt;"&amp;AF80,T$3:T$98,"&gt;"&amp;AE80)+COUNTIFS($AK$3:$AK$98,$AK80,U$3:U$98,"&lt;"&amp;AF80,V$3:V$98,"&gt;"&amp;AE80)+COUNTIFS($AK$3:$AK$98,$AK80,W$3:W$98,"&lt;"&amp;AF80,X$3:X$98,"&gt;"&amp;AE80)+COUNTIFS($AK$3:$AK$98,$AK80,Y$3:Y$98,"&lt;"&amp;AF80,Z$3:Z$98,"&gt;"&amp;AE80)+COUNTIFS($AK$3:$AK$98,$AK80,AA$3:AA$98,"&lt;"&amp;AF80,AB$3:AB$98,"&gt;"&amp;AE80)+COUNTIFS($AK$3:$AK$98,$AK80,AC$3:AC$98,"&lt;"&amp;AF80,AD$3:AD$98,"&gt;"&amp;AE80)+COUNTIFS($AK$3:$AK$98,$AK80,AE$3:AE$98,"&lt;"&amp;AF80,AF$3:AF$98,"&gt;"&amp;AE80)+COUNTIFS($AK$3:$AK$98,$AK80,AG$3:AG$98,"&lt;"&amp;AF80,AH$3:AH$98,"&gt;"&amp;AE80)-(AE80&lt;AF80))</f>
        <v>0</v>
      </c>
      <c r="BL80">
        <f>BK80</f>
        <v>0</v>
      </c>
      <c r="BM80">
        <f>IF(OR($AK80="",AG80="",AH80=""),0,COUNTIFS($AK$3:$AK$98,$AK80,K$3:K$98,"&lt;"&amp;AH80,L$3:L$98,"&gt;"&amp;AG80)+COUNTIFS($AK$3:$AK$98,$AK80,M$3:M$98,"&lt;"&amp;AH80,N$3:N$98,"&gt;"&amp;AG80)+COUNTIFS($AK$3:$AK$98,$AK80,O$3:O$98,"&lt;"&amp;AH80,P$3:P$98,"&gt;"&amp;AG80)+COUNTIFS($AK$3:$AK$98,$AK80,Q$3:Q$98,"&lt;"&amp;AH80,R$3:R$98,"&gt;"&amp;AG80)+COUNTIFS($AK$3:$AK$98,$AK80,S$3:S$98,"&lt;"&amp;AH80,T$3:T$98,"&gt;"&amp;AG80)+COUNTIFS($AK$3:$AK$98,$AK80,U$3:U$98,"&lt;"&amp;AH80,V$3:V$98,"&gt;"&amp;AG80)+COUNTIFS($AK$3:$AK$98,$AK80,W$3:W$98,"&lt;"&amp;AH80,X$3:X$98,"&gt;"&amp;AG80)+COUNTIFS($AK$3:$AK$98,$AK80,Y$3:Y$98,"&lt;"&amp;AH80,Z$3:Z$98,"&gt;"&amp;AG80)+COUNTIFS($AK$3:$AK$98,$AK80,AA$3:AA$98,"&lt;"&amp;AH80,AB$3:AB$98,"&gt;"&amp;AG80)+COUNTIFS($AK$3:$AK$98,$AK80,AC$3:AC$98,"&lt;"&amp;AH80,AD$3:AD$98,"&gt;"&amp;AG80)+COUNTIFS($AK$3:$AK$98,$AK80,AE$3:AE$98,"&lt;"&amp;AH80,AF$3:AF$98,"&gt;"&amp;AG80)+COUNTIFS($AK$3:$AK$98,$AK80,AG$3:AG$98,"&lt;"&amp;AH80,AH$3:AH$98,"&gt;"&amp;AG80)-(AG80&lt;AH80))</f>
        <v>0</v>
      </c>
      <c r="BN80">
        <f>BM80</f>
        <v>0</v>
      </c>
      <c r="BO80">
        <f>IF(ISNUMBER($G80),$G80,"")</f>
        <v>0</v>
      </c>
      <c r="BP80" t="str">
        <f>IF(AND($A80&lt;&gt;"",COUNT($K80:$AH80)&gt;0),ROW(),"")</f>
        <v/>
      </c>
    </row>
    <row r="81" spans="1:68" x14ac:dyDescent="0.15">
      <c r="A81" s="18" t="str">
        <f>IF($A79="","",$A79)</f>
        <v>chMozukuA</v>
      </c>
      <c r="B81" s="19" t="str">
        <f>IF($A79="","","high")</f>
        <v>high</v>
      </c>
      <c r="C81" s="19"/>
      <c r="D81" s="20">
        <v>10</v>
      </c>
      <c r="E81" s="21">
        <f>IF(AND($D81="",COUNT($K81:$AH81)=0),"",IF(K81="",0,MAX(0,NETWORKDAYS(K81,IF(L81&lt;&gt;"",L81,IF($J81&lt;&gt;"",K81,$AI$1)),祝日!$A$2:$A$200)))+IF(M81="",0,MAX(0,NETWORKDAYS(M81,IF(N81&lt;&gt;"",N81,IF($J81&lt;&gt;"",M81,$AI$1)),祝日!$A$2:$A$200)))+IF(O81="",0,MAX(0,NETWORKDAYS(O81,IF(P81&lt;&gt;"",P81,IF($J81&lt;&gt;"",O81,$AI$1)),祝日!$A$2:$A$200)))+IF(Q81="",0,MAX(0,NETWORKDAYS(Q81,IF(R81&lt;&gt;"",R81,IF($J81&lt;&gt;"",Q81,$AI$1)),祝日!$A$2:$A$200)))+IF(S81="",0,MAX(0,NETWORKDAYS(S81,IF(T81&lt;&gt;"",T81,IF($J81&lt;&gt;"",S81,$AI$1)),祝日!$A$2:$A$200)))+IF(U81="",0,MAX(0,NETWORKDAYS(U81,IF(V81&lt;&gt;"",V81,IF($J81&lt;&gt;"",U81,$AI$1)),祝日!$A$2:$A$200)))+IF(W81="",0,MAX(0,NETWORKDAYS(W81,IF(X81&lt;&gt;"",X81,IF($J81&lt;&gt;"",W81,$AI$1)),祝日!$A$2:$A$200)))+IF(Y81="",0,MAX(0,NETWORKDAYS(Y81,IF(Z81&lt;&gt;"",Z81,IF($J81&lt;&gt;"",Y81,$AI$1)),祝日!$A$2:$A$200)))+IF(AA81="",0,MAX(0,NETWORKDAYS(AA81,IF(AB81&lt;&gt;"",AB81,IF($J81&lt;&gt;"",AA81,$AI$1)),祝日!$A$2:$A$200)))+IF(AC81="",0,MAX(0,NETWORKDAYS(AC81,IF(AD81&lt;&gt;"",AD81,IF($J81&lt;&gt;"",AC81,$AI$1)),祝日!$A$2:$A$200)))+IF(AE81="",0,MAX(0,NETWORKDAYS(AE81,IF(AF81&lt;&gt;"",AF81,IF($J81&lt;&gt;"",AE81,$AI$1)),祝日!$A$2:$A$200)))+IF(AG81="",0,MAX(0,NETWORKDAYS(AG81,IF(AH81&lt;&gt;"",AH81,IF($J81&lt;&gt;"",AG81,$AI$1)),祝日!$A$2:$A$200))))</f>
        <v>0</v>
      </c>
      <c r="F81" s="21">
        <f>IF($D81="","",$D81-$E81)</f>
        <v>10</v>
      </c>
      <c r="G81" s="22">
        <f>IF(OR($D81="",$D81=0),"",$E81/$D81)</f>
        <v>0</v>
      </c>
      <c r="H81" s="23" t="str">
        <f>IF($D81="","",IF($J81&lt;&gt;"","FIX",IF(AND(SUMPRODUCT((MOD(COLUMN($K81:$AH81)-COLUMN($K81),2)=0)*($K81:$AH81&lt;&gt;""))=0,SUMPRODUCT((MOD(COLUMN($K81:$AH81)-COLUMN($K81),2)=1)*($K81:$AH81&lt;&gt;""))=0),"未着手",IF(SUMPRODUCT((MOD(COLUMN($K81:$AH81)-COLUMN($K81),2)=0)*($K81:$AH81&lt;&gt;""))&gt;SUMPRODUCT((MOD(COLUMN($K81:$AH81)-COLUMN($K81),2)=1)*($K81:$AH81&lt;&gt;"")),"作業中","中断"))))</f>
        <v>未着手</v>
      </c>
      <c r="I81" s="23" t="str">
        <f>IF($H81="中断",MAX(0,$AI$1-MAX(L81,N81,P81,R81,T81,V81,X81,Z81,AB81,AD81,AF81,AH81)),"")</f>
        <v/>
      </c>
      <c r="J81" s="19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K81" t="str">
        <f>IF($A79="","",IF(LOOKUP(2,1/($AJ$3:$AJ81&lt;&gt;""),$AJ$3:$AJ81)="-","",LOOKUP(2,1/($AJ$3:$AJ81&lt;&gt;""),$AJ$3:$AJ81)))</f>
        <v/>
      </c>
      <c r="AL81" t="str">
        <f>$H81</f>
        <v>未着手</v>
      </c>
      <c r="AM81">
        <f>IF(ISNUMBER($D81),$D81,0)</f>
        <v>10</v>
      </c>
      <c r="AN81">
        <f>IF(ISNUMBER($E81),$E81,0)</f>
        <v>0</v>
      </c>
      <c r="AO81">
        <f>IF(ISNUMBER($F81),$F81,0)</f>
        <v>10</v>
      </c>
      <c r="AQ81">
        <f>IF(OR($AK81="",K81="",L81=""),0,COUNTIFS($AK$3:$AK$98,$AK81,K$3:K$98,"&lt;"&amp;L81,L$3:L$98,"&gt;"&amp;K81)+COUNTIFS($AK$3:$AK$98,$AK81,M$3:M$98,"&lt;"&amp;L81,N$3:N$98,"&gt;"&amp;K81)+COUNTIFS($AK$3:$AK$98,$AK81,O$3:O$98,"&lt;"&amp;L81,P$3:P$98,"&gt;"&amp;K81)+COUNTIFS($AK$3:$AK$98,$AK81,Q$3:Q$98,"&lt;"&amp;L81,R$3:R$98,"&gt;"&amp;K81)+COUNTIFS($AK$3:$AK$98,$AK81,S$3:S$98,"&lt;"&amp;L81,T$3:T$98,"&gt;"&amp;K81)+COUNTIFS($AK$3:$AK$98,$AK81,U$3:U$98,"&lt;"&amp;L81,V$3:V$98,"&gt;"&amp;K81)+COUNTIFS($AK$3:$AK$98,$AK81,W$3:W$98,"&lt;"&amp;L81,X$3:X$98,"&gt;"&amp;K81)+COUNTIFS($AK$3:$AK$98,$AK81,Y$3:Y$98,"&lt;"&amp;L81,Z$3:Z$98,"&gt;"&amp;K81)+COUNTIFS($AK$3:$AK$98,$AK81,AA$3:AA$98,"&lt;"&amp;L81,AB$3:AB$98,"&gt;"&amp;K81)+COUNTIFS($AK$3:$AK$98,$AK81,AC$3:AC$98,"&lt;"&amp;L81,AD$3:AD$98,"&gt;"&amp;K81)+COUNTIFS($AK$3:$AK$98,$AK81,AE$3:AE$98,"&lt;"&amp;L81,AF$3:AF$98,"&gt;"&amp;K81)+COUNTIFS($AK$3:$AK$98,$AK81,AG$3:AG$98,"&lt;"&amp;L81,AH$3:AH$98,"&gt;"&amp;K81)-(K81&lt;L81))</f>
        <v>0</v>
      </c>
      <c r="AR81">
        <f>AQ81</f>
        <v>0</v>
      </c>
      <c r="AS81">
        <f>IF(OR($AK81="",M81="",N81=""),0,COUNTIFS($AK$3:$AK$98,$AK81,K$3:K$98,"&lt;"&amp;N81,L$3:L$98,"&gt;"&amp;M81)+COUNTIFS($AK$3:$AK$98,$AK81,M$3:M$98,"&lt;"&amp;N81,N$3:N$98,"&gt;"&amp;M81)+COUNTIFS($AK$3:$AK$98,$AK81,O$3:O$98,"&lt;"&amp;N81,P$3:P$98,"&gt;"&amp;M81)+COUNTIFS($AK$3:$AK$98,$AK81,Q$3:Q$98,"&lt;"&amp;N81,R$3:R$98,"&gt;"&amp;M81)+COUNTIFS($AK$3:$AK$98,$AK81,S$3:S$98,"&lt;"&amp;N81,T$3:T$98,"&gt;"&amp;M81)+COUNTIFS($AK$3:$AK$98,$AK81,U$3:U$98,"&lt;"&amp;N81,V$3:V$98,"&gt;"&amp;M81)+COUNTIFS($AK$3:$AK$98,$AK81,W$3:W$98,"&lt;"&amp;N81,X$3:X$98,"&gt;"&amp;M81)+COUNTIFS($AK$3:$AK$98,$AK81,Y$3:Y$98,"&lt;"&amp;N81,Z$3:Z$98,"&gt;"&amp;M81)+COUNTIFS($AK$3:$AK$98,$AK81,AA$3:AA$98,"&lt;"&amp;N81,AB$3:AB$98,"&gt;"&amp;M81)+COUNTIFS($AK$3:$AK$98,$AK81,AC$3:AC$98,"&lt;"&amp;N81,AD$3:AD$98,"&gt;"&amp;M81)+COUNTIFS($AK$3:$AK$98,$AK81,AE$3:AE$98,"&lt;"&amp;N81,AF$3:AF$98,"&gt;"&amp;M81)+COUNTIFS($AK$3:$AK$98,$AK81,AG$3:AG$98,"&lt;"&amp;N81,AH$3:AH$98,"&gt;"&amp;M81)-(M81&lt;N81))</f>
        <v>0</v>
      </c>
      <c r="AT81">
        <f>AS81</f>
        <v>0</v>
      </c>
      <c r="AU81">
        <f>IF(OR($AK81="",O81="",P81=""),0,COUNTIFS($AK$3:$AK$98,$AK81,K$3:K$98,"&lt;"&amp;P81,L$3:L$98,"&gt;"&amp;O81)+COUNTIFS($AK$3:$AK$98,$AK81,M$3:M$98,"&lt;"&amp;P81,N$3:N$98,"&gt;"&amp;O81)+COUNTIFS($AK$3:$AK$98,$AK81,O$3:O$98,"&lt;"&amp;P81,P$3:P$98,"&gt;"&amp;O81)+COUNTIFS($AK$3:$AK$98,$AK81,Q$3:Q$98,"&lt;"&amp;P81,R$3:R$98,"&gt;"&amp;O81)+COUNTIFS($AK$3:$AK$98,$AK81,S$3:S$98,"&lt;"&amp;P81,T$3:T$98,"&gt;"&amp;O81)+COUNTIFS($AK$3:$AK$98,$AK81,U$3:U$98,"&lt;"&amp;P81,V$3:V$98,"&gt;"&amp;O81)+COUNTIFS($AK$3:$AK$98,$AK81,W$3:W$98,"&lt;"&amp;P81,X$3:X$98,"&gt;"&amp;O81)+COUNTIFS($AK$3:$AK$98,$AK81,Y$3:Y$98,"&lt;"&amp;P81,Z$3:Z$98,"&gt;"&amp;O81)+COUNTIFS($AK$3:$AK$98,$AK81,AA$3:AA$98,"&lt;"&amp;P81,AB$3:AB$98,"&gt;"&amp;O81)+COUNTIFS($AK$3:$AK$98,$AK81,AC$3:AC$98,"&lt;"&amp;P81,AD$3:AD$98,"&gt;"&amp;O81)+COUNTIFS($AK$3:$AK$98,$AK81,AE$3:AE$98,"&lt;"&amp;P81,AF$3:AF$98,"&gt;"&amp;O81)+COUNTIFS($AK$3:$AK$98,$AK81,AG$3:AG$98,"&lt;"&amp;P81,AH$3:AH$98,"&gt;"&amp;O81)-(O81&lt;P81))</f>
        <v>0</v>
      </c>
      <c r="AV81">
        <f>AU81</f>
        <v>0</v>
      </c>
      <c r="AW81">
        <f>IF(OR($AK81="",Q81="",R81=""),0,COUNTIFS($AK$3:$AK$98,$AK81,K$3:K$98,"&lt;"&amp;R81,L$3:L$98,"&gt;"&amp;Q81)+COUNTIFS($AK$3:$AK$98,$AK81,M$3:M$98,"&lt;"&amp;R81,N$3:N$98,"&gt;"&amp;Q81)+COUNTIFS($AK$3:$AK$98,$AK81,O$3:O$98,"&lt;"&amp;R81,P$3:P$98,"&gt;"&amp;Q81)+COUNTIFS($AK$3:$AK$98,$AK81,Q$3:Q$98,"&lt;"&amp;R81,R$3:R$98,"&gt;"&amp;Q81)+COUNTIFS($AK$3:$AK$98,$AK81,S$3:S$98,"&lt;"&amp;R81,T$3:T$98,"&gt;"&amp;Q81)+COUNTIFS($AK$3:$AK$98,$AK81,U$3:U$98,"&lt;"&amp;R81,V$3:V$98,"&gt;"&amp;Q81)+COUNTIFS($AK$3:$AK$98,$AK81,W$3:W$98,"&lt;"&amp;R81,X$3:X$98,"&gt;"&amp;Q81)+COUNTIFS($AK$3:$AK$98,$AK81,Y$3:Y$98,"&lt;"&amp;R81,Z$3:Z$98,"&gt;"&amp;Q81)+COUNTIFS($AK$3:$AK$98,$AK81,AA$3:AA$98,"&lt;"&amp;R81,AB$3:AB$98,"&gt;"&amp;Q81)+COUNTIFS($AK$3:$AK$98,$AK81,AC$3:AC$98,"&lt;"&amp;R81,AD$3:AD$98,"&gt;"&amp;Q81)+COUNTIFS($AK$3:$AK$98,$AK81,AE$3:AE$98,"&lt;"&amp;R81,AF$3:AF$98,"&gt;"&amp;Q81)+COUNTIFS($AK$3:$AK$98,$AK81,AG$3:AG$98,"&lt;"&amp;R81,AH$3:AH$98,"&gt;"&amp;Q81)-(Q81&lt;R81))</f>
        <v>0</v>
      </c>
      <c r="AX81">
        <f>AW81</f>
        <v>0</v>
      </c>
      <c r="AY81">
        <f>IF(OR($AK81="",S81="",T81=""),0,COUNTIFS($AK$3:$AK$98,$AK81,K$3:K$98,"&lt;"&amp;T81,L$3:L$98,"&gt;"&amp;S81)+COUNTIFS($AK$3:$AK$98,$AK81,M$3:M$98,"&lt;"&amp;T81,N$3:N$98,"&gt;"&amp;S81)+COUNTIFS($AK$3:$AK$98,$AK81,O$3:O$98,"&lt;"&amp;T81,P$3:P$98,"&gt;"&amp;S81)+COUNTIFS($AK$3:$AK$98,$AK81,Q$3:Q$98,"&lt;"&amp;T81,R$3:R$98,"&gt;"&amp;S81)+COUNTIFS($AK$3:$AK$98,$AK81,S$3:S$98,"&lt;"&amp;T81,T$3:T$98,"&gt;"&amp;S81)+COUNTIFS($AK$3:$AK$98,$AK81,U$3:U$98,"&lt;"&amp;T81,V$3:V$98,"&gt;"&amp;S81)+COUNTIFS($AK$3:$AK$98,$AK81,W$3:W$98,"&lt;"&amp;T81,X$3:X$98,"&gt;"&amp;S81)+COUNTIFS($AK$3:$AK$98,$AK81,Y$3:Y$98,"&lt;"&amp;T81,Z$3:Z$98,"&gt;"&amp;S81)+COUNTIFS($AK$3:$AK$98,$AK81,AA$3:AA$98,"&lt;"&amp;T81,AB$3:AB$98,"&gt;"&amp;S81)+COUNTIFS($AK$3:$AK$98,$AK81,AC$3:AC$98,"&lt;"&amp;T81,AD$3:AD$98,"&gt;"&amp;S81)+COUNTIFS($AK$3:$AK$98,$AK81,AE$3:AE$98,"&lt;"&amp;T81,AF$3:AF$98,"&gt;"&amp;S81)+COUNTIFS($AK$3:$AK$98,$AK81,AG$3:AG$98,"&lt;"&amp;T81,AH$3:AH$98,"&gt;"&amp;S81)-(S81&lt;T81))</f>
        <v>0</v>
      </c>
      <c r="AZ81">
        <f>AY81</f>
        <v>0</v>
      </c>
      <c r="BA81">
        <f>IF(OR($AK81="",U81="",V81=""),0,COUNTIFS($AK$3:$AK$98,$AK81,K$3:K$98,"&lt;"&amp;V81,L$3:L$98,"&gt;"&amp;U81)+COUNTIFS($AK$3:$AK$98,$AK81,M$3:M$98,"&lt;"&amp;V81,N$3:N$98,"&gt;"&amp;U81)+COUNTIFS($AK$3:$AK$98,$AK81,O$3:O$98,"&lt;"&amp;V81,P$3:P$98,"&gt;"&amp;U81)+COUNTIFS($AK$3:$AK$98,$AK81,Q$3:Q$98,"&lt;"&amp;V81,R$3:R$98,"&gt;"&amp;U81)+COUNTIFS($AK$3:$AK$98,$AK81,S$3:S$98,"&lt;"&amp;V81,T$3:T$98,"&gt;"&amp;U81)+COUNTIFS($AK$3:$AK$98,$AK81,U$3:U$98,"&lt;"&amp;V81,V$3:V$98,"&gt;"&amp;U81)+COUNTIFS($AK$3:$AK$98,$AK81,W$3:W$98,"&lt;"&amp;V81,X$3:X$98,"&gt;"&amp;U81)+COUNTIFS($AK$3:$AK$98,$AK81,Y$3:Y$98,"&lt;"&amp;V81,Z$3:Z$98,"&gt;"&amp;U81)+COUNTIFS($AK$3:$AK$98,$AK81,AA$3:AA$98,"&lt;"&amp;V81,AB$3:AB$98,"&gt;"&amp;U81)+COUNTIFS($AK$3:$AK$98,$AK81,AC$3:AC$98,"&lt;"&amp;V81,AD$3:AD$98,"&gt;"&amp;U81)+COUNTIFS($AK$3:$AK$98,$AK81,AE$3:AE$98,"&lt;"&amp;V81,AF$3:AF$98,"&gt;"&amp;U81)+COUNTIFS($AK$3:$AK$98,$AK81,AG$3:AG$98,"&lt;"&amp;V81,AH$3:AH$98,"&gt;"&amp;U81)-(U81&lt;V81))</f>
        <v>0</v>
      </c>
      <c r="BB81">
        <f>BA81</f>
        <v>0</v>
      </c>
      <c r="BC81">
        <f>IF(OR($AK81="",W81="",X81=""),0,COUNTIFS($AK$3:$AK$98,$AK81,K$3:K$98,"&lt;"&amp;X81,L$3:L$98,"&gt;"&amp;W81)+COUNTIFS($AK$3:$AK$98,$AK81,M$3:M$98,"&lt;"&amp;X81,N$3:N$98,"&gt;"&amp;W81)+COUNTIFS($AK$3:$AK$98,$AK81,O$3:O$98,"&lt;"&amp;X81,P$3:P$98,"&gt;"&amp;W81)+COUNTIFS($AK$3:$AK$98,$AK81,Q$3:Q$98,"&lt;"&amp;X81,R$3:R$98,"&gt;"&amp;W81)+COUNTIFS($AK$3:$AK$98,$AK81,S$3:S$98,"&lt;"&amp;X81,T$3:T$98,"&gt;"&amp;W81)+COUNTIFS($AK$3:$AK$98,$AK81,U$3:U$98,"&lt;"&amp;X81,V$3:V$98,"&gt;"&amp;W81)+COUNTIFS($AK$3:$AK$98,$AK81,W$3:W$98,"&lt;"&amp;X81,X$3:X$98,"&gt;"&amp;W81)+COUNTIFS($AK$3:$AK$98,$AK81,Y$3:Y$98,"&lt;"&amp;X81,Z$3:Z$98,"&gt;"&amp;W81)+COUNTIFS($AK$3:$AK$98,$AK81,AA$3:AA$98,"&lt;"&amp;X81,AB$3:AB$98,"&gt;"&amp;W81)+COUNTIFS($AK$3:$AK$98,$AK81,AC$3:AC$98,"&lt;"&amp;X81,AD$3:AD$98,"&gt;"&amp;W81)+COUNTIFS($AK$3:$AK$98,$AK81,AE$3:AE$98,"&lt;"&amp;X81,AF$3:AF$98,"&gt;"&amp;W81)+COUNTIFS($AK$3:$AK$98,$AK81,AG$3:AG$98,"&lt;"&amp;X81,AH$3:AH$98,"&gt;"&amp;W81)-(W81&lt;X81))</f>
        <v>0</v>
      </c>
      <c r="BD81">
        <f>BC81</f>
        <v>0</v>
      </c>
      <c r="BE81">
        <f>IF(OR($AK81="",Y81="",Z81=""),0,COUNTIFS($AK$3:$AK$98,$AK81,K$3:K$98,"&lt;"&amp;Z81,L$3:L$98,"&gt;"&amp;Y81)+COUNTIFS($AK$3:$AK$98,$AK81,M$3:M$98,"&lt;"&amp;Z81,N$3:N$98,"&gt;"&amp;Y81)+COUNTIFS($AK$3:$AK$98,$AK81,O$3:O$98,"&lt;"&amp;Z81,P$3:P$98,"&gt;"&amp;Y81)+COUNTIFS($AK$3:$AK$98,$AK81,Q$3:Q$98,"&lt;"&amp;Z81,R$3:R$98,"&gt;"&amp;Y81)+COUNTIFS($AK$3:$AK$98,$AK81,S$3:S$98,"&lt;"&amp;Z81,T$3:T$98,"&gt;"&amp;Y81)+COUNTIFS($AK$3:$AK$98,$AK81,U$3:U$98,"&lt;"&amp;Z81,V$3:V$98,"&gt;"&amp;Y81)+COUNTIFS($AK$3:$AK$98,$AK81,W$3:W$98,"&lt;"&amp;Z81,X$3:X$98,"&gt;"&amp;Y81)+COUNTIFS($AK$3:$AK$98,$AK81,Y$3:Y$98,"&lt;"&amp;Z81,Z$3:Z$98,"&gt;"&amp;Y81)+COUNTIFS($AK$3:$AK$98,$AK81,AA$3:AA$98,"&lt;"&amp;Z81,AB$3:AB$98,"&gt;"&amp;Y81)+COUNTIFS($AK$3:$AK$98,$AK81,AC$3:AC$98,"&lt;"&amp;Z81,AD$3:AD$98,"&gt;"&amp;Y81)+COUNTIFS($AK$3:$AK$98,$AK81,AE$3:AE$98,"&lt;"&amp;Z81,AF$3:AF$98,"&gt;"&amp;Y81)+COUNTIFS($AK$3:$AK$98,$AK81,AG$3:AG$98,"&lt;"&amp;Z81,AH$3:AH$98,"&gt;"&amp;Y81)-(Y81&lt;Z81))</f>
        <v>0</v>
      </c>
      <c r="BF81">
        <f>BE81</f>
        <v>0</v>
      </c>
      <c r="BG81">
        <f>IF(OR($AK81="",AA81="",AB81=""),0,COUNTIFS($AK$3:$AK$98,$AK81,K$3:K$98,"&lt;"&amp;AB81,L$3:L$98,"&gt;"&amp;AA81)+COUNTIFS($AK$3:$AK$98,$AK81,M$3:M$98,"&lt;"&amp;AB81,N$3:N$98,"&gt;"&amp;AA81)+COUNTIFS($AK$3:$AK$98,$AK81,O$3:O$98,"&lt;"&amp;AB81,P$3:P$98,"&gt;"&amp;AA81)+COUNTIFS($AK$3:$AK$98,$AK81,Q$3:Q$98,"&lt;"&amp;AB81,R$3:R$98,"&gt;"&amp;AA81)+COUNTIFS($AK$3:$AK$98,$AK81,S$3:S$98,"&lt;"&amp;AB81,T$3:T$98,"&gt;"&amp;AA81)+COUNTIFS($AK$3:$AK$98,$AK81,U$3:U$98,"&lt;"&amp;AB81,V$3:V$98,"&gt;"&amp;AA81)+COUNTIFS($AK$3:$AK$98,$AK81,W$3:W$98,"&lt;"&amp;AB81,X$3:X$98,"&gt;"&amp;AA81)+COUNTIFS($AK$3:$AK$98,$AK81,Y$3:Y$98,"&lt;"&amp;AB81,Z$3:Z$98,"&gt;"&amp;AA81)+COUNTIFS($AK$3:$AK$98,$AK81,AA$3:AA$98,"&lt;"&amp;AB81,AB$3:AB$98,"&gt;"&amp;AA81)+COUNTIFS($AK$3:$AK$98,$AK81,AC$3:AC$98,"&lt;"&amp;AB81,AD$3:AD$98,"&gt;"&amp;AA81)+COUNTIFS($AK$3:$AK$98,$AK81,AE$3:AE$98,"&lt;"&amp;AB81,AF$3:AF$98,"&gt;"&amp;AA81)+COUNTIFS($AK$3:$AK$98,$AK81,AG$3:AG$98,"&lt;"&amp;AB81,AH$3:AH$98,"&gt;"&amp;AA81)-(AA81&lt;AB81))</f>
        <v>0</v>
      </c>
      <c r="BH81">
        <f>BG81</f>
        <v>0</v>
      </c>
      <c r="BI81">
        <f>IF(OR($AK81="",AC81="",AD81=""),0,COUNTIFS($AK$3:$AK$98,$AK81,K$3:K$98,"&lt;"&amp;AD81,L$3:L$98,"&gt;"&amp;AC81)+COUNTIFS($AK$3:$AK$98,$AK81,M$3:M$98,"&lt;"&amp;AD81,N$3:N$98,"&gt;"&amp;AC81)+COUNTIFS($AK$3:$AK$98,$AK81,O$3:O$98,"&lt;"&amp;AD81,P$3:P$98,"&gt;"&amp;AC81)+COUNTIFS($AK$3:$AK$98,$AK81,Q$3:Q$98,"&lt;"&amp;AD81,R$3:R$98,"&gt;"&amp;AC81)+COUNTIFS($AK$3:$AK$98,$AK81,S$3:S$98,"&lt;"&amp;AD81,T$3:T$98,"&gt;"&amp;AC81)+COUNTIFS($AK$3:$AK$98,$AK81,U$3:U$98,"&lt;"&amp;AD81,V$3:V$98,"&gt;"&amp;AC81)+COUNTIFS($AK$3:$AK$98,$AK81,W$3:W$98,"&lt;"&amp;AD81,X$3:X$98,"&gt;"&amp;AC81)+COUNTIFS($AK$3:$AK$98,$AK81,Y$3:Y$98,"&lt;"&amp;AD81,Z$3:Z$98,"&gt;"&amp;AC81)+COUNTIFS($AK$3:$AK$98,$AK81,AA$3:AA$98,"&lt;"&amp;AD81,AB$3:AB$98,"&gt;"&amp;AC81)+COUNTIFS($AK$3:$AK$98,$AK81,AC$3:AC$98,"&lt;"&amp;AD81,AD$3:AD$98,"&gt;"&amp;AC81)+COUNTIFS($AK$3:$AK$98,$AK81,AE$3:AE$98,"&lt;"&amp;AD81,AF$3:AF$98,"&gt;"&amp;AC81)+COUNTIFS($AK$3:$AK$98,$AK81,AG$3:AG$98,"&lt;"&amp;AD81,AH$3:AH$98,"&gt;"&amp;AC81)-(AC81&lt;AD81))</f>
        <v>0</v>
      </c>
      <c r="BJ81">
        <f>BI81</f>
        <v>0</v>
      </c>
      <c r="BK81">
        <f>IF(OR($AK81="",AE81="",AF81=""),0,COUNTIFS($AK$3:$AK$98,$AK81,K$3:K$98,"&lt;"&amp;AF81,L$3:L$98,"&gt;"&amp;AE81)+COUNTIFS($AK$3:$AK$98,$AK81,M$3:M$98,"&lt;"&amp;AF81,N$3:N$98,"&gt;"&amp;AE81)+COUNTIFS($AK$3:$AK$98,$AK81,O$3:O$98,"&lt;"&amp;AF81,P$3:P$98,"&gt;"&amp;AE81)+COUNTIFS($AK$3:$AK$98,$AK81,Q$3:Q$98,"&lt;"&amp;AF81,R$3:R$98,"&gt;"&amp;AE81)+COUNTIFS($AK$3:$AK$98,$AK81,S$3:S$98,"&lt;"&amp;AF81,T$3:T$98,"&gt;"&amp;AE81)+COUNTIFS($AK$3:$AK$98,$AK81,U$3:U$98,"&lt;"&amp;AF81,V$3:V$98,"&gt;"&amp;AE81)+COUNTIFS($AK$3:$AK$98,$AK81,W$3:W$98,"&lt;"&amp;AF81,X$3:X$98,"&gt;"&amp;AE81)+COUNTIFS($AK$3:$AK$98,$AK81,Y$3:Y$98,"&lt;"&amp;AF81,Z$3:Z$98,"&gt;"&amp;AE81)+COUNTIFS($AK$3:$AK$98,$AK81,AA$3:AA$98,"&lt;"&amp;AF81,AB$3:AB$98,"&gt;"&amp;AE81)+COUNTIFS($AK$3:$AK$98,$AK81,AC$3:AC$98,"&lt;"&amp;AF81,AD$3:AD$98,"&gt;"&amp;AE81)+COUNTIFS($AK$3:$AK$98,$AK81,AE$3:AE$98,"&lt;"&amp;AF81,AF$3:AF$98,"&gt;"&amp;AE81)+COUNTIFS($AK$3:$AK$98,$AK81,AG$3:AG$98,"&lt;"&amp;AF81,AH$3:AH$98,"&gt;"&amp;AE81)-(AE81&lt;AF81))</f>
        <v>0</v>
      </c>
      <c r="BL81">
        <f>BK81</f>
        <v>0</v>
      </c>
      <c r="BM81">
        <f>IF(OR($AK81="",AG81="",AH81=""),0,COUNTIFS($AK$3:$AK$98,$AK81,K$3:K$98,"&lt;"&amp;AH81,L$3:L$98,"&gt;"&amp;AG81)+COUNTIFS($AK$3:$AK$98,$AK81,M$3:M$98,"&lt;"&amp;AH81,N$3:N$98,"&gt;"&amp;AG81)+COUNTIFS($AK$3:$AK$98,$AK81,O$3:O$98,"&lt;"&amp;AH81,P$3:P$98,"&gt;"&amp;AG81)+COUNTIFS($AK$3:$AK$98,$AK81,Q$3:Q$98,"&lt;"&amp;AH81,R$3:R$98,"&gt;"&amp;AG81)+COUNTIFS($AK$3:$AK$98,$AK81,S$3:S$98,"&lt;"&amp;AH81,T$3:T$98,"&gt;"&amp;AG81)+COUNTIFS($AK$3:$AK$98,$AK81,U$3:U$98,"&lt;"&amp;AH81,V$3:V$98,"&gt;"&amp;AG81)+COUNTIFS($AK$3:$AK$98,$AK81,W$3:W$98,"&lt;"&amp;AH81,X$3:X$98,"&gt;"&amp;AG81)+COUNTIFS($AK$3:$AK$98,$AK81,Y$3:Y$98,"&lt;"&amp;AH81,Z$3:Z$98,"&gt;"&amp;AG81)+COUNTIFS($AK$3:$AK$98,$AK81,AA$3:AA$98,"&lt;"&amp;AH81,AB$3:AB$98,"&gt;"&amp;AG81)+COUNTIFS($AK$3:$AK$98,$AK81,AC$3:AC$98,"&lt;"&amp;AH81,AD$3:AD$98,"&gt;"&amp;AG81)+COUNTIFS($AK$3:$AK$98,$AK81,AE$3:AE$98,"&lt;"&amp;AH81,AF$3:AF$98,"&gt;"&amp;AG81)+COUNTIFS($AK$3:$AK$98,$AK81,AG$3:AG$98,"&lt;"&amp;AH81,AH$3:AH$98,"&gt;"&amp;AG81)-(AG81&lt;AH81))</f>
        <v>0</v>
      </c>
      <c r="BN81">
        <f>BM81</f>
        <v>0</v>
      </c>
      <c r="BO81">
        <f>IF(ISNUMBER($G81),$G81,"")</f>
        <v>0</v>
      </c>
      <c r="BP81" t="str">
        <f>IF(AND($A81&lt;&gt;"",COUNT($K81:$AH81)&gt;0),ROW(),"")</f>
        <v/>
      </c>
    </row>
    <row r="82" spans="1:68" ht="14.25" customHeight="1" thickBot="1" x14ac:dyDescent="0.2">
      <c r="A82" s="25" t="str">
        <f>IF($A79="","",$A79)</f>
        <v>chMozukuA</v>
      </c>
      <c r="B82" s="26" t="str">
        <f>IF($A79="","","fac")</f>
        <v>fac</v>
      </c>
      <c r="C82" s="26"/>
      <c r="D82" s="27">
        <v>0</v>
      </c>
      <c r="E82" s="28">
        <f>IF(AND($D82="",COUNT($K82:$AH82)=0),"",IF(K82="",0,MAX(0,NETWORKDAYS(K82,IF(L82&lt;&gt;"",L82,IF($J82&lt;&gt;"",K82,$AI$1)),祝日!$A$2:$A$200)))+IF(M82="",0,MAX(0,NETWORKDAYS(M82,IF(N82&lt;&gt;"",N82,IF($J82&lt;&gt;"",M82,$AI$1)),祝日!$A$2:$A$200)))+IF(O82="",0,MAX(0,NETWORKDAYS(O82,IF(P82&lt;&gt;"",P82,IF($J82&lt;&gt;"",O82,$AI$1)),祝日!$A$2:$A$200)))+IF(Q82="",0,MAX(0,NETWORKDAYS(Q82,IF(R82&lt;&gt;"",R82,IF($J82&lt;&gt;"",Q82,$AI$1)),祝日!$A$2:$A$200)))+IF(S82="",0,MAX(0,NETWORKDAYS(S82,IF(T82&lt;&gt;"",T82,IF($J82&lt;&gt;"",S82,$AI$1)),祝日!$A$2:$A$200)))+IF(U82="",0,MAX(0,NETWORKDAYS(U82,IF(V82&lt;&gt;"",V82,IF($J82&lt;&gt;"",U82,$AI$1)),祝日!$A$2:$A$200)))+IF(W82="",0,MAX(0,NETWORKDAYS(W82,IF(X82&lt;&gt;"",X82,IF($J82&lt;&gt;"",W82,$AI$1)),祝日!$A$2:$A$200)))+IF(Y82="",0,MAX(0,NETWORKDAYS(Y82,IF(Z82&lt;&gt;"",Z82,IF($J82&lt;&gt;"",Y82,$AI$1)),祝日!$A$2:$A$200)))+IF(AA82="",0,MAX(0,NETWORKDAYS(AA82,IF(AB82&lt;&gt;"",AB82,IF($J82&lt;&gt;"",AA82,$AI$1)),祝日!$A$2:$A$200)))+IF(AC82="",0,MAX(0,NETWORKDAYS(AC82,IF(AD82&lt;&gt;"",AD82,IF($J82&lt;&gt;"",AC82,$AI$1)),祝日!$A$2:$A$200)))+IF(AE82="",0,MAX(0,NETWORKDAYS(AE82,IF(AF82&lt;&gt;"",AF82,IF($J82&lt;&gt;"",AE82,$AI$1)),祝日!$A$2:$A$200)))+IF(AG82="",0,MAX(0,NETWORKDAYS(AG82,IF(AH82&lt;&gt;"",AH82,IF($J82&lt;&gt;"",AG82,$AI$1)),祝日!$A$2:$A$200))))</f>
        <v>0</v>
      </c>
      <c r="F82" s="28">
        <f>IF($D82="","",$D82-$E82)</f>
        <v>0</v>
      </c>
      <c r="G82" s="29" t="str">
        <f>IF(OR($D82="",$D82=0),"",$E82/$D82)</f>
        <v/>
      </c>
      <c r="H82" s="30" t="str">
        <f>IF($D82="","",IF($J82&lt;&gt;"","FIX",IF(AND(SUMPRODUCT((MOD(COLUMN($K82:$AH82)-COLUMN($K82),2)=0)*($K82:$AH82&lt;&gt;""))=0,SUMPRODUCT((MOD(COLUMN($K82:$AH82)-COLUMN($K82),2)=1)*($K82:$AH82&lt;&gt;""))=0),"未着手",IF(SUMPRODUCT((MOD(COLUMN($K82:$AH82)-COLUMN($K82),2)=0)*($K82:$AH82&lt;&gt;""))&gt;SUMPRODUCT((MOD(COLUMN($K82:$AH82)-COLUMN($K82),2)=1)*($K82:$AH82&lt;&gt;"")),"作業中","中断"))))</f>
        <v>未着手</v>
      </c>
      <c r="I82" s="30" t="str">
        <f>IF($H82="中断",MAX(0,$AI$1-MAX(L82,N82,P82,R82,T82,V82,X82,Z82,AB82,AD82,AF82,AH82)),"")</f>
        <v/>
      </c>
      <c r="J82" s="26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K82" t="str">
        <f>IF($A79="","",IF(LOOKUP(2,1/($AJ$3:$AJ82&lt;&gt;""),$AJ$3:$AJ82)="-","",LOOKUP(2,1/($AJ$3:$AJ82&lt;&gt;""),$AJ$3:$AJ82)))</f>
        <v/>
      </c>
      <c r="AL82" t="str">
        <f>$H82</f>
        <v>未着手</v>
      </c>
      <c r="AM82">
        <f>IF(ISNUMBER($D82),$D82,0)</f>
        <v>0</v>
      </c>
      <c r="AN82">
        <f>IF(ISNUMBER($E82),$E82,0)</f>
        <v>0</v>
      </c>
      <c r="AO82">
        <f>IF(ISNUMBER($F82),$F82,0)</f>
        <v>0</v>
      </c>
      <c r="AQ82">
        <f>IF(OR($AK82="",K82="",L82=""),0,COUNTIFS($AK$3:$AK$98,$AK82,K$3:K$98,"&lt;"&amp;L82,L$3:L$98,"&gt;"&amp;K82)+COUNTIFS($AK$3:$AK$98,$AK82,M$3:M$98,"&lt;"&amp;L82,N$3:N$98,"&gt;"&amp;K82)+COUNTIFS($AK$3:$AK$98,$AK82,O$3:O$98,"&lt;"&amp;L82,P$3:P$98,"&gt;"&amp;K82)+COUNTIFS($AK$3:$AK$98,$AK82,Q$3:Q$98,"&lt;"&amp;L82,R$3:R$98,"&gt;"&amp;K82)+COUNTIFS($AK$3:$AK$98,$AK82,S$3:S$98,"&lt;"&amp;L82,T$3:T$98,"&gt;"&amp;K82)+COUNTIFS($AK$3:$AK$98,$AK82,U$3:U$98,"&lt;"&amp;L82,V$3:V$98,"&gt;"&amp;K82)+COUNTIFS($AK$3:$AK$98,$AK82,W$3:W$98,"&lt;"&amp;L82,X$3:X$98,"&gt;"&amp;K82)+COUNTIFS($AK$3:$AK$98,$AK82,Y$3:Y$98,"&lt;"&amp;L82,Z$3:Z$98,"&gt;"&amp;K82)+COUNTIFS($AK$3:$AK$98,$AK82,AA$3:AA$98,"&lt;"&amp;L82,AB$3:AB$98,"&gt;"&amp;K82)+COUNTIFS($AK$3:$AK$98,$AK82,AC$3:AC$98,"&lt;"&amp;L82,AD$3:AD$98,"&gt;"&amp;K82)+COUNTIFS($AK$3:$AK$98,$AK82,AE$3:AE$98,"&lt;"&amp;L82,AF$3:AF$98,"&gt;"&amp;K82)+COUNTIFS($AK$3:$AK$98,$AK82,AG$3:AG$98,"&lt;"&amp;L82,AH$3:AH$98,"&gt;"&amp;K82)-(K82&lt;L82))</f>
        <v>0</v>
      </c>
      <c r="AR82">
        <f>AQ82</f>
        <v>0</v>
      </c>
      <c r="AS82">
        <f>IF(OR($AK82="",M82="",N82=""),0,COUNTIFS($AK$3:$AK$98,$AK82,K$3:K$98,"&lt;"&amp;N82,L$3:L$98,"&gt;"&amp;M82)+COUNTIFS($AK$3:$AK$98,$AK82,M$3:M$98,"&lt;"&amp;N82,N$3:N$98,"&gt;"&amp;M82)+COUNTIFS($AK$3:$AK$98,$AK82,O$3:O$98,"&lt;"&amp;N82,P$3:P$98,"&gt;"&amp;M82)+COUNTIFS($AK$3:$AK$98,$AK82,Q$3:Q$98,"&lt;"&amp;N82,R$3:R$98,"&gt;"&amp;M82)+COUNTIFS($AK$3:$AK$98,$AK82,S$3:S$98,"&lt;"&amp;N82,T$3:T$98,"&gt;"&amp;M82)+COUNTIFS($AK$3:$AK$98,$AK82,U$3:U$98,"&lt;"&amp;N82,V$3:V$98,"&gt;"&amp;M82)+COUNTIFS($AK$3:$AK$98,$AK82,W$3:W$98,"&lt;"&amp;N82,X$3:X$98,"&gt;"&amp;M82)+COUNTIFS($AK$3:$AK$98,$AK82,Y$3:Y$98,"&lt;"&amp;N82,Z$3:Z$98,"&gt;"&amp;M82)+COUNTIFS($AK$3:$AK$98,$AK82,AA$3:AA$98,"&lt;"&amp;N82,AB$3:AB$98,"&gt;"&amp;M82)+COUNTIFS($AK$3:$AK$98,$AK82,AC$3:AC$98,"&lt;"&amp;N82,AD$3:AD$98,"&gt;"&amp;M82)+COUNTIFS($AK$3:$AK$98,$AK82,AE$3:AE$98,"&lt;"&amp;N82,AF$3:AF$98,"&gt;"&amp;M82)+COUNTIFS($AK$3:$AK$98,$AK82,AG$3:AG$98,"&lt;"&amp;N82,AH$3:AH$98,"&gt;"&amp;M82)-(M82&lt;N82))</f>
        <v>0</v>
      </c>
      <c r="AT82">
        <f>AS82</f>
        <v>0</v>
      </c>
      <c r="AU82">
        <f>IF(OR($AK82="",O82="",P82=""),0,COUNTIFS($AK$3:$AK$98,$AK82,K$3:K$98,"&lt;"&amp;P82,L$3:L$98,"&gt;"&amp;O82)+COUNTIFS($AK$3:$AK$98,$AK82,M$3:M$98,"&lt;"&amp;P82,N$3:N$98,"&gt;"&amp;O82)+COUNTIFS($AK$3:$AK$98,$AK82,O$3:O$98,"&lt;"&amp;P82,P$3:P$98,"&gt;"&amp;O82)+COUNTIFS($AK$3:$AK$98,$AK82,Q$3:Q$98,"&lt;"&amp;P82,R$3:R$98,"&gt;"&amp;O82)+COUNTIFS($AK$3:$AK$98,$AK82,S$3:S$98,"&lt;"&amp;P82,T$3:T$98,"&gt;"&amp;O82)+COUNTIFS($AK$3:$AK$98,$AK82,U$3:U$98,"&lt;"&amp;P82,V$3:V$98,"&gt;"&amp;O82)+COUNTIFS($AK$3:$AK$98,$AK82,W$3:W$98,"&lt;"&amp;P82,X$3:X$98,"&gt;"&amp;O82)+COUNTIFS($AK$3:$AK$98,$AK82,Y$3:Y$98,"&lt;"&amp;P82,Z$3:Z$98,"&gt;"&amp;O82)+COUNTIFS($AK$3:$AK$98,$AK82,AA$3:AA$98,"&lt;"&amp;P82,AB$3:AB$98,"&gt;"&amp;O82)+COUNTIFS($AK$3:$AK$98,$AK82,AC$3:AC$98,"&lt;"&amp;P82,AD$3:AD$98,"&gt;"&amp;O82)+COUNTIFS($AK$3:$AK$98,$AK82,AE$3:AE$98,"&lt;"&amp;P82,AF$3:AF$98,"&gt;"&amp;O82)+COUNTIFS($AK$3:$AK$98,$AK82,AG$3:AG$98,"&lt;"&amp;P82,AH$3:AH$98,"&gt;"&amp;O82)-(O82&lt;P82))</f>
        <v>0</v>
      </c>
      <c r="AV82">
        <f>AU82</f>
        <v>0</v>
      </c>
      <c r="AW82">
        <f>IF(OR($AK82="",Q82="",R82=""),0,COUNTIFS($AK$3:$AK$98,$AK82,K$3:K$98,"&lt;"&amp;R82,L$3:L$98,"&gt;"&amp;Q82)+COUNTIFS($AK$3:$AK$98,$AK82,M$3:M$98,"&lt;"&amp;R82,N$3:N$98,"&gt;"&amp;Q82)+COUNTIFS($AK$3:$AK$98,$AK82,O$3:O$98,"&lt;"&amp;R82,P$3:P$98,"&gt;"&amp;Q82)+COUNTIFS($AK$3:$AK$98,$AK82,Q$3:Q$98,"&lt;"&amp;R82,R$3:R$98,"&gt;"&amp;Q82)+COUNTIFS($AK$3:$AK$98,$AK82,S$3:S$98,"&lt;"&amp;R82,T$3:T$98,"&gt;"&amp;Q82)+COUNTIFS($AK$3:$AK$98,$AK82,U$3:U$98,"&lt;"&amp;R82,V$3:V$98,"&gt;"&amp;Q82)+COUNTIFS($AK$3:$AK$98,$AK82,W$3:W$98,"&lt;"&amp;R82,X$3:X$98,"&gt;"&amp;Q82)+COUNTIFS($AK$3:$AK$98,$AK82,Y$3:Y$98,"&lt;"&amp;R82,Z$3:Z$98,"&gt;"&amp;Q82)+COUNTIFS($AK$3:$AK$98,$AK82,AA$3:AA$98,"&lt;"&amp;R82,AB$3:AB$98,"&gt;"&amp;Q82)+COUNTIFS($AK$3:$AK$98,$AK82,AC$3:AC$98,"&lt;"&amp;R82,AD$3:AD$98,"&gt;"&amp;Q82)+COUNTIFS($AK$3:$AK$98,$AK82,AE$3:AE$98,"&lt;"&amp;R82,AF$3:AF$98,"&gt;"&amp;Q82)+COUNTIFS($AK$3:$AK$98,$AK82,AG$3:AG$98,"&lt;"&amp;R82,AH$3:AH$98,"&gt;"&amp;Q82)-(Q82&lt;R82))</f>
        <v>0</v>
      </c>
      <c r="AX82">
        <f>AW82</f>
        <v>0</v>
      </c>
      <c r="AY82">
        <f>IF(OR($AK82="",S82="",T82=""),0,COUNTIFS($AK$3:$AK$98,$AK82,K$3:K$98,"&lt;"&amp;T82,L$3:L$98,"&gt;"&amp;S82)+COUNTIFS($AK$3:$AK$98,$AK82,M$3:M$98,"&lt;"&amp;T82,N$3:N$98,"&gt;"&amp;S82)+COUNTIFS($AK$3:$AK$98,$AK82,O$3:O$98,"&lt;"&amp;T82,P$3:P$98,"&gt;"&amp;S82)+COUNTIFS($AK$3:$AK$98,$AK82,Q$3:Q$98,"&lt;"&amp;T82,R$3:R$98,"&gt;"&amp;S82)+COUNTIFS($AK$3:$AK$98,$AK82,S$3:S$98,"&lt;"&amp;T82,T$3:T$98,"&gt;"&amp;S82)+COUNTIFS($AK$3:$AK$98,$AK82,U$3:U$98,"&lt;"&amp;T82,V$3:V$98,"&gt;"&amp;S82)+COUNTIFS($AK$3:$AK$98,$AK82,W$3:W$98,"&lt;"&amp;T82,X$3:X$98,"&gt;"&amp;S82)+COUNTIFS($AK$3:$AK$98,$AK82,Y$3:Y$98,"&lt;"&amp;T82,Z$3:Z$98,"&gt;"&amp;S82)+COUNTIFS($AK$3:$AK$98,$AK82,AA$3:AA$98,"&lt;"&amp;T82,AB$3:AB$98,"&gt;"&amp;S82)+COUNTIFS($AK$3:$AK$98,$AK82,AC$3:AC$98,"&lt;"&amp;T82,AD$3:AD$98,"&gt;"&amp;S82)+COUNTIFS($AK$3:$AK$98,$AK82,AE$3:AE$98,"&lt;"&amp;T82,AF$3:AF$98,"&gt;"&amp;S82)+COUNTIFS($AK$3:$AK$98,$AK82,AG$3:AG$98,"&lt;"&amp;T82,AH$3:AH$98,"&gt;"&amp;S82)-(S82&lt;T82))</f>
        <v>0</v>
      </c>
      <c r="AZ82">
        <f>AY82</f>
        <v>0</v>
      </c>
      <c r="BA82">
        <f>IF(OR($AK82="",U82="",V82=""),0,COUNTIFS($AK$3:$AK$98,$AK82,K$3:K$98,"&lt;"&amp;V82,L$3:L$98,"&gt;"&amp;U82)+COUNTIFS($AK$3:$AK$98,$AK82,M$3:M$98,"&lt;"&amp;V82,N$3:N$98,"&gt;"&amp;U82)+COUNTIFS($AK$3:$AK$98,$AK82,O$3:O$98,"&lt;"&amp;V82,P$3:P$98,"&gt;"&amp;U82)+COUNTIFS($AK$3:$AK$98,$AK82,Q$3:Q$98,"&lt;"&amp;V82,R$3:R$98,"&gt;"&amp;U82)+COUNTIFS($AK$3:$AK$98,$AK82,S$3:S$98,"&lt;"&amp;V82,T$3:T$98,"&gt;"&amp;U82)+COUNTIFS($AK$3:$AK$98,$AK82,U$3:U$98,"&lt;"&amp;V82,V$3:V$98,"&gt;"&amp;U82)+COUNTIFS($AK$3:$AK$98,$AK82,W$3:W$98,"&lt;"&amp;V82,X$3:X$98,"&gt;"&amp;U82)+COUNTIFS($AK$3:$AK$98,$AK82,Y$3:Y$98,"&lt;"&amp;V82,Z$3:Z$98,"&gt;"&amp;U82)+COUNTIFS($AK$3:$AK$98,$AK82,AA$3:AA$98,"&lt;"&amp;V82,AB$3:AB$98,"&gt;"&amp;U82)+COUNTIFS($AK$3:$AK$98,$AK82,AC$3:AC$98,"&lt;"&amp;V82,AD$3:AD$98,"&gt;"&amp;U82)+COUNTIFS($AK$3:$AK$98,$AK82,AE$3:AE$98,"&lt;"&amp;V82,AF$3:AF$98,"&gt;"&amp;U82)+COUNTIFS($AK$3:$AK$98,$AK82,AG$3:AG$98,"&lt;"&amp;V82,AH$3:AH$98,"&gt;"&amp;U82)-(U82&lt;V82))</f>
        <v>0</v>
      </c>
      <c r="BB82">
        <f>BA82</f>
        <v>0</v>
      </c>
      <c r="BC82">
        <f>IF(OR($AK82="",W82="",X82=""),0,COUNTIFS($AK$3:$AK$98,$AK82,K$3:K$98,"&lt;"&amp;X82,L$3:L$98,"&gt;"&amp;W82)+COUNTIFS($AK$3:$AK$98,$AK82,M$3:M$98,"&lt;"&amp;X82,N$3:N$98,"&gt;"&amp;W82)+COUNTIFS($AK$3:$AK$98,$AK82,O$3:O$98,"&lt;"&amp;X82,P$3:P$98,"&gt;"&amp;W82)+COUNTIFS($AK$3:$AK$98,$AK82,Q$3:Q$98,"&lt;"&amp;X82,R$3:R$98,"&gt;"&amp;W82)+COUNTIFS($AK$3:$AK$98,$AK82,S$3:S$98,"&lt;"&amp;X82,T$3:T$98,"&gt;"&amp;W82)+COUNTIFS($AK$3:$AK$98,$AK82,U$3:U$98,"&lt;"&amp;X82,V$3:V$98,"&gt;"&amp;W82)+COUNTIFS($AK$3:$AK$98,$AK82,W$3:W$98,"&lt;"&amp;X82,X$3:X$98,"&gt;"&amp;W82)+COUNTIFS($AK$3:$AK$98,$AK82,Y$3:Y$98,"&lt;"&amp;X82,Z$3:Z$98,"&gt;"&amp;W82)+COUNTIFS($AK$3:$AK$98,$AK82,AA$3:AA$98,"&lt;"&amp;X82,AB$3:AB$98,"&gt;"&amp;W82)+COUNTIFS($AK$3:$AK$98,$AK82,AC$3:AC$98,"&lt;"&amp;X82,AD$3:AD$98,"&gt;"&amp;W82)+COUNTIFS($AK$3:$AK$98,$AK82,AE$3:AE$98,"&lt;"&amp;X82,AF$3:AF$98,"&gt;"&amp;W82)+COUNTIFS($AK$3:$AK$98,$AK82,AG$3:AG$98,"&lt;"&amp;X82,AH$3:AH$98,"&gt;"&amp;W82)-(W82&lt;X82))</f>
        <v>0</v>
      </c>
      <c r="BD82">
        <f>BC82</f>
        <v>0</v>
      </c>
      <c r="BE82">
        <f>IF(OR($AK82="",Y82="",Z82=""),0,COUNTIFS($AK$3:$AK$98,$AK82,K$3:K$98,"&lt;"&amp;Z82,L$3:L$98,"&gt;"&amp;Y82)+COUNTIFS($AK$3:$AK$98,$AK82,M$3:M$98,"&lt;"&amp;Z82,N$3:N$98,"&gt;"&amp;Y82)+COUNTIFS($AK$3:$AK$98,$AK82,O$3:O$98,"&lt;"&amp;Z82,P$3:P$98,"&gt;"&amp;Y82)+COUNTIFS($AK$3:$AK$98,$AK82,Q$3:Q$98,"&lt;"&amp;Z82,R$3:R$98,"&gt;"&amp;Y82)+COUNTIFS($AK$3:$AK$98,$AK82,S$3:S$98,"&lt;"&amp;Z82,T$3:T$98,"&gt;"&amp;Y82)+COUNTIFS($AK$3:$AK$98,$AK82,U$3:U$98,"&lt;"&amp;Z82,V$3:V$98,"&gt;"&amp;Y82)+COUNTIFS($AK$3:$AK$98,$AK82,W$3:W$98,"&lt;"&amp;Z82,X$3:X$98,"&gt;"&amp;Y82)+COUNTIFS($AK$3:$AK$98,$AK82,Y$3:Y$98,"&lt;"&amp;Z82,Z$3:Z$98,"&gt;"&amp;Y82)+COUNTIFS($AK$3:$AK$98,$AK82,AA$3:AA$98,"&lt;"&amp;Z82,AB$3:AB$98,"&gt;"&amp;Y82)+COUNTIFS($AK$3:$AK$98,$AK82,AC$3:AC$98,"&lt;"&amp;Z82,AD$3:AD$98,"&gt;"&amp;Y82)+COUNTIFS($AK$3:$AK$98,$AK82,AE$3:AE$98,"&lt;"&amp;Z82,AF$3:AF$98,"&gt;"&amp;Y82)+COUNTIFS($AK$3:$AK$98,$AK82,AG$3:AG$98,"&lt;"&amp;Z82,AH$3:AH$98,"&gt;"&amp;Y82)-(Y82&lt;Z82))</f>
        <v>0</v>
      </c>
      <c r="BF82">
        <f>BE82</f>
        <v>0</v>
      </c>
      <c r="BG82">
        <f>IF(OR($AK82="",AA82="",AB82=""),0,COUNTIFS($AK$3:$AK$98,$AK82,K$3:K$98,"&lt;"&amp;AB82,L$3:L$98,"&gt;"&amp;AA82)+COUNTIFS($AK$3:$AK$98,$AK82,M$3:M$98,"&lt;"&amp;AB82,N$3:N$98,"&gt;"&amp;AA82)+COUNTIFS($AK$3:$AK$98,$AK82,O$3:O$98,"&lt;"&amp;AB82,P$3:P$98,"&gt;"&amp;AA82)+COUNTIFS($AK$3:$AK$98,$AK82,Q$3:Q$98,"&lt;"&amp;AB82,R$3:R$98,"&gt;"&amp;AA82)+COUNTIFS($AK$3:$AK$98,$AK82,S$3:S$98,"&lt;"&amp;AB82,T$3:T$98,"&gt;"&amp;AA82)+COUNTIFS($AK$3:$AK$98,$AK82,U$3:U$98,"&lt;"&amp;AB82,V$3:V$98,"&gt;"&amp;AA82)+COUNTIFS($AK$3:$AK$98,$AK82,W$3:W$98,"&lt;"&amp;AB82,X$3:X$98,"&gt;"&amp;AA82)+COUNTIFS($AK$3:$AK$98,$AK82,Y$3:Y$98,"&lt;"&amp;AB82,Z$3:Z$98,"&gt;"&amp;AA82)+COUNTIFS($AK$3:$AK$98,$AK82,AA$3:AA$98,"&lt;"&amp;AB82,AB$3:AB$98,"&gt;"&amp;AA82)+COUNTIFS($AK$3:$AK$98,$AK82,AC$3:AC$98,"&lt;"&amp;AB82,AD$3:AD$98,"&gt;"&amp;AA82)+COUNTIFS($AK$3:$AK$98,$AK82,AE$3:AE$98,"&lt;"&amp;AB82,AF$3:AF$98,"&gt;"&amp;AA82)+COUNTIFS($AK$3:$AK$98,$AK82,AG$3:AG$98,"&lt;"&amp;AB82,AH$3:AH$98,"&gt;"&amp;AA82)-(AA82&lt;AB82))</f>
        <v>0</v>
      </c>
      <c r="BH82">
        <f>BG82</f>
        <v>0</v>
      </c>
      <c r="BI82">
        <f>IF(OR($AK82="",AC82="",AD82=""),0,COUNTIFS($AK$3:$AK$98,$AK82,K$3:K$98,"&lt;"&amp;AD82,L$3:L$98,"&gt;"&amp;AC82)+COUNTIFS($AK$3:$AK$98,$AK82,M$3:M$98,"&lt;"&amp;AD82,N$3:N$98,"&gt;"&amp;AC82)+COUNTIFS($AK$3:$AK$98,$AK82,O$3:O$98,"&lt;"&amp;AD82,P$3:P$98,"&gt;"&amp;AC82)+COUNTIFS($AK$3:$AK$98,$AK82,Q$3:Q$98,"&lt;"&amp;AD82,R$3:R$98,"&gt;"&amp;AC82)+COUNTIFS($AK$3:$AK$98,$AK82,S$3:S$98,"&lt;"&amp;AD82,T$3:T$98,"&gt;"&amp;AC82)+COUNTIFS($AK$3:$AK$98,$AK82,U$3:U$98,"&lt;"&amp;AD82,V$3:V$98,"&gt;"&amp;AC82)+COUNTIFS($AK$3:$AK$98,$AK82,W$3:W$98,"&lt;"&amp;AD82,X$3:X$98,"&gt;"&amp;AC82)+COUNTIFS($AK$3:$AK$98,$AK82,Y$3:Y$98,"&lt;"&amp;AD82,Z$3:Z$98,"&gt;"&amp;AC82)+COUNTIFS($AK$3:$AK$98,$AK82,AA$3:AA$98,"&lt;"&amp;AD82,AB$3:AB$98,"&gt;"&amp;AC82)+COUNTIFS($AK$3:$AK$98,$AK82,AC$3:AC$98,"&lt;"&amp;AD82,AD$3:AD$98,"&gt;"&amp;AC82)+COUNTIFS($AK$3:$AK$98,$AK82,AE$3:AE$98,"&lt;"&amp;AD82,AF$3:AF$98,"&gt;"&amp;AC82)+COUNTIFS($AK$3:$AK$98,$AK82,AG$3:AG$98,"&lt;"&amp;AD82,AH$3:AH$98,"&gt;"&amp;AC82)-(AC82&lt;AD82))</f>
        <v>0</v>
      </c>
      <c r="BJ82">
        <f>BI82</f>
        <v>0</v>
      </c>
      <c r="BK82">
        <f>IF(OR($AK82="",AE82="",AF82=""),0,COUNTIFS($AK$3:$AK$98,$AK82,K$3:K$98,"&lt;"&amp;AF82,L$3:L$98,"&gt;"&amp;AE82)+COUNTIFS($AK$3:$AK$98,$AK82,M$3:M$98,"&lt;"&amp;AF82,N$3:N$98,"&gt;"&amp;AE82)+COUNTIFS($AK$3:$AK$98,$AK82,O$3:O$98,"&lt;"&amp;AF82,P$3:P$98,"&gt;"&amp;AE82)+COUNTIFS($AK$3:$AK$98,$AK82,Q$3:Q$98,"&lt;"&amp;AF82,R$3:R$98,"&gt;"&amp;AE82)+COUNTIFS($AK$3:$AK$98,$AK82,S$3:S$98,"&lt;"&amp;AF82,T$3:T$98,"&gt;"&amp;AE82)+COUNTIFS($AK$3:$AK$98,$AK82,U$3:U$98,"&lt;"&amp;AF82,V$3:V$98,"&gt;"&amp;AE82)+COUNTIFS($AK$3:$AK$98,$AK82,W$3:W$98,"&lt;"&amp;AF82,X$3:X$98,"&gt;"&amp;AE82)+COUNTIFS($AK$3:$AK$98,$AK82,Y$3:Y$98,"&lt;"&amp;AF82,Z$3:Z$98,"&gt;"&amp;AE82)+COUNTIFS($AK$3:$AK$98,$AK82,AA$3:AA$98,"&lt;"&amp;AF82,AB$3:AB$98,"&gt;"&amp;AE82)+COUNTIFS($AK$3:$AK$98,$AK82,AC$3:AC$98,"&lt;"&amp;AF82,AD$3:AD$98,"&gt;"&amp;AE82)+COUNTIFS($AK$3:$AK$98,$AK82,AE$3:AE$98,"&lt;"&amp;AF82,AF$3:AF$98,"&gt;"&amp;AE82)+COUNTIFS($AK$3:$AK$98,$AK82,AG$3:AG$98,"&lt;"&amp;AF82,AH$3:AH$98,"&gt;"&amp;AE82)-(AE82&lt;AF82))</f>
        <v>0</v>
      </c>
      <c r="BL82">
        <f>BK82</f>
        <v>0</v>
      </c>
      <c r="BM82">
        <f>IF(OR($AK82="",AG82="",AH82=""),0,COUNTIFS($AK$3:$AK$98,$AK82,K$3:K$98,"&lt;"&amp;AH82,L$3:L$98,"&gt;"&amp;AG82)+COUNTIFS($AK$3:$AK$98,$AK82,M$3:M$98,"&lt;"&amp;AH82,N$3:N$98,"&gt;"&amp;AG82)+COUNTIFS($AK$3:$AK$98,$AK82,O$3:O$98,"&lt;"&amp;AH82,P$3:P$98,"&gt;"&amp;AG82)+COUNTIFS($AK$3:$AK$98,$AK82,Q$3:Q$98,"&lt;"&amp;AH82,R$3:R$98,"&gt;"&amp;AG82)+COUNTIFS($AK$3:$AK$98,$AK82,S$3:S$98,"&lt;"&amp;AH82,T$3:T$98,"&gt;"&amp;AG82)+COUNTIFS($AK$3:$AK$98,$AK82,U$3:U$98,"&lt;"&amp;AH82,V$3:V$98,"&gt;"&amp;AG82)+COUNTIFS($AK$3:$AK$98,$AK82,W$3:W$98,"&lt;"&amp;AH82,X$3:X$98,"&gt;"&amp;AG82)+COUNTIFS($AK$3:$AK$98,$AK82,Y$3:Y$98,"&lt;"&amp;AH82,Z$3:Z$98,"&gt;"&amp;AG82)+COUNTIFS($AK$3:$AK$98,$AK82,AA$3:AA$98,"&lt;"&amp;AH82,AB$3:AB$98,"&gt;"&amp;AG82)+COUNTIFS($AK$3:$AK$98,$AK82,AC$3:AC$98,"&lt;"&amp;AH82,AD$3:AD$98,"&gt;"&amp;AG82)+COUNTIFS($AK$3:$AK$98,$AK82,AE$3:AE$98,"&lt;"&amp;AH82,AF$3:AF$98,"&gt;"&amp;AG82)+COUNTIFS($AK$3:$AK$98,$AK82,AG$3:AG$98,"&lt;"&amp;AH82,AH$3:AH$98,"&gt;"&amp;AG82)-(AG82&lt;AH82))</f>
        <v>0</v>
      </c>
      <c r="BN82">
        <f>BM82</f>
        <v>0</v>
      </c>
      <c r="BO82" t="str">
        <f>IF(ISNUMBER($G82),$G82,"")</f>
        <v/>
      </c>
      <c r="BP82" t="str">
        <f>IF(AND($A82&lt;&gt;"",COUNT($K82:$AH82)&gt;0),ROW(),"")</f>
        <v/>
      </c>
    </row>
    <row r="83" spans="1:68" x14ac:dyDescent="0.15">
      <c r="A83" s="13" t="s">
        <v>54</v>
      </c>
      <c r="B83" s="14" t="str">
        <f>IF($A83="","","total")</f>
        <v>total</v>
      </c>
      <c r="C83" s="14"/>
      <c r="D83" s="15">
        <f>IF($A83="","",SUM(D84:D86))</f>
        <v>17</v>
      </c>
      <c r="E83" s="15">
        <f>IF($A83="","",SUM(E84:E86))</f>
        <v>0</v>
      </c>
      <c r="F83" s="15">
        <f>IF($A83="","",D83-E83)</f>
        <v>17</v>
      </c>
      <c r="G83" s="16" t="str">
        <f>IF($A83="","",IFERROR(AVERAGEIFS(G84:G86,H84:H86,"&lt;&gt;未着手",H84:H86,"&lt;&gt;作業中"),""))</f>
        <v/>
      </c>
      <c r="H83" s="14"/>
      <c r="I83" s="14"/>
      <c r="J83" s="14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 spans="1:68" x14ac:dyDescent="0.15">
      <c r="A84" s="18" t="str">
        <f>IF($A83="","",$A83)</f>
        <v>chMobSaiyanL</v>
      </c>
      <c r="B84" s="19" t="str">
        <f>IF($A83="","","low")</f>
        <v>low</v>
      </c>
      <c r="C84" s="19"/>
      <c r="D84" s="20">
        <v>8</v>
      </c>
      <c r="E84" s="21">
        <f>IF(AND($D84="",COUNT($K84:$AH84)=0),"",IF(K84="",0,MAX(0,NETWORKDAYS(K84,IF(L84&lt;&gt;"",L84,IF($J84&lt;&gt;"",K84,$AI$1)),祝日!$A$2:$A$200)))+IF(M84="",0,MAX(0,NETWORKDAYS(M84,IF(N84&lt;&gt;"",N84,IF($J84&lt;&gt;"",M84,$AI$1)),祝日!$A$2:$A$200)))+IF(O84="",0,MAX(0,NETWORKDAYS(O84,IF(P84&lt;&gt;"",P84,IF($J84&lt;&gt;"",O84,$AI$1)),祝日!$A$2:$A$200)))+IF(Q84="",0,MAX(0,NETWORKDAYS(Q84,IF(R84&lt;&gt;"",R84,IF($J84&lt;&gt;"",Q84,$AI$1)),祝日!$A$2:$A$200)))+IF(S84="",0,MAX(0,NETWORKDAYS(S84,IF(T84&lt;&gt;"",T84,IF($J84&lt;&gt;"",S84,$AI$1)),祝日!$A$2:$A$200)))+IF(U84="",0,MAX(0,NETWORKDAYS(U84,IF(V84&lt;&gt;"",V84,IF($J84&lt;&gt;"",U84,$AI$1)),祝日!$A$2:$A$200)))+IF(W84="",0,MAX(0,NETWORKDAYS(W84,IF(X84&lt;&gt;"",X84,IF($J84&lt;&gt;"",W84,$AI$1)),祝日!$A$2:$A$200)))+IF(Y84="",0,MAX(0,NETWORKDAYS(Y84,IF(Z84&lt;&gt;"",Z84,IF($J84&lt;&gt;"",Y84,$AI$1)),祝日!$A$2:$A$200)))+IF(AA84="",0,MAX(0,NETWORKDAYS(AA84,IF(AB84&lt;&gt;"",AB84,IF($J84&lt;&gt;"",AA84,$AI$1)),祝日!$A$2:$A$200)))+IF(AC84="",0,MAX(0,NETWORKDAYS(AC84,IF(AD84&lt;&gt;"",AD84,IF($J84&lt;&gt;"",AC84,$AI$1)),祝日!$A$2:$A$200)))+IF(AE84="",0,MAX(0,NETWORKDAYS(AE84,IF(AF84&lt;&gt;"",AF84,IF($J84&lt;&gt;"",AE84,$AI$1)),祝日!$A$2:$A$200)))+IF(AG84="",0,MAX(0,NETWORKDAYS(AG84,IF(AH84&lt;&gt;"",AH84,IF($J84&lt;&gt;"",AG84,$AI$1)),祝日!$A$2:$A$200))))</f>
        <v>0</v>
      </c>
      <c r="F84" s="21">
        <f>IF($D84="","",$D84-$E84)</f>
        <v>8</v>
      </c>
      <c r="G84" s="22">
        <f>IF(OR($D84="",$D84=0),"",$E84/$D84)</f>
        <v>0</v>
      </c>
      <c r="H84" s="23" t="str">
        <f>IF($D84="","",IF($J84&lt;&gt;"","FIX",IF(AND(SUMPRODUCT((MOD(COLUMN($K84:$AH84)-COLUMN($K84),2)=0)*($K84:$AH84&lt;&gt;""))=0,SUMPRODUCT((MOD(COLUMN($K84:$AH84)-COLUMN($K84),2)=1)*($K84:$AH84&lt;&gt;""))=0),"未着手",IF(SUMPRODUCT((MOD(COLUMN($K84:$AH84)-COLUMN($K84),2)=0)*($K84:$AH84&lt;&gt;""))&gt;SUMPRODUCT((MOD(COLUMN($K84:$AH84)-COLUMN($K84),2)=1)*($K84:$AH84&lt;&gt;"")),"作業中","中断"))))</f>
        <v>未着手</v>
      </c>
      <c r="I84" s="23" t="str">
        <f>IF($H84="中断",MAX(0,$AI$1-MAX(L84,N84,P84,R84,T84,V84,X84,Z84,AB84,AD84,AF84,AH84)),"")</f>
        <v/>
      </c>
      <c r="J84" s="19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K84" t="str">
        <f>IF($A83="","",IF(LOOKUP(2,1/($AJ$3:$AJ84&lt;&gt;""),$AJ$3:$AJ84)="-","",LOOKUP(2,1/($AJ$3:$AJ84&lt;&gt;""),$AJ$3:$AJ84)))</f>
        <v/>
      </c>
      <c r="AL84" t="str">
        <f>$H84</f>
        <v>未着手</v>
      </c>
      <c r="AM84">
        <f>IF(ISNUMBER($D84),$D84,0)</f>
        <v>8</v>
      </c>
      <c r="AN84">
        <f>IF(ISNUMBER($E84),$E84,0)</f>
        <v>0</v>
      </c>
      <c r="AO84">
        <f>IF(ISNUMBER($F84),$F84,0)</f>
        <v>8</v>
      </c>
      <c r="AQ84">
        <f>IF(OR($AK84="",K84="",L84=""),0,COUNTIFS($AK$3:$AK$98,$AK84,K$3:K$98,"&lt;"&amp;L84,L$3:L$98,"&gt;"&amp;K84)+COUNTIFS($AK$3:$AK$98,$AK84,M$3:M$98,"&lt;"&amp;L84,N$3:N$98,"&gt;"&amp;K84)+COUNTIFS($AK$3:$AK$98,$AK84,O$3:O$98,"&lt;"&amp;L84,P$3:P$98,"&gt;"&amp;K84)+COUNTIFS($AK$3:$AK$98,$AK84,Q$3:Q$98,"&lt;"&amp;L84,R$3:R$98,"&gt;"&amp;K84)+COUNTIFS($AK$3:$AK$98,$AK84,S$3:S$98,"&lt;"&amp;L84,T$3:T$98,"&gt;"&amp;K84)+COUNTIFS($AK$3:$AK$98,$AK84,U$3:U$98,"&lt;"&amp;L84,V$3:V$98,"&gt;"&amp;K84)+COUNTIFS($AK$3:$AK$98,$AK84,W$3:W$98,"&lt;"&amp;L84,X$3:X$98,"&gt;"&amp;K84)+COUNTIFS($AK$3:$AK$98,$AK84,Y$3:Y$98,"&lt;"&amp;L84,Z$3:Z$98,"&gt;"&amp;K84)+COUNTIFS($AK$3:$AK$98,$AK84,AA$3:AA$98,"&lt;"&amp;L84,AB$3:AB$98,"&gt;"&amp;K84)+COUNTIFS($AK$3:$AK$98,$AK84,AC$3:AC$98,"&lt;"&amp;L84,AD$3:AD$98,"&gt;"&amp;K84)+COUNTIFS($AK$3:$AK$98,$AK84,AE$3:AE$98,"&lt;"&amp;L84,AF$3:AF$98,"&gt;"&amp;K84)+COUNTIFS($AK$3:$AK$98,$AK84,AG$3:AG$98,"&lt;"&amp;L84,AH$3:AH$98,"&gt;"&amp;K84)-(K84&lt;L84))</f>
        <v>0</v>
      </c>
      <c r="AR84">
        <f>AQ84</f>
        <v>0</v>
      </c>
      <c r="AS84">
        <f>IF(OR($AK84="",M84="",N84=""),0,COUNTIFS($AK$3:$AK$98,$AK84,K$3:K$98,"&lt;"&amp;N84,L$3:L$98,"&gt;"&amp;M84)+COUNTIFS($AK$3:$AK$98,$AK84,M$3:M$98,"&lt;"&amp;N84,N$3:N$98,"&gt;"&amp;M84)+COUNTIFS($AK$3:$AK$98,$AK84,O$3:O$98,"&lt;"&amp;N84,P$3:P$98,"&gt;"&amp;M84)+COUNTIFS($AK$3:$AK$98,$AK84,Q$3:Q$98,"&lt;"&amp;N84,R$3:R$98,"&gt;"&amp;M84)+COUNTIFS($AK$3:$AK$98,$AK84,S$3:S$98,"&lt;"&amp;N84,T$3:T$98,"&gt;"&amp;M84)+COUNTIFS($AK$3:$AK$98,$AK84,U$3:U$98,"&lt;"&amp;N84,V$3:V$98,"&gt;"&amp;M84)+COUNTIFS($AK$3:$AK$98,$AK84,W$3:W$98,"&lt;"&amp;N84,X$3:X$98,"&gt;"&amp;M84)+COUNTIFS($AK$3:$AK$98,$AK84,Y$3:Y$98,"&lt;"&amp;N84,Z$3:Z$98,"&gt;"&amp;M84)+COUNTIFS($AK$3:$AK$98,$AK84,AA$3:AA$98,"&lt;"&amp;N84,AB$3:AB$98,"&gt;"&amp;M84)+COUNTIFS($AK$3:$AK$98,$AK84,AC$3:AC$98,"&lt;"&amp;N84,AD$3:AD$98,"&gt;"&amp;M84)+COUNTIFS($AK$3:$AK$98,$AK84,AE$3:AE$98,"&lt;"&amp;N84,AF$3:AF$98,"&gt;"&amp;M84)+COUNTIFS($AK$3:$AK$98,$AK84,AG$3:AG$98,"&lt;"&amp;N84,AH$3:AH$98,"&gt;"&amp;M84)-(M84&lt;N84))</f>
        <v>0</v>
      </c>
      <c r="AT84">
        <f>AS84</f>
        <v>0</v>
      </c>
      <c r="AU84">
        <f>IF(OR($AK84="",O84="",P84=""),0,COUNTIFS($AK$3:$AK$98,$AK84,K$3:K$98,"&lt;"&amp;P84,L$3:L$98,"&gt;"&amp;O84)+COUNTIFS($AK$3:$AK$98,$AK84,M$3:M$98,"&lt;"&amp;P84,N$3:N$98,"&gt;"&amp;O84)+COUNTIFS($AK$3:$AK$98,$AK84,O$3:O$98,"&lt;"&amp;P84,P$3:P$98,"&gt;"&amp;O84)+COUNTIFS($AK$3:$AK$98,$AK84,Q$3:Q$98,"&lt;"&amp;P84,R$3:R$98,"&gt;"&amp;O84)+COUNTIFS($AK$3:$AK$98,$AK84,S$3:S$98,"&lt;"&amp;P84,T$3:T$98,"&gt;"&amp;O84)+COUNTIFS($AK$3:$AK$98,$AK84,U$3:U$98,"&lt;"&amp;P84,V$3:V$98,"&gt;"&amp;O84)+COUNTIFS($AK$3:$AK$98,$AK84,W$3:W$98,"&lt;"&amp;P84,X$3:X$98,"&gt;"&amp;O84)+COUNTIFS($AK$3:$AK$98,$AK84,Y$3:Y$98,"&lt;"&amp;P84,Z$3:Z$98,"&gt;"&amp;O84)+COUNTIFS($AK$3:$AK$98,$AK84,AA$3:AA$98,"&lt;"&amp;P84,AB$3:AB$98,"&gt;"&amp;O84)+COUNTIFS($AK$3:$AK$98,$AK84,AC$3:AC$98,"&lt;"&amp;P84,AD$3:AD$98,"&gt;"&amp;O84)+COUNTIFS($AK$3:$AK$98,$AK84,AE$3:AE$98,"&lt;"&amp;P84,AF$3:AF$98,"&gt;"&amp;O84)+COUNTIFS($AK$3:$AK$98,$AK84,AG$3:AG$98,"&lt;"&amp;P84,AH$3:AH$98,"&gt;"&amp;O84)-(O84&lt;P84))</f>
        <v>0</v>
      </c>
      <c r="AV84">
        <f>AU84</f>
        <v>0</v>
      </c>
      <c r="AW84">
        <f>IF(OR($AK84="",Q84="",R84=""),0,COUNTIFS($AK$3:$AK$98,$AK84,K$3:K$98,"&lt;"&amp;R84,L$3:L$98,"&gt;"&amp;Q84)+COUNTIFS($AK$3:$AK$98,$AK84,M$3:M$98,"&lt;"&amp;R84,N$3:N$98,"&gt;"&amp;Q84)+COUNTIFS($AK$3:$AK$98,$AK84,O$3:O$98,"&lt;"&amp;R84,P$3:P$98,"&gt;"&amp;Q84)+COUNTIFS($AK$3:$AK$98,$AK84,Q$3:Q$98,"&lt;"&amp;R84,R$3:R$98,"&gt;"&amp;Q84)+COUNTIFS($AK$3:$AK$98,$AK84,S$3:S$98,"&lt;"&amp;R84,T$3:T$98,"&gt;"&amp;Q84)+COUNTIFS($AK$3:$AK$98,$AK84,U$3:U$98,"&lt;"&amp;R84,V$3:V$98,"&gt;"&amp;Q84)+COUNTIFS($AK$3:$AK$98,$AK84,W$3:W$98,"&lt;"&amp;R84,X$3:X$98,"&gt;"&amp;Q84)+COUNTIFS($AK$3:$AK$98,$AK84,Y$3:Y$98,"&lt;"&amp;R84,Z$3:Z$98,"&gt;"&amp;Q84)+COUNTIFS($AK$3:$AK$98,$AK84,AA$3:AA$98,"&lt;"&amp;R84,AB$3:AB$98,"&gt;"&amp;Q84)+COUNTIFS($AK$3:$AK$98,$AK84,AC$3:AC$98,"&lt;"&amp;R84,AD$3:AD$98,"&gt;"&amp;Q84)+COUNTIFS($AK$3:$AK$98,$AK84,AE$3:AE$98,"&lt;"&amp;R84,AF$3:AF$98,"&gt;"&amp;Q84)+COUNTIFS($AK$3:$AK$98,$AK84,AG$3:AG$98,"&lt;"&amp;R84,AH$3:AH$98,"&gt;"&amp;Q84)-(Q84&lt;R84))</f>
        <v>0</v>
      </c>
      <c r="AX84">
        <f>AW84</f>
        <v>0</v>
      </c>
      <c r="AY84">
        <f>IF(OR($AK84="",S84="",T84=""),0,COUNTIFS($AK$3:$AK$98,$AK84,K$3:K$98,"&lt;"&amp;T84,L$3:L$98,"&gt;"&amp;S84)+COUNTIFS($AK$3:$AK$98,$AK84,M$3:M$98,"&lt;"&amp;T84,N$3:N$98,"&gt;"&amp;S84)+COUNTIFS($AK$3:$AK$98,$AK84,O$3:O$98,"&lt;"&amp;T84,P$3:P$98,"&gt;"&amp;S84)+COUNTIFS($AK$3:$AK$98,$AK84,Q$3:Q$98,"&lt;"&amp;T84,R$3:R$98,"&gt;"&amp;S84)+COUNTIFS($AK$3:$AK$98,$AK84,S$3:S$98,"&lt;"&amp;T84,T$3:T$98,"&gt;"&amp;S84)+COUNTIFS($AK$3:$AK$98,$AK84,U$3:U$98,"&lt;"&amp;T84,V$3:V$98,"&gt;"&amp;S84)+COUNTIFS($AK$3:$AK$98,$AK84,W$3:W$98,"&lt;"&amp;T84,X$3:X$98,"&gt;"&amp;S84)+COUNTIFS($AK$3:$AK$98,$AK84,Y$3:Y$98,"&lt;"&amp;T84,Z$3:Z$98,"&gt;"&amp;S84)+COUNTIFS($AK$3:$AK$98,$AK84,AA$3:AA$98,"&lt;"&amp;T84,AB$3:AB$98,"&gt;"&amp;S84)+COUNTIFS($AK$3:$AK$98,$AK84,AC$3:AC$98,"&lt;"&amp;T84,AD$3:AD$98,"&gt;"&amp;S84)+COUNTIFS($AK$3:$AK$98,$AK84,AE$3:AE$98,"&lt;"&amp;T84,AF$3:AF$98,"&gt;"&amp;S84)+COUNTIFS($AK$3:$AK$98,$AK84,AG$3:AG$98,"&lt;"&amp;T84,AH$3:AH$98,"&gt;"&amp;S84)-(S84&lt;T84))</f>
        <v>0</v>
      </c>
      <c r="AZ84">
        <f>AY84</f>
        <v>0</v>
      </c>
      <c r="BA84">
        <f>IF(OR($AK84="",U84="",V84=""),0,COUNTIFS($AK$3:$AK$98,$AK84,K$3:K$98,"&lt;"&amp;V84,L$3:L$98,"&gt;"&amp;U84)+COUNTIFS($AK$3:$AK$98,$AK84,M$3:M$98,"&lt;"&amp;V84,N$3:N$98,"&gt;"&amp;U84)+COUNTIFS($AK$3:$AK$98,$AK84,O$3:O$98,"&lt;"&amp;V84,P$3:P$98,"&gt;"&amp;U84)+COUNTIFS($AK$3:$AK$98,$AK84,Q$3:Q$98,"&lt;"&amp;V84,R$3:R$98,"&gt;"&amp;U84)+COUNTIFS($AK$3:$AK$98,$AK84,S$3:S$98,"&lt;"&amp;V84,T$3:T$98,"&gt;"&amp;U84)+COUNTIFS($AK$3:$AK$98,$AK84,U$3:U$98,"&lt;"&amp;V84,V$3:V$98,"&gt;"&amp;U84)+COUNTIFS($AK$3:$AK$98,$AK84,W$3:W$98,"&lt;"&amp;V84,X$3:X$98,"&gt;"&amp;U84)+COUNTIFS($AK$3:$AK$98,$AK84,Y$3:Y$98,"&lt;"&amp;V84,Z$3:Z$98,"&gt;"&amp;U84)+COUNTIFS($AK$3:$AK$98,$AK84,AA$3:AA$98,"&lt;"&amp;V84,AB$3:AB$98,"&gt;"&amp;U84)+COUNTIFS($AK$3:$AK$98,$AK84,AC$3:AC$98,"&lt;"&amp;V84,AD$3:AD$98,"&gt;"&amp;U84)+COUNTIFS($AK$3:$AK$98,$AK84,AE$3:AE$98,"&lt;"&amp;V84,AF$3:AF$98,"&gt;"&amp;U84)+COUNTIFS($AK$3:$AK$98,$AK84,AG$3:AG$98,"&lt;"&amp;V84,AH$3:AH$98,"&gt;"&amp;U84)-(U84&lt;V84))</f>
        <v>0</v>
      </c>
      <c r="BB84">
        <f>BA84</f>
        <v>0</v>
      </c>
      <c r="BC84">
        <f>IF(OR($AK84="",W84="",X84=""),0,COUNTIFS($AK$3:$AK$98,$AK84,K$3:K$98,"&lt;"&amp;X84,L$3:L$98,"&gt;"&amp;W84)+COUNTIFS($AK$3:$AK$98,$AK84,M$3:M$98,"&lt;"&amp;X84,N$3:N$98,"&gt;"&amp;W84)+COUNTIFS($AK$3:$AK$98,$AK84,O$3:O$98,"&lt;"&amp;X84,P$3:P$98,"&gt;"&amp;W84)+COUNTIFS($AK$3:$AK$98,$AK84,Q$3:Q$98,"&lt;"&amp;X84,R$3:R$98,"&gt;"&amp;W84)+COUNTIFS($AK$3:$AK$98,$AK84,S$3:S$98,"&lt;"&amp;X84,T$3:T$98,"&gt;"&amp;W84)+COUNTIFS($AK$3:$AK$98,$AK84,U$3:U$98,"&lt;"&amp;X84,V$3:V$98,"&gt;"&amp;W84)+COUNTIFS($AK$3:$AK$98,$AK84,W$3:W$98,"&lt;"&amp;X84,X$3:X$98,"&gt;"&amp;W84)+COUNTIFS($AK$3:$AK$98,$AK84,Y$3:Y$98,"&lt;"&amp;X84,Z$3:Z$98,"&gt;"&amp;W84)+COUNTIFS($AK$3:$AK$98,$AK84,AA$3:AA$98,"&lt;"&amp;X84,AB$3:AB$98,"&gt;"&amp;W84)+COUNTIFS($AK$3:$AK$98,$AK84,AC$3:AC$98,"&lt;"&amp;X84,AD$3:AD$98,"&gt;"&amp;W84)+COUNTIFS($AK$3:$AK$98,$AK84,AE$3:AE$98,"&lt;"&amp;X84,AF$3:AF$98,"&gt;"&amp;W84)+COUNTIFS($AK$3:$AK$98,$AK84,AG$3:AG$98,"&lt;"&amp;X84,AH$3:AH$98,"&gt;"&amp;W84)-(W84&lt;X84))</f>
        <v>0</v>
      </c>
      <c r="BD84">
        <f>BC84</f>
        <v>0</v>
      </c>
      <c r="BE84">
        <f>IF(OR($AK84="",Y84="",Z84=""),0,COUNTIFS($AK$3:$AK$98,$AK84,K$3:K$98,"&lt;"&amp;Z84,L$3:L$98,"&gt;"&amp;Y84)+COUNTIFS($AK$3:$AK$98,$AK84,M$3:M$98,"&lt;"&amp;Z84,N$3:N$98,"&gt;"&amp;Y84)+COUNTIFS($AK$3:$AK$98,$AK84,O$3:O$98,"&lt;"&amp;Z84,P$3:P$98,"&gt;"&amp;Y84)+COUNTIFS($AK$3:$AK$98,$AK84,Q$3:Q$98,"&lt;"&amp;Z84,R$3:R$98,"&gt;"&amp;Y84)+COUNTIFS($AK$3:$AK$98,$AK84,S$3:S$98,"&lt;"&amp;Z84,T$3:T$98,"&gt;"&amp;Y84)+COUNTIFS($AK$3:$AK$98,$AK84,U$3:U$98,"&lt;"&amp;Z84,V$3:V$98,"&gt;"&amp;Y84)+COUNTIFS($AK$3:$AK$98,$AK84,W$3:W$98,"&lt;"&amp;Z84,X$3:X$98,"&gt;"&amp;Y84)+COUNTIFS($AK$3:$AK$98,$AK84,Y$3:Y$98,"&lt;"&amp;Z84,Z$3:Z$98,"&gt;"&amp;Y84)+COUNTIFS($AK$3:$AK$98,$AK84,AA$3:AA$98,"&lt;"&amp;Z84,AB$3:AB$98,"&gt;"&amp;Y84)+COUNTIFS($AK$3:$AK$98,$AK84,AC$3:AC$98,"&lt;"&amp;Z84,AD$3:AD$98,"&gt;"&amp;Y84)+COUNTIFS($AK$3:$AK$98,$AK84,AE$3:AE$98,"&lt;"&amp;Z84,AF$3:AF$98,"&gt;"&amp;Y84)+COUNTIFS($AK$3:$AK$98,$AK84,AG$3:AG$98,"&lt;"&amp;Z84,AH$3:AH$98,"&gt;"&amp;Y84)-(Y84&lt;Z84))</f>
        <v>0</v>
      </c>
      <c r="BF84">
        <f>BE84</f>
        <v>0</v>
      </c>
      <c r="BG84">
        <f>IF(OR($AK84="",AA84="",AB84=""),0,COUNTIFS($AK$3:$AK$98,$AK84,K$3:K$98,"&lt;"&amp;AB84,L$3:L$98,"&gt;"&amp;AA84)+COUNTIFS($AK$3:$AK$98,$AK84,M$3:M$98,"&lt;"&amp;AB84,N$3:N$98,"&gt;"&amp;AA84)+COUNTIFS($AK$3:$AK$98,$AK84,O$3:O$98,"&lt;"&amp;AB84,P$3:P$98,"&gt;"&amp;AA84)+COUNTIFS($AK$3:$AK$98,$AK84,Q$3:Q$98,"&lt;"&amp;AB84,R$3:R$98,"&gt;"&amp;AA84)+COUNTIFS($AK$3:$AK$98,$AK84,S$3:S$98,"&lt;"&amp;AB84,T$3:T$98,"&gt;"&amp;AA84)+COUNTIFS($AK$3:$AK$98,$AK84,U$3:U$98,"&lt;"&amp;AB84,V$3:V$98,"&gt;"&amp;AA84)+COUNTIFS($AK$3:$AK$98,$AK84,W$3:W$98,"&lt;"&amp;AB84,X$3:X$98,"&gt;"&amp;AA84)+COUNTIFS($AK$3:$AK$98,$AK84,Y$3:Y$98,"&lt;"&amp;AB84,Z$3:Z$98,"&gt;"&amp;AA84)+COUNTIFS($AK$3:$AK$98,$AK84,AA$3:AA$98,"&lt;"&amp;AB84,AB$3:AB$98,"&gt;"&amp;AA84)+COUNTIFS($AK$3:$AK$98,$AK84,AC$3:AC$98,"&lt;"&amp;AB84,AD$3:AD$98,"&gt;"&amp;AA84)+COUNTIFS($AK$3:$AK$98,$AK84,AE$3:AE$98,"&lt;"&amp;AB84,AF$3:AF$98,"&gt;"&amp;AA84)+COUNTIFS($AK$3:$AK$98,$AK84,AG$3:AG$98,"&lt;"&amp;AB84,AH$3:AH$98,"&gt;"&amp;AA84)-(AA84&lt;AB84))</f>
        <v>0</v>
      </c>
      <c r="BH84">
        <f>BG84</f>
        <v>0</v>
      </c>
      <c r="BI84">
        <f>IF(OR($AK84="",AC84="",AD84=""),0,COUNTIFS($AK$3:$AK$98,$AK84,K$3:K$98,"&lt;"&amp;AD84,L$3:L$98,"&gt;"&amp;AC84)+COUNTIFS($AK$3:$AK$98,$AK84,M$3:M$98,"&lt;"&amp;AD84,N$3:N$98,"&gt;"&amp;AC84)+COUNTIFS($AK$3:$AK$98,$AK84,O$3:O$98,"&lt;"&amp;AD84,P$3:P$98,"&gt;"&amp;AC84)+COUNTIFS($AK$3:$AK$98,$AK84,Q$3:Q$98,"&lt;"&amp;AD84,R$3:R$98,"&gt;"&amp;AC84)+COUNTIFS($AK$3:$AK$98,$AK84,S$3:S$98,"&lt;"&amp;AD84,T$3:T$98,"&gt;"&amp;AC84)+COUNTIFS($AK$3:$AK$98,$AK84,U$3:U$98,"&lt;"&amp;AD84,V$3:V$98,"&gt;"&amp;AC84)+COUNTIFS($AK$3:$AK$98,$AK84,W$3:W$98,"&lt;"&amp;AD84,X$3:X$98,"&gt;"&amp;AC84)+COUNTIFS($AK$3:$AK$98,$AK84,Y$3:Y$98,"&lt;"&amp;AD84,Z$3:Z$98,"&gt;"&amp;AC84)+COUNTIFS($AK$3:$AK$98,$AK84,AA$3:AA$98,"&lt;"&amp;AD84,AB$3:AB$98,"&gt;"&amp;AC84)+COUNTIFS($AK$3:$AK$98,$AK84,AC$3:AC$98,"&lt;"&amp;AD84,AD$3:AD$98,"&gt;"&amp;AC84)+COUNTIFS($AK$3:$AK$98,$AK84,AE$3:AE$98,"&lt;"&amp;AD84,AF$3:AF$98,"&gt;"&amp;AC84)+COUNTIFS($AK$3:$AK$98,$AK84,AG$3:AG$98,"&lt;"&amp;AD84,AH$3:AH$98,"&gt;"&amp;AC84)-(AC84&lt;AD84))</f>
        <v>0</v>
      </c>
      <c r="BJ84">
        <f>BI84</f>
        <v>0</v>
      </c>
      <c r="BK84">
        <f>IF(OR($AK84="",AE84="",AF84=""),0,COUNTIFS($AK$3:$AK$98,$AK84,K$3:K$98,"&lt;"&amp;AF84,L$3:L$98,"&gt;"&amp;AE84)+COUNTIFS($AK$3:$AK$98,$AK84,M$3:M$98,"&lt;"&amp;AF84,N$3:N$98,"&gt;"&amp;AE84)+COUNTIFS($AK$3:$AK$98,$AK84,O$3:O$98,"&lt;"&amp;AF84,P$3:P$98,"&gt;"&amp;AE84)+COUNTIFS($AK$3:$AK$98,$AK84,Q$3:Q$98,"&lt;"&amp;AF84,R$3:R$98,"&gt;"&amp;AE84)+COUNTIFS($AK$3:$AK$98,$AK84,S$3:S$98,"&lt;"&amp;AF84,T$3:T$98,"&gt;"&amp;AE84)+COUNTIFS($AK$3:$AK$98,$AK84,U$3:U$98,"&lt;"&amp;AF84,V$3:V$98,"&gt;"&amp;AE84)+COUNTIFS($AK$3:$AK$98,$AK84,W$3:W$98,"&lt;"&amp;AF84,X$3:X$98,"&gt;"&amp;AE84)+COUNTIFS($AK$3:$AK$98,$AK84,Y$3:Y$98,"&lt;"&amp;AF84,Z$3:Z$98,"&gt;"&amp;AE84)+COUNTIFS($AK$3:$AK$98,$AK84,AA$3:AA$98,"&lt;"&amp;AF84,AB$3:AB$98,"&gt;"&amp;AE84)+COUNTIFS($AK$3:$AK$98,$AK84,AC$3:AC$98,"&lt;"&amp;AF84,AD$3:AD$98,"&gt;"&amp;AE84)+COUNTIFS($AK$3:$AK$98,$AK84,AE$3:AE$98,"&lt;"&amp;AF84,AF$3:AF$98,"&gt;"&amp;AE84)+COUNTIFS($AK$3:$AK$98,$AK84,AG$3:AG$98,"&lt;"&amp;AF84,AH$3:AH$98,"&gt;"&amp;AE84)-(AE84&lt;AF84))</f>
        <v>0</v>
      </c>
      <c r="BL84">
        <f>BK84</f>
        <v>0</v>
      </c>
      <c r="BM84">
        <f>IF(OR($AK84="",AG84="",AH84=""),0,COUNTIFS($AK$3:$AK$98,$AK84,K$3:K$98,"&lt;"&amp;AH84,L$3:L$98,"&gt;"&amp;AG84)+COUNTIFS($AK$3:$AK$98,$AK84,M$3:M$98,"&lt;"&amp;AH84,N$3:N$98,"&gt;"&amp;AG84)+COUNTIFS($AK$3:$AK$98,$AK84,O$3:O$98,"&lt;"&amp;AH84,P$3:P$98,"&gt;"&amp;AG84)+COUNTIFS($AK$3:$AK$98,$AK84,Q$3:Q$98,"&lt;"&amp;AH84,R$3:R$98,"&gt;"&amp;AG84)+COUNTIFS($AK$3:$AK$98,$AK84,S$3:S$98,"&lt;"&amp;AH84,T$3:T$98,"&gt;"&amp;AG84)+COUNTIFS($AK$3:$AK$98,$AK84,U$3:U$98,"&lt;"&amp;AH84,V$3:V$98,"&gt;"&amp;AG84)+COUNTIFS($AK$3:$AK$98,$AK84,W$3:W$98,"&lt;"&amp;AH84,X$3:X$98,"&gt;"&amp;AG84)+COUNTIFS($AK$3:$AK$98,$AK84,Y$3:Y$98,"&lt;"&amp;AH84,Z$3:Z$98,"&gt;"&amp;AG84)+COUNTIFS($AK$3:$AK$98,$AK84,AA$3:AA$98,"&lt;"&amp;AH84,AB$3:AB$98,"&gt;"&amp;AG84)+COUNTIFS($AK$3:$AK$98,$AK84,AC$3:AC$98,"&lt;"&amp;AH84,AD$3:AD$98,"&gt;"&amp;AG84)+COUNTIFS($AK$3:$AK$98,$AK84,AE$3:AE$98,"&lt;"&amp;AH84,AF$3:AF$98,"&gt;"&amp;AG84)+COUNTIFS($AK$3:$AK$98,$AK84,AG$3:AG$98,"&lt;"&amp;AH84,AH$3:AH$98,"&gt;"&amp;AG84)-(AG84&lt;AH84))</f>
        <v>0</v>
      </c>
      <c r="BN84">
        <f>BM84</f>
        <v>0</v>
      </c>
      <c r="BO84">
        <f>IF(ISNUMBER($G84),$G84,"")</f>
        <v>0</v>
      </c>
      <c r="BP84" t="str">
        <f>IF(AND($A84&lt;&gt;"",COUNT($K84:$AH84)&gt;0),ROW(),"")</f>
        <v/>
      </c>
    </row>
    <row r="85" spans="1:68" x14ac:dyDescent="0.15">
      <c r="A85" s="18" t="str">
        <f>IF($A83="","",$A83)</f>
        <v>chMobSaiyanL</v>
      </c>
      <c r="B85" s="19" t="str">
        <f>IF($A83="","","high")</f>
        <v>high</v>
      </c>
      <c r="C85" s="19"/>
      <c r="D85" s="20">
        <v>5</v>
      </c>
      <c r="E85" s="21">
        <f>IF(AND($D85="",COUNT($K85:$AH85)=0),"",IF(K85="",0,MAX(0,NETWORKDAYS(K85,IF(L85&lt;&gt;"",L85,IF($J85&lt;&gt;"",K85,$AI$1)),祝日!$A$2:$A$200)))+IF(M85="",0,MAX(0,NETWORKDAYS(M85,IF(N85&lt;&gt;"",N85,IF($J85&lt;&gt;"",M85,$AI$1)),祝日!$A$2:$A$200)))+IF(O85="",0,MAX(0,NETWORKDAYS(O85,IF(P85&lt;&gt;"",P85,IF($J85&lt;&gt;"",O85,$AI$1)),祝日!$A$2:$A$200)))+IF(Q85="",0,MAX(0,NETWORKDAYS(Q85,IF(R85&lt;&gt;"",R85,IF($J85&lt;&gt;"",Q85,$AI$1)),祝日!$A$2:$A$200)))+IF(S85="",0,MAX(0,NETWORKDAYS(S85,IF(T85&lt;&gt;"",T85,IF($J85&lt;&gt;"",S85,$AI$1)),祝日!$A$2:$A$200)))+IF(U85="",0,MAX(0,NETWORKDAYS(U85,IF(V85&lt;&gt;"",V85,IF($J85&lt;&gt;"",U85,$AI$1)),祝日!$A$2:$A$200)))+IF(W85="",0,MAX(0,NETWORKDAYS(W85,IF(X85&lt;&gt;"",X85,IF($J85&lt;&gt;"",W85,$AI$1)),祝日!$A$2:$A$200)))+IF(Y85="",0,MAX(0,NETWORKDAYS(Y85,IF(Z85&lt;&gt;"",Z85,IF($J85&lt;&gt;"",Y85,$AI$1)),祝日!$A$2:$A$200)))+IF(AA85="",0,MAX(0,NETWORKDAYS(AA85,IF(AB85&lt;&gt;"",AB85,IF($J85&lt;&gt;"",AA85,$AI$1)),祝日!$A$2:$A$200)))+IF(AC85="",0,MAX(0,NETWORKDAYS(AC85,IF(AD85&lt;&gt;"",AD85,IF($J85&lt;&gt;"",AC85,$AI$1)),祝日!$A$2:$A$200)))+IF(AE85="",0,MAX(0,NETWORKDAYS(AE85,IF(AF85&lt;&gt;"",AF85,IF($J85&lt;&gt;"",AE85,$AI$1)),祝日!$A$2:$A$200)))+IF(AG85="",0,MAX(0,NETWORKDAYS(AG85,IF(AH85&lt;&gt;"",AH85,IF($J85&lt;&gt;"",AG85,$AI$1)),祝日!$A$2:$A$200))))</f>
        <v>0</v>
      </c>
      <c r="F85" s="21">
        <f>IF($D85="","",$D85-$E85)</f>
        <v>5</v>
      </c>
      <c r="G85" s="22">
        <f>IF(OR($D85="",$D85=0),"",$E85/$D85)</f>
        <v>0</v>
      </c>
      <c r="H85" s="23" t="str">
        <f>IF($D85="","",IF($J85&lt;&gt;"","FIX",IF(AND(SUMPRODUCT((MOD(COLUMN($K85:$AH85)-COLUMN($K85),2)=0)*($K85:$AH85&lt;&gt;""))=0,SUMPRODUCT((MOD(COLUMN($K85:$AH85)-COLUMN($K85),2)=1)*($K85:$AH85&lt;&gt;""))=0),"未着手",IF(SUMPRODUCT((MOD(COLUMN($K85:$AH85)-COLUMN($K85),2)=0)*($K85:$AH85&lt;&gt;""))&gt;SUMPRODUCT((MOD(COLUMN($K85:$AH85)-COLUMN($K85),2)=1)*($K85:$AH85&lt;&gt;"")),"作業中","中断"))))</f>
        <v>未着手</v>
      </c>
      <c r="I85" s="23" t="str">
        <f>IF($H85="中断",MAX(0,$AI$1-MAX(L85,N85,P85,R85,T85,V85,X85,Z85,AB85,AD85,AF85,AH85)),"")</f>
        <v/>
      </c>
      <c r="J85" s="19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K85" t="str">
        <f>IF($A83="","",IF(LOOKUP(2,1/($AJ$3:$AJ85&lt;&gt;""),$AJ$3:$AJ85)="-","",LOOKUP(2,1/($AJ$3:$AJ85&lt;&gt;""),$AJ$3:$AJ85)))</f>
        <v/>
      </c>
      <c r="AL85" t="str">
        <f>$H85</f>
        <v>未着手</v>
      </c>
      <c r="AM85">
        <f>IF(ISNUMBER($D85),$D85,0)</f>
        <v>5</v>
      </c>
      <c r="AN85">
        <f>IF(ISNUMBER($E85),$E85,0)</f>
        <v>0</v>
      </c>
      <c r="AO85">
        <f>IF(ISNUMBER($F85),$F85,0)</f>
        <v>5</v>
      </c>
      <c r="AQ85">
        <f>IF(OR($AK85="",K85="",L85=""),0,COUNTIFS($AK$3:$AK$98,$AK85,K$3:K$98,"&lt;"&amp;L85,L$3:L$98,"&gt;"&amp;K85)+COUNTIFS($AK$3:$AK$98,$AK85,M$3:M$98,"&lt;"&amp;L85,N$3:N$98,"&gt;"&amp;K85)+COUNTIFS($AK$3:$AK$98,$AK85,O$3:O$98,"&lt;"&amp;L85,P$3:P$98,"&gt;"&amp;K85)+COUNTIFS($AK$3:$AK$98,$AK85,Q$3:Q$98,"&lt;"&amp;L85,R$3:R$98,"&gt;"&amp;K85)+COUNTIFS($AK$3:$AK$98,$AK85,S$3:S$98,"&lt;"&amp;L85,T$3:T$98,"&gt;"&amp;K85)+COUNTIFS($AK$3:$AK$98,$AK85,U$3:U$98,"&lt;"&amp;L85,V$3:V$98,"&gt;"&amp;K85)+COUNTIFS($AK$3:$AK$98,$AK85,W$3:W$98,"&lt;"&amp;L85,X$3:X$98,"&gt;"&amp;K85)+COUNTIFS($AK$3:$AK$98,$AK85,Y$3:Y$98,"&lt;"&amp;L85,Z$3:Z$98,"&gt;"&amp;K85)+COUNTIFS($AK$3:$AK$98,$AK85,AA$3:AA$98,"&lt;"&amp;L85,AB$3:AB$98,"&gt;"&amp;K85)+COUNTIFS($AK$3:$AK$98,$AK85,AC$3:AC$98,"&lt;"&amp;L85,AD$3:AD$98,"&gt;"&amp;K85)+COUNTIFS($AK$3:$AK$98,$AK85,AE$3:AE$98,"&lt;"&amp;L85,AF$3:AF$98,"&gt;"&amp;K85)+COUNTIFS($AK$3:$AK$98,$AK85,AG$3:AG$98,"&lt;"&amp;L85,AH$3:AH$98,"&gt;"&amp;K85)-(K85&lt;L85))</f>
        <v>0</v>
      </c>
      <c r="AR85">
        <f>AQ85</f>
        <v>0</v>
      </c>
      <c r="AS85">
        <f>IF(OR($AK85="",M85="",N85=""),0,COUNTIFS($AK$3:$AK$98,$AK85,K$3:K$98,"&lt;"&amp;N85,L$3:L$98,"&gt;"&amp;M85)+COUNTIFS($AK$3:$AK$98,$AK85,M$3:M$98,"&lt;"&amp;N85,N$3:N$98,"&gt;"&amp;M85)+COUNTIFS($AK$3:$AK$98,$AK85,O$3:O$98,"&lt;"&amp;N85,P$3:P$98,"&gt;"&amp;M85)+COUNTIFS($AK$3:$AK$98,$AK85,Q$3:Q$98,"&lt;"&amp;N85,R$3:R$98,"&gt;"&amp;M85)+COUNTIFS($AK$3:$AK$98,$AK85,S$3:S$98,"&lt;"&amp;N85,T$3:T$98,"&gt;"&amp;M85)+COUNTIFS($AK$3:$AK$98,$AK85,U$3:U$98,"&lt;"&amp;N85,V$3:V$98,"&gt;"&amp;M85)+COUNTIFS($AK$3:$AK$98,$AK85,W$3:W$98,"&lt;"&amp;N85,X$3:X$98,"&gt;"&amp;M85)+COUNTIFS($AK$3:$AK$98,$AK85,Y$3:Y$98,"&lt;"&amp;N85,Z$3:Z$98,"&gt;"&amp;M85)+COUNTIFS($AK$3:$AK$98,$AK85,AA$3:AA$98,"&lt;"&amp;N85,AB$3:AB$98,"&gt;"&amp;M85)+COUNTIFS($AK$3:$AK$98,$AK85,AC$3:AC$98,"&lt;"&amp;N85,AD$3:AD$98,"&gt;"&amp;M85)+COUNTIFS($AK$3:$AK$98,$AK85,AE$3:AE$98,"&lt;"&amp;N85,AF$3:AF$98,"&gt;"&amp;M85)+COUNTIFS($AK$3:$AK$98,$AK85,AG$3:AG$98,"&lt;"&amp;N85,AH$3:AH$98,"&gt;"&amp;M85)-(M85&lt;N85))</f>
        <v>0</v>
      </c>
      <c r="AT85">
        <f>AS85</f>
        <v>0</v>
      </c>
      <c r="AU85">
        <f>IF(OR($AK85="",O85="",P85=""),0,COUNTIFS($AK$3:$AK$98,$AK85,K$3:K$98,"&lt;"&amp;P85,L$3:L$98,"&gt;"&amp;O85)+COUNTIFS($AK$3:$AK$98,$AK85,M$3:M$98,"&lt;"&amp;P85,N$3:N$98,"&gt;"&amp;O85)+COUNTIFS($AK$3:$AK$98,$AK85,O$3:O$98,"&lt;"&amp;P85,P$3:P$98,"&gt;"&amp;O85)+COUNTIFS($AK$3:$AK$98,$AK85,Q$3:Q$98,"&lt;"&amp;P85,R$3:R$98,"&gt;"&amp;O85)+COUNTIFS($AK$3:$AK$98,$AK85,S$3:S$98,"&lt;"&amp;P85,T$3:T$98,"&gt;"&amp;O85)+COUNTIFS($AK$3:$AK$98,$AK85,U$3:U$98,"&lt;"&amp;P85,V$3:V$98,"&gt;"&amp;O85)+COUNTIFS($AK$3:$AK$98,$AK85,W$3:W$98,"&lt;"&amp;P85,X$3:X$98,"&gt;"&amp;O85)+COUNTIFS($AK$3:$AK$98,$AK85,Y$3:Y$98,"&lt;"&amp;P85,Z$3:Z$98,"&gt;"&amp;O85)+COUNTIFS($AK$3:$AK$98,$AK85,AA$3:AA$98,"&lt;"&amp;P85,AB$3:AB$98,"&gt;"&amp;O85)+COUNTIFS($AK$3:$AK$98,$AK85,AC$3:AC$98,"&lt;"&amp;P85,AD$3:AD$98,"&gt;"&amp;O85)+COUNTIFS($AK$3:$AK$98,$AK85,AE$3:AE$98,"&lt;"&amp;P85,AF$3:AF$98,"&gt;"&amp;O85)+COUNTIFS($AK$3:$AK$98,$AK85,AG$3:AG$98,"&lt;"&amp;P85,AH$3:AH$98,"&gt;"&amp;O85)-(O85&lt;P85))</f>
        <v>0</v>
      </c>
      <c r="AV85">
        <f>AU85</f>
        <v>0</v>
      </c>
      <c r="AW85">
        <f>IF(OR($AK85="",Q85="",R85=""),0,COUNTIFS($AK$3:$AK$98,$AK85,K$3:K$98,"&lt;"&amp;R85,L$3:L$98,"&gt;"&amp;Q85)+COUNTIFS($AK$3:$AK$98,$AK85,M$3:M$98,"&lt;"&amp;R85,N$3:N$98,"&gt;"&amp;Q85)+COUNTIFS($AK$3:$AK$98,$AK85,O$3:O$98,"&lt;"&amp;R85,P$3:P$98,"&gt;"&amp;Q85)+COUNTIFS($AK$3:$AK$98,$AK85,Q$3:Q$98,"&lt;"&amp;R85,R$3:R$98,"&gt;"&amp;Q85)+COUNTIFS($AK$3:$AK$98,$AK85,S$3:S$98,"&lt;"&amp;R85,T$3:T$98,"&gt;"&amp;Q85)+COUNTIFS($AK$3:$AK$98,$AK85,U$3:U$98,"&lt;"&amp;R85,V$3:V$98,"&gt;"&amp;Q85)+COUNTIFS($AK$3:$AK$98,$AK85,W$3:W$98,"&lt;"&amp;R85,X$3:X$98,"&gt;"&amp;Q85)+COUNTIFS($AK$3:$AK$98,$AK85,Y$3:Y$98,"&lt;"&amp;R85,Z$3:Z$98,"&gt;"&amp;Q85)+COUNTIFS($AK$3:$AK$98,$AK85,AA$3:AA$98,"&lt;"&amp;R85,AB$3:AB$98,"&gt;"&amp;Q85)+COUNTIFS($AK$3:$AK$98,$AK85,AC$3:AC$98,"&lt;"&amp;R85,AD$3:AD$98,"&gt;"&amp;Q85)+COUNTIFS($AK$3:$AK$98,$AK85,AE$3:AE$98,"&lt;"&amp;R85,AF$3:AF$98,"&gt;"&amp;Q85)+COUNTIFS($AK$3:$AK$98,$AK85,AG$3:AG$98,"&lt;"&amp;R85,AH$3:AH$98,"&gt;"&amp;Q85)-(Q85&lt;R85))</f>
        <v>0</v>
      </c>
      <c r="AX85">
        <f>AW85</f>
        <v>0</v>
      </c>
      <c r="AY85">
        <f>IF(OR($AK85="",S85="",T85=""),0,COUNTIFS($AK$3:$AK$98,$AK85,K$3:K$98,"&lt;"&amp;T85,L$3:L$98,"&gt;"&amp;S85)+COUNTIFS($AK$3:$AK$98,$AK85,M$3:M$98,"&lt;"&amp;T85,N$3:N$98,"&gt;"&amp;S85)+COUNTIFS($AK$3:$AK$98,$AK85,O$3:O$98,"&lt;"&amp;T85,P$3:P$98,"&gt;"&amp;S85)+COUNTIFS($AK$3:$AK$98,$AK85,Q$3:Q$98,"&lt;"&amp;T85,R$3:R$98,"&gt;"&amp;S85)+COUNTIFS($AK$3:$AK$98,$AK85,S$3:S$98,"&lt;"&amp;T85,T$3:T$98,"&gt;"&amp;S85)+COUNTIFS($AK$3:$AK$98,$AK85,U$3:U$98,"&lt;"&amp;T85,V$3:V$98,"&gt;"&amp;S85)+COUNTIFS($AK$3:$AK$98,$AK85,W$3:W$98,"&lt;"&amp;T85,X$3:X$98,"&gt;"&amp;S85)+COUNTIFS($AK$3:$AK$98,$AK85,Y$3:Y$98,"&lt;"&amp;T85,Z$3:Z$98,"&gt;"&amp;S85)+COUNTIFS($AK$3:$AK$98,$AK85,AA$3:AA$98,"&lt;"&amp;T85,AB$3:AB$98,"&gt;"&amp;S85)+COUNTIFS($AK$3:$AK$98,$AK85,AC$3:AC$98,"&lt;"&amp;T85,AD$3:AD$98,"&gt;"&amp;S85)+COUNTIFS($AK$3:$AK$98,$AK85,AE$3:AE$98,"&lt;"&amp;T85,AF$3:AF$98,"&gt;"&amp;S85)+COUNTIFS($AK$3:$AK$98,$AK85,AG$3:AG$98,"&lt;"&amp;T85,AH$3:AH$98,"&gt;"&amp;S85)-(S85&lt;T85))</f>
        <v>0</v>
      </c>
      <c r="AZ85">
        <f>AY85</f>
        <v>0</v>
      </c>
      <c r="BA85">
        <f>IF(OR($AK85="",U85="",V85=""),0,COUNTIFS($AK$3:$AK$98,$AK85,K$3:K$98,"&lt;"&amp;V85,L$3:L$98,"&gt;"&amp;U85)+COUNTIFS($AK$3:$AK$98,$AK85,M$3:M$98,"&lt;"&amp;V85,N$3:N$98,"&gt;"&amp;U85)+COUNTIFS($AK$3:$AK$98,$AK85,O$3:O$98,"&lt;"&amp;V85,P$3:P$98,"&gt;"&amp;U85)+COUNTIFS($AK$3:$AK$98,$AK85,Q$3:Q$98,"&lt;"&amp;V85,R$3:R$98,"&gt;"&amp;U85)+COUNTIFS($AK$3:$AK$98,$AK85,S$3:S$98,"&lt;"&amp;V85,T$3:T$98,"&gt;"&amp;U85)+COUNTIFS($AK$3:$AK$98,$AK85,U$3:U$98,"&lt;"&amp;V85,V$3:V$98,"&gt;"&amp;U85)+COUNTIFS($AK$3:$AK$98,$AK85,W$3:W$98,"&lt;"&amp;V85,X$3:X$98,"&gt;"&amp;U85)+COUNTIFS($AK$3:$AK$98,$AK85,Y$3:Y$98,"&lt;"&amp;V85,Z$3:Z$98,"&gt;"&amp;U85)+COUNTIFS($AK$3:$AK$98,$AK85,AA$3:AA$98,"&lt;"&amp;V85,AB$3:AB$98,"&gt;"&amp;U85)+COUNTIFS($AK$3:$AK$98,$AK85,AC$3:AC$98,"&lt;"&amp;V85,AD$3:AD$98,"&gt;"&amp;U85)+COUNTIFS($AK$3:$AK$98,$AK85,AE$3:AE$98,"&lt;"&amp;V85,AF$3:AF$98,"&gt;"&amp;U85)+COUNTIFS($AK$3:$AK$98,$AK85,AG$3:AG$98,"&lt;"&amp;V85,AH$3:AH$98,"&gt;"&amp;U85)-(U85&lt;V85))</f>
        <v>0</v>
      </c>
      <c r="BB85">
        <f>BA85</f>
        <v>0</v>
      </c>
      <c r="BC85">
        <f>IF(OR($AK85="",W85="",X85=""),0,COUNTIFS($AK$3:$AK$98,$AK85,K$3:K$98,"&lt;"&amp;X85,L$3:L$98,"&gt;"&amp;W85)+COUNTIFS($AK$3:$AK$98,$AK85,M$3:M$98,"&lt;"&amp;X85,N$3:N$98,"&gt;"&amp;W85)+COUNTIFS($AK$3:$AK$98,$AK85,O$3:O$98,"&lt;"&amp;X85,P$3:P$98,"&gt;"&amp;W85)+COUNTIFS($AK$3:$AK$98,$AK85,Q$3:Q$98,"&lt;"&amp;X85,R$3:R$98,"&gt;"&amp;W85)+COUNTIFS($AK$3:$AK$98,$AK85,S$3:S$98,"&lt;"&amp;X85,T$3:T$98,"&gt;"&amp;W85)+COUNTIFS($AK$3:$AK$98,$AK85,U$3:U$98,"&lt;"&amp;X85,V$3:V$98,"&gt;"&amp;W85)+COUNTIFS($AK$3:$AK$98,$AK85,W$3:W$98,"&lt;"&amp;X85,X$3:X$98,"&gt;"&amp;W85)+COUNTIFS($AK$3:$AK$98,$AK85,Y$3:Y$98,"&lt;"&amp;X85,Z$3:Z$98,"&gt;"&amp;W85)+COUNTIFS($AK$3:$AK$98,$AK85,AA$3:AA$98,"&lt;"&amp;X85,AB$3:AB$98,"&gt;"&amp;W85)+COUNTIFS($AK$3:$AK$98,$AK85,AC$3:AC$98,"&lt;"&amp;X85,AD$3:AD$98,"&gt;"&amp;W85)+COUNTIFS($AK$3:$AK$98,$AK85,AE$3:AE$98,"&lt;"&amp;X85,AF$3:AF$98,"&gt;"&amp;W85)+COUNTIFS($AK$3:$AK$98,$AK85,AG$3:AG$98,"&lt;"&amp;X85,AH$3:AH$98,"&gt;"&amp;W85)-(W85&lt;X85))</f>
        <v>0</v>
      </c>
      <c r="BD85">
        <f>BC85</f>
        <v>0</v>
      </c>
      <c r="BE85">
        <f>IF(OR($AK85="",Y85="",Z85=""),0,COUNTIFS($AK$3:$AK$98,$AK85,K$3:K$98,"&lt;"&amp;Z85,L$3:L$98,"&gt;"&amp;Y85)+COUNTIFS($AK$3:$AK$98,$AK85,M$3:M$98,"&lt;"&amp;Z85,N$3:N$98,"&gt;"&amp;Y85)+COUNTIFS($AK$3:$AK$98,$AK85,O$3:O$98,"&lt;"&amp;Z85,P$3:P$98,"&gt;"&amp;Y85)+COUNTIFS($AK$3:$AK$98,$AK85,Q$3:Q$98,"&lt;"&amp;Z85,R$3:R$98,"&gt;"&amp;Y85)+COUNTIFS($AK$3:$AK$98,$AK85,S$3:S$98,"&lt;"&amp;Z85,T$3:T$98,"&gt;"&amp;Y85)+COUNTIFS($AK$3:$AK$98,$AK85,U$3:U$98,"&lt;"&amp;Z85,V$3:V$98,"&gt;"&amp;Y85)+COUNTIFS($AK$3:$AK$98,$AK85,W$3:W$98,"&lt;"&amp;Z85,X$3:X$98,"&gt;"&amp;Y85)+COUNTIFS($AK$3:$AK$98,$AK85,Y$3:Y$98,"&lt;"&amp;Z85,Z$3:Z$98,"&gt;"&amp;Y85)+COUNTIFS($AK$3:$AK$98,$AK85,AA$3:AA$98,"&lt;"&amp;Z85,AB$3:AB$98,"&gt;"&amp;Y85)+COUNTIFS($AK$3:$AK$98,$AK85,AC$3:AC$98,"&lt;"&amp;Z85,AD$3:AD$98,"&gt;"&amp;Y85)+COUNTIFS($AK$3:$AK$98,$AK85,AE$3:AE$98,"&lt;"&amp;Z85,AF$3:AF$98,"&gt;"&amp;Y85)+COUNTIFS($AK$3:$AK$98,$AK85,AG$3:AG$98,"&lt;"&amp;Z85,AH$3:AH$98,"&gt;"&amp;Y85)-(Y85&lt;Z85))</f>
        <v>0</v>
      </c>
      <c r="BF85">
        <f>BE85</f>
        <v>0</v>
      </c>
      <c r="BG85">
        <f>IF(OR($AK85="",AA85="",AB85=""),0,COUNTIFS($AK$3:$AK$98,$AK85,K$3:K$98,"&lt;"&amp;AB85,L$3:L$98,"&gt;"&amp;AA85)+COUNTIFS($AK$3:$AK$98,$AK85,M$3:M$98,"&lt;"&amp;AB85,N$3:N$98,"&gt;"&amp;AA85)+COUNTIFS($AK$3:$AK$98,$AK85,O$3:O$98,"&lt;"&amp;AB85,P$3:P$98,"&gt;"&amp;AA85)+COUNTIFS($AK$3:$AK$98,$AK85,Q$3:Q$98,"&lt;"&amp;AB85,R$3:R$98,"&gt;"&amp;AA85)+COUNTIFS($AK$3:$AK$98,$AK85,S$3:S$98,"&lt;"&amp;AB85,T$3:T$98,"&gt;"&amp;AA85)+COUNTIFS($AK$3:$AK$98,$AK85,U$3:U$98,"&lt;"&amp;AB85,V$3:V$98,"&gt;"&amp;AA85)+COUNTIFS($AK$3:$AK$98,$AK85,W$3:W$98,"&lt;"&amp;AB85,X$3:X$98,"&gt;"&amp;AA85)+COUNTIFS($AK$3:$AK$98,$AK85,Y$3:Y$98,"&lt;"&amp;AB85,Z$3:Z$98,"&gt;"&amp;AA85)+COUNTIFS($AK$3:$AK$98,$AK85,AA$3:AA$98,"&lt;"&amp;AB85,AB$3:AB$98,"&gt;"&amp;AA85)+COUNTIFS($AK$3:$AK$98,$AK85,AC$3:AC$98,"&lt;"&amp;AB85,AD$3:AD$98,"&gt;"&amp;AA85)+COUNTIFS($AK$3:$AK$98,$AK85,AE$3:AE$98,"&lt;"&amp;AB85,AF$3:AF$98,"&gt;"&amp;AA85)+COUNTIFS($AK$3:$AK$98,$AK85,AG$3:AG$98,"&lt;"&amp;AB85,AH$3:AH$98,"&gt;"&amp;AA85)-(AA85&lt;AB85))</f>
        <v>0</v>
      </c>
      <c r="BH85">
        <f>BG85</f>
        <v>0</v>
      </c>
      <c r="BI85">
        <f>IF(OR($AK85="",AC85="",AD85=""),0,COUNTIFS($AK$3:$AK$98,$AK85,K$3:K$98,"&lt;"&amp;AD85,L$3:L$98,"&gt;"&amp;AC85)+COUNTIFS($AK$3:$AK$98,$AK85,M$3:M$98,"&lt;"&amp;AD85,N$3:N$98,"&gt;"&amp;AC85)+COUNTIFS($AK$3:$AK$98,$AK85,O$3:O$98,"&lt;"&amp;AD85,P$3:P$98,"&gt;"&amp;AC85)+COUNTIFS($AK$3:$AK$98,$AK85,Q$3:Q$98,"&lt;"&amp;AD85,R$3:R$98,"&gt;"&amp;AC85)+COUNTIFS($AK$3:$AK$98,$AK85,S$3:S$98,"&lt;"&amp;AD85,T$3:T$98,"&gt;"&amp;AC85)+COUNTIFS($AK$3:$AK$98,$AK85,U$3:U$98,"&lt;"&amp;AD85,V$3:V$98,"&gt;"&amp;AC85)+COUNTIFS($AK$3:$AK$98,$AK85,W$3:W$98,"&lt;"&amp;AD85,X$3:X$98,"&gt;"&amp;AC85)+COUNTIFS($AK$3:$AK$98,$AK85,Y$3:Y$98,"&lt;"&amp;AD85,Z$3:Z$98,"&gt;"&amp;AC85)+COUNTIFS($AK$3:$AK$98,$AK85,AA$3:AA$98,"&lt;"&amp;AD85,AB$3:AB$98,"&gt;"&amp;AC85)+COUNTIFS($AK$3:$AK$98,$AK85,AC$3:AC$98,"&lt;"&amp;AD85,AD$3:AD$98,"&gt;"&amp;AC85)+COUNTIFS($AK$3:$AK$98,$AK85,AE$3:AE$98,"&lt;"&amp;AD85,AF$3:AF$98,"&gt;"&amp;AC85)+COUNTIFS($AK$3:$AK$98,$AK85,AG$3:AG$98,"&lt;"&amp;AD85,AH$3:AH$98,"&gt;"&amp;AC85)-(AC85&lt;AD85))</f>
        <v>0</v>
      </c>
      <c r="BJ85">
        <f>BI85</f>
        <v>0</v>
      </c>
      <c r="BK85">
        <f>IF(OR($AK85="",AE85="",AF85=""),0,COUNTIFS($AK$3:$AK$98,$AK85,K$3:K$98,"&lt;"&amp;AF85,L$3:L$98,"&gt;"&amp;AE85)+COUNTIFS($AK$3:$AK$98,$AK85,M$3:M$98,"&lt;"&amp;AF85,N$3:N$98,"&gt;"&amp;AE85)+COUNTIFS($AK$3:$AK$98,$AK85,O$3:O$98,"&lt;"&amp;AF85,P$3:P$98,"&gt;"&amp;AE85)+COUNTIFS($AK$3:$AK$98,$AK85,Q$3:Q$98,"&lt;"&amp;AF85,R$3:R$98,"&gt;"&amp;AE85)+COUNTIFS($AK$3:$AK$98,$AK85,S$3:S$98,"&lt;"&amp;AF85,T$3:T$98,"&gt;"&amp;AE85)+COUNTIFS($AK$3:$AK$98,$AK85,U$3:U$98,"&lt;"&amp;AF85,V$3:V$98,"&gt;"&amp;AE85)+COUNTIFS($AK$3:$AK$98,$AK85,W$3:W$98,"&lt;"&amp;AF85,X$3:X$98,"&gt;"&amp;AE85)+COUNTIFS($AK$3:$AK$98,$AK85,Y$3:Y$98,"&lt;"&amp;AF85,Z$3:Z$98,"&gt;"&amp;AE85)+COUNTIFS($AK$3:$AK$98,$AK85,AA$3:AA$98,"&lt;"&amp;AF85,AB$3:AB$98,"&gt;"&amp;AE85)+COUNTIFS($AK$3:$AK$98,$AK85,AC$3:AC$98,"&lt;"&amp;AF85,AD$3:AD$98,"&gt;"&amp;AE85)+COUNTIFS($AK$3:$AK$98,$AK85,AE$3:AE$98,"&lt;"&amp;AF85,AF$3:AF$98,"&gt;"&amp;AE85)+COUNTIFS($AK$3:$AK$98,$AK85,AG$3:AG$98,"&lt;"&amp;AF85,AH$3:AH$98,"&gt;"&amp;AE85)-(AE85&lt;AF85))</f>
        <v>0</v>
      </c>
      <c r="BL85">
        <f>BK85</f>
        <v>0</v>
      </c>
      <c r="BM85">
        <f>IF(OR($AK85="",AG85="",AH85=""),0,COUNTIFS($AK$3:$AK$98,$AK85,K$3:K$98,"&lt;"&amp;AH85,L$3:L$98,"&gt;"&amp;AG85)+COUNTIFS($AK$3:$AK$98,$AK85,M$3:M$98,"&lt;"&amp;AH85,N$3:N$98,"&gt;"&amp;AG85)+COUNTIFS($AK$3:$AK$98,$AK85,O$3:O$98,"&lt;"&amp;AH85,P$3:P$98,"&gt;"&amp;AG85)+COUNTIFS($AK$3:$AK$98,$AK85,Q$3:Q$98,"&lt;"&amp;AH85,R$3:R$98,"&gt;"&amp;AG85)+COUNTIFS($AK$3:$AK$98,$AK85,S$3:S$98,"&lt;"&amp;AH85,T$3:T$98,"&gt;"&amp;AG85)+COUNTIFS($AK$3:$AK$98,$AK85,U$3:U$98,"&lt;"&amp;AH85,V$3:V$98,"&gt;"&amp;AG85)+COUNTIFS($AK$3:$AK$98,$AK85,W$3:W$98,"&lt;"&amp;AH85,X$3:X$98,"&gt;"&amp;AG85)+COUNTIFS($AK$3:$AK$98,$AK85,Y$3:Y$98,"&lt;"&amp;AH85,Z$3:Z$98,"&gt;"&amp;AG85)+COUNTIFS($AK$3:$AK$98,$AK85,AA$3:AA$98,"&lt;"&amp;AH85,AB$3:AB$98,"&gt;"&amp;AG85)+COUNTIFS($AK$3:$AK$98,$AK85,AC$3:AC$98,"&lt;"&amp;AH85,AD$3:AD$98,"&gt;"&amp;AG85)+COUNTIFS($AK$3:$AK$98,$AK85,AE$3:AE$98,"&lt;"&amp;AH85,AF$3:AF$98,"&gt;"&amp;AG85)+COUNTIFS($AK$3:$AK$98,$AK85,AG$3:AG$98,"&lt;"&amp;AH85,AH$3:AH$98,"&gt;"&amp;AG85)-(AG85&lt;AH85))</f>
        <v>0</v>
      </c>
      <c r="BN85">
        <f>BM85</f>
        <v>0</v>
      </c>
      <c r="BO85">
        <f>IF(ISNUMBER($G85),$G85,"")</f>
        <v>0</v>
      </c>
      <c r="BP85" t="str">
        <f>IF(AND($A85&lt;&gt;"",COUNT($K85:$AH85)&gt;0),ROW(),"")</f>
        <v/>
      </c>
    </row>
    <row r="86" spans="1:68" x14ac:dyDescent="0.15">
      <c r="A86" s="25" t="str">
        <f>IF($A83="","",$A83)</f>
        <v>chMobSaiyanL</v>
      </c>
      <c r="B86" s="26" t="str">
        <f>IF($A83="","","fac")</f>
        <v>fac</v>
      </c>
      <c r="C86" s="26"/>
      <c r="D86" s="27">
        <v>4</v>
      </c>
      <c r="E86" s="28">
        <f>IF(AND($D86="",COUNT($K86:$AH86)=0),"",IF(K86="",0,MAX(0,NETWORKDAYS(K86,IF(L86&lt;&gt;"",L86,IF($J86&lt;&gt;"",K86,$AI$1)),祝日!$A$2:$A$200)))+IF(M86="",0,MAX(0,NETWORKDAYS(M86,IF(N86&lt;&gt;"",N86,IF($J86&lt;&gt;"",M86,$AI$1)),祝日!$A$2:$A$200)))+IF(O86="",0,MAX(0,NETWORKDAYS(O86,IF(P86&lt;&gt;"",P86,IF($J86&lt;&gt;"",O86,$AI$1)),祝日!$A$2:$A$200)))+IF(Q86="",0,MAX(0,NETWORKDAYS(Q86,IF(R86&lt;&gt;"",R86,IF($J86&lt;&gt;"",Q86,$AI$1)),祝日!$A$2:$A$200)))+IF(S86="",0,MAX(0,NETWORKDAYS(S86,IF(T86&lt;&gt;"",T86,IF($J86&lt;&gt;"",S86,$AI$1)),祝日!$A$2:$A$200)))+IF(U86="",0,MAX(0,NETWORKDAYS(U86,IF(V86&lt;&gt;"",V86,IF($J86&lt;&gt;"",U86,$AI$1)),祝日!$A$2:$A$200)))+IF(W86="",0,MAX(0,NETWORKDAYS(W86,IF(X86&lt;&gt;"",X86,IF($J86&lt;&gt;"",W86,$AI$1)),祝日!$A$2:$A$200)))+IF(Y86="",0,MAX(0,NETWORKDAYS(Y86,IF(Z86&lt;&gt;"",Z86,IF($J86&lt;&gt;"",Y86,$AI$1)),祝日!$A$2:$A$200)))+IF(AA86="",0,MAX(0,NETWORKDAYS(AA86,IF(AB86&lt;&gt;"",AB86,IF($J86&lt;&gt;"",AA86,$AI$1)),祝日!$A$2:$A$200)))+IF(AC86="",0,MAX(0,NETWORKDAYS(AC86,IF(AD86&lt;&gt;"",AD86,IF($J86&lt;&gt;"",AC86,$AI$1)),祝日!$A$2:$A$200)))+IF(AE86="",0,MAX(0,NETWORKDAYS(AE86,IF(AF86&lt;&gt;"",AF86,IF($J86&lt;&gt;"",AE86,$AI$1)),祝日!$A$2:$A$200)))+IF(AG86="",0,MAX(0,NETWORKDAYS(AG86,IF(AH86&lt;&gt;"",AH86,IF($J86&lt;&gt;"",AG86,$AI$1)),祝日!$A$2:$A$200))))</f>
        <v>0</v>
      </c>
      <c r="F86" s="28">
        <f>IF($D86="","",$D86-$E86)</f>
        <v>4</v>
      </c>
      <c r="G86" s="29">
        <f>IF(OR($D86="",$D86=0),"",$E86/$D86)</f>
        <v>0</v>
      </c>
      <c r="H86" s="30" t="str">
        <f>IF($D86="","",IF($J86&lt;&gt;"","FIX",IF(AND(SUMPRODUCT((MOD(COLUMN($K86:$AH86)-COLUMN($K86),2)=0)*($K86:$AH86&lt;&gt;""))=0,SUMPRODUCT((MOD(COLUMN($K86:$AH86)-COLUMN($K86),2)=1)*($K86:$AH86&lt;&gt;""))=0),"未着手",IF(SUMPRODUCT((MOD(COLUMN($K86:$AH86)-COLUMN($K86),2)=0)*($K86:$AH86&lt;&gt;""))&gt;SUMPRODUCT((MOD(COLUMN($K86:$AH86)-COLUMN($K86),2)=1)*($K86:$AH86&lt;&gt;"")),"作業中","中断"))))</f>
        <v>未着手</v>
      </c>
      <c r="I86" s="30" t="str">
        <f>IF($H86="中断",MAX(0,$AI$1-MAX(L86,N86,P86,R86,T86,V86,X86,Z86,AB86,AD86,AF86,AH86)),"")</f>
        <v/>
      </c>
      <c r="J86" s="26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K86" t="str">
        <f>IF($A83="","",IF(LOOKUP(2,1/($AJ$3:$AJ86&lt;&gt;""),$AJ$3:$AJ86)="-","",LOOKUP(2,1/($AJ$3:$AJ86&lt;&gt;""),$AJ$3:$AJ86)))</f>
        <v/>
      </c>
      <c r="AL86" t="str">
        <f>$H86</f>
        <v>未着手</v>
      </c>
      <c r="AM86">
        <f>IF(ISNUMBER($D86),$D86,0)</f>
        <v>4</v>
      </c>
      <c r="AN86">
        <f>IF(ISNUMBER($E86),$E86,0)</f>
        <v>0</v>
      </c>
      <c r="AO86">
        <f>IF(ISNUMBER($F86),$F86,0)</f>
        <v>4</v>
      </c>
      <c r="AQ86">
        <f>IF(OR($AK86="",K86="",L86=""),0,COUNTIFS($AK$3:$AK$98,$AK86,K$3:K$98,"&lt;"&amp;L86,L$3:L$98,"&gt;"&amp;K86)+COUNTIFS($AK$3:$AK$98,$AK86,M$3:M$98,"&lt;"&amp;L86,N$3:N$98,"&gt;"&amp;K86)+COUNTIFS($AK$3:$AK$98,$AK86,O$3:O$98,"&lt;"&amp;L86,P$3:P$98,"&gt;"&amp;K86)+COUNTIFS($AK$3:$AK$98,$AK86,Q$3:Q$98,"&lt;"&amp;L86,R$3:R$98,"&gt;"&amp;K86)+COUNTIFS($AK$3:$AK$98,$AK86,S$3:S$98,"&lt;"&amp;L86,T$3:T$98,"&gt;"&amp;K86)+COUNTIFS($AK$3:$AK$98,$AK86,U$3:U$98,"&lt;"&amp;L86,V$3:V$98,"&gt;"&amp;K86)+COUNTIFS($AK$3:$AK$98,$AK86,W$3:W$98,"&lt;"&amp;L86,X$3:X$98,"&gt;"&amp;K86)+COUNTIFS($AK$3:$AK$98,$AK86,Y$3:Y$98,"&lt;"&amp;L86,Z$3:Z$98,"&gt;"&amp;K86)+COUNTIFS($AK$3:$AK$98,$AK86,AA$3:AA$98,"&lt;"&amp;L86,AB$3:AB$98,"&gt;"&amp;K86)+COUNTIFS($AK$3:$AK$98,$AK86,AC$3:AC$98,"&lt;"&amp;L86,AD$3:AD$98,"&gt;"&amp;K86)+COUNTIFS($AK$3:$AK$98,$AK86,AE$3:AE$98,"&lt;"&amp;L86,AF$3:AF$98,"&gt;"&amp;K86)+COUNTIFS($AK$3:$AK$98,$AK86,AG$3:AG$98,"&lt;"&amp;L86,AH$3:AH$98,"&gt;"&amp;K86)-(K86&lt;L86))</f>
        <v>0</v>
      </c>
      <c r="AR86">
        <f>AQ86</f>
        <v>0</v>
      </c>
      <c r="AS86">
        <f>IF(OR($AK86="",M86="",N86=""),0,COUNTIFS($AK$3:$AK$98,$AK86,K$3:K$98,"&lt;"&amp;N86,L$3:L$98,"&gt;"&amp;M86)+COUNTIFS($AK$3:$AK$98,$AK86,M$3:M$98,"&lt;"&amp;N86,N$3:N$98,"&gt;"&amp;M86)+COUNTIFS($AK$3:$AK$98,$AK86,O$3:O$98,"&lt;"&amp;N86,P$3:P$98,"&gt;"&amp;M86)+COUNTIFS($AK$3:$AK$98,$AK86,Q$3:Q$98,"&lt;"&amp;N86,R$3:R$98,"&gt;"&amp;M86)+COUNTIFS($AK$3:$AK$98,$AK86,S$3:S$98,"&lt;"&amp;N86,T$3:T$98,"&gt;"&amp;M86)+COUNTIFS($AK$3:$AK$98,$AK86,U$3:U$98,"&lt;"&amp;N86,V$3:V$98,"&gt;"&amp;M86)+COUNTIFS($AK$3:$AK$98,$AK86,W$3:W$98,"&lt;"&amp;N86,X$3:X$98,"&gt;"&amp;M86)+COUNTIFS($AK$3:$AK$98,$AK86,Y$3:Y$98,"&lt;"&amp;N86,Z$3:Z$98,"&gt;"&amp;M86)+COUNTIFS($AK$3:$AK$98,$AK86,AA$3:AA$98,"&lt;"&amp;N86,AB$3:AB$98,"&gt;"&amp;M86)+COUNTIFS($AK$3:$AK$98,$AK86,AC$3:AC$98,"&lt;"&amp;N86,AD$3:AD$98,"&gt;"&amp;M86)+COUNTIFS($AK$3:$AK$98,$AK86,AE$3:AE$98,"&lt;"&amp;N86,AF$3:AF$98,"&gt;"&amp;M86)+COUNTIFS($AK$3:$AK$98,$AK86,AG$3:AG$98,"&lt;"&amp;N86,AH$3:AH$98,"&gt;"&amp;M86)-(M86&lt;N86))</f>
        <v>0</v>
      </c>
      <c r="AT86">
        <f>AS86</f>
        <v>0</v>
      </c>
      <c r="AU86">
        <f>IF(OR($AK86="",O86="",P86=""),0,COUNTIFS($AK$3:$AK$98,$AK86,K$3:K$98,"&lt;"&amp;P86,L$3:L$98,"&gt;"&amp;O86)+COUNTIFS($AK$3:$AK$98,$AK86,M$3:M$98,"&lt;"&amp;P86,N$3:N$98,"&gt;"&amp;O86)+COUNTIFS($AK$3:$AK$98,$AK86,O$3:O$98,"&lt;"&amp;P86,P$3:P$98,"&gt;"&amp;O86)+COUNTIFS($AK$3:$AK$98,$AK86,Q$3:Q$98,"&lt;"&amp;P86,R$3:R$98,"&gt;"&amp;O86)+COUNTIFS($AK$3:$AK$98,$AK86,S$3:S$98,"&lt;"&amp;P86,T$3:T$98,"&gt;"&amp;O86)+COUNTIFS($AK$3:$AK$98,$AK86,U$3:U$98,"&lt;"&amp;P86,V$3:V$98,"&gt;"&amp;O86)+COUNTIFS($AK$3:$AK$98,$AK86,W$3:W$98,"&lt;"&amp;P86,X$3:X$98,"&gt;"&amp;O86)+COUNTIFS($AK$3:$AK$98,$AK86,Y$3:Y$98,"&lt;"&amp;P86,Z$3:Z$98,"&gt;"&amp;O86)+COUNTIFS($AK$3:$AK$98,$AK86,AA$3:AA$98,"&lt;"&amp;P86,AB$3:AB$98,"&gt;"&amp;O86)+COUNTIFS($AK$3:$AK$98,$AK86,AC$3:AC$98,"&lt;"&amp;P86,AD$3:AD$98,"&gt;"&amp;O86)+COUNTIFS($AK$3:$AK$98,$AK86,AE$3:AE$98,"&lt;"&amp;P86,AF$3:AF$98,"&gt;"&amp;O86)+COUNTIFS($AK$3:$AK$98,$AK86,AG$3:AG$98,"&lt;"&amp;P86,AH$3:AH$98,"&gt;"&amp;O86)-(O86&lt;P86))</f>
        <v>0</v>
      </c>
      <c r="AV86">
        <f>AU86</f>
        <v>0</v>
      </c>
      <c r="AW86">
        <f>IF(OR($AK86="",Q86="",R86=""),0,COUNTIFS($AK$3:$AK$98,$AK86,K$3:K$98,"&lt;"&amp;R86,L$3:L$98,"&gt;"&amp;Q86)+COUNTIFS($AK$3:$AK$98,$AK86,M$3:M$98,"&lt;"&amp;R86,N$3:N$98,"&gt;"&amp;Q86)+COUNTIFS($AK$3:$AK$98,$AK86,O$3:O$98,"&lt;"&amp;R86,P$3:P$98,"&gt;"&amp;Q86)+COUNTIFS($AK$3:$AK$98,$AK86,Q$3:Q$98,"&lt;"&amp;R86,R$3:R$98,"&gt;"&amp;Q86)+COUNTIFS($AK$3:$AK$98,$AK86,S$3:S$98,"&lt;"&amp;R86,T$3:T$98,"&gt;"&amp;Q86)+COUNTIFS($AK$3:$AK$98,$AK86,U$3:U$98,"&lt;"&amp;R86,V$3:V$98,"&gt;"&amp;Q86)+COUNTIFS($AK$3:$AK$98,$AK86,W$3:W$98,"&lt;"&amp;R86,X$3:X$98,"&gt;"&amp;Q86)+COUNTIFS($AK$3:$AK$98,$AK86,Y$3:Y$98,"&lt;"&amp;R86,Z$3:Z$98,"&gt;"&amp;Q86)+COUNTIFS($AK$3:$AK$98,$AK86,AA$3:AA$98,"&lt;"&amp;R86,AB$3:AB$98,"&gt;"&amp;Q86)+COUNTIFS($AK$3:$AK$98,$AK86,AC$3:AC$98,"&lt;"&amp;R86,AD$3:AD$98,"&gt;"&amp;Q86)+COUNTIFS($AK$3:$AK$98,$AK86,AE$3:AE$98,"&lt;"&amp;R86,AF$3:AF$98,"&gt;"&amp;Q86)+COUNTIFS($AK$3:$AK$98,$AK86,AG$3:AG$98,"&lt;"&amp;R86,AH$3:AH$98,"&gt;"&amp;Q86)-(Q86&lt;R86))</f>
        <v>0</v>
      </c>
      <c r="AX86">
        <f>AW86</f>
        <v>0</v>
      </c>
      <c r="AY86">
        <f>IF(OR($AK86="",S86="",T86=""),0,COUNTIFS($AK$3:$AK$98,$AK86,K$3:K$98,"&lt;"&amp;T86,L$3:L$98,"&gt;"&amp;S86)+COUNTIFS($AK$3:$AK$98,$AK86,M$3:M$98,"&lt;"&amp;T86,N$3:N$98,"&gt;"&amp;S86)+COUNTIFS($AK$3:$AK$98,$AK86,O$3:O$98,"&lt;"&amp;T86,P$3:P$98,"&gt;"&amp;S86)+COUNTIFS($AK$3:$AK$98,$AK86,Q$3:Q$98,"&lt;"&amp;T86,R$3:R$98,"&gt;"&amp;S86)+COUNTIFS($AK$3:$AK$98,$AK86,S$3:S$98,"&lt;"&amp;T86,T$3:T$98,"&gt;"&amp;S86)+COUNTIFS($AK$3:$AK$98,$AK86,U$3:U$98,"&lt;"&amp;T86,V$3:V$98,"&gt;"&amp;S86)+COUNTIFS($AK$3:$AK$98,$AK86,W$3:W$98,"&lt;"&amp;T86,X$3:X$98,"&gt;"&amp;S86)+COUNTIFS($AK$3:$AK$98,$AK86,Y$3:Y$98,"&lt;"&amp;T86,Z$3:Z$98,"&gt;"&amp;S86)+COUNTIFS($AK$3:$AK$98,$AK86,AA$3:AA$98,"&lt;"&amp;T86,AB$3:AB$98,"&gt;"&amp;S86)+COUNTIFS($AK$3:$AK$98,$AK86,AC$3:AC$98,"&lt;"&amp;T86,AD$3:AD$98,"&gt;"&amp;S86)+COUNTIFS($AK$3:$AK$98,$AK86,AE$3:AE$98,"&lt;"&amp;T86,AF$3:AF$98,"&gt;"&amp;S86)+COUNTIFS($AK$3:$AK$98,$AK86,AG$3:AG$98,"&lt;"&amp;T86,AH$3:AH$98,"&gt;"&amp;S86)-(S86&lt;T86))</f>
        <v>0</v>
      </c>
      <c r="AZ86">
        <f>AY86</f>
        <v>0</v>
      </c>
      <c r="BA86">
        <f>IF(OR($AK86="",U86="",V86=""),0,COUNTIFS($AK$3:$AK$98,$AK86,K$3:K$98,"&lt;"&amp;V86,L$3:L$98,"&gt;"&amp;U86)+COUNTIFS($AK$3:$AK$98,$AK86,M$3:M$98,"&lt;"&amp;V86,N$3:N$98,"&gt;"&amp;U86)+COUNTIFS($AK$3:$AK$98,$AK86,O$3:O$98,"&lt;"&amp;V86,P$3:P$98,"&gt;"&amp;U86)+COUNTIFS($AK$3:$AK$98,$AK86,Q$3:Q$98,"&lt;"&amp;V86,R$3:R$98,"&gt;"&amp;U86)+COUNTIFS($AK$3:$AK$98,$AK86,S$3:S$98,"&lt;"&amp;V86,T$3:T$98,"&gt;"&amp;U86)+COUNTIFS($AK$3:$AK$98,$AK86,U$3:U$98,"&lt;"&amp;V86,V$3:V$98,"&gt;"&amp;U86)+COUNTIFS($AK$3:$AK$98,$AK86,W$3:W$98,"&lt;"&amp;V86,X$3:X$98,"&gt;"&amp;U86)+COUNTIFS($AK$3:$AK$98,$AK86,Y$3:Y$98,"&lt;"&amp;V86,Z$3:Z$98,"&gt;"&amp;U86)+COUNTIFS($AK$3:$AK$98,$AK86,AA$3:AA$98,"&lt;"&amp;V86,AB$3:AB$98,"&gt;"&amp;U86)+COUNTIFS($AK$3:$AK$98,$AK86,AC$3:AC$98,"&lt;"&amp;V86,AD$3:AD$98,"&gt;"&amp;U86)+COUNTIFS($AK$3:$AK$98,$AK86,AE$3:AE$98,"&lt;"&amp;V86,AF$3:AF$98,"&gt;"&amp;U86)+COUNTIFS($AK$3:$AK$98,$AK86,AG$3:AG$98,"&lt;"&amp;V86,AH$3:AH$98,"&gt;"&amp;U86)-(U86&lt;V86))</f>
        <v>0</v>
      </c>
      <c r="BB86">
        <f>BA86</f>
        <v>0</v>
      </c>
      <c r="BC86">
        <f>IF(OR($AK86="",W86="",X86=""),0,COUNTIFS($AK$3:$AK$98,$AK86,K$3:K$98,"&lt;"&amp;X86,L$3:L$98,"&gt;"&amp;W86)+COUNTIFS($AK$3:$AK$98,$AK86,M$3:M$98,"&lt;"&amp;X86,N$3:N$98,"&gt;"&amp;W86)+COUNTIFS($AK$3:$AK$98,$AK86,O$3:O$98,"&lt;"&amp;X86,P$3:P$98,"&gt;"&amp;W86)+COUNTIFS($AK$3:$AK$98,$AK86,Q$3:Q$98,"&lt;"&amp;X86,R$3:R$98,"&gt;"&amp;W86)+COUNTIFS($AK$3:$AK$98,$AK86,S$3:S$98,"&lt;"&amp;X86,T$3:T$98,"&gt;"&amp;W86)+COUNTIFS($AK$3:$AK$98,$AK86,U$3:U$98,"&lt;"&amp;X86,V$3:V$98,"&gt;"&amp;W86)+COUNTIFS($AK$3:$AK$98,$AK86,W$3:W$98,"&lt;"&amp;X86,X$3:X$98,"&gt;"&amp;W86)+COUNTIFS($AK$3:$AK$98,$AK86,Y$3:Y$98,"&lt;"&amp;X86,Z$3:Z$98,"&gt;"&amp;W86)+COUNTIFS($AK$3:$AK$98,$AK86,AA$3:AA$98,"&lt;"&amp;X86,AB$3:AB$98,"&gt;"&amp;W86)+COUNTIFS($AK$3:$AK$98,$AK86,AC$3:AC$98,"&lt;"&amp;X86,AD$3:AD$98,"&gt;"&amp;W86)+COUNTIFS($AK$3:$AK$98,$AK86,AE$3:AE$98,"&lt;"&amp;X86,AF$3:AF$98,"&gt;"&amp;W86)+COUNTIFS($AK$3:$AK$98,$AK86,AG$3:AG$98,"&lt;"&amp;X86,AH$3:AH$98,"&gt;"&amp;W86)-(W86&lt;X86))</f>
        <v>0</v>
      </c>
      <c r="BD86">
        <f>BC86</f>
        <v>0</v>
      </c>
      <c r="BE86">
        <f>IF(OR($AK86="",Y86="",Z86=""),0,COUNTIFS($AK$3:$AK$98,$AK86,K$3:K$98,"&lt;"&amp;Z86,L$3:L$98,"&gt;"&amp;Y86)+COUNTIFS($AK$3:$AK$98,$AK86,M$3:M$98,"&lt;"&amp;Z86,N$3:N$98,"&gt;"&amp;Y86)+COUNTIFS($AK$3:$AK$98,$AK86,O$3:O$98,"&lt;"&amp;Z86,P$3:P$98,"&gt;"&amp;Y86)+COUNTIFS($AK$3:$AK$98,$AK86,Q$3:Q$98,"&lt;"&amp;Z86,R$3:R$98,"&gt;"&amp;Y86)+COUNTIFS($AK$3:$AK$98,$AK86,S$3:S$98,"&lt;"&amp;Z86,T$3:T$98,"&gt;"&amp;Y86)+COUNTIFS($AK$3:$AK$98,$AK86,U$3:U$98,"&lt;"&amp;Z86,V$3:V$98,"&gt;"&amp;Y86)+COUNTIFS($AK$3:$AK$98,$AK86,W$3:W$98,"&lt;"&amp;Z86,X$3:X$98,"&gt;"&amp;Y86)+COUNTIFS($AK$3:$AK$98,$AK86,Y$3:Y$98,"&lt;"&amp;Z86,Z$3:Z$98,"&gt;"&amp;Y86)+COUNTIFS($AK$3:$AK$98,$AK86,AA$3:AA$98,"&lt;"&amp;Z86,AB$3:AB$98,"&gt;"&amp;Y86)+COUNTIFS($AK$3:$AK$98,$AK86,AC$3:AC$98,"&lt;"&amp;Z86,AD$3:AD$98,"&gt;"&amp;Y86)+COUNTIFS($AK$3:$AK$98,$AK86,AE$3:AE$98,"&lt;"&amp;Z86,AF$3:AF$98,"&gt;"&amp;Y86)+COUNTIFS($AK$3:$AK$98,$AK86,AG$3:AG$98,"&lt;"&amp;Z86,AH$3:AH$98,"&gt;"&amp;Y86)-(Y86&lt;Z86))</f>
        <v>0</v>
      </c>
      <c r="BF86">
        <f>BE86</f>
        <v>0</v>
      </c>
      <c r="BG86">
        <f>IF(OR($AK86="",AA86="",AB86=""),0,COUNTIFS($AK$3:$AK$98,$AK86,K$3:K$98,"&lt;"&amp;AB86,L$3:L$98,"&gt;"&amp;AA86)+COUNTIFS($AK$3:$AK$98,$AK86,M$3:M$98,"&lt;"&amp;AB86,N$3:N$98,"&gt;"&amp;AA86)+COUNTIFS($AK$3:$AK$98,$AK86,O$3:O$98,"&lt;"&amp;AB86,P$3:P$98,"&gt;"&amp;AA86)+COUNTIFS($AK$3:$AK$98,$AK86,Q$3:Q$98,"&lt;"&amp;AB86,R$3:R$98,"&gt;"&amp;AA86)+COUNTIFS($AK$3:$AK$98,$AK86,S$3:S$98,"&lt;"&amp;AB86,T$3:T$98,"&gt;"&amp;AA86)+COUNTIFS($AK$3:$AK$98,$AK86,U$3:U$98,"&lt;"&amp;AB86,V$3:V$98,"&gt;"&amp;AA86)+COUNTIFS($AK$3:$AK$98,$AK86,W$3:W$98,"&lt;"&amp;AB86,X$3:X$98,"&gt;"&amp;AA86)+COUNTIFS($AK$3:$AK$98,$AK86,Y$3:Y$98,"&lt;"&amp;AB86,Z$3:Z$98,"&gt;"&amp;AA86)+COUNTIFS($AK$3:$AK$98,$AK86,AA$3:AA$98,"&lt;"&amp;AB86,AB$3:AB$98,"&gt;"&amp;AA86)+COUNTIFS($AK$3:$AK$98,$AK86,AC$3:AC$98,"&lt;"&amp;AB86,AD$3:AD$98,"&gt;"&amp;AA86)+COUNTIFS($AK$3:$AK$98,$AK86,AE$3:AE$98,"&lt;"&amp;AB86,AF$3:AF$98,"&gt;"&amp;AA86)+COUNTIFS($AK$3:$AK$98,$AK86,AG$3:AG$98,"&lt;"&amp;AB86,AH$3:AH$98,"&gt;"&amp;AA86)-(AA86&lt;AB86))</f>
        <v>0</v>
      </c>
      <c r="BH86">
        <f>BG86</f>
        <v>0</v>
      </c>
      <c r="BI86">
        <f>IF(OR($AK86="",AC86="",AD86=""),0,COUNTIFS($AK$3:$AK$98,$AK86,K$3:K$98,"&lt;"&amp;AD86,L$3:L$98,"&gt;"&amp;AC86)+COUNTIFS($AK$3:$AK$98,$AK86,M$3:M$98,"&lt;"&amp;AD86,N$3:N$98,"&gt;"&amp;AC86)+COUNTIFS($AK$3:$AK$98,$AK86,O$3:O$98,"&lt;"&amp;AD86,P$3:P$98,"&gt;"&amp;AC86)+COUNTIFS($AK$3:$AK$98,$AK86,Q$3:Q$98,"&lt;"&amp;AD86,R$3:R$98,"&gt;"&amp;AC86)+COUNTIFS($AK$3:$AK$98,$AK86,S$3:S$98,"&lt;"&amp;AD86,T$3:T$98,"&gt;"&amp;AC86)+COUNTIFS($AK$3:$AK$98,$AK86,U$3:U$98,"&lt;"&amp;AD86,V$3:V$98,"&gt;"&amp;AC86)+COUNTIFS($AK$3:$AK$98,$AK86,W$3:W$98,"&lt;"&amp;AD86,X$3:X$98,"&gt;"&amp;AC86)+COUNTIFS($AK$3:$AK$98,$AK86,Y$3:Y$98,"&lt;"&amp;AD86,Z$3:Z$98,"&gt;"&amp;AC86)+COUNTIFS($AK$3:$AK$98,$AK86,AA$3:AA$98,"&lt;"&amp;AD86,AB$3:AB$98,"&gt;"&amp;AC86)+COUNTIFS($AK$3:$AK$98,$AK86,AC$3:AC$98,"&lt;"&amp;AD86,AD$3:AD$98,"&gt;"&amp;AC86)+COUNTIFS($AK$3:$AK$98,$AK86,AE$3:AE$98,"&lt;"&amp;AD86,AF$3:AF$98,"&gt;"&amp;AC86)+COUNTIFS($AK$3:$AK$98,$AK86,AG$3:AG$98,"&lt;"&amp;AD86,AH$3:AH$98,"&gt;"&amp;AC86)-(AC86&lt;AD86))</f>
        <v>0</v>
      </c>
      <c r="BJ86">
        <f>BI86</f>
        <v>0</v>
      </c>
      <c r="BK86">
        <f>IF(OR($AK86="",AE86="",AF86=""),0,COUNTIFS($AK$3:$AK$98,$AK86,K$3:K$98,"&lt;"&amp;AF86,L$3:L$98,"&gt;"&amp;AE86)+COUNTIFS($AK$3:$AK$98,$AK86,M$3:M$98,"&lt;"&amp;AF86,N$3:N$98,"&gt;"&amp;AE86)+COUNTIFS($AK$3:$AK$98,$AK86,O$3:O$98,"&lt;"&amp;AF86,P$3:P$98,"&gt;"&amp;AE86)+COUNTIFS($AK$3:$AK$98,$AK86,Q$3:Q$98,"&lt;"&amp;AF86,R$3:R$98,"&gt;"&amp;AE86)+COUNTIFS($AK$3:$AK$98,$AK86,S$3:S$98,"&lt;"&amp;AF86,T$3:T$98,"&gt;"&amp;AE86)+COUNTIFS($AK$3:$AK$98,$AK86,U$3:U$98,"&lt;"&amp;AF86,V$3:V$98,"&gt;"&amp;AE86)+COUNTIFS($AK$3:$AK$98,$AK86,W$3:W$98,"&lt;"&amp;AF86,X$3:X$98,"&gt;"&amp;AE86)+COUNTIFS($AK$3:$AK$98,$AK86,Y$3:Y$98,"&lt;"&amp;AF86,Z$3:Z$98,"&gt;"&amp;AE86)+COUNTIFS($AK$3:$AK$98,$AK86,AA$3:AA$98,"&lt;"&amp;AF86,AB$3:AB$98,"&gt;"&amp;AE86)+COUNTIFS($AK$3:$AK$98,$AK86,AC$3:AC$98,"&lt;"&amp;AF86,AD$3:AD$98,"&gt;"&amp;AE86)+COUNTIFS($AK$3:$AK$98,$AK86,AE$3:AE$98,"&lt;"&amp;AF86,AF$3:AF$98,"&gt;"&amp;AE86)+COUNTIFS($AK$3:$AK$98,$AK86,AG$3:AG$98,"&lt;"&amp;AF86,AH$3:AH$98,"&gt;"&amp;AE86)-(AE86&lt;AF86))</f>
        <v>0</v>
      </c>
      <c r="BL86">
        <f>BK86</f>
        <v>0</v>
      </c>
      <c r="BM86">
        <f>IF(OR($AK86="",AG86="",AH86=""),0,COUNTIFS($AK$3:$AK$98,$AK86,K$3:K$98,"&lt;"&amp;AH86,L$3:L$98,"&gt;"&amp;AG86)+COUNTIFS($AK$3:$AK$98,$AK86,M$3:M$98,"&lt;"&amp;AH86,N$3:N$98,"&gt;"&amp;AG86)+COUNTIFS($AK$3:$AK$98,$AK86,O$3:O$98,"&lt;"&amp;AH86,P$3:P$98,"&gt;"&amp;AG86)+COUNTIFS($AK$3:$AK$98,$AK86,Q$3:Q$98,"&lt;"&amp;AH86,R$3:R$98,"&gt;"&amp;AG86)+COUNTIFS($AK$3:$AK$98,$AK86,S$3:S$98,"&lt;"&amp;AH86,T$3:T$98,"&gt;"&amp;AG86)+COUNTIFS($AK$3:$AK$98,$AK86,U$3:U$98,"&lt;"&amp;AH86,V$3:V$98,"&gt;"&amp;AG86)+COUNTIFS($AK$3:$AK$98,$AK86,W$3:W$98,"&lt;"&amp;AH86,X$3:X$98,"&gt;"&amp;AG86)+COUNTIFS($AK$3:$AK$98,$AK86,Y$3:Y$98,"&lt;"&amp;AH86,Z$3:Z$98,"&gt;"&amp;AG86)+COUNTIFS($AK$3:$AK$98,$AK86,AA$3:AA$98,"&lt;"&amp;AH86,AB$3:AB$98,"&gt;"&amp;AG86)+COUNTIFS($AK$3:$AK$98,$AK86,AC$3:AC$98,"&lt;"&amp;AH86,AD$3:AD$98,"&gt;"&amp;AG86)+COUNTIFS($AK$3:$AK$98,$AK86,AE$3:AE$98,"&lt;"&amp;AH86,AF$3:AF$98,"&gt;"&amp;AG86)+COUNTIFS($AK$3:$AK$98,$AK86,AG$3:AG$98,"&lt;"&amp;AH86,AH$3:AH$98,"&gt;"&amp;AG86)-(AG86&lt;AH86))</f>
        <v>0</v>
      </c>
      <c r="BN86">
        <f>BM86</f>
        <v>0</v>
      </c>
      <c r="BO86">
        <f>IF(ISNUMBER($G86),$G86,"")</f>
        <v>0</v>
      </c>
      <c r="BP86" t="str">
        <f>IF(AND($A86&lt;&gt;"",COUNT($K86:$AH86)&gt;0),ROW(),"")</f>
        <v/>
      </c>
    </row>
    <row r="87" spans="1:68" x14ac:dyDescent="0.15">
      <c r="A87" s="13" t="s">
        <v>55</v>
      </c>
      <c r="B87" s="14" t="str">
        <f>IF($A87="","","total")</f>
        <v>total</v>
      </c>
      <c r="C87" s="14"/>
      <c r="D87" s="15">
        <f>IF($A87="","",SUM(D88:D90))</f>
        <v>17</v>
      </c>
      <c r="E87" s="15">
        <f>IF($A87="","",SUM(E88:E90))</f>
        <v>0</v>
      </c>
      <c r="F87" s="15">
        <f>IF($A87="","",D87-E87)</f>
        <v>17</v>
      </c>
      <c r="G87" s="16" t="str">
        <f>IF($A87="","",IFERROR(AVERAGEIFS(G88:G90,H88:H90,"&lt;&gt;未着手",H88:H90,"&lt;&gt;作業中"),""))</f>
        <v/>
      </c>
      <c r="H87" s="14"/>
      <c r="I87" s="14"/>
      <c r="J87" s="14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</row>
    <row r="88" spans="1:68" x14ac:dyDescent="0.15">
      <c r="A88" s="18" t="str">
        <f>IF($A87="","",$A87)</f>
        <v>chMobSaiyanK</v>
      </c>
      <c r="B88" s="19" t="str">
        <f>IF($A87="","","low")</f>
        <v>low</v>
      </c>
      <c r="C88" s="19"/>
      <c r="D88" s="20">
        <v>8</v>
      </c>
      <c r="E88" s="21">
        <f>IF(AND($D88="",COUNT($K88:$AH88)=0),"",IF(K88="",0,MAX(0,NETWORKDAYS(K88,IF(L88&lt;&gt;"",L88,IF($J88&lt;&gt;"",K88,$AI$1)),祝日!$A$2:$A$200)))+IF(M88="",0,MAX(0,NETWORKDAYS(M88,IF(N88&lt;&gt;"",N88,IF($J88&lt;&gt;"",M88,$AI$1)),祝日!$A$2:$A$200)))+IF(O88="",0,MAX(0,NETWORKDAYS(O88,IF(P88&lt;&gt;"",P88,IF($J88&lt;&gt;"",O88,$AI$1)),祝日!$A$2:$A$200)))+IF(Q88="",0,MAX(0,NETWORKDAYS(Q88,IF(R88&lt;&gt;"",R88,IF($J88&lt;&gt;"",Q88,$AI$1)),祝日!$A$2:$A$200)))+IF(S88="",0,MAX(0,NETWORKDAYS(S88,IF(T88&lt;&gt;"",T88,IF($J88&lt;&gt;"",S88,$AI$1)),祝日!$A$2:$A$200)))+IF(U88="",0,MAX(0,NETWORKDAYS(U88,IF(V88&lt;&gt;"",V88,IF($J88&lt;&gt;"",U88,$AI$1)),祝日!$A$2:$A$200)))+IF(W88="",0,MAX(0,NETWORKDAYS(W88,IF(X88&lt;&gt;"",X88,IF($J88&lt;&gt;"",W88,$AI$1)),祝日!$A$2:$A$200)))+IF(Y88="",0,MAX(0,NETWORKDAYS(Y88,IF(Z88&lt;&gt;"",Z88,IF($J88&lt;&gt;"",Y88,$AI$1)),祝日!$A$2:$A$200)))+IF(AA88="",0,MAX(0,NETWORKDAYS(AA88,IF(AB88&lt;&gt;"",AB88,IF($J88&lt;&gt;"",AA88,$AI$1)),祝日!$A$2:$A$200)))+IF(AC88="",0,MAX(0,NETWORKDAYS(AC88,IF(AD88&lt;&gt;"",AD88,IF($J88&lt;&gt;"",AC88,$AI$1)),祝日!$A$2:$A$200)))+IF(AE88="",0,MAX(0,NETWORKDAYS(AE88,IF(AF88&lt;&gt;"",AF88,IF($J88&lt;&gt;"",AE88,$AI$1)),祝日!$A$2:$A$200)))+IF(AG88="",0,MAX(0,NETWORKDAYS(AG88,IF(AH88&lt;&gt;"",AH88,IF($J88&lt;&gt;"",AG88,$AI$1)),祝日!$A$2:$A$200))))</f>
        <v>0</v>
      </c>
      <c r="F88" s="21">
        <f>IF($D88="","",$D88-$E88)</f>
        <v>8</v>
      </c>
      <c r="G88" s="22">
        <f>IF(OR($D88="",$D88=0),"",$E88/$D88)</f>
        <v>0</v>
      </c>
      <c r="H88" s="23" t="str">
        <f>IF($D88="","",IF($J88&lt;&gt;"","FIX",IF(AND(SUMPRODUCT((MOD(COLUMN($K88:$AH88)-COLUMN($K88),2)=0)*($K88:$AH88&lt;&gt;""))=0,SUMPRODUCT((MOD(COLUMN($K88:$AH88)-COLUMN($K88),2)=1)*($K88:$AH88&lt;&gt;""))=0),"未着手",IF(SUMPRODUCT((MOD(COLUMN($K88:$AH88)-COLUMN($K88),2)=0)*($K88:$AH88&lt;&gt;""))&gt;SUMPRODUCT((MOD(COLUMN($K88:$AH88)-COLUMN($K88),2)=1)*($K88:$AH88&lt;&gt;"")),"作業中","中断"))))</f>
        <v>未着手</v>
      </c>
      <c r="I88" s="23" t="str">
        <f>IF($H88="中断",MAX(0,$AI$1-MAX(L88,N88,P88,R88,T88,V88,X88,Z88,AB88,AD88,AF88,AH88)),"")</f>
        <v/>
      </c>
      <c r="J88" s="19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K88" t="str">
        <f>IF($A87="","",IF(LOOKUP(2,1/($AJ$3:$AJ88&lt;&gt;""),$AJ$3:$AJ88)="-","",LOOKUP(2,1/($AJ$3:$AJ88&lt;&gt;""),$AJ$3:$AJ88)))</f>
        <v/>
      </c>
      <c r="AL88" t="str">
        <f>$H88</f>
        <v>未着手</v>
      </c>
      <c r="AM88">
        <f>IF(ISNUMBER($D88),$D88,0)</f>
        <v>8</v>
      </c>
      <c r="AN88">
        <f>IF(ISNUMBER($E88),$E88,0)</f>
        <v>0</v>
      </c>
      <c r="AO88">
        <f>IF(ISNUMBER($F88),$F88,0)</f>
        <v>8</v>
      </c>
      <c r="AQ88">
        <f>IF(OR($AK88="",K88="",L88=""),0,COUNTIFS($AK$3:$AK$98,$AK88,K$3:K$98,"&lt;"&amp;L88,L$3:L$98,"&gt;"&amp;K88)+COUNTIFS($AK$3:$AK$98,$AK88,M$3:M$98,"&lt;"&amp;L88,N$3:N$98,"&gt;"&amp;K88)+COUNTIFS($AK$3:$AK$98,$AK88,O$3:O$98,"&lt;"&amp;L88,P$3:P$98,"&gt;"&amp;K88)+COUNTIFS($AK$3:$AK$98,$AK88,Q$3:Q$98,"&lt;"&amp;L88,R$3:R$98,"&gt;"&amp;K88)+COUNTIFS($AK$3:$AK$98,$AK88,S$3:S$98,"&lt;"&amp;L88,T$3:T$98,"&gt;"&amp;K88)+COUNTIFS($AK$3:$AK$98,$AK88,U$3:U$98,"&lt;"&amp;L88,V$3:V$98,"&gt;"&amp;K88)+COUNTIFS($AK$3:$AK$98,$AK88,W$3:W$98,"&lt;"&amp;L88,X$3:X$98,"&gt;"&amp;K88)+COUNTIFS($AK$3:$AK$98,$AK88,Y$3:Y$98,"&lt;"&amp;L88,Z$3:Z$98,"&gt;"&amp;K88)+COUNTIFS($AK$3:$AK$98,$AK88,AA$3:AA$98,"&lt;"&amp;L88,AB$3:AB$98,"&gt;"&amp;K88)+COUNTIFS($AK$3:$AK$98,$AK88,AC$3:AC$98,"&lt;"&amp;L88,AD$3:AD$98,"&gt;"&amp;K88)+COUNTIFS($AK$3:$AK$98,$AK88,AE$3:AE$98,"&lt;"&amp;L88,AF$3:AF$98,"&gt;"&amp;K88)+COUNTIFS($AK$3:$AK$98,$AK88,AG$3:AG$98,"&lt;"&amp;L88,AH$3:AH$98,"&gt;"&amp;K88)-(K88&lt;L88))</f>
        <v>0</v>
      </c>
      <c r="AR88">
        <f>AQ88</f>
        <v>0</v>
      </c>
      <c r="AS88">
        <f>IF(OR($AK88="",M88="",N88=""),0,COUNTIFS($AK$3:$AK$98,$AK88,K$3:K$98,"&lt;"&amp;N88,L$3:L$98,"&gt;"&amp;M88)+COUNTIFS($AK$3:$AK$98,$AK88,M$3:M$98,"&lt;"&amp;N88,N$3:N$98,"&gt;"&amp;M88)+COUNTIFS($AK$3:$AK$98,$AK88,O$3:O$98,"&lt;"&amp;N88,P$3:P$98,"&gt;"&amp;M88)+COUNTIFS($AK$3:$AK$98,$AK88,Q$3:Q$98,"&lt;"&amp;N88,R$3:R$98,"&gt;"&amp;M88)+COUNTIFS($AK$3:$AK$98,$AK88,S$3:S$98,"&lt;"&amp;N88,T$3:T$98,"&gt;"&amp;M88)+COUNTIFS($AK$3:$AK$98,$AK88,U$3:U$98,"&lt;"&amp;N88,V$3:V$98,"&gt;"&amp;M88)+COUNTIFS($AK$3:$AK$98,$AK88,W$3:W$98,"&lt;"&amp;N88,X$3:X$98,"&gt;"&amp;M88)+COUNTIFS($AK$3:$AK$98,$AK88,Y$3:Y$98,"&lt;"&amp;N88,Z$3:Z$98,"&gt;"&amp;M88)+COUNTIFS($AK$3:$AK$98,$AK88,AA$3:AA$98,"&lt;"&amp;N88,AB$3:AB$98,"&gt;"&amp;M88)+COUNTIFS($AK$3:$AK$98,$AK88,AC$3:AC$98,"&lt;"&amp;N88,AD$3:AD$98,"&gt;"&amp;M88)+COUNTIFS($AK$3:$AK$98,$AK88,AE$3:AE$98,"&lt;"&amp;N88,AF$3:AF$98,"&gt;"&amp;M88)+COUNTIFS($AK$3:$AK$98,$AK88,AG$3:AG$98,"&lt;"&amp;N88,AH$3:AH$98,"&gt;"&amp;M88)-(M88&lt;N88))</f>
        <v>0</v>
      </c>
      <c r="AT88">
        <f>AS88</f>
        <v>0</v>
      </c>
      <c r="AU88">
        <f>IF(OR($AK88="",O88="",P88=""),0,COUNTIFS($AK$3:$AK$98,$AK88,K$3:K$98,"&lt;"&amp;P88,L$3:L$98,"&gt;"&amp;O88)+COUNTIFS($AK$3:$AK$98,$AK88,M$3:M$98,"&lt;"&amp;P88,N$3:N$98,"&gt;"&amp;O88)+COUNTIFS($AK$3:$AK$98,$AK88,O$3:O$98,"&lt;"&amp;P88,P$3:P$98,"&gt;"&amp;O88)+COUNTIFS($AK$3:$AK$98,$AK88,Q$3:Q$98,"&lt;"&amp;P88,R$3:R$98,"&gt;"&amp;O88)+COUNTIFS($AK$3:$AK$98,$AK88,S$3:S$98,"&lt;"&amp;P88,T$3:T$98,"&gt;"&amp;O88)+COUNTIFS($AK$3:$AK$98,$AK88,U$3:U$98,"&lt;"&amp;P88,V$3:V$98,"&gt;"&amp;O88)+COUNTIFS($AK$3:$AK$98,$AK88,W$3:W$98,"&lt;"&amp;P88,X$3:X$98,"&gt;"&amp;O88)+COUNTIFS($AK$3:$AK$98,$AK88,Y$3:Y$98,"&lt;"&amp;P88,Z$3:Z$98,"&gt;"&amp;O88)+COUNTIFS($AK$3:$AK$98,$AK88,AA$3:AA$98,"&lt;"&amp;P88,AB$3:AB$98,"&gt;"&amp;O88)+COUNTIFS($AK$3:$AK$98,$AK88,AC$3:AC$98,"&lt;"&amp;P88,AD$3:AD$98,"&gt;"&amp;O88)+COUNTIFS($AK$3:$AK$98,$AK88,AE$3:AE$98,"&lt;"&amp;P88,AF$3:AF$98,"&gt;"&amp;O88)+COUNTIFS($AK$3:$AK$98,$AK88,AG$3:AG$98,"&lt;"&amp;P88,AH$3:AH$98,"&gt;"&amp;O88)-(O88&lt;P88))</f>
        <v>0</v>
      </c>
      <c r="AV88">
        <f>AU88</f>
        <v>0</v>
      </c>
      <c r="AW88">
        <f>IF(OR($AK88="",Q88="",R88=""),0,COUNTIFS($AK$3:$AK$98,$AK88,K$3:K$98,"&lt;"&amp;R88,L$3:L$98,"&gt;"&amp;Q88)+COUNTIFS($AK$3:$AK$98,$AK88,M$3:M$98,"&lt;"&amp;R88,N$3:N$98,"&gt;"&amp;Q88)+COUNTIFS($AK$3:$AK$98,$AK88,O$3:O$98,"&lt;"&amp;R88,P$3:P$98,"&gt;"&amp;Q88)+COUNTIFS($AK$3:$AK$98,$AK88,Q$3:Q$98,"&lt;"&amp;R88,R$3:R$98,"&gt;"&amp;Q88)+COUNTIFS($AK$3:$AK$98,$AK88,S$3:S$98,"&lt;"&amp;R88,T$3:T$98,"&gt;"&amp;Q88)+COUNTIFS($AK$3:$AK$98,$AK88,U$3:U$98,"&lt;"&amp;R88,V$3:V$98,"&gt;"&amp;Q88)+COUNTIFS($AK$3:$AK$98,$AK88,W$3:W$98,"&lt;"&amp;R88,X$3:X$98,"&gt;"&amp;Q88)+COUNTIFS($AK$3:$AK$98,$AK88,Y$3:Y$98,"&lt;"&amp;R88,Z$3:Z$98,"&gt;"&amp;Q88)+COUNTIFS($AK$3:$AK$98,$AK88,AA$3:AA$98,"&lt;"&amp;R88,AB$3:AB$98,"&gt;"&amp;Q88)+COUNTIFS($AK$3:$AK$98,$AK88,AC$3:AC$98,"&lt;"&amp;R88,AD$3:AD$98,"&gt;"&amp;Q88)+COUNTIFS($AK$3:$AK$98,$AK88,AE$3:AE$98,"&lt;"&amp;R88,AF$3:AF$98,"&gt;"&amp;Q88)+COUNTIFS($AK$3:$AK$98,$AK88,AG$3:AG$98,"&lt;"&amp;R88,AH$3:AH$98,"&gt;"&amp;Q88)-(Q88&lt;R88))</f>
        <v>0</v>
      </c>
      <c r="AX88">
        <f>AW88</f>
        <v>0</v>
      </c>
      <c r="AY88">
        <f>IF(OR($AK88="",S88="",T88=""),0,COUNTIFS($AK$3:$AK$98,$AK88,K$3:K$98,"&lt;"&amp;T88,L$3:L$98,"&gt;"&amp;S88)+COUNTIFS($AK$3:$AK$98,$AK88,M$3:M$98,"&lt;"&amp;T88,N$3:N$98,"&gt;"&amp;S88)+COUNTIFS($AK$3:$AK$98,$AK88,O$3:O$98,"&lt;"&amp;T88,P$3:P$98,"&gt;"&amp;S88)+COUNTIFS($AK$3:$AK$98,$AK88,Q$3:Q$98,"&lt;"&amp;T88,R$3:R$98,"&gt;"&amp;S88)+COUNTIFS($AK$3:$AK$98,$AK88,S$3:S$98,"&lt;"&amp;T88,T$3:T$98,"&gt;"&amp;S88)+COUNTIFS($AK$3:$AK$98,$AK88,U$3:U$98,"&lt;"&amp;T88,V$3:V$98,"&gt;"&amp;S88)+COUNTIFS($AK$3:$AK$98,$AK88,W$3:W$98,"&lt;"&amp;T88,X$3:X$98,"&gt;"&amp;S88)+COUNTIFS($AK$3:$AK$98,$AK88,Y$3:Y$98,"&lt;"&amp;T88,Z$3:Z$98,"&gt;"&amp;S88)+COUNTIFS($AK$3:$AK$98,$AK88,AA$3:AA$98,"&lt;"&amp;T88,AB$3:AB$98,"&gt;"&amp;S88)+COUNTIFS($AK$3:$AK$98,$AK88,AC$3:AC$98,"&lt;"&amp;T88,AD$3:AD$98,"&gt;"&amp;S88)+COUNTIFS($AK$3:$AK$98,$AK88,AE$3:AE$98,"&lt;"&amp;T88,AF$3:AF$98,"&gt;"&amp;S88)+COUNTIFS($AK$3:$AK$98,$AK88,AG$3:AG$98,"&lt;"&amp;T88,AH$3:AH$98,"&gt;"&amp;S88)-(S88&lt;T88))</f>
        <v>0</v>
      </c>
      <c r="AZ88">
        <f>AY88</f>
        <v>0</v>
      </c>
      <c r="BA88">
        <f>IF(OR($AK88="",U88="",V88=""),0,COUNTIFS($AK$3:$AK$98,$AK88,K$3:K$98,"&lt;"&amp;V88,L$3:L$98,"&gt;"&amp;U88)+COUNTIFS($AK$3:$AK$98,$AK88,M$3:M$98,"&lt;"&amp;V88,N$3:N$98,"&gt;"&amp;U88)+COUNTIFS($AK$3:$AK$98,$AK88,O$3:O$98,"&lt;"&amp;V88,P$3:P$98,"&gt;"&amp;U88)+COUNTIFS($AK$3:$AK$98,$AK88,Q$3:Q$98,"&lt;"&amp;V88,R$3:R$98,"&gt;"&amp;U88)+COUNTIFS($AK$3:$AK$98,$AK88,S$3:S$98,"&lt;"&amp;V88,T$3:T$98,"&gt;"&amp;U88)+COUNTIFS($AK$3:$AK$98,$AK88,U$3:U$98,"&lt;"&amp;V88,V$3:V$98,"&gt;"&amp;U88)+COUNTIFS($AK$3:$AK$98,$AK88,W$3:W$98,"&lt;"&amp;V88,X$3:X$98,"&gt;"&amp;U88)+COUNTIFS($AK$3:$AK$98,$AK88,Y$3:Y$98,"&lt;"&amp;V88,Z$3:Z$98,"&gt;"&amp;U88)+COUNTIFS($AK$3:$AK$98,$AK88,AA$3:AA$98,"&lt;"&amp;V88,AB$3:AB$98,"&gt;"&amp;U88)+COUNTIFS($AK$3:$AK$98,$AK88,AC$3:AC$98,"&lt;"&amp;V88,AD$3:AD$98,"&gt;"&amp;U88)+COUNTIFS($AK$3:$AK$98,$AK88,AE$3:AE$98,"&lt;"&amp;V88,AF$3:AF$98,"&gt;"&amp;U88)+COUNTIFS($AK$3:$AK$98,$AK88,AG$3:AG$98,"&lt;"&amp;V88,AH$3:AH$98,"&gt;"&amp;U88)-(U88&lt;V88))</f>
        <v>0</v>
      </c>
      <c r="BB88">
        <f>BA88</f>
        <v>0</v>
      </c>
      <c r="BC88">
        <f>IF(OR($AK88="",W88="",X88=""),0,COUNTIFS($AK$3:$AK$98,$AK88,K$3:K$98,"&lt;"&amp;X88,L$3:L$98,"&gt;"&amp;W88)+COUNTIFS($AK$3:$AK$98,$AK88,M$3:M$98,"&lt;"&amp;X88,N$3:N$98,"&gt;"&amp;W88)+COUNTIFS($AK$3:$AK$98,$AK88,O$3:O$98,"&lt;"&amp;X88,P$3:P$98,"&gt;"&amp;W88)+COUNTIFS($AK$3:$AK$98,$AK88,Q$3:Q$98,"&lt;"&amp;X88,R$3:R$98,"&gt;"&amp;W88)+COUNTIFS($AK$3:$AK$98,$AK88,S$3:S$98,"&lt;"&amp;X88,T$3:T$98,"&gt;"&amp;W88)+COUNTIFS($AK$3:$AK$98,$AK88,U$3:U$98,"&lt;"&amp;X88,V$3:V$98,"&gt;"&amp;W88)+COUNTIFS($AK$3:$AK$98,$AK88,W$3:W$98,"&lt;"&amp;X88,X$3:X$98,"&gt;"&amp;W88)+COUNTIFS($AK$3:$AK$98,$AK88,Y$3:Y$98,"&lt;"&amp;X88,Z$3:Z$98,"&gt;"&amp;W88)+COUNTIFS($AK$3:$AK$98,$AK88,AA$3:AA$98,"&lt;"&amp;X88,AB$3:AB$98,"&gt;"&amp;W88)+COUNTIFS($AK$3:$AK$98,$AK88,AC$3:AC$98,"&lt;"&amp;X88,AD$3:AD$98,"&gt;"&amp;W88)+COUNTIFS($AK$3:$AK$98,$AK88,AE$3:AE$98,"&lt;"&amp;X88,AF$3:AF$98,"&gt;"&amp;W88)+COUNTIFS($AK$3:$AK$98,$AK88,AG$3:AG$98,"&lt;"&amp;X88,AH$3:AH$98,"&gt;"&amp;W88)-(W88&lt;X88))</f>
        <v>0</v>
      </c>
      <c r="BD88">
        <f>BC88</f>
        <v>0</v>
      </c>
      <c r="BE88">
        <f>IF(OR($AK88="",Y88="",Z88=""),0,COUNTIFS($AK$3:$AK$98,$AK88,K$3:K$98,"&lt;"&amp;Z88,L$3:L$98,"&gt;"&amp;Y88)+COUNTIFS($AK$3:$AK$98,$AK88,M$3:M$98,"&lt;"&amp;Z88,N$3:N$98,"&gt;"&amp;Y88)+COUNTIFS($AK$3:$AK$98,$AK88,O$3:O$98,"&lt;"&amp;Z88,P$3:P$98,"&gt;"&amp;Y88)+COUNTIFS($AK$3:$AK$98,$AK88,Q$3:Q$98,"&lt;"&amp;Z88,R$3:R$98,"&gt;"&amp;Y88)+COUNTIFS($AK$3:$AK$98,$AK88,S$3:S$98,"&lt;"&amp;Z88,T$3:T$98,"&gt;"&amp;Y88)+COUNTIFS($AK$3:$AK$98,$AK88,U$3:U$98,"&lt;"&amp;Z88,V$3:V$98,"&gt;"&amp;Y88)+COUNTIFS($AK$3:$AK$98,$AK88,W$3:W$98,"&lt;"&amp;Z88,X$3:X$98,"&gt;"&amp;Y88)+COUNTIFS($AK$3:$AK$98,$AK88,Y$3:Y$98,"&lt;"&amp;Z88,Z$3:Z$98,"&gt;"&amp;Y88)+COUNTIFS($AK$3:$AK$98,$AK88,AA$3:AA$98,"&lt;"&amp;Z88,AB$3:AB$98,"&gt;"&amp;Y88)+COUNTIFS($AK$3:$AK$98,$AK88,AC$3:AC$98,"&lt;"&amp;Z88,AD$3:AD$98,"&gt;"&amp;Y88)+COUNTIFS($AK$3:$AK$98,$AK88,AE$3:AE$98,"&lt;"&amp;Z88,AF$3:AF$98,"&gt;"&amp;Y88)+COUNTIFS($AK$3:$AK$98,$AK88,AG$3:AG$98,"&lt;"&amp;Z88,AH$3:AH$98,"&gt;"&amp;Y88)-(Y88&lt;Z88))</f>
        <v>0</v>
      </c>
      <c r="BF88">
        <f>BE88</f>
        <v>0</v>
      </c>
      <c r="BG88">
        <f>IF(OR($AK88="",AA88="",AB88=""),0,COUNTIFS($AK$3:$AK$98,$AK88,K$3:K$98,"&lt;"&amp;AB88,L$3:L$98,"&gt;"&amp;AA88)+COUNTIFS($AK$3:$AK$98,$AK88,M$3:M$98,"&lt;"&amp;AB88,N$3:N$98,"&gt;"&amp;AA88)+COUNTIFS($AK$3:$AK$98,$AK88,O$3:O$98,"&lt;"&amp;AB88,P$3:P$98,"&gt;"&amp;AA88)+COUNTIFS($AK$3:$AK$98,$AK88,Q$3:Q$98,"&lt;"&amp;AB88,R$3:R$98,"&gt;"&amp;AA88)+COUNTIFS($AK$3:$AK$98,$AK88,S$3:S$98,"&lt;"&amp;AB88,T$3:T$98,"&gt;"&amp;AA88)+COUNTIFS($AK$3:$AK$98,$AK88,U$3:U$98,"&lt;"&amp;AB88,V$3:V$98,"&gt;"&amp;AA88)+COUNTIFS($AK$3:$AK$98,$AK88,W$3:W$98,"&lt;"&amp;AB88,X$3:X$98,"&gt;"&amp;AA88)+COUNTIFS($AK$3:$AK$98,$AK88,Y$3:Y$98,"&lt;"&amp;AB88,Z$3:Z$98,"&gt;"&amp;AA88)+COUNTIFS($AK$3:$AK$98,$AK88,AA$3:AA$98,"&lt;"&amp;AB88,AB$3:AB$98,"&gt;"&amp;AA88)+COUNTIFS($AK$3:$AK$98,$AK88,AC$3:AC$98,"&lt;"&amp;AB88,AD$3:AD$98,"&gt;"&amp;AA88)+COUNTIFS($AK$3:$AK$98,$AK88,AE$3:AE$98,"&lt;"&amp;AB88,AF$3:AF$98,"&gt;"&amp;AA88)+COUNTIFS($AK$3:$AK$98,$AK88,AG$3:AG$98,"&lt;"&amp;AB88,AH$3:AH$98,"&gt;"&amp;AA88)-(AA88&lt;AB88))</f>
        <v>0</v>
      </c>
      <c r="BH88">
        <f>BG88</f>
        <v>0</v>
      </c>
      <c r="BI88">
        <f>IF(OR($AK88="",AC88="",AD88=""),0,COUNTIFS($AK$3:$AK$98,$AK88,K$3:K$98,"&lt;"&amp;AD88,L$3:L$98,"&gt;"&amp;AC88)+COUNTIFS($AK$3:$AK$98,$AK88,M$3:M$98,"&lt;"&amp;AD88,N$3:N$98,"&gt;"&amp;AC88)+COUNTIFS($AK$3:$AK$98,$AK88,O$3:O$98,"&lt;"&amp;AD88,P$3:P$98,"&gt;"&amp;AC88)+COUNTIFS($AK$3:$AK$98,$AK88,Q$3:Q$98,"&lt;"&amp;AD88,R$3:R$98,"&gt;"&amp;AC88)+COUNTIFS($AK$3:$AK$98,$AK88,S$3:S$98,"&lt;"&amp;AD88,T$3:T$98,"&gt;"&amp;AC88)+COUNTIFS($AK$3:$AK$98,$AK88,U$3:U$98,"&lt;"&amp;AD88,V$3:V$98,"&gt;"&amp;AC88)+COUNTIFS($AK$3:$AK$98,$AK88,W$3:W$98,"&lt;"&amp;AD88,X$3:X$98,"&gt;"&amp;AC88)+COUNTIFS($AK$3:$AK$98,$AK88,Y$3:Y$98,"&lt;"&amp;AD88,Z$3:Z$98,"&gt;"&amp;AC88)+COUNTIFS($AK$3:$AK$98,$AK88,AA$3:AA$98,"&lt;"&amp;AD88,AB$3:AB$98,"&gt;"&amp;AC88)+COUNTIFS($AK$3:$AK$98,$AK88,AC$3:AC$98,"&lt;"&amp;AD88,AD$3:AD$98,"&gt;"&amp;AC88)+COUNTIFS($AK$3:$AK$98,$AK88,AE$3:AE$98,"&lt;"&amp;AD88,AF$3:AF$98,"&gt;"&amp;AC88)+COUNTIFS($AK$3:$AK$98,$AK88,AG$3:AG$98,"&lt;"&amp;AD88,AH$3:AH$98,"&gt;"&amp;AC88)-(AC88&lt;AD88))</f>
        <v>0</v>
      </c>
      <c r="BJ88">
        <f>BI88</f>
        <v>0</v>
      </c>
      <c r="BK88">
        <f>IF(OR($AK88="",AE88="",AF88=""),0,COUNTIFS($AK$3:$AK$98,$AK88,K$3:K$98,"&lt;"&amp;AF88,L$3:L$98,"&gt;"&amp;AE88)+COUNTIFS($AK$3:$AK$98,$AK88,M$3:M$98,"&lt;"&amp;AF88,N$3:N$98,"&gt;"&amp;AE88)+COUNTIFS($AK$3:$AK$98,$AK88,O$3:O$98,"&lt;"&amp;AF88,P$3:P$98,"&gt;"&amp;AE88)+COUNTIFS($AK$3:$AK$98,$AK88,Q$3:Q$98,"&lt;"&amp;AF88,R$3:R$98,"&gt;"&amp;AE88)+COUNTIFS($AK$3:$AK$98,$AK88,S$3:S$98,"&lt;"&amp;AF88,T$3:T$98,"&gt;"&amp;AE88)+COUNTIFS($AK$3:$AK$98,$AK88,U$3:U$98,"&lt;"&amp;AF88,V$3:V$98,"&gt;"&amp;AE88)+COUNTIFS($AK$3:$AK$98,$AK88,W$3:W$98,"&lt;"&amp;AF88,X$3:X$98,"&gt;"&amp;AE88)+COUNTIFS($AK$3:$AK$98,$AK88,Y$3:Y$98,"&lt;"&amp;AF88,Z$3:Z$98,"&gt;"&amp;AE88)+COUNTIFS($AK$3:$AK$98,$AK88,AA$3:AA$98,"&lt;"&amp;AF88,AB$3:AB$98,"&gt;"&amp;AE88)+COUNTIFS($AK$3:$AK$98,$AK88,AC$3:AC$98,"&lt;"&amp;AF88,AD$3:AD$98,"&gt;"&amp;AE88)+COUNTIFS($AK$3:$AK$98,$AK88,AE$3:AE$98,"&lt;"&amp;AF88,AF$3:AF$98,"&gt;"&amp;AE88)+COUNTIFS($AK$3:$AK$98,$AK88,AG$3:AG$98,"&lt;"&amp;AF88,AH$3:AH$98,"&gt;"&amp;AE88)-(AE88&lt;AF88))</f>
        <v>0</v>
      </c>
      <c r="BL88">
        <f>BK88</f>
        <v>0</v>
      </c>
      <c r="BM88">
        <f>IF(OR($AK88="",AG88="",AH88=""),0,COUNTIFS($AK$3:$AK$98,$AK88,K$3:K$98,"&lt;"&amp;AH88,L$3:L$98,"&gt;"&amp;AG88)+COUNTIFS($AK$3:$AK$98,$AK88,M$3:M$98,"&lt;"&amp;AH88,N$3:N$98,"&gt;"&amp;AG88)+COUNTIFS($AK$3:$AK$98,$AK88,O$3:O$98,"&lt;"&amp;AH88,P$3:P$98,"&gt;"&amp;AG88)+COUNTIFS($AK$3:$AK$98,$AK88,Q$3:Q$98,"&lt;"&amp;AH88,R$3:R$98,"&gt;"&amp;AG88)+COUNTIFS($AK$3:$AK$98,$AK88,S$3:S$98,"&lt;"&amp;AH88,T$3:T$98,"&gt;"&amp;AG88)+COUNTIFS($AK$3:$AK$98,$AK88,U$3:U$98,"&lt;"&amp;AH88,V$3:V$98,"&gt;"&amp;AG88)+COUNTIFS($AK$3:$AK$98,$AK88,W$3:W$98,"&lt;"&amp;AH88,X$3:X$98,"&gt;"&amp;AG88)+COUNTIFS($AK$3:$AK$98,$AK88,Y$3:Y$98,"&lt;"&amp;AH88,Z$3:Z$98,"&gt;"&amp;AG88)+COUNTIFS($AK$3:$AK$98,$AK88,AA$3:AA$98,"&lt;"&amp;AH88,AB$3:AB$98,"&gt;"&amp;AG88)+COUNTIFS($AK$3:$AK$98,$AK88,AC$3:AC$98,"&lt;"&amp;AH88,AD$3:AD$98,"&gt;"&amp;AG88)+COUNTIFS($AK$3:$AK$98,$AK88,AE$3:AE$98,"&lt;"&amp;AH88,AF$3:AF$98,"&gt;"&amp;AG88)+COUNTIFS($AK$3:$AK$98,$AK88,AG$3:AG$98,"&lt;"&amp;AH88,AH$3:AH$98,"&gt;"&amp;AG88)-(AG88&lt;AH88))</f>
        <v>0</v>
      </c>
      <c r="BN88">
        <f>BM88</f>
        <v>0</v>
      </c>
      <c r="BO88">
        <f>IF(ISNUMBER($G88),$G88,"")</f>
        <v>0</v>
      </c>
      <c r="BP88" t="str">
        <f>IF(AND($A88&lt;&gt;"",COUNT($K88:$AH88)&gt;0),ROW(),"")</f>
        <v/>
      </c>
    </row>
    <row r="89" spans="1:68" x14ac:dyDescent="0.15">
      <c r="A89" s="18" t="str">
        <f>IF($A87="","",$A87)</f>
        <v>chMobSaiyanK</v>
      </c>
      <c r="B89" s="19" t="str">
        <f>IF($A87="","","high")</f>
        <v>high</v>
      </c>
      <c r="C89" s="19"/>
      <c r="D89" s="20">
        <v>5</v>
      </c>
      <c r="E89" s="21">
        <f>IF(AND($D89="",COUNT($K89:$AH89)=0),"",IF(K89="",0,MAX(0,NETWORKDAYS(K89,IF(L89&lt;&gt;"",L89,IF($J89&lt;&gt;"",K89,$AI$1)),祝日!$A$2:$A$200)))+IF(M89="",0,MAX(0,NETWORKDAYS(M89,IF(N89&lt;&gt;"",N89,IF($J89&lt;&gt;"",M89,$AI$1)),祝日!$A$2:$A$200)))+IF(O89="",0,MAX(0,NETWORKDAYS(O89,IF(P89&lt;&gt;"",P89,IF($J89&lt;&gt;"",O89,$AI$1)),祝日!$A$2:$A$200)))+IF(Q89="",0,MAX(0,NETWORKDAYS(Q89,IF(R89&lt;&gt;"",R89,IF($J89&lt;&gt;"",Q89,$AI$1)),祝日!$A$2:$A$200)))+IF(S89="",0,MAX(0,NETWORKDAYS(S89,IF(T89&lt;&gt;"",T89,IF($J89&lt;&gt;"",S89,$AI$1)),祝日!$A$2:$A$200)))+IF(U89="",0,MAX(0,NETWORKDAYS(U89,IF(V89&lt;&gt;"",V89,IF($J89&lt;&gt;"",U89,$AI$1)),祝日!$A$2:$A$200)))+IF(W89="",0,MAX(0,NETWORKDAYS(W89,IF(X89&lt;&gt;"",X89,IF($J89&lt;&gt;"",W89,$AI$1)),祝日!$A$2:$A$200)))+IF(Y89="",0,MAX(0,NETWORKDAYS(Y89,IF(Z89&lt;&gt;"",Z89,IF($J89&lt;&gt;"",Y89,$AI$1)),祝日!$A$2:$A$200)))+IF(AA89="",0,MAX(0,NETWORKDAYS(AA89,IF(AB89&lt;&gt;"",AB89,IF($J89&lt;&gt;"",AA89,$AI$1)),祝日!$A$2:$A$200)))+IF(AC89="",0,MAX(0,NETWORKDAYS(AC89,IF(AD89&lt;&gt;"",AD89,IF($J89&lt;&gt;"",AC89,$AI$1)),祝日!$A$2:$A$200)))+IF(AE89="",0,MAX(0,NETWORKDAYS(AE89,IF(AF89&lt;&gt;"",AF89,IF($J89&lt;&gt;"",AE89,$AI$1)),祝日!$A$2:$A$200)))+IF(AG89="",0,MAX(0,NETWORKDAYS(AG89,IF(AH89&lt;&gt;"",AH89,IF($J89&lt;&gt;"",AG89,$AI$1)),祝日!$A$2:$A$200))))</f>
        <v>0</v>
      </c>
      <c r="F89" s="21">
        <f>IF($D89="","",$D89-$E89)</f>
        <v>5</v>
      </c>
      <c r="G89" s="22">
        <f>IF(OR($D89="",$D89=0),"",$E89/$D89)</f>
        <v>0</v>
      </c>
      <c r="H89" s="23" t="str">
        <f>IF($D89="","",IF($J89&lt;&gt;"","FIX",IF(AND(SUMPRODUCT((MOD(COLUMN($K89:$AH89)-COLUMN($K89),2)=0)*($K89:$AH89&lt;&gt;""))=0,SUMPRODUCT((MOD(COLUMN($K89:$AH89)-COLUMN($K89),2)=1)*($K89:$AH89&lt;&gt;""))=0),"未着手",IF(SUMPRODUCT((MOD(COLUMN($K89:$AH89)-COLUMN($K89),2)=0)*($K89:$AH89&lt;&gt;""))&gt;SUMPRODUCT((MOD(COLUMN($K89:$AH89)-COLUMN($K89),2)=1)*($K89:$AH89&lt;&gt;"")),"作業中","中断"))))</f>
        <v>未着手</v>
      </c>
      <c r="I89" s="23" t="str">
        <f>IF($H89="中断",MAX(0,$AI$1-MAX(L89,N89,P89,R89,T89,V89,X89,Z89,AB89,AD89,AF89,AH89)),"")</f>
        <v/>
      </c>
      <c r="J89" s="19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K89" t="str">
        <f>IF($A87="","",IF(LOOKUP(2,1/($AJ$3:$AJ89&lt;&gt;""),$AJ$3:$AJ89)="-","",LOOKUP(2,1/($AJ$3:$AJ89&lt;&gt;""),$AJ$3:$AJ89)))</f>
        <v/>
      </c>
      <c r="AL89" t="str">
        <f>$H89</f>
        <v>未着手</v>
      </c>
      <c r="AM89">
        <f>IF(ISNUMBER($D89),$D89,0)</f>
        <v>5</v>
      </c>
      <c r="AN89">
        <f>IF(ISNUMBER($E89),$E89,0)</f>
        <v>0</v>
      </c>
      <c r="AO89">
        <f>IF(ISNUMBER($F89),$F89,0)</f>
        <v>5</v>
      </c>
      <c r="AQ89">
        <f>IF(OR($AK89="",K89="",L89=""),0,COUNTIFS($AK$3:$AK$98,$AK89,K$3:K$98,"&lt;"&amp;L89,L$3:L$98,"&gt;"&amp;K89)+COUNTIFS($AK$3:$AK$98,$AK89,M$3:M$98,"&lt;"&amp;L89,N$3:N$98,"&gt;"&amp;K89)+COUNTIFS($AK$3:$AK$98,$AK89,O$3:O$98,"&lt;"&amp;L89,P$3:P$98,"&gt;"&amp;K89)+COUNTIFS($AK$3:$AK$98,$AK89,Q$3:Q$98,"&lt;"&amp;L89,R$3:R$98,"&gt;"&amp;K89)+COUNTIFS($AK$3:$AK$98,$AK89,S$3:S$98,"&lt;"&amp;L89,T$3:T$98,"&gt;"&amp;K89)+COUNTIFS($AK$3:$AK$98,$AK89,U$3:U$98,"&lt;"&amp;L89,V$3:V$98,"&gt;"&amp;K89)+COUNTIFS($AK$3:$AK$98,$AK89,W$3:W$98,"&lt;"&amp;L89,X$3:X$98,"&gt;"&amp;K89)+COUNTIFS($AK$3:$AK$98,$AK89,Y$3:Y$98,"&lt;"&amp;L89,Z$3:Z$98,"&gt;"&amp;K89)+COUNTIFS($AK$3:$AK$98,$AK89,AA$3:AA$98,"&lt;"&amp;L89,AB$3:AB$98,"&gt;"&amp;K89)+COUNTIFS($AK$3:$AK$98,$AK89,AC$3:AC$98,"&lt;"&amp;L89,AD$3:AD$98,"&gt;"&amp;K89)+COUNTIFS($AK$3:$AK$98,$AK89,AE$3:AE$98,"&lt;"&amp;L89,AF$3:AF$98,"&gt;"&amp;K89)+COUNTIFS($AK$3:$AK$98,$AK89,AG$3:AG$98,"&lt;"&amp;L89,AH$3:AH$98,"&gt;"&amp;K89)-(K89&lt;L89))</f>
        <v>0</v>
      </c>
      <c r="AR89">
        <f>AQ89</f>
        <v>0</v>
      </c>
      <c r="AS89">
        <f>IF(OR($AK89="",M89="",N89=""),0,COUNTIFS($AK$3:$AK$98,$AK89,K$3:K$98,"&lt;"&amp;N89,L$3:L$98,"&gt;"&amp;M89)+COUNTIFS($AK$3:$AK$98,$AK89,M$3:M$98,"&lt;"&amp;N89,N$3:N$98,"&gt;"&amp;M89)+COUNTIFS($AK$3:$AK$98,$AK89,O$3:O$98,"&lt;"&amp;N89,P$3:P$98,"&gt;"&amp;M89)+COUNTIFS($AK$3:$AK$98,$AK89,Q$3:Q$98,"&lt;"&amp;N89,R$3:R$98,"&gt;"&amp;M89)+COUNTIFS($AK$3:$AK$98,$AK89,S$3:S$98,"&lt;"&amp;N89,T$3:T$98,"&gt;"&amp;M89)+COUNTIFS($AK$3:$AK$98,$AK89,U$3:U$98,"&lt;"&amp;N89,V$3:V$98,"&gt;"&amp;M89)+COUNTIFS($AK$3:$AK$98,$AK89,W$3:W$98,"&lt;"&amp;N89,X$3:X$98,"&gt;"&amp;M89)+COUNTIFS($AK$3:$AK$98,$AK89,Y$3:Y$98,"&lt;"&amp;N89,Z$3:Z$98,"&gt;"&amp;M89)+COUNTIFS($AK$3:$AK$98,$AK89,AA$3:AA$98,"&lt;"&amp;N89,AB$3:AB$98,"&gt;"&amp;M89)+COUNTIFS($AK$3:$AK$98,$AK89,AC$3:AC$98,"&lt;"&amp;N89,AD$3:AD$98,"&gt;"&amp;M89)+COUNTIFS($AK$3:$AK$98,$AK89,AE$3:AE$98,"&lt;"&amp;N89,AF$3:AF$98,"&gt;"&amp;M89)+COUNTIFS($AK$3:$AK$98,$AK89,AG$3:AG$98,"&lt;"&amp;N89,AH$3:AH$98,"&gt;"&amp;M89)-(M89&lt;N89))</f>
        <v>0</v>
      </c>
      <c r="AT89">
        <f>AS89</f>
        <v>0</v>
      </c>
      <c r="AU89">
        <f>IF(OR($AK89="",O89="",P89=""),0,COUNTIFS($AK$3:$AK$98,$AK89,K$3:K$98,"&lt;"&amp;P89,L$3:L$98,"&gt;"&amp;O89)+COUNTIFS($AK$3:$AK$98,$AK89,M$3:M$98,"&lt;"&amp;P89,N$3:N$98,"&gt;"&amp;O89)+COUNTIFS($AK$3:$AK$98,$AK89,O$3:O$98,"&lt;"&amp;P89,P$3:P$98,"&gt;"&amp;O89)+COUNTIFS($AK$3:$AK$98,$AK89,Q$3:Q$98,"&lt;"&amp;P89,R$3:R$98,"&gt;"&amp;O89)+COUNTIFS($AK$3:$AK$98,$AK89,S$3:S$98,"&lt;"&amp;P89,T$3:T$98,"&gt;"&amp;O89)+COUNTIFS($AK$3:$AK$98,$AK89,U$3:U$98,"&lt;"&amp;P89,V$3:V$98,"&gt;"&amp;O89)+COUNTIFS($AK$3:$AK$98,$AK89,W$3:W$98,"&lt;"&amp;P89,X$3:X$98,"&gt;"&amp;O89)+COUNTIFS($AK$3:$AK$98,$AK89,Y$3:Y$98,"&lt;"&amp;P89,Z$3:Z$98,"&gt;"&amp;O89)+COUNTIFS($AK$3:$AK$98,$AK89,AA$3:AA$98,"&lt;"&amp;P89,AB$3:AB$98,"&gt;"&amp;O89)+COUNTIFS($AK$3:$AK$98,$AK89,AC$3:AC$98,"&lt;"&amp;P89,AD$3:AD$98,"&gt;"&amp;O89)+COUNTIFS($AK$3:$AK$98,$AK89,AE$3:AE$98,"&lt;"&amp;P89,AF$3:AF$98,"&gt;"&amp;O89)+COUNTIFS($AK$3:$AK$98,$AK89,AG$3:AG$98,"&lt;"&amp;P89,AH$3:AH$98,"&gt;"&amp;O89)-(O89&lt;P89))</f>
        <v>0</v>
      </c>
      <c r="AV89">
        <f>AU89</f>
        <v>0</v>
      </c>
      <c r="AW89">
        <f>IF(OR($AK89="",Q89="",R89=""),0,COUNTIFS($AK$3:$AK$98,$AK89,K$3:K$98,"&lt;"&amp;R89,L$3:L$98,"&gt;"&amp;Q89)+COUNTIFS($AK$3:$AK$98,$AK89,M$3:M$98,"&lt;"&amp;R89,N$3:N$98,"&gt;"&amp;Q89)+COUNTIFS($AK$3:$AK$98,$AK89,O$3:O$98,"&lt;"&amp;R89,P$3:P$98,"&gt;"&amp;Q89)+COUNTIFS($AK$3:$AK$98,$AK89,Q$3:Q$98,"&lt;"&amp;R89,R$3:R$98,"&gt;"&amp;Q89)+COUNTIFS($AK$3:$AK$98,$AK89,S$3:S$98,"&lt;"&amp;R89,T$3:T$98,"&gt;"&amp;Q89)+COUNTIFS($AK$3:$AK$98,$AK89,U$3:U$98,"&lt;"&amp;R89,V$3:V$98,"&gt;"&amp;Q89)+COUNTIFS($AK$3:$AK$98,$AK89,W$3:W$98,"&lt;"&amp;R89,X$3:X$98,"&gt;"&amp;Q89)+COUNTIFS($AK$3:$AK$98,$AK89,Y$3:Y$98,"&lt;"&amp;R89,Z$3:Z$98,"&gt;"&amp;Q89)+COUNTIFS($AK$3:$AK$98,$AK89,AA$3:AA$98,"&lt;"&amp;R89,AB$3:AB$98,"&gt;"&amp;Q89)+COUNTIFS($AK$3:$AK$98,$AK89,AC$3:AC$98,"&lt;"&amp;R89,AD$3:AD$98,"&gt;"&amp;Q89)+COUNTIFS($AK$3:$AK$98,$AK89,AE$3:AE$98,"&lt;"&amp;R89,AF$3:AF$98,"&gt;"&amp;Q89)+COUNTIFS($AK$3:$AK$98,$AK89,AG$3:AG$98,"&lt;"&amp;R89,AH$3:AH$98,"&gt;"&amp;Q89)-(Q89&lt;R89))</f>
        <v>0</v>
      </c>
      <c r="AX89">
        <f>AW89</f>
        <v>0</v>
      </c>
      <c r="AY89">
        <f>IF(OR($AK89="",S89="",T89=""),0,COUNTIFS($AK$3:$AK$98,$AK89,K$3:K$98,"&lt;"&amp;T89,L$3:L$98,"&gt;"&amp;S89)+COUNTIFS($AK$3:$AK$98,$AK89,M$3:M$98,"&lt;"&amp;T89,N$3:N$98,"&gt;"&amp;S89)+COUNTIFS($AK$3:$AK$98,$AK89,O$3:O$98,"&lt;"&amp;T89,P$3:P$98,"&gt;"&amp;S89)+COUNTIFS($AK$3:$AK$98,$AK89,Q$3:Q$98,"&lt;"&amp;T89,R$3:R$98,"&gt;"&amp;S89)+COUNTIFS($AK$3:$AK$98,$AK89,S$3:S$98,"&lt;"&amp;T89,T$3:T$98,"&gt;"&amp;S89)+COUNTIFS($AK$3:$AK$98,$AK89,U$3:U$98,"&lt;"&amp;T89,V$3:V$98,"&gt;"&amp;S89)+COUNTIFS($AK$3:$AK$98,$AK89,W$3:W$98,"&lt;"&amp;T89,X$3:X$98,"&gt;"&amp;S89)+COUNTIFS($AK$3:$AK$98,$AK89,Y$3:Y$98,"&lt;"&amp;T89,Z$3:Z$98,"&gt;"&amp;S89)+COUNTIFS($AK$3:$AK$98,$AK89,AA$3:AA$98,"&lt;"&amp;T89,AB$3:AB$98,"&gt;"&amp;S89)+COUNTIFS($AK$3:$AK$98,$AK89,AC$3:AC$98,"&lt;"&amp;T89,AD$3:AD$98,"&gt;"&amp;S89)+COUNTIFS($AK$3:$AK$98,$AK89,AE$3:AE$98,"&lt;"&amp;T89,AF$3:AF$98,"&gt;"&amp;S89)+COUNTIFS($AK$3:$AK$98,$AK89,AG$3:AG$98,"&lt;"&amp;T89,AH$3:AH$98,"&gt;"&amp;S89)-(S89&lt;T89))</f>
        <v>0</v>
      </c>
      <c r="AZ89">
        <f>AY89</f>
        <v>0</v>
      </c>
      <c r="BA89">
        <f>IF(OR($AK89="",U89="",V89=""),0,COUNTIFS($AK$3:$AK$98,$AK89,K$3:K$98,"&lt;"&amp;V89,L$3:L$98,"&gt;"&amp;U89)+COUNTIFS($AK$3:$AK$98,$AK89,M$3:M$98,"&lt;"&amp;V89,N$3:N$98,"&gt;"&amp;U89)+COUNTIFS($AK$3:$AK$98,$AK89,O$3:O$98,"&lt;"&amp;V89,P$3:P$98,"&gt;"&amp;U89)+COUNTIFS($AK$3:$AK$98,$AK89,Q$3:Q$98,"&lt;"&amp;V89,R$3:R$98,"&gt;"&amp;U89)+COUNTIFS($AK$3:$AK$98,$AK89,S$3:S$98,"&lt;"&amp;V89,T$3:T$98,"&gt;"&amp;U89)+COUNTIFS($AK$3:$AK$98,$AK89,U$3:U$98,"&lt;"&amp;V89,V$3:V$98,"&gt;"&amp;U89)+COUNTIFS($AK$3:$AK$98,$AK89,W$3:W$98,"&lt;"&amp;V89,X$3:X$98,"&gt;"&amp;U89)+COUNTIFS($AK$3:$AK$98,$AK89,Y$3:Y$98,"&lt;"&amp;V89,Z$3:Z$98,"&gt;"&amp;U89)+COUNTIFS($AK$3:$AK$98,$AK89,AA$3:AA$98,"&lt;"&amp;V89,AB$3:AB$98,"&gt;"&amp;U89)+COUNTIFS($AK$3:$AK$98,$AK89,AC$3:AC$98,"&lt;"&amp;V89,AD$3:AD$98,"&gt;"&amp;U89)+COUNTIFS($AK$3:$AK$98,$AK89,AE$3:AE$98,"&lt;"&amp;V89,AF$3:AF$98,"&gt;"&amp;U89)+COUNTIFS($AK$3:$AK$98,$AK89,AG$3:AG$98,"&lt;"&amp;V89,AH$3:AH$98,"&gt;"&amp;U89)-(U89&lt;V89))</f>
        <v>0</v>
      </c>
      <c r="BB89">
        <f>BA89</f>
        <v>0</v>
      </c>
      <c r="BC89">
        <f>IF(OR($AK89="",W89="",X89=""),0,COUNTIFS($AK$3:$AK$98,$AK89,K$3:K$98,"&lt;"&amp;X89,L$3:L$98,"&gt;"&amp;W89)+COUNTIFS($AK$3:$AK$98,$AK89,M$3:M$98,"&lt;"&amp;X89,N$3:N$98,"&gt;"&amp;W89)+COUNTIFS($AK$3:$AK$98,$AK89,O$3:O$98,"&lt;"&amp;X89,P$3:P$98,"&gt;"&amp;W89)+COUNTIFS($AK$3:$AK$98,$AK89,Q$3:Q$98,"&lt;"&amp;X89,R$3:R$98,"&gt;"&amp;W89)+COUNTIFS($AK$3:$AK$98,$AK89,S$3:S$98,"&lt;"&amp;X89,T$3:T$98,"&gt;"&amp;W89)+COUNTIFS($AK$3:$AK$98,$AK89,U$3:U$98,"&lt;"&amp;X89,V$3:V$98,"&gt;"&amp;W89)+COUNTIFS($AK$3:$AK$98,$AK89,W$3:W$98,"&lt;"&amp;X89,X$3:X$98,"&gt;"&amp;W89)+COUNTIFS($AK$3:$AK$98,$AK89,Y$3:Y$98,"&lt;"&amp;X89,Z$3:Z$98,"&gt;"&amp;W89)+COUNTIFS($AK$3:$AK$98,$AK89,AA$3:AA$98,"&lt;"&amp;X89,AB$3:AB$98,"&gt;"&amp;W89)+COUNTIFS($AK$3:$AK$98,$AK89,AC$3:AC$98,"&lt;"&amp;X89,AD$3:AD$98,"&gt;"&amp;W89)+COUNTIFS($AK$3:$AK$98,$AK89,AE$3:AE$98,"&lt;"&amp;X89,AF$3:AF$98,"&gt;"&amp;W89)+COUNTIFS($AK$3:$AK$98,$AK89,AG$3:AG$98,"&lt;"&amp;X89,AH$3:AH$98,"&gt;"&amp;W89)-(W89&lt;X89))</f>
        <v>0</v>
      </c>
      <c r="BD89">
        <f>BC89</f>
        <v>0</v>
      </c>
      <c r="BE89">
        <f>IF(OR($AK89="",Y89="",Z89=""),0,COUNTIFS($AK$3:$AK$98,$AK89,K$3:K$98,"&lt;"&amp;Z89,L$3:L$98,"&gt;"&amp;Y89)+COUNTIFS($AK$3:$AK$98,$AK89,M$3:M$98,"&lt;"&amp;Z89,N$3:N$98,"&gt;"&amp;Y89)+COUNTIFS($AK$3:$AK$98,$AK89,O$3:O$98,"&lt;"&amp;Z89,P$3:P$98,"&gt;"&amp;Y89)+COUNTIFS($AK$3:$AK$98,$AK89,Q$3:Q$98,"&lt;"&amp;Z89,R$3:R$98,"&gt;"&amp;Y89)+COUNTIFS($AK$3:$AK$98,$AK89,S$3:S$98,"&lt;"&amp;Z89,T$3:T$98,"&gt;"&amp;Y89)+COUNTIFS($AK$3:$AK$98,$AK89,U$3:U$98,"&lt;"&amp;Z89,V$3:V$98,"&gt;"&amp;Y89)+COUNTIFS($AK$3:$AK$98,$AK89,W$3:W$98,"&lt;"&amp;Z89,X$3:X$98,"&gt;"&amp;Y89)+COUNTIFS($AK$3:$AK$98,$AK89,Y$3:Y$98,"&lt;"&amp;Z89,Z$3:Z$98,"&gt;"&amp;Y89)+COUNTIFS($AK$3:$AK$98,$AK89,AA$3:AA$98,"&lt;"&amp;Z89,AB$3:AB$98,"&gt;"&amp;Y89)+COUNTIFS($AK$3:$AK$98,$AK89,AC$3:AC$98,"&lt;"&amp;Z89,AD$3:AD$98,"&gt;"&amp;Y89)+COUNTIFS($AK$3:$AK$98,$AK89,AE$3:AE$98,"&lt;"&amp;Z89,AF$3:AF$98,"&gt;"&amp;Y89)+COUNTIFS($AK$3:$AK$98,$AK89,AG$3:AG$98,"&lt;"&amp;Z89,AH$3:AH$98,"&gt;"&amp;Y89)-(Y89&lt;Z89))</f>
        <v>0</v>
      </c>
      <c r="BF89">
        <f>BE89</f>
        <v>0</v>
      </c>
      <c r="BG89">
        <f>IF(OR($AK89="",AA89="",AB89=""),0,COUNTIFS($AK$3:$AK$98,$AK89,K$3:K$98,"&lt;"&amp;AB89,L$3:L$98,"&gt;"&amp;AA89)+COUNTIFS($AK$3:$AK$98,$AK89,M$3:M$98,"&lt;"&amp;AB89,N$3:N$98,"&gt;"&amp;AA89)+COUNTIFS($AK$3:$AK$98,$AK89,O$3:O$98,"&lt;"&amp;AB89,P$3:P$98,"&gt;"&amp;AA89)+COUNTIFS($AK$3:$AK$98,$AK89,Q$3:Q$98,"&lt;"&amp;AB89,R$3:R$98,"&gt;"&amp;AA89)+COUNTIFS($AK$3:$AK$98,$AK89,S$3:S$98,"&lt;"&amp;AB89,T$3:T$98,"&gt;"&amp;AA89)+COUNTIFS($AK$3:$AK$98,$AK89,U$3:U$98,"&lt;"&amp;AB89,V$3:V$98,"&gt;"&amp;AA89)+COUNTIFS($AK$3:$AK$98,$AK89,W$3:W$98,"&lt;"&amp;AB89,X$3:X$98,"&gt;"&amp;AA89)+COUNTIFS($AK$3:$AK$98,$AK89,Y$3:Y$98,"&lt;"&amp;AB89,Z$3:Z$98,"&gt;"&amp;AA89)+COUNTIFS($AK$3:$AK$98,$AK89,AA$3:AA$98,"&lt;"&amp;AB89,AB$3:AB$98,"&gt;"&amp;AA89)+COUNTIFS($AK$3:$AK$98,$AK89,AC$3:AC$98,"&lt;"&amp;AB89,AD$3:AD$98,"&gt;"&amp;AA89)+COUNTIFS($AK$3:$AK$98,$AK89,AE$3:AE$98,"&lt;"&amp;AB89,AF$3:AF$98,"&gt;"&amp;AA89)+COUNTIFS($AK$3:$AK$98,$AK89,AG$3:AG$98,"&lt;"&amp;AB89,AH$3:AH$98,"&gt;"&amp;AA89)-(AA89&lt;AB89))</f>
        <v>0</v>
      </c>
      <c r="BH89">
        <f>BG89</f>
        <v>0</v>
      </c>
      <c r="BI89">
        <f>IF(OR($AK89="",AC89="",AD89=""),0,COUNTIFS($AK$3:$AK$98,$AK89,K$3:K$98,"&lt;"&amp;AD89,L$3:L$98,"&gt;"&amp;AC89)+COUNTIFS($AK$3:$AK$98,$AK89,M$3:M$98,"&lt;"&amp;AD89,N$3:N$98,"&gt;"&amp;AC89)+COUNTIFS($AK$3:$AK$98,$AK89,O$3:O$98,"&lt;"&amp;AD89,P$3:P$98,"&gt;"&amp;AC89)+COUNTIFS($AK$3:$AK$98,$AK89,Q$3:Q$98,"&lt;"&amp;AD89,R$3:R$98,"&gt;"&amp;AC89)+COUNTIFS($AK$3:$AK$98,$AK89,S$3:S$98,"&lt;"&amp;AD89,T$3:T$98,"&gt;"&amp;AC89)+COUNTIFS($AK$3:$AK$98,$AK89,U$3:U$98,"&lt;"&amp;AD89,V$3:V$98,"&gt;"&amp;AC89)+COUNTIFS($AK$3:$AK$98,$AK89,W$3:W$98,"&lt;"&amp;AD89,X$3:X$98,"&gt;"&amp;AC89)+COUNTIFS($AK$3:$AK$98,$AK89,Y$3:Y$98,"&lt;"&amp;AD89,Z$3:Z$98,"&gt;"&amp;AC89)+COUNTIFS($AK$3:$AK$98,$AK89,AA$3:AA$98,"&lt;"&amp;AD89,AB$3:AB$98,"&gt;"&amp;AC89)+COUNTIFS($AK$3:$AK$98,$AK89,AC$3:AC$98,"&lt;"&amp;AD89,AD$3:AD$98,"&gt;"&amp;AC89)+COUNTIFS($AK$3:$AK$98,$AK89,AE$3:AE$98,"&lt;"&amp;AD89,AF$3:AF$98,"&gt;"&amp;AC89)+COUNTIFS($AK$3:$AK$98,$AK89,AG$3:AG$98,"&lt;"&amp;AD89,AH$3:AH$98,"&gt;"&amp;AC89)-(AC89&lt;AD89))</f>
        <v>0</v>
      </c>
      <c r="BJ89">
        <f>BI89</f>
        <v>0</v>
      </c>
      <c r="BK89">
        <f>IF(OR($AK89="",AE89="",AF89=""),0,COUNTIFS($AK$3:$AK$98,$AK89,K$3:K$98,"&lt;"&amp;AF89,L$3:L$98,"&gt;"&amp;AE89)+COUNTIFS($AK$3:$AK$98,$AK89,M$3:M$98,"&lt;"&amp;AF89,N$3:N$98,"&gt;"&amp;AE89)+COUNTIFS($AK$3:$AK$98,$AK89,O$3:O$98,"&lt;"&amp;AF89,P$3:P$98,"&gt;"&amp;AE89)+COUNTIFS($AK$3:$AK$98,$AK89,Q$3:Q$98,"&lt;"&amp;AF89,R$3:R$98,"&gt;"&amp;AE89)+COUNTIFS($AK$3:$AK$98,$AK89,S$3:S$98,"&lt;"&amp;AF89,T$3:T$98,"&gt;"&amp;AE89)+COUNTIFS($AK$3:$AK$98,$AK89,U$3:U$98,"&lt;"&amp;AF89,V$3:V$98,"&gt;"&amp;AE89)+COUNTIFS($AK$3:$AK$98,$AK89,W$3:W$98,"&lt;"&amp;AF89,X$3:X$98,"&gt;"&amp;AE89)+COUNTIFS($AK$3:$AK$98,$AK89,Y$3:Y$98,"&lt;"&amp;AF89,Z$3:Z$98,"&gt;"&amp;AE89)+COUNTIFS($AK$3:$AK$98,$AK89,AA$3:AA$98,"&lt;"&amp;AF89,AB$3:AB$98,"&gt;"&amp;AE89)+COUNTIFS($AK$3:$AK$98,$AK89,AC$3:AC$98,"&lt;"&amp;AF89,AD$3:AD$98,"&gt;"&amp;AE89)+COUNTIFS($AK$3:$AK$98,$AK89,AE$3:AE$98,"&lt;"&amp;AF89,AF$3:AF$98,"&gt;"&amp;AE89)+COUNTIFS($AK$3:$AK$98,$AK89,AG$3:AG$98,"&lt;"&amp;AF89,AH$3:AH$98,"&gt;"&amp;AE89)-(AE89&lt;AF89))</f>
        <v>0</v>
      </c>
      <c r="BL89">
        <f>BK89</f>
        <v>0</v>
      </c>
      <c r="BM89">
        <f>IF(OR($AK89="",AG89="",AH89=""),0,COUNTIFS($AK$3:$AK$98,$AK89,K$3:K$98,"&lt;"&amp;AH89,L$3:L$98,"&gt;"&amp;AG89)+COUNTIFS($AK$3:$AK$98,$AK89,M$3:M$98,"&lt;"&amp;AH89,N$3:N$98,"&gt;"&amp;AG89)+COUNTIFS($AK$3:$AK$98,$AK89,O$3:O$98,"&lt;"&amp;AH89,P$3:P$98,"&gt;"&amp;AG89)+COUNTIFS($AK$3:$AK$98,$AK89,Q$3:Q$98,"&lt;"&amp;AH89,R$3:R$98,"&gt;"&amp;AG89)+COUNTIFS($AK$3:$AK$98,$AK89,S$3:S$98,"&lt;"&amp;AH89,T$3:T$98,"&gt;"&amp;AG89)+COUNTIFS($AK$3:$AK$98,$AK89,U$3:U$98,"&lt;"&amp;AH89,V$3:V$98,"&gt;"&amp;AG89)+COUNTIFS($AK$3:$AK$98,$AK89,W$3:W$98,"&lt;"&amp;AH89,X$3:X$98,"&gt;"&amp;AG89)+COUNTIFS($AK$3:$AK$98,$AK89,Y$3:Y$98,"&lt;"&amp;AH89,Z$3:Z$98,"&gt;"&amp;AG89)+COUNTIFS($AK$3:$AK$98,$AK89,AA$3:AA$98,"&lt;"&amp;AH89,AB$3:AB$98,"&gt;"&amp;AG89)+COUNTIFS($AK$3:$AK$98,$AK89,AC$3:AC$98,"&lt;"&amp;AH89,AD$3:AD$98,"&gt;"&amp;AG89)+COUNTIFS($AK$3:$AK$98,$AK89,AE$3:AE$98,"&lt;"&amp;AH89,AF$3:AF$98,"&gt;"&amp;AG89)+COUNTIFS($AK$3:$AK$98,$AK89,AG$3:AG$98,"&lt;"&amp;AH89,AH$3:AH$98,"&gt;"&amp;AG89)-(AG89&lt;AH89))</f>
        <v>0</v>
      </c>
      <c r="BN89">
        <f>BM89</f>
        <v>0</v>
      </c>
      <c r="BO89">
        <f>IF(ISNUMBER($G89),$G89,"")</f>
        <v>0</v>
      </c>
      <c r="BP89" t="str">
        <f>IF(AND($A89&lt;&gt;"",COUNT($K89:$AH89)&gt;0),ROW(),"")</f>
        <v/>
      </c>
    </row>
    <row r="90" spans="1:68" x14ac:dyDescent="0.15">
      <c r="A90" s="25" t="str">
        <f>IF($A87="","",$A87)</f>
        <v>chMobSaiyanK</v>
      </c>
      <c r="B90" s="26" t="str">
        <f>IF($A87="","","fac")</f>
        <v>fac</v>
      </c>
      <c r="C90" s="26"/>
      <c r="D90" s="27">
        <v>4</v>
      </c>
      <c r="E90" s="28">
        <f>IF(AND($D90="",COUNT($K90:$AH90)=0),"",IF(K90="",0,MAX(0,NETWORKDAYS(K90,IF(L90&lt;&gt;"",L90,IF($J90&lt;&gt;"",K90,$AI$1)),祝日!$A$2:$A$200)))+IF(M90="",0,MAX(0,NETWORKDAYS(M90,IF(N90&lt;&gt;"",N90,IF($J90&lt;&gt;"",M90,$AI$1)),祝日!$A$2:$A$200)))+IF(O90="",0,MAX(0,NETWORKDAYS(O90,IF(P90&lt;&gt;"",P90,IF($J90&lt;&gt;"",O90,$AI$1)),祝日!$A$2:$A$200)))+IF(Q90="",0,MAX(0,NETWORKDAYS(Q90,IF(R90&lt;&gt;"",R90,IF($J90&lt;&gt;"",Q90,$AI$1)),祝日!$A$2:$A$200)))+IF(S90="",0,MAX(0,NETWORKDAYS(S90,IF(T90&lt;&gt;"",T90,IF($J90&lt;&gt;"",S90,$AI$1)),祝日!$A$2:$A$200)))+IF(U90="",0,MAX(0,NETWORKDAYS(U90,IF(V90&lt;&gt;"",V90,IF($J90&lt;&gt;"",U90,$AI$1)),祝日!$A$2:$A$200)))+IF(W90="",0,MAX(0,NETWORKDAYS(W90,IF(X90&lt;&gt;"",X90,IF($J90&lt;&gt;"",W90,$AI$1)),祝日!$A$2:$A$200)))+IF(Y90="",0,MAX(0,NETWORKDAYS(Y90,IF(Z90&lt;&gt;"",Z90,IF($J90&lt;&gt;"",Y90,$AI$1)),祝日!$A$2:$A$200)))+IF(AA90="",0,MAX(0,NETWORKDAYS(AA90,IF(AB90&lt;&gt;"",AB90,IF($J90&lt;&gt;"",AA90,$AI$1)),祝日!$A$2:$A$200)))+IF(AC90="",0,MAX(0,NETWORKDAYS(AC90,IF(AD90&lt;&gt;"",AD90,IF($J90&lt;&gt;"",AC90,$AI$1)),祝日!$A$2:$A$200)))+IF(AE90="",0,MAX(0,NETWORKDAYS(AE90,IF(AF90&lt;&gt;"",AF90,IF($J90&lt;&gt;"",AE90,$AI$1)),祝日!$A$2:$A$200)))+IF(AG90="",0,MAX(0,NETWORKDAYS(AG90,IF(AH90&lt;&gt;"",AH90,IF($J90&lt;&gt;"",AG90,$AI$1)),祝日!$A$2:$A$200))))</f>
        <v>0</v>
      </c>
      <c r="F90" s="28">
        <f>IF($D90="","",$D90-$E90)</f>
        <v>4</v>
      </c>
      <c r="G90" s="29">
        <f>IF(OR($D90="",$D90=0),"",$E90/$D90)</f>
        <v>0</v>
      </c>
      <c r="H90" s="30" t="str">
        <f>IF($D90="","",IF($J90&lt;&gt;"","FIX",IF(AND(SUMPRODUCT((MOD(COLUMN($K90:$AH90)-COLUMN($K90),2)=0)*($K90:$AH90&lt;&gt;""))=0,SUMPRODUCT((MOD(COLUMN($K90:$AH90)-COLUMN($K90),2)=1)*($K90:$AH90&lt;&gt;""))=0),"未着手",IF(SUMPRODUCT((MOD(COLUMN($K90:$AH90)-COLUMN($K90),2)=0)*($K90:$AH90&lt;&gt;""))&gt;SUMPRODUCT((MOD(COLUMN($K90:$AH90)-COLUMN($K90),2)=1)*($K90:$AH90&lt;&gt;"")),"作業中","中断"))))</f>
        <v>未着手</v>
      </c>
      <c r="I90" s="30" t="str">
        <f>IF($H90="中断",MAX(0,$AI$1-MAX(L90,N90,P90,R90,T90,V90,X90,Z90,AB90,AD90,AF90,AH90)),"")</f>
        <v/>
      </c>
      <c r="J90" s="26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K90" t="str">
        <f>IF($A87="","",IF(LOOKUP(2,1/($AJ$3:$AJ90&lt;&gt;""),$AJ$3:$AJ90)="-","",LOOKUP(2,1/($AJ$3:$AJ90&lt;&gt;""),$AJ$3:$AJ90)))</f>
        <v/>
      </c>
      <c r="AL90" t="str">
        <f>$H90</f>
        <v>未着手</v>
      </c>
      <c r="AM90">
        <f>IF(ISNUMBER($D90),$D90,0)</f>
        <v>4</v>
      </c>
      <c r="AN90">
        <f>IF(ISNUMBER($E90),$E90,0)</f>
        <v>0</v>
      </c>
      <c r="AO90">
        <f>IF(ISNUMBER($F90),$F90,0)</f>
        <v>4</v>
      </c>
      <c r="AQ90">
        <f>IF(OR($AK90="",K90="",L90=""),0,COUNTIFS($AK$3:$AK$98,$AK90,K$3:K$98,"&lt;"&amp;L90,L$3:L$98,"&gt;"&amp;K90)+COUNTIFS($AK$3:$AK$98,$AK90,M$3:M$98,"&lt;"&amp;L90,N$3:N$98,"&gt;"&amp;K90)+COUNTIFS($AK$3:$AK$98,$AK90,O$3:O$98,"&lt;"&amp;L90,P$3:P$98,"&gt;"&amp;K90)+COUNTIFS($AK$3:$AK$98,$AK90,Q$3:Q$98,"&lt;"&amp;L90,R$3:R$98,"&gt;"&amp;K90)+COUNTIFS($AK$3:$AK$98,$AK90,S$3:S$98,"&lt;"&amp;L90,T$3:T$98,"&gt;"&amp;K90)+COUNTIFS($AK$3:$AK$98,$AK90,U$3:U$98,"&lt;"&amp;L90,V$3:V$98,"&gt;"&amp;K90)+COUNTIFS($AK$3:$AK$98,$AK90,W$3:W$98,"&lt;"&amp;L90,X$3:X$98,"&gt;"&amp;K90)+COUNTIFS($AK$3:$AK$98,$AK90,Y$3:Y$98,"&lt;"&amp;L90,Z$3:Z$98,"&gt;"&amp;K90)+COUNTIFS($AK$3:$AK$98,$AK90,AA$3:AA$98,"&lt;"&amp;L90,AB$3:AB$98,"&gt;"&amp;K90)+COUNTIFS($AK$3:$AK$98,$AK90,AC$3:AC$98,"&lt;"&amp;L90,AD$3:AD$98,"&gt;"&amp;K90)+COUNTIFS($AK$3:$AK$98,$AK90,AE$3:AE$98,"&lt;"&amp;L90,AF$3:AF$98,"&gt;"&amp;K90)+COUNTIFS($AK$3:$AK$98,$AK90,AG$3:AG$98,"&lt;"&amp;L90,AH$3:AH$98,"&gt;"&amp;K90)-(K90&lt;L90))</f>
        <v>0</v>
      </c>
      <c r="AR90">
        <f>AQ90</f>
        <v>0</v>
      </c>
      <c r="AS90">
        <f>IF(OR($AK90="",M90="",N90=""),0,COUNTIFS($AK$3:$AK$98,$AK90,K$3:K$98,"&lt;"&amp;N90,L$3:L$98,"&gt;"&amp;M90)+COUNTIFS($AK$3:$AK$98,$AK90,M$3:M$98,"&lt;"&amp;N90,N$3:N$98,"&gt;"&amp;M90)+COUNTIFS($AK$3:$AK$98,$AK90,O$3:O$98,"&lt;"&amp;N90,P$3:P$98,"&gt;"&amp;M90)+COUNTIFS($AK$3:$AK$98,$AK90,Q$3:Q$98,"&lt;"&amp;N90,R$3:R$98,"&gt;"&amp;M90)+COUNTIFS($AK$3:$AK$98,$AK90,S$3:S$98,"&lt;"&amp;N90,T$3:T$98,"&gt;"&amp;M90)+COUNTIFS($AK$3:$AK$98,$AK90,U$3:U$98,"&lt;"&amp;N90,V$3:V$98,"&gt;"&amp;M90)+COUNTIFS($AK$3:$AK$98,$AK90,W$3:W$98,"&lt;"&amp;N90,X$3:X$98,"&gt;"&amp;M90)+COUNTIFS($AK$3:$AK$98,$AK90,Y$3:Y$98,"&lt;"&amp;N90,Z$3:Z$98,"&gt;"&amp;M90)+COUNTIFS($AK$3:$AK$98,$AK90,AA$3:AA$98,"&lt;"&amp;N90,AB$3:AB$98,"&gt;"&amp;M90)+COUNTIFS($AK$3:$AK$98,$AK90,AC$3:AC$98,"&lt;"&amp;N90,AD$3:AD$98,"&gt;"&amp;M90)+COUNTIFS($AK$3:$AK$98,$AK90,AE$3:AE$98,"&lt;"&amp;N90,AF$3:AF$98,"&gt;"&amp;M90)+COUNTIFS($AK$3:$AK$98,$AK90,AG$3:AG$98,"&lt;"&amp;N90,AH$3:AH$98,"&gt;"&amp;M90)-(M90&lt;N90))</f>
        <v>0</v>
      </c>
      <c r="AT90">
        <f>AS90</f>
        <v>0</v>
      </c>
      <c r="AU90">
        <f>IF(OR($AK90="",O90="",P90=""),0,COUNTIFS($AK$3:$AK$98,$AK90,K$3:K$98,"&lt;"&amp;P90,L$3:L$98,"&gt;"&amp;O90)+COUNTIFS($AK$3:$AK$98,$AK90,M$3:M$98,"&lt;"&amp;P90,N$3:N$98,"&gt;"&amp;O90)+COUNTIFS($AK$3:$AK$98,$AK90,O$3:O$98,"&lt;"&amp;P90,P$3:P$98,"&gt;"&amp;O90)+COUNTIFS($AK$3:$AK$98,$AK90,Q$3:Q$98,"&lt;"&amp;P90,R$3:R$98,"&gt;"&amp;O90)+COUNTIFS($AK$3:$AK$98,$AK90,S$3:S$98,"&lt;"&amp;P90,T$3:T$98,"&gt;"&amp;O90)+COUNTIFS($AK$3:$AK$98,$AK90,U$3:U$98,"&lt;"&amp;P90,V$3:V$98,"&gt;"&amp;O90)+COUNTIFS($AK$3:$AK$98,$AK90,W$3:W$98,"&lt;"&amp;P90,X$3:X$98,"&gt;"&amp;O90)+COUNTIFS($AK$3:$AK$98,$AK90,Y$3:Y$98,"&lt;"&amp;P90,Z$3:Z$98,"&gt;"&amp;O90)+COUNTIFS($AK$3:$AK$98,$AK90,AA$3:AA$98,"&lt;"&amp;P90,AB$3:AB$98,"&gt;"&amp;O90)+COUNTIFS($AK$3:$AK$98,$AK90,AC$3:AC$98,"&lt;"&amp;P90,AD$3:AD$98,"&gt;"&amp;O90)+COUNTIFS($AK$3:$AK$98,$AK90,AE$3:AE$98,"&lt;"&amp;P90,AF$3:AF$98,"&gt;"&amp;O90)+COUNTIFS($AK$3:$AK$98,$AK90,AG$3:AG$98,"&lt;"&amp;P90,AH$3:AH$98,"&gt;"&amp;O90)-(O90&lt;P90))</f>
        <v>0</v>
      </c>
      <c r="AV90">
        <f>AU90</f>
        <v>0</v>
      </c>
      <c r="AW90">
        <f>IF(OR($AK90="",Q90="",R90=""),0,COUNTIFS($AK$3:$AK$98,$AK90,K$3:K$98,"&lt;"&amp;R90,L$3:L$98,"&gt;"&amp;Q90)+COUNTIFS($AK$3:$AK$98,$AK90,M$3:M$98,"&lt;"&amp;R90,N$3:N$98,"&gt;"&amp;Q90)+COUNTIFS($AK$3:$AK$98,$AK90,O$3:O$98,"&lt;"&amp;R90,P$3:P$98,"&gt;"&amp;Q90)+COUNTIFS($AK$3:$AK$98,$AK90,Q$3:Q$98,"&lt;"&amp;R90,R$3:R$98,"&gt;"&amp;Q90)+COUNTIFS($AK$3:$AK$98,$AK90,S$3:S$98,"&lt;"&amp;R90,T$3:T$98,"&gt;"&amp;Q90)+COUNTIFS($AK$3:$AK$98,$AK90,U$3:U$98,"&lt;"&amp;R90,V$3:V$98,"&gt;"&amp;Q90)+COUNTIFS($AK$3:$AK$98,$AK90,W$3:W$98,"&lt;"&amp;R90,X$3:X$98,"&gt;"&amp;Q90)+COUNTIFS($AK$3:$AK$98,$AK90,Y$3:Y$98,"&lt;"&amp;R90,Z$3:Z$98,"&gt;"&amp;Q90)+COUNTIFS($AK$3:$AK$98,$AK90,AA$3:AA$98,"&lt;"&amp;R90,AB$3:AB$98,"&gt;"&amp;Q90)+COUNTIFS($AK$3:$AK$98,$AK90,AC$3:AC$98,"&lt;"&amp;R90,AD$3:AD$98,"&gt;"&amp;Q90)+COUNTIFS($AK$3:$AK$98,$AK90,AE$3:AE$98,"&lt;"&amp;R90,AF$3:AF$98,"&gt;"&amp;Q90)+COUNTIFS($AK$3:$AK$98,$AK90,AG$3:AG$98,"&lt;"&amp;R90,AH$3:AH$98,"&gt;"&amp;Q90)-(Q90&lt;R90))</f>
        <v>0</v>
      </c>
      <c r="AX90">
        <f>AW90</f>
        <v>0</v>
      </c>
      <c r="AY90">
        <f>IF(OR($AK90="",S90="",T90=""),0,COUNTIFS($AK$3:$AK$98,$AK90,K$3:K$98,"&lt;"&amp;T90,L$3:L$98,"&gt;"&amp;S90)+COUNTIFS($AK$3:$AK$98,$AK90,M$3:M$98,"&lt;"&amp;T90,N$3:N$98,"&gt;"&amp;S90)+COUNTIFS($AK$3:$AK$98,$AK90,O$3:O$98,"&lt;"&amp;T90,P$3:P$98,"&gt;"&amp;S90)+COUNTIFS($AK$3:$AK$98,$AK90,Q$3:Q$98,"&lt;"&amp;T90,R$3:R$98,"&gt;"&amp;S90)+COUNTIFS($AK$3:$AK$98,$AK90,S$3:S$98,"&lt;"&amp;T90,T$3:T$98,"&gt;"&amp;S90)+COUNTIFS($AK$3:$AK$98,$AK90,U$3:U$98,"&lt;"&amp;T90,V$3:V$98,"&gt;"&amp;S90)+COUNTIFS($AK$3:$AK$98,$AK90,W$3:W$98,"&lt;"&amp;T90,X$3:X$98,"&gt;"&amp;S90)+COUNTIFS($AK$3:$AK$98,$AK90,Y$3:Y$98,"&lt;"&amp;T90,Z$3:Z$98,"&gt;"&amp;S90)+COUNTIFS($AK$3:$AK$98,$AK90,AA$3:AA$98,"&lt;"&amp;T90,AB$3:AB$98,"&gt;"&amp;S90)+COUNTIFS($AK$3:$AK$98,$AK90,AC$3:AC$98,"&lt;"&amp;T90,AD$3:AD$98,"&gt;"&amp;S90)+COUNTIFS($AK$3:$AK$98,$AK90,AE$3:AE$98,"&lt;"&amp;T90,AF$3:AF$98,"&gt;"&amp;S90)+COUNTIFS($AK$3:$AK$98,$AK90,AG$3:AG$98,"&lt;"&amp;T90,AH$3:AH$98,"&gt;"&amp;S90)-(S90&lt;T90))</f>
        <v>0</v>
      </c>
      <c r="AZ90">
        <f>AY90</f>
        <v>0</v>
      </c>
      <c r="BA90">
        <f>IF(OR($AK90="",U90="",V90=""),0,COUNTIFS($AK$3:$AK$98,$AK90,K$3:K$98,"&lt;"&amp;V90,L$3:L$98,"&gt;"&amp;U90)+COUNTIFS($AK$3:$AK$98,$AK90,M$3:M$98,"&lt;"&amp;V90,N$3:N$98,"&gt;"&amp;U90)+COUNTIFS($AK$3:$AK$98,$AK90,O$3:O$98,"&lt;"&amp;V90,P$3:P$98,"&gt;"&amp;U90)+COUNTIFS($AK$3:$AK$98,$AK90,Q$3:Q$98,"&lt;"&amp;V90,R$3:R$98,"&gt;"&amp;U90)+COUNTIFS($AK$3:$AK$98,$AK90,S$3:S$98,"&lt;"&amp;V90,T$3:T$98,"&gt;"&amp;U90)+COUNTIFS($AK$3:$AK$98,$AK90,U$3:U$98,"&lt;"&amp;V90,V$3:V$98,"&gt;"&amp;U90)+COUNTIFS($AK$3:$AK$98,$AK90,W$3:W$98,"&lt;"&amp;V90,X$3:X$98,"&gt;"&amp;U90)+COUNTIFS($AK$3:$AK$98,$AK90,Y$3:Y$98,"&lt;"&amp;V90,Z$3:Z$98,"&gt;"&amp;U90)+COUNTIFS($AK$3:$AK$98,$AK90,AA$3:AA$98,"&lt;"&amp;V90,AB$3:AB$98,"&gt;"&amp;U90)+COUNTIFS($AK$3:$AK$98,$AK90,AC$3:AC$98,"&lt;"&amp;V90,AD$3:AD$98,"&gt;"&amp;U90)+COUNTIFS($AK$3:$AK$98,$AK90,AE$3:AE$98,"&lt;"&amp;V90,AF$3:AF$98,"&gt;"&amp;U90)+COUNTIFS($AK$3:$AK$98,$AK90,AG$3:AG$98,"&lt;"&amp;V90,AH$3:AH$98,"&gt;"&amp;U90)-(U90&lt;V90))</f>
        <v>0</v>
      </c>
      <c r="BB90">
        <f>BA90</f>
        <v>0</v>
      </c>
      <c r="BC90">
        <f>IF(OR($AK90="",W90="",X90=""),0,COUNTIFS($AK$3:$AK$98,$AK90,K$3:K$98,"&lt;"&amp;X90,L$3:L$98,"&gt;"&amp;W90)+COUNTIFS($AK$3:$AK$98,$AK90,M$3:M$98,"&lt;"&amp;X90,N$3:N$98,"&gt;"&amp;W90)+COUNTIFS($AK$3:$AK$98,$AK90,O$3:O$98,"&lt;"&amp;X90,P$3:P$98,"&gt;"&amp;W90)+COUNTIFS($AK$3:$AK$98,$AK90,Q$3:Q$98,"&lt;"&amp;X90,R$3:R$98,"&gt;"&amp;W90)+COUNTIFS($AK$3:$AK$98,$AK90,S$3:S$98,"&lt;"&amp;X90,T$3:T$98,"&gt;"&amp;W90)+COUNTIFS($AK$3:$AK$98,$AK90,U$3:U$98,"&lt;"&amp;X90,V$3:V$98,"&gt;"&amp;W90)+COUNTIFS($AK$3:$AK$98,$AK90,W$3:W$98,"&lt;"&amp;X90,X$3:X$98,"&gt;"&amp;W90)+COUNTIFS($AK$3:$AK$98,$AK90,Y$3:Y$98,"&lt;"&amp;X90,Z$3:Z$98,"&gt;"&amp;W90)+COUNTIFS($AK$3:$AK$98,$AK90,AA$3:AA$98,"&lt;"&amp;X90,AB$3:AB$98,"&gt;"&amp;W90)+COUNTIFS($AK$3:$AK$98,$AK90,AC$3:AC$98,"&lt;"&amp;X90,AD$3:AD$98,"&gt;"&amp;W90)+COUNTIFS($AK$3:$AK$98,$AK90,AE$3:AE$98,"&lt;"&amp;X90,AF$3:AF$98,"&gt;"&amp;W90)+COUNTIFS($AK$3:$AK$98,$AK90,AG$3:AG$98,"&lt;"&amp;X90,AH$3:AH$98,"&gt;"&amp;W90)-(W90&lt;X90))</f>
        <v>0</v>
      </c>
      <c r="BD90">
        <f>BC90</f>
        <v>0</v>
      </c>
      <c r="BE90">
        <f>IF(OR($AK90="",Y90="",Z90=""),0,COUNTIFS($AK$3:$AK$98,$AK90,K$3:K$98,"&lt;"&amp;Z90,L$3:L$98,"&gt;"&amp;Y90)+COUNTIFS($AK$3:$AK$98,$AK90,M$3:M$98,"&lt;"&amp;Z90,N$3:N$98,"&gt;"&amp;Y90)+COUNTIFS($AK$3:$AK$98,$AK90,O$3:O$98,"&lt;"&amp;Z90,P$3:P$98,"&gt;"&amp;Y90)+COUNTIFS($AK$3:$AK$98,$AK90,Q$3:Q$98,"&lt;"&amp;Z90,R$3:R$98,"&gt;"&amp;Y90)+COUNTIFS($AK$3:$AK$98,$AK90,S$3:S$98,"&lt;"&amp;Z90,T$3:T$98,"&gt;"&amp;Y90)+COUNTIFS($AK$3:$AK$98,$AK90,U$3:U$98,"&lt;"&amp;Z90,V$3:V$98,"&gt;"&amp;Y90)+COUNTIFS($AK$3:$AK$98,$AK90,W$3:W$98,"&lt;"&amp;Z90,X$3:X$98,"&gt;"&amp;Y90)+COUNTIFS($AK$3:$AK$98,$AK90,Y$3:Y$98,"&lt;"&amp;Z90,Z$3:Z$98,"&gt;"&amp;Y90)+COUNTIFS($AK$3:$AK$98,$AK90,AA$3:AA$98,"&lt;"&amp;Z90,AB$3:AB$98,"&gt;"&amp;Y90)+COUNTIFS($AK$3:$AK$98,$AK90,AC$3:AC$98,"&lt;"&amp;Z90,AD$3:AD$98,"&gt;"&amp;Y90)+COUNTIFS($AK$3:$AK$98,$AK90,AE$3:AE$98,"&lt;"&amp;Z90,AF$3:AF$98,"&gt;"&amp;Y90)+COUNTIFS($AK$3:$AK$98,$AK90,AG$3:AG$98,"&lt;"&amp;Z90,AH$3:AH$98,"&gt;"&amp;Y90)-(Y90&lt;Z90))</f>
        <v>0</v>
      </c>
      <c r="BF90">
        <f>BE90</f>
        <v>0</v>
      </c>
      <c r="BG90">
        <f>IF(OR($AK90="",AA90="",AB90=""),0,COUNTIFS($AK$3:$AK$98,$AK90,K$3:K$98,"&lt;"&amp;AB90,L$3:L$98,"&gt;"&amp;AA90)+COUNTIFS($AK$3:$AK$98,$AK90,M$3:M$98,"&lt;"&amp;AB90,N$3:N$98,"&gt;"&amp;AA90)+COUNTIFS($AK$3:$AK$98,$AK90,O$3:O$98,"&lt;"&amp;AB90,P$3:P$98,"&gt;"&amp;AA90)+COUNTIFS($AK$3:$AK$98,$AK90,Q$3:Q$98,"&lt;"&amp;AB90,R$3:R$98,"&gt;"&amp;AA90)+COUNTIFS($AK$3:$AK$98,$AK90,S$3:S$98,"&lt;"&amp;AB90,T$3:T$98,"&gt;"&amp;AA90)+COUNTIFS($AK$3:$AK$98,$AK90,U$3:U$98,"&lt;"&amp;AB90,V$3:V$98,"&gt;"&amp;AA90)+COUNTIFS($AK$3:$AK$98,$AK90,W$3:W$98,"&lt;"&amp;AB90,X$3:X$98,"&gt;"&amp;AA90)+COUNTIFS($AK$3:$AK$98,$AK90,Y$3:Y$98,"&lt;"&amp;AB90,Z$3:Z$98,"&gt;"&amp;AA90)+COUNTIFS($AK$3:$AK$98,$AK90,AA$3:AA$98,"&lt;"&amp;AB90,AB$3:AB$98,"&gt;"&amp;AA90)+COUNTIFS($AK$3:$AK$98,$AK90,AC$3:AC$98,"&lt;"&amp;AB90,AD$3:AD$98,"&gt;"&amp;AA90)+COUNTIFS($AK$3:$AK$98,$AK90,AE$3:AE$98,"&lt;"&amp;AB90,AF$3:AF$98,"&gt;"&amp;AA90)+COUNTIFS($AK$3:$AK$98,$AK90,AG$3:AG$98,"&lt;"&amp;AB90,AH$3:AH$98,"&gt;"&amp;AA90)-(AA90&lt;AB90))</f>
        <v>0</v>
      </c>
      <c r="BH90">
        <f>BG90</f>
        <v>0</v>
      </c>
      <c r="BI90">
        <f>IF(OR($AK90="",AC90="",AD90=""),0,COUNTIFS($AK$3:$AK$98,$AK90,K$3:K$98,"&lt;"&amp;AD90,L$3:L$98,"&gt;"&amp;AC90)+COUNTIFS($AK$3:$AK$98,$AK90,M$3:M$98,"&lt;"&amp;AD90,N$3:N$98,"&gt;"&amp;AC90)+COUNTIFS($AK$3:$AK$98,$AK90,O$3:O$98,"&lt;"&amp;AD90,P$3:P$98,"&gt;"&amp;AC90)+COUNTIFS($AK$3:$AK$98,$AK90,Q$3:Q$98,"&lt;"&amp;AD90,R$3:R$98,"&gt;"&amp;AC90)+COUNTIFS($AK$3:$AK$98,$AK90,S$3:S$98,"&lt;"&amp;AD90,T$3:T$98,"&gt;"&amp;AC90)+COUNTIFS($AK$3:$AK$98,$AK90,U$3:U$98,"&lt;"&amp;AD90,V$3:V$98,"&gt;"&amp;AC90)+COUNTIFS($AK$3:$AK$98,$AK90,W$3:W$98,"&lt;"&amp;AD90,X$3:X$98,"&gt;"&amp;AC90)+COUNTIFS($AK$3:$AK$98,$AK90,Y$3:Y$98,"&lt;"&amp;AD90,Z$3:Z$98,"&gt;"&amp;AC90)+COUNTIFS($AK$3:$AK$98,$AK90,AA$3:AA$98,"&lt;"&amp;AD90,AB$3:AB$98,"&gt;"&amp;AC90)+COUNTIFS($AK$3:$AK$98,$AK90,AC$3:AC$98,"&lt;"&amp;AD90,AD$3:AD$98,"&gt;"&amp;AC90)+COUNTIFS($AK$3:$AK$98,$AK90,AE$3:AE$98,"&lt;"&amp;AD90,AF$3:AF$98,"&gt;"&amp;AC90)+COUNTIFS($AK$3:$AK$98,$AK90,AG$3:AG$98,"&lt;"&amp;AD90,AH$3:AH$98,"&gt;"&amp;AC90)-(AC90&lt;AD90))</f>
        <v>0</v>
      </c>
      <c r="BJ90">
        <f>BI90</f>
        <v>0</v>
      </c>
      <c r="BK90">
        <f>IF(OR($AK90="",AE90="",AF90=""),0,COUNTIFS($AK$3:$AK$98,$AK90,K$3:K$98,"&lt;"&amp;AF90,L$3:L$98,"&gt;"&amp;AE90)+COUNTIFS($AK$3:$AK$98,$AK90,M$3:M$98,"&lt;"&amp;AF90,N$3:N$98,"&gt;"&amp;AE90)+COUNTIFS($AK$3:$AK$98,$AK90,O$3:O$98,"&lt;"&amp;AF90,P$3:P$98,"&gt;"&amp;AE90)+COUNTIFS($AK$3:$AK$98,$AK90,Q$3:Q$98,"&lt;"&amp;AF90,R$3:R$98,"&gt;"&amp;AE90)+COUNTIFS($AK$3:$AK$98,$AK90,S$3:S$98,"&lt;"&amp;AF90,T$3:T$98,"&gt;"&amp;AE90)+COUNTIFS($AK$3:$AK$98,$AK90,U$3:U$98,"&lt;"&amp;AF90,V$3:V$98,"&gt;"&amp;AE90)+COUNTIFS($AK$3:$AK$98,$AK90,W$3:W$98,"&lt;"&amp;AF90,X$3:X$98,"&gt;"&amp;AE90)+COUNTIFS($AK$3:$AK$98,$AK90,Y$3:Y$98,"&lt;"&amp;AF90,Z$3:Z$98,"&gt;"&amp;AE90)+COUNTIFS($AK$3:$AK$98,$AK90,AA$3:AA$98,"&lt;"&amp;AF90,AB$3:AB$98,"&gt;"&amp;AE90)+COUNTIFS($AK$3:$AK$98,$AK90,AC$3:AC$98,"&lt;"&amp;AF90,AD$3:AD$98,"&gt;"&amp;AE90)+COUNTIFS($AK$3:$AK$98,$AK90,AE$3:AE$98,"&lt;"&amp;AF90,AF$3:AF$98,"&gt;"&amp;AE90)+COUNTIFS($AK$3:$AK$98,$AK90,AG$3:AG$98,"&lt;"&amp;AF90,AH$3:AH$98,"&gt;"&amp;AE90)-(AE90&lt;AF90))</f>
        <v>0</v>
      </c>
      <c r="BL90">
        <f>BK90</f>
        <v>0</v>
      </c>
      <c r="BM90">
        <f>IF(OR($AK90="",AG90="",AH90=""),0,COUNTIFS($AK$3:$AK$98,$AK90,K$3:K$98,"&lt;"&amp;AH90,L$3:L$98,"&gt;"&amp;AG90)+COUNTIFS($AK$3:$AK$98,$AK90,M$3:M$98,"&lt;"&amp;AH90,N$3:N$98,"&gt;"&amp;AG90)+COUNTIFS($AK$3:$AK$98,$AK90,O$3:O$98,"&lt;"&amp;AH90,P$3:P$98,"&gt;"&amp;AG90)+COUNTIFS($AK$3:$AK$98,$AK90,Q$3:Q$98,"&lt;"&amp;AH90,R$3:R$98,"&gt;"&amp;AG90)+COUNTIFS($AK$3:$AK$98,$AK90,S$3:S$98,"&lt;"&amp;AH90,T$3:T$98,"&gt;"&amp;AG90)+COUNTIFS($AK$3:$AK$98,$AK90,U$3:U$98,"&lt;"&amp;AH90,V$3:V$98,"&gt;"&amp;AG90)+COUNTIFS($AK$3:$AK$98,$AK90,W$3:W$98,"&lt;"&amp;AH90,X$3:X$98,"&gt;"&amp;AG90)+COUNTIFS($AK$3:$AK$98,$AK90,Y$3:Y$98,"&lt;"&amp;AH90,Z$3:Z$98,"&gt;"&amp;AG90)+COUNTIFS($AK$3:$AK$98,$AK90,AA$3:AA$98,"&lt;"&amp;AH90,AB$3:AB$98,"&gt;"&amp;AG90)+COUNTIFS($AK$3:$AK$98,$AK90,AC$3:AC$98,"&lt;"&amp;AH90,AD$3:AD$98,"&gt;"&amp;AG90)+COUNTIFS($AK$3:$AK$98,$AK90,AE$3:AE$98,"&lt;"&amp;AH90,AF$3:AF$98,"&gt;"&amp;AG90)+COUNTIFS($AK$3:$AK$98,$AK90,AG$3:AG$98,"&lt;"&amp;AH90,AH$3:AH$98,"&gt;"&amp;AG90)-(AG90&lt;AH90))</f>
        <v>0</v>
      </c>
      <c r="BN90">
        <f>BM90</f>
        <v>0</v>
      </c>
      <c r="BO90">
        <f>IF(ISNUMBER($G90),$G90,"")</f>
        <v>0</v>
      </c>
      <c r="BP90" t="str">
        <f>IF(AND($A90&lt;&gt;"",COUNT($K90:$AH90)&gt;0),ROW(),"")</f>
        <v/>
      </c>
    </row>
    <row r="91" spans="1:68" x14ac:dyDescent="0.15">
      <c r="A91" s="13" t="s">
        <v>56</v>
      </c>
      <c r="B91" s="14" t="str">
        <f>IF($A91="","","total")</f>
        <v>total</v>
      </c>
      <c r="C91" s="14"/>
      <c r="D91" s="15">
        <f>IF($A91="","",SUM(D92:D94))</f>
        <v>17</v>
      </c>
      <c r="E91" s="15">
        <f>IF($A91="","",SUM(E92:E94))</f>
        <v>0</v>
      </c>
      <c r="F91" s="15">
        <f>IF($A91="","",D91-E91)</f>
        <v>17</v>
      </c>
      <c r="G91" s="16" t="str">
        <f>IF($A91="","",IFERROR(AVERAGEIFS(G92:G94,H92:H94,"&lt;&gt;未着手",H92:H94,"&lt;&gt;作業中"),""))</f>
        <v/>
      </c>
      <c r="H91" s="14"/>
      <c r="I91" s="14"/>
      <c r="J91" s="14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</row>
    <row r="92" spans="1:68" x14ac:dyDescent="0.15">
      <c r="A92" s="18" t="str">
        <f>IF($A91="","",$A91)</f>
        <v>chMobSaiyanJ</v>
      </c>
      <c r="B92" s="19" t="str">
        <f>IF($A91="","","low")</f>
        <v>low</v>
      </c>
      <c r="C92" s="19"/>
      <c r="D92" s="20">
        <v>8</v>
      </c>
      <c r="E92" s="21">
        <f>IF(AND($D92="",COUNT($K92:$AH92)=0),"",IF(K92="",0,MAX(0,NETWORKDAYS(K92,IF(L92&lt;&gt;"",L92,IF($J92&lt;&gt;"",K92,$AI$1)),祝日!$A$2:$A$200)))+IF(M92="",0,MAX(0,NETWORKDAYS(M92,IF(N92&lt;&gt;"",N92,IF($J92&lt;&gt;"",M92,$AI$1)),祝日!$A$2:$A$200)))+IF(O92="",0,MAX(0,NETWORKDAYS(O92,IF(P92&lt;&gt;"",P92,IF($J92&lt;&gt;"",O92,$AI$1)),祝日!$A$2:$A$200)))+IF(Q92="",0,MAX(0,NETWORKDAYS(Q92,IF(R92&lt;&gt;"",R92,IF($J92&lt;&gt;"",Q92,$AI$1)),祝日!$A$2:$A$200)))+IF(S92="",0,MAX(0,NETWORKDAYS(S92,IF(T92&lt;&gt;"",T92,IF($J92&lt;&gt;"",S92,$AI$1)),祝日!$A$2:$A$200)))+IF(U92="",0,MAX(0,NETWORKDAYS(U92,IF(V92&lt;&gt;"",V92,IF($J92&lt;&gt;"",U92,$AI$1)),祝日!$A$2:$A$200)))+IF(W92="",0,MAX(0,NETWORKDAYS(W92,IF(X92&lt;&gt;"",X92,IF($J92&lt;&gt;"",W92,$AI$1)),祝日!$A$2:$A$200)))+IF(Y92="",0,MAX(0,NETWORKDAYS(Y92,IF(Z92&lt;&gt;"",Z92,IF($J92&lt;&gt;"",Y92,$AI$1)),祝日!$A$2:$A$200)))+IF(AA92="",0,MAX(0,NETWORKDAYS(AA92,IF(AB92&lt;&gt;"",AB92,IF($J92&lt;&gt;"",AA92,$AI$1)),祝日!$A$2:$A$200)))+IF(AC92="",0,MAX(0,NETWORKDAYS(AC92,IF(AD92&lt;&gt;"",AD92,IF($J92&lt;&gt;"",AC92,$AI$1)),祝日!$A$2:$A$200)))+IF(AE92="",0,MAX(0,NETWORKDAYS(AE92,IF(AF92&lt;&gt;"",AF92,IF($J92&lt;&gt;"",AE92,$AI$1)),祝日!$A$2:$A$200)))+IF(AG92="",0,MAX(0,NETWORKDAYS(AG92,IF(AH92&lt;&gt;"",AH92,IF($J92&lt;&gt;"",AG92,$AI$1)),祝日!$A$2:$A$200))))</f>
        <v>0</v>
      </c>
      <c r="F92" s="21">
        <f>IF($D92="","",$D92-$E92)</f>
        <v>8</v>
      </c>
      <c r="G92" s="22">
        <f>IF(OR($D92="",$D92=0),"",$E92/$D92)</f>
        <v>0</v>
      </c>
      <c r="H92" s="23" t="str">
        <f>IF($D92="","",IF($J92&lt;&gt;"","FIX",IF(AND(SUMPRODUCT((MOD(COLUMN($K92:$AH92)-COLUMN($K92),2)=0)*($K92:$AH92&lt;&gt;""))=0,SUMPRODUCT((MOD(COLUMN($K92:$AH92)-COLUMN($K92),2)=1)*($K92:$AH92&lt;&gt;""))=0),"未着手",IF(SUMPRODUCT((MOD(COLUMN($K92:$AH92)-COLUMN($K92),2)=0)*($K92:$AH92&lt;&gt;""))&gt;SUMPRODUCT((MOD(COLUMN($K92:$AH92)-COLUMN($K92),2)=1)*($K92:$AH92&lt;&gt;"")),"作業中","中断"))))</f>
        <v>未着手</v>
      </c>
      <c r="I92" s="23" t="str">
        <f>IF($H92="中断",MAX(0,$AI$1-MAX(L92,N92,P92,R92,T92,V92,X92,Z92,AB92,AD92,AF92,AH92)),"")</f>
        <v/>
      </c>
      <c r="J92" s="19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K92" t="str">
        <f>IF($A91="","",IF(LOOKUP(2,1/($AJ$3:$AJ92&lt;&gt;""),$AJ$3:$AJ92)="-","",LOOKUP(2,1/($AJ$3:$AJ92&lt;&gt;""),$AJ$3:$AJ92)))</f>
        <v/>
      </c>
      <c r="AL92" t="str">
        <f>$H92</f>
        <v>未着手</v>
      </c>
      <c r="AM92">
        <f>IF(ISNUMBER($D92),$D92,0)</f>
        <v>8</v>
      </c>
      <c r="AN92">
        <f>IF(ISNUMBER($E92),$E92,0)</f>
        <v>0</v>
      </c>
      <c r="AO92">
        <f>IF(ISNUMBER($F92),$F92,0)</f>
        <v>8</v>
      </c>
      <c r="AQ92">
        <f>IF(OR($AK92="",K92="",L92=""),0,COUNTIFS($AK$3:$AK$98,$AK92,K$3:K$98,"&lt;"&amp;L92,L$3:L$98,"&gt;"&amp;K92)+COUNTIFS($AK$3:$AK$98,$AK92,M$3:M$98,"&lt;"&amp;L92,N$3:N$98,"&gt;"&amp;K92)+COUNTIFS($AK$3:$AK$98,$AK92,O$3:O$98,"&lt;"&amp;L92,P$3:P$98,"&gt;"&amp;K92)+COUNTIFS($AK$3:$AK$98,$AK92,Q$3:Q$98,"&lt;"&amp;L92,R$3:R$98,"&gt;"&amp;K92)+COUNTIFS($AK$3:$AK$98,$AK92,S$3:S$98,"&lt;"&amp;L92,T$3:T$98,"&gt;"&amp;K92)+COUNTIFS($AK$3:$AK$98,$AK92,U$3:U$98,"&lt;"&amp;L92,V$3:V$98,"&gt;"&amp;K92)+COUNTIFS($AK$3:$AK$98,$AK92,W$3:W$98,"&lt;"&amp;L92,X$3:X$98,"&gt;"&amp;K92)+COUNTIFS($AK$3:$AK$98,$AK92,Y$3:Y$98,"&lt;"&amp;L92,Z$3:Z$98,"&gt;"&amp;K92)+COUNTIFS($AK$3:$AK$98,$AK92,AA$3:AA$98,"&lt;"&amp;L92,AB$3:AB$98,"&gt;"&amp;K92)+COUNTIFS($AK$3:$AK$98,$AK92,AC$3:AC$98,"&lt;"&amp;L92,AD$3:AD$98,"&gt;"&amp;K92)+COUNTIFS($AK$3:$AK$98,$AK92,AE$3:AE$98,"&lt;"&amp;L92,AF$3:AF$98,"&gt;"&amp;K92)+COUNTIFS($AK$3:$AK$98,$AK92,AG$3:AG$98,"&lt;"&amp;L92,AH$3:AH$98,"&gt;"&amp;K92)-(K92&lt;L92))</f>
        <v>0</v>
      </c>
      <c r="AR92">
        <f>AQ92</f>
        <v>0</v>
      </c>
      <c r="AS92">
        <f>IF(OR($AK92="",M92="",N92=""),0,COUNTIFS($AK$3:$AK$98,$AK92,K$3:K$98,"&lt;"&amp;N92,L$3:L$98,"&gt;"&amp;M92)+COUNTIFS($AK$3:$AK$98,$AK92,M$3:M$98,"&lt;"&amp;N92,N$3:N$98,"&gt;"&amp;M92)+COUNTIFS($AK$3:$AK$98,$AK92,O$3:O$98,"&lt;"&amp;N92,P$3:P$98,"&gt;"&amp;M92)+COUNTIFS($AK$3:$AK$98,$AK92,Q$3:Q$98,"&lt;"&amp;N92,R$3:R$98,"&gt;"&amp;M92)+COUNTIFS($AK$3:$AK$98,$AK92,S$3:S$98,"&lt;"&amp;N92,T$3:T$98,"&gt;"&amp;M92)+COUNTIFS($AK$3:$AK$98,$AK92,U$3:U$98,"&lt;"&amp;N92,V$3:V$98,"&gt;"&amp;M92)+COUNTIFS($AK$3:$AK$98,$AK92,W$3:W$98,"&lt;"&amp;N92,X$3:X$98,"&gt;"&amp;M92)+COUNTIFS($AK$3:$AK$98,$AK92,Y$3:Y$98,"&lt;"&amp;N92,Z$3:Z$98,"&gt;"&amp;M92)+COUNTIFS($AK$3:$AK$98,$AK92,AA$3:AA$98,"&lt;"&amp;N92,AB$3:AB$98,"&gt;"&amp;M92)+COUNTIFS($AK$3:$AK$98,$AK92,AC$3:AC$98,"&lt;"&amp;N92,AD$3:AD$98,"&gt;"&amp;M92)+COUNTIFS($AK$3:$AK$98,$AK92,AE$3:AE$98,"&lt;"&amp;N92,AF$3:AF$98,"&gt;"&amp;M92)+COUNTIFS($AK$3:$AK$98,$AK92,AG$3:AG$98,"&lt;"&amp;N92,AH$3:AH$98,"&gt;"&amp;M92)-(M92&lt;N92))</f>
        <v>0</v>
      </c>
      <c r="AT92">
        <f>AS92</f>
        <v>0</v>
      </c>
      <c r="AU92">
        <f>IF(OR($AK92="",O92="",P92=""),0,COUNTIFS($AK$3:$AK$98,$AK92,K$3:K$98,"&lt;"&amp;P92,L$3:L$98,"&gt;"&amp;O92)+COUNTIFS($AK$3:$AK$98,$AK92,M$3:M$98,"&lt;"&amp;P92,N$3:N$98,"&gt;"&amp;O92)+COUNTIFS($AK$3:$AK$98,$AK92,O$3:O$98,"&lt;"&amp;P92,P$3:P$98,"&gt;"&amp;O92)+COUNTIFS($AK$3:$AK$98,$AK92,Q$3:Q$98,"&lt;"&amp;P92,R$3:R$98,"&gt;"&amp;O92)+COUNTIFS($AK$3:$AK$98,$AK92,S$3:S$98,"&lt;"&amp;P92,T$3:T$98,"&gt;"&amp;O92)+COUNTIFS($AK$3:$AK$98,$AK92,U$3:U$98,"&lt;"&amp;P92,V$3:V$98,"&gt;"&amp;O92)+COUNTIFS($AK$3:$AK$98,$AK92,W$3:W$98,"&lt;"&amp;P92,X$3:X$98,"&gt;"&amp;O92)+COUNTIFS($AK$3:$AK$98,$AK92,Y$3:Y$98,"&lt;"&amp;P92,Z$3:Z$98,"&gt;"&amp;O92)+COUNTIFS($AK$3:$AK$98,$AK92,AA$3:AA$98,"&lt;"&amp;P92,AB$3:AB$98,"&gt;"&amp;O92)+COUNTIFS($AK$3:$AK$98,$AK92,AC$3:AC$98,"&lt;"&amp;P92,AD$3:AD$98,"&gt;"&amp;O92)+COUNTIFS($AK$3:$AK$98,$AK92,AE$3:AE$98,"&lt;"&amp;P92,AF$3:AF$98,"&gt;"&amp;O92)+COUNTIFS($AK$3:$AK$98,$AK92,AG$3:AG$98,"&lt;"&amp;P92,AH$3:AH$98,"&gt;"&amp;O92)-(O92&lt;P92))</f>
        <v>0</v>
      </c>
      <c r="AV92">
        <f>AU92</f>
        <v>0</v>
      </c>
      <c r="AW92">
        <f>IF(OR($AK92="",Q92="",R92=""),0,COUNTIFS($AK$3:$AK$98,$AK92,K$3:K$98,"&lt;"&amp;R92,L$3:L$98,"&gt;"&amp;Q92)+COUNTIFS($AK$3:$AK$98,$AK92,M$3:M$98,"&lt;"&amp;R92,N$3:N$98,"&gt;"&amp;Q92)+COUNTIFS($AK$3:$AK$98,$AK92,O$3:O$98,"&lt;"&amp;R92,P$3:P$98,"&gt;"&amp;Q92)+COUNTIFS($AK$3:$AK$98,$AK92,Q$3:Q$98,"&lt;"&amp;R92,R$3:R$98,"&gt;"&amp;Q92)+COUNTIFS($AK$3:$AK$98,$AK92,S$3:S$98,"&lt;"&amp;R92,T$3:T$98,"&gt;"&amp;Q92)+COUNTIFS($AK$3:$AK$98,$AK92,U$3:U$98,"&lt;"&amp;R92,V$3:V$98,"&gt;"&amp;Q92)+COUNTIFS($AK$3:$AK$98,$AK92,W$3:W$98,"&lt;"&amp;R92,X$3:X$98,"&gt;"&amp;Q92)+COUNTIFS($AK$3:$AK$98,$AK92,Y$3:Y$98,"&lt;"&amp;R92,Z$3:Z$98,"&gt;"&amp;Q92)+COUNTIFS($AK$3:$AK$98,$AK92,AA$3:AA$98,"&lt;"&amp;R92,AB$3:AB$98,"&gt;"&amp;Q92)+COUNTIFS($AK$3:$AK$98,$AK92,AC$3:AC$98,"&lt;"&amp;R92,AD$3:AD$98,"&gt;"&amp;Q92)+COUNTIFS($AK$3:$AK$98,$AK92,AE$3:AE$98,"&lt;"&amp;R92,AF$3:AF$98,"&gt;"&amp;Q92)+COUNTIFS($AK$3:$AK$98,$AK92,AG$3:AG$98,"&lt;"&amp;R92,AH$3:AH$98,"&gt;"&amp;Q92)-(Q92&lt;R92))</f>
        <v>0</v>
      </c>
      <c r="AX92">
        <f>AW92</f>
        <v>0</v>
      </c>
      <c r="AY92">
        <f>IF(OR($AK92="",S92="",T92=""),0,COUNTIFS($AK$3:$AK$98,$AK92,K$3:K$98,"&lt;"&amp;T92,L$3:L$98,"&gt;"&amp;S92)+COUNTIFS($AK$3:$AK$98,$AK92,M$3:M$98,"&lt;"&amp;T92,N$3:N$98,"&gt;"&amp;S92)+COUNTIFS($AK$3:$AK$98,$AK92,O$3:O$98,"&lt;"&amp;T92,P$3:P$98,"&gt;"&amp;S92)+COUNTIFS($AK$3:$AK$98,$AK92,Q$3:Q$98,"&lt;"&amp;T92,R$3:R$98,"&gt;"&amp;S92)+COUNTIFS($AK$3:$AK$98,$AK92,S$3:S$98,"&lt;"&amp;T92,T$3:T$98,"&gt;"&amp;S92)+COUNTIFS($AK$3:$AK$98,$AK92,U$3:U$98,"&lt;"&amp;T92,V$3:V$98,"&gt;"&amp;S92)+COUNTIFS($AK$3:$AK$98,$AK92,W$3:W$98,"&lt;"&amp;T92,X$3:X$98,"&gt;"&amp;S92)+COUNTIFS($AK$3:$AK$98,$AK92,Y$3:Y$98,"&lt;"&amp;T92,Z$3:Z$98,"&gt;"&amp;S92)+COUNTIFS($AK$3:$AK$98,$AK92,AA$3:AA$98,"&lt;"&amp;T92,AB$3:AB$98,"&gt;"&amp;S92)+COUNTIFS($AK$3:$AK$98,$AK92,AC$3:AC$98,"&lt;"&amp;T92,AD$3:AD$98,"&gt;"&amp;S92)+COUNTIFS($AK$3:$AK$98,$AK92,AE$3:AE$98,"&lt;"&amp;T92,AF$3:AF$98,"&gt;"&amp;S92)+COUNTIFS($AK$3:$AK$98,$AK92,AG$3:AG$98,"&lt;"&amp;T92,AH$3:AH$98,"&gt;"&amp;S92)-(S92&lt;T92))</f>
        <v>0</v>
      </c>
      <c r="AZ92">
        <f>AY92</f>
        <v>0</v>
      </c>
      <c r="BA92">
        <f>IF(OR($AK92="",U92="",V92=""),0,COUNTIFS($AK$3:$AK$98,$AK92,K$3:K$98,"&lt;"&amp;V92,L$3:L$98,"&gt;"&amp;U92)+COUNTIFS($AK$3:$AK$98,$AK92,M$3:M$98,"&lt;"&amp;V92,N$3:N$98,"&gt;"&amp;U92)+COUNTIFS($AK$3:$AK$98,$AK92,O$3:O$98,"&lt;"&amp;V92,P$3:P$98,"&gt;"&amp;U92)+COUNTIFS($AK$3:$AK$98,$AK92,Q$3:Q$98,"&lt;"&amp;V92,R$3:R$98,"&gt;"&amp;U92)+COUNTIFS($AK$3:$AK$98,$AK92,S$3:S$98,"&lt;"&amp;V92,T$3:T$98,"&gt;"&amp;U92)+COUNTIFS($AK$3:$AK$98,$AK92,U$3:U$98,"&lt;"&amp;V92,V$3:V$98,"&gt;"&amp;U92)+COUNTIFS($AK$3:$AK$98,$AK92,W$3:W$98,"&lt;"&amp;V92,X$3:X$98,"&gt;"&amp;U92)+COUNTIFS($AK$3:$AK$98,$AK92,Y$3:Y$98,"&lt;"&amp;V92,Z$3:Z$98,"&gt;"&amp;U92)+COUNTIFS($AK$3:$AK$98,$AK92,AA$3:AA$98,"&lt;"&amp;V92,AB$3:AB$98,"&gt;"&amp;U92)+COUNTIFS($AK$3:$AK$98,$AK92,AC$3:AC$98,"&lt;"&amp;V92,AD$3:AD$98,"&gt;"&amp;U92)+COUNTIFS($AK$3:$AK$98,$AK92,AE$3:AE$98,"&lt;"&amp;V92,AF$3:AF$98,"&gt;"&amp;U92)+COUNTIFS($AK$3:$AK$98,$AK92,AG$3:AG$98,"&lt;"&amp;V92,AH$3:AH$98,"&gt;"&amp;U92)-(U92&lt;V92))</f>
        <v>0</v>
      </c>
      <c r="BB92">
        <f>BA92</f>
        <v>0</v>
      </c>
      <c r="BC92">
        <f>IF(OR($AK92="",W92="",X92=""),0,COUNTIFS($AK$3:$AK$98,$AK92,K$3:K$98,"&lt;"&amp;X92,L$3:L$98,"&gt;"&amp;W92)+COUNTIFS($AK$3:$AK$98,$AK92,M$3:M$98,"&lt;"&amp;X92,N$3:N$98,"&gt;"&amp;W92)+COUNTIFS($AK$3:$AK$98,$AK92,O$3:O$98,"&lt;"&amp;X92,P$3:P$98,"&gt;"&amp;W92)+COUNTIFS($AK$3:$AK$98,$AK92,Q$3:Q$98,"&lt;"&amp;X92,R$3:R$98,"&gt;"&amp;W92)+COUNTIFS($AK$3:$AK$98,$AK92,S$3:S$98,"&lt;"&amp;X92,T$3:T$98,"&gt;"&amp;W92)+COUNTIFS($AK$3:$AK$98,$AK92,U$3:U$98,"&lt;"&amp;X92,V$3:V$98,"&gt;"&amp;W92)+COUNTIFS($AK$3:$AK$98,$AK92,W$3:W$98,"&lt;"&amp;X92,X$3:X$98,"&gt;"&amp;W92)+COUNTIFS($AK$3:$AK$98,$AK92,Y$3:Y$98,"&lt;"&amp;X92,Z$3:Z$98,"&gt;"&amp;W92)+COUNTIFS($AK$3:$AK$98,$AK92,AA$3:AA$98,"&lt;"&amp;X92,AB$3:AB$98,"&gt;"&amp;W92)+COUNTIFS($AK$3:$AK$98,$AK92,AC$3:AC$98,"&lt;"&amp;X92,AD$3:AD$98,"&gt;"&amp;W92)+COUNTIFS($AK$3:$AK$98,$AK92,AE$3:AE$98,"&lt;"&amp;X92,AF$3:AF$98,"&gt;"&amp;W92)+COUNTIFS($AK$3:$AK$98,$AK92,AG$3:AG$98,"&lt;"&amp;X92,AH$3:AH$98,"&gt;"&amp;W92)-(W92&lt;X92))</f>
        <v>0</v>
      </c>
      <c r="BD92">
        <f>BC92</f>
        <v>0</v>
      </c>
      <c r="BE92">
        <f>IF(OR($AK92="",Y92="",Z92=""),0,COUNTIFS($AK$3:$AK$98,$AK92,K$3:K$98,"&lt;"&amp;Z92,L$3:L$98,"&gt;"&amp;Y92)+COUNTIFS($AK$3:$AK$98,$AK92,M$3:M$98,"&lt;"&amp;Z92,N$3:N$98,"&gt;"&amp;Y92)+COUNTIFS($AK$3:$AK$98,$AK92,O$3:O$98,"&lt;"&amp;Z92,P$3:P$98,"&gt;"&amp;Y92)+COUNTIFS($AK$3:$AK$98,$AK92,Q$3:Q$98,"&lt;"&amp;Z92,R$3:R$98,"&gt;"&amp;Y92)+COUNTIFS($AK$3:$AK$98,$AK92,S$3:S$98,"&lt;"&amp;Z92,T$3:T$98,"&gt;"&amp;Y92)+COUNTIFS($AK$3:$AK$98,$AK92,U$3:U$98,"&lt;"&amp;Z92,V$3:V$98,"&gt;"&amp;Y92)+COUNTIFS($AK$3:$AK$98,$AK92,W$3:W$98,"&lt;"&amp;Z92,X$3:X$98,"&gt;"&amp;Y92)+COUNTIFS($AK$3:$AK$98,$AK92,Y$3:Y$98,"&lt;"&amp;Z92,Z$3:Z$98,"&gt;"&amp;Y92)+COUNTIFS($AK$3:$AK$98,$AK92,AA$3:AA$98,"&lt;"&amp;Z92,AB$3:AB$98,"&gt;"&amp;Y92)+COUNTIFS($AK$3:$AK$98,$AK92,AC$3:AC$98,"&lt;"&amp;Z92,AD$3:AD$98,"&gt;"&amp;Y92)+COUNTIFS($AK$3:$AK$98,$AK92,AE$3:AE$98,"&lt;"&amp;Z92,AF$3:AF$98,"&gt;"&amp;Y92)+COUNTIFS($AK$3:$AK$98,$AK92,AG$3:AG$98,"&lt;"&amp;Z92,AH$3:AH$98,"&gt;"&amp;Y92)-(Y92&lt;Z92))</f>
        <v>0</v>
      </c>
      <c r="BF92">
        <f>BE92</f>
        <v>0</v>
      </c>
      <c r="BG92">
        <f>IF(OR($AK92="",AA92="",AB92=""),0,COUNTIFS($AK$3:$AK$98,$AK92,K$3:K$98,"&lt;"&amp;AB92,L$3:L$98,"&gt;"&amp;AA92)+COUNTIFS($AK$3:$AK$98,$AK92,M$3:M$98,"&lt;"&amp;AB92,N$3:N$98,"&gt;"&amp;AA92)+COUNTIFS($AK$3:$AK$98,$AK92,O$3:O$98,"&lt;"&amp;AB92,P$3:P$98,"&gt;"&amp;AA92)+COUNTIFS($AK$3:$AK$98,$AK92,Q$3:Q$98,"&lt;"&amp;AB92,R$3:R$98,"&gt;"&amp;AA92)+COUNTIFS($AK$3:$AK$98,$AK92,S$3:S$98,"&lt;"&amp;AB92,T$3:T$98,"&gt;"&amp;AA92)+COUNTIFS($AK$3:$AK$98,$AK92,U$3:U$98,"&lt;"&amp;AB92,V$3:V$98,"&gt;"&amp;AA92)+COUNTIFS($AK$3:$AK$98,$AK92,W$3:W$98,"&lt;"&amp;AB92,X$3:X$98,"&gt;"&amp;AA92)+COUNTIFS($AK$3:$AK$98,$AK92,Y$3:Y$98,"&lt;"&amp;AB92,Z$3:Z$98,"&gt;"&amp;AA92)+COUNTIFS($AK$3:$AK$98,$AK92,AA$3:AA$98,"&lt;"&amp;AB92,AB$3:AB$98,"&gt;"&amp;AA92)+COUNTIFS($AK$3:$AK$98,$AK92,AC$3:AC$98,"&lt;"&amp;AB92,AD$3:AD$98,"&gt;"&amp;AA92)+COUNTIFS($AK$3:$AK$98,$AK92,AE$3:AE$98,"&lt;"&amp;AB92,AF$3:AF$98,"&gt;"&amp;AA92)+COUNTIFS($AK$3:$AK$98,$AK92,AG$3:AG$98,"&lt;"&amp;AB92,AH$3:AH$98,"&gt;"&amp;AA92)-(AA92&lt;AB92))</f>
        <v>0</v>
      </c>
      <c r="BH92">
        <f>BG92</f>
        <v>0</v>
      </c>
      <c r="BI92">
        <f>IF(OR($AK92="",AC92="",AD92=""),0,COUNTIFS($AK$3:$AK$98,$AK92,K$3:K$98,"&lt;"&amp;AD92,L$3:L$98,"&gt;"&amp;AC92)+COUNTIFS($AK$3:$AK$98,$AK92,M$3:M$98,"&lt;"&amp;AD92,N$3:N$98,"&gt;"&amp;AC92)+COUNTIFS($AK$3:$AK$98,$AK92,O$3:O$98,"&lt;"&amp;AD92,P$3:P$98,"&gt;"&amp;AC92)+COUNTIFS($AK$3:$AK$98,$AK92,Q$3:Q$98,"&lt;"&amp;AD92,R$3:R$98,"&gt;"&amp;AC92)+COUNTIFS($AK$3:$AK$98,$AK92,S$3:S$98,"&lt;"&amp;AD92,T$3:T$98,"&gt;"&amp;AC92)+COUNTIFS($AK$3:$AK$98,$AK92,U$3:U$98,"&lt;"&amp;AD92,V$3:V$98,"&gt;"&amp;AC92)+COUNTIFS($AK$3:$AK$98,$AK92,W$3:W$98,"&lt;"&amp;AD92,X$3:X$98,"&gt;"&amp;AC92)+COUNTIFS($AK$3:$AK$98,$AK92,Y$3:Y$98,"&lt;"&amp;AD92,Z$3:Z$98,"&gt;"&amp;AC92)+COUNTIFS($AK$3:$AK$98,$AK92,AA$3:AA$98,"&lt;"&amp;AD92,AB$3:AB$98,"&gt;"&amp;AC92)+COUNTIFS($AK$3:$AK$98,$AK92,AC$3:AC$98,"&lt;"&amp;AD92,AD$3:AD$98,"&gt;"&amp;AC92)+COUNTIFS($AK$3:$AK$98,$AK92,AE$3:AE$98,"&lt;"&amp;AD92,AF$3:AF$98,"&gt;"&amp;AC92)+COUNTIFS($AK$3:$AK$98,$AK92,AG$3:AG$98,"&lt;"&amp;AD92,AH$3:AH$98,"&gt;"&amp;AC92)-(AC92&lt;AD92))</f>
        <v>0</v>
      </c>
      <c r="BJ92">
        <f>BI92</f>
        <v>0</v>
      </c>
      <c r="BK92">
        <f>IF(OR($AK92="",AE92="",AF92=""),0,COUNTIFS($AK$3:$AK$98,$AK92,K$3:K$98,"&lt;"&amp;AF92,L$3:L$98,"&gt;"&amp;AE92)+COUNTIFS($AK$3:$AK$98,$AK92,M$3:M$98,"&lt;"&amp;AF92,N$3:N$98,"&gt;"&amp;AE92)+COUNTIFS($AK$3:$AK$98,$AK92,O$3:O$98,"&lt;"&amp;AF92,P$3:P$98,"&gt;"&amp;AE92)+COUNTIFS($AK$3:$AK$98,$AK92,Q$3:Q$98,"&lt;"&amp;AF92,R$3:R$98,"&gt;"&amp;AE92)+COUNTIFS($AK$3:$AK$98,$AK92,S$3:S$98,"&lt;"&amp;AF92,T$3:T$98,"&gt;"&amp;AE92)+COUNTIFS($AK$3:$AK$98,$AK92,U$3:U$98,"&lt;"&amp;AF92,V$3:V$98,"&gt;"&amp;AE92)+COUNTIFS($AK$3:$AK$98,$AK92,W$3:W$98,"&lt;"&amp;AF92,X$3:X$98,"&gt;"&amp;AE92)+COUNTIFS($AK$3:$AK$98,$AK92,Y$3:Y$98,"&lt;"&amp;AF92,Z$3:Z$98,"&gt;"&amp;AE92)+COUNTIFS($AK$3:$AK$98,$AK92,AA$3:AA$98,"&lt;"&amp;AF92,AB$3:AB$98,"&gt;"&amp;AE92)+COUNTIFS($AK$3:$AK$98,$AK92,AC$3:AC$98,"&lt;"&amp;AF92,AD$3:AD$98,"&gt;"&amp;AE92)+COUNTIFS($AK$3:$AK$98,$AK92,AE$3:AE$98,"&lt;"&amp;AF92,AF$3:AF$98,"&gt;"&amp;AE92)+COUNTIFS($AK$3:$AK$98,$AK92,AG$3:AG$98,"&lt;"&amp;AF92,AH$3:AH$98,"&gt;"&amp;AE92)-(AE92&lt;AF92))</f>
        <v>0</v>
      </c>
      <c r="BL92">
        <f>BK92</f>
        <v>0</v>
      </c>
      <c r="BM92">
        <f>IF(OR($AK92="",AG92="",AH92=""),0,COUNTIFS($AK$3:$AK$98,$AK92,K$3:K$98,"&lt;"&amp;AH92,L$3:L$98,"&gt;"&amp;AG92)+COUNTIFS($AK$3:$AK$98,$AK92,M$3:M$98,"&lt;"&amp;AH92,N$3:N$98,"&gt;"&amp;AG92)+COUNTIFS($AK$3:$AK$98,$AK92,O$3:O$98,"&lt;"&amp;AH92,P$3:P$98,"&gt;"&amp;AG92)+COUNTIFS($AK$3:$AK$98,$AK92,Q$3:Q$98,"&lt;"&amp;AH92,R$3:R$98,"&gt;"&amp;AG92)+COUNTIFS($AK$3:$AK$98,$AK92,S$3:S$98,"&lt;"&amp;AH92,T$3:T$98,"&gt;"&amp;AG92)+COUNTIFS($AK$3:$AK$98,$AK92,U$3:U$98,"&lt;"&amp;AH92,V$3:V$98,"&gt;"&amp;AG92)+COUNTIFS($AK$3:$AK$98,$AK92,W$3:W$98,"&lt;"&amp;AH92,X$3:X$98,"&gt;"&amp;AG92)+COUNTIFS($AK$3:$AK$98,$AK92,Y$3:Y$98,"&lt;"&amp;AH92,Z$3:Z$98,"&gt;"&amp;AG92)+COUNTIFS($AK$3:$AK$98,$AK92,AA$3:AA$98,"&lt;"&amp;AH92,AB$3:AB$98,"&gt;"&amp;AG92)+COUNTIFS($AK$3:$AK$98,$AK92,AC$3:AC$98,"&lt;"&amp;AH92,AD$3:AD$98,"&gt;"&amp;AG92)+COUNTIFS($AK$3:$AK$98,$AK92,AE$3:AE$98,"&lt;"&amp;AH92,AF$3:AF$98,"&gt;"&amp;AG92)+COUNTIFS($AK$3:$AK$98,$AK92,AG$3:AG$98,"&lt;"&amp;AH92,AH$3:AH$98,"&gt;"&amp;AG92)-(AG92&lt;AH92))</f>
        <v>0</v>
      </c>
      <c r="BN92">
        <f>BM92</f>
        <v>0</v>
      </c>
      <c r="BO92">
        <f>IF(ISNUMBER($G92),$G92,"")</f>
        <v>0</v>
      </c>
      <c r="BP92" t="str">
        <f>IF(AND($A92&lt;&gt;"",COUNT($K92:$AH92)&gt;0),ROW(),"")</f>
        <v/>
      </c>
    </row>
    <row r="93" spans="1:68" x14ac:dyDescent="0.15">
      <c r="A93" s="18" t="str">
        <f>IF($A91="","",$A91)</f>
        <v>chMobSaiyanJ</v>
      </c>
      <c r="B93" s="19" t="str">
        <f>IF($A91="","","high")</f>
        <v>high</v>
      </c>
      <c r="C93" s="19"/>
      <c r="D93" s="20">
        <v>5</v>
      </c>
      <c r="E93" s="21">
        <f>IF(AND($D93="",COUNT($K93:$AH93)=0),"",IF(K93="",0,MAX(0,NETWORKDAYS(K93,IF(L93&lt;&gt;"",L93,IF($J93&lt;&gt;"",K93,$AI$1)),祝日!$A$2:$A$200)))+IF(M93="",0,MAX(0,NETWORKDAYS(M93,IF(N93&lt;&gt;"",N93,IF($J93&lt;&gt;"",M93,$AI$1)),祝日!$A$2:$A$200)))+IF(O93="",0,MAX(0,NETWORKDAYS(O93,IF(P93&lt;&gt;"",P93,IF($J93&lt;&gt;"",O93,$AI$1)),祝日!$A$2:$A$200)))+IF(Q93="",0,MAX(0,NETWORKDAYS(Q93,IF(R93&lt;&gt;"",R93,IF($J93&lt;&gt;"",Q93,$AI$1)),祝日!$A$2:$A$200)))+IF(S93="",0,MAX(0,NETWORKDAYS(S93,IF(T93&lt;&gt;"",T93,IF($J93&lt;&gt;"",S93,$AI$1)),祝日!$A$2:$A$200)))+IF(U93="",0,MAX(0,NETWORKDAYS(U93,IF(V93&lt;&gt;"",V93,IF($J93&lt;&gt;"",U93,$AI$1)),祝日!$A$2:$A$200)))+IF(W93="",0,MAX(0,NETWORKDAYS(W93,IF(X93&lt;&gt;"",X93,IF($J93&lt;&gt;"",W93,$AI$1)),祝日!$A$2:$A$200)))+IF(Y93="",0,MAX(0,NETWORKDAYS(Y93,IF(Z93&lt;&gt;"",Z93,IF($J93&lt;&gt;"",Y93,$AI$1)),祝日!$A$2:$A$200)))+IF(AA93="",0,MAX(0,NETWORKDAYS(AA93,IF(AB93&lt;&gt;"",AB93,IF($J93&lt;&gt;"",AA93,$AI$1)),祝日!$A$2:$A$200)))+IF(AC93="",0,MAX(0,NETWORKDAYS(AC93,IF(AD93&lt;&gt;"",AD93,IF($J93&lt;&gt;"",AC93,$AI$1)),祝日!$A$2:$A$200)))+IF(AE93="",0,MAX(0,NETWORKDAYS(AE93,IF(AF93&lt;&gt;"",AF93,IF($J93&lt;&gt;"",AE93,$AI$1)),祝日!$A$2:$A$200)))+IF(AG93="",0,MAX(0,NETWORKDAYS(AG93,IF(AH93&lt;&gt;"",AH93,IF($J93&lt;&gt;"",AG93,$AI$1)),祝日!$A$2:$A$200))))</f>
        <v>0</v>
      </c>
      <c r="F93" s="21">
        <f>IF($D93="","",$D93-$E93)</f>
        <v>5</v>
      </c>
      <c r="G93" s="22">
        <f>IF(OR($D93="",$D93=0),"",$E93/$D93)</f>
        <v>0</v>
      </c>
      <c r="H93" s="23" t="str">
        <f>IF($D93="","",IF($J93&lt;&gt;"","FIX",IF(AND(SUMPRODUCT((MOD(COLUMN($K93:$AH93)-COLUMN($K93),2)=0)*($K93:$AH93&lt;&gt;""))=0,SUMPRODUCT((MOD(COLUMN($K93:$AH93)-COLUMN($K93),2)=1)*($K93:$AH93&lt;&gt;""))=0),"未着手",IF(SUMPRODUCT((MOD(COLUMN($K93:$AH93)-COLUMN($K93),2)=0)*($K93:$AH93&lt;&gt;""))&gt;SUMPRODUCT((MOD(COLUMN($K93:$AH93)-COLUMN($K93),2)=1)*($K93:$AH93&lt;&gt;"")),"作業中","中断"))))</f>
        <v>未着手</v>
      </c>
      <c r="I93" s="23" t="str">
        <f>IF($H93="中断",MAX(0,$AI$1-MAX(L93,N93,P93,R93,T93,V93,X93,Z93,AB93,AD93,AF93,AH93)),"")</f>
        <v/>
      </c>
      <c r="J93" s="19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K93" t="str">
        <f>IF($A91="","",IF(LOOKUP(2,1/($AJ$3:$AJ93&lt;&gt;""),$AJ$3:$AJ93)="-","",LOOKUP(2,1/($AJ$3:$AJ93&lt;&gt;""),$AJ$3:$AJ93)))</f>
        <v/>
      </c>
      <c r="AL93" t="str">
        <f>$H93</f>
        <v>未着手</v>
      </c>
      <c r="AM93">
        <f>IF(ISNUMBER($D93),$D93,0)</f>
        <v>5</v>
      </c>
      <c r="AN93">
        <f>IF(ISNUMBER($E93),$E93,0)</f>
        <v>0</v>
      </c>
      <c r="AO93">
        <f>IF(ISNUMBER($F93),$F93,0)</f>
        <v>5</v>
      </c>
      <c r="AQ93">
        <f>IF(OR($AK93="",K93="",L93=""),0,COUNTIFS($AK$3:$AK$98,$AK93,K$3:K$98,"&lt;"&amp;L93,L$3:L$98,"&gt;"&amp;K93)+COUNTIFS($AK$3:$AK$98,$AK93,M$3:M$98,"&lt;"&amp;L93,N$3:N$98,"&gt;"&amp;K93)+COUNTIFS($AK$3:$AK$98,$AK93,O$3:O$98,"&lt;"&amp;L93,P$3:P$98,"&gt;"&amp;K93)+COUNTIFS($AK$3:$AK$98,$AK93,Q$3:Q$98,"&lt;"&amp;L93,R$3:R$98,"&gt;"&amp;K93)+COUNTIFS($AK$3:$AK$98,$AK93,S$3:S$98,"&lt;"&amp;L93,T$3:T$98,"&gt;"&amp;K93)+COUNTIFS($AK$3:$AK$98,$AK93,U$3:U$98,"&lt;"&amp;L93,V$3:V$98,"&gt;"&amp;K93)+COUNTIFS($AK$3:$AK$98,$AK93,W$3:W$98,"&lt;"&amp;L93,X$3:X$98,"&gt;"&amp;K93)+COUNTIFS($AK$3:$AK$98,$AK93,Y$3:Y$98,"&lt;"&amp;L93,Z$3:Z$98,"&gt;"&amp;K93)+COUNTIFS($AK$3:$AK$98,$AK93,AA$3:AA$98,"&lt;"&amp;L93,AB$3:AB$98,"&gt;"&amp;K93)+COUNTIFS($AK$3:$AK$98,$AK93,AC$3:AC$98,"&lt;"&amp;L93,AD$3:AD$98,"&gt;"&amp;K93)+COUNTIFS($AK$3:$AK$98,$AK93,AE$3:AE$98,"&lt;"&amp;L93,AF$3:AF$98,"&gt;"&amp;K93)+COUNTIFS($AK$3:$AK$98,$AK93,AG$3:AG$98,"&lt;"&amp;L93,AH$3:AH$98,"&gt;"&amp;K93)-(K93&lt;L93))</f>
        <v>0</v>
      </c>
      <c r="AR93">
        <f>AQ93</f>
        <v>0</v>
      </c>
      <c r="AS93">
        <f>IF(OR($AK93="",M93="",N93=""),0,COUNTIFS($AK$3:$AK$98,$AK93,K$3:K$98,"&lt;"&amp;N93,L$3:L$98,"&gt;"&amp;M93)+COUNTIFS($AK$3:$AK$98,$AK93,M$3:M$98,"&lt;"&amp;N93,N$3:N$98,"&gt;"&amp;M93)+COUNTIFS($AK$3:$AK$98,$AK93,O$3:O$98,"&lt;"&amp;N93,P$3:P$98,"&gt;"&amp;M93)+COUNTIFS($AK$3:$AK$98,$AK93,Q$3:Q$98,"&lt;"&amp;N93,R$3:R$98,"&gt;"&amp;M93)+COUNTIFS($AK$3:$AK$98,$AK93,S$3:S$98,"&lt;"&amp;N93,T$3:T$98,"&gt;"&amp;M93)+COUNTIFS($AK$3:$AK$98,$AK93,U$3:U$98,"&lt;"&amp;N93,V$3:V$98,"&gt;"&amp;M93)+COUNTIFS($AK$3:$AK$98,$AK93,W$3:W$98,"&lt;"&amp;N93,X$3:X$98,"&gt;"&amp;M93)+COUNTIFS($AK$3:$AK$98,$AK93,Y$3:Y$98,"&lt;"&amp;N93,Z$3:Z$98,"&gt;"&amp;M93)+COUNTIFS($AK$3:$AK$98,$AK93,AA$3:AA$98,"&lt;"&amp;N93,AB$3:AB$98,"&gt;"&amp;M93)+COUNTIFS($AK$3:$AK$98,$AK93,AC$3:AC$98,"&lt;"&amp;N93,AD$3:AD$98,"&gt;"&amp;M93)+COUNTIFS($AK$3:$AK$98,$AK93,AE$3:AE$98,"&lt;"&amp;N93,AF$3:AF$98,"&gt;"&amp;M93)+COUNTIFS($AK$3:$AK$98,$AK93,AG$3:AG$98,"&lt;"&amp;N93,AH$3:AH$98,"&gt;"&amp;M93)-(M93&lt;N93))</f>
        <v>0</v>
      </c>
      <c r="AT93">
        <f>AS93</f>
        <v>0</v>
      </c>
      <c r="AU93">
        <f>IF(OR($AK93="",O93="",P93=""),0,COUNTIFS($AK$3:$AK$98,$AK93,K$3:K$98,"&lt;"&amp;P93,L$3:L$98,"&gt;"&amp;O93)+COUNTIFS($AK$3:$AK$98,$AK93,M$3:M$98,"&lt;"&amp;P93,N$3:N$98,"&gt;"&amp;O93)+COUNTIFS($AK$3:$AK$98,$AK93,O$3:O$98,"&lt;"&amp;P93,P$3:P$98,"&gt;"&amp;O93)+COUNTIFS($AK$3:$AK$98,$AK93,Q$3:Q$98,"&lt;"&amp;P93,R$3:R$98,"&gt;"&amp;O93)+COUNTIFS($AK$3:$AK$98,$AK93,S$3:S$98,"&lt;"&amp;P93,T$3:T$98,"&gt;"&amp;O93)+COUNTIFS($AK$3:$AK$98,$AK93,U$3:U$98,"&lt;"&amp;P93,V$3:V$98,"&gt;"&amp;O93)+COUNTIFS($AK$3:$AK$98,$AK93,W$3:W$98,"&lt;"&amp;P93,X$3:X$98,"&gt;"&amp;O93)+COUNTIFS($AK$3:$AK$98,$AK93,Y$3:Y$98,"&lt;"&amp;P93,Z$3:Z$98,"&gt;"&amp;O93)+COUNTIFS($AK$3:$AK$98,$AK93,AA$3:AA$98,"&lt;"&amp;P93,AB$3:AB$98,"&gt;"&amp;O93)+COUNTIFS($AK$3:$AK$98,$AK93,AC$3:AC$98,"&lt;"&amp;P93,AD$3:AD$98,"&gt;"&amp;O93)+COUNTIFS($AK$3:$AK$98,$AK93,AE$3:AE$98,"&lt;"&amp;P93,AF$3:AF$98,"&gt;"&amp;O93)+COUNTIFS($AK$3:$AK$98,$AK93,AG$3:AG$98,"&lt;"&amp;P93,AH$3:AH$98,"&gt;"&amp;O93)-(O93&lt;P93))</f>
        <v>0</v>
      </c>
      <c r="AV93">
        <f>AU93</f>
        <v>0</v>
      </c>
      <c r="AW93">
        <f>IF(OR($AK93="",Q93="",R93=""),0,COUNTIFS($AK$3:$AK$98,$AK93,K$3:K$98,"&lt;"&amp;R93,L$3:L$98,"&gt;"&amp;Q93)+COUNTIFS($AK$3:$AK$98,$AK93,M$3:M$98,"&lt;"&amp;R93,N$3:N$98,"&gt;"&amp;Q93)+COUNTIFS($AK$3:$AK$98,$AK93,O$3:O$98,"&lt;"&amp;R93,P$3:P$98,"&gt;"&amp;Q93)+COUNTIFS($AK$3:$AK$98,$AK93,Q$3:Q$98,"&lt;"&amp;R93,R$3:R$98,"&gt;"&amp;Q93)+COUNTIFS($AK$3:$AK$98,$AK93,S$3:S$98,"&lt;"&amp;R93,T$3:T$98,"&gt;"&amp;Q93)+COUNTIFS($AK$3:$AK$98,$AK93,U$3:U$98,"&lt;"&amp;R93,V$3:V$98,"&gt;"&amp;Q93)+COUNTIFS($AK$3:$AK$98,$AK93,W$3:W$98,"&lt;"&amp;R93,X$3:X$98,"&gt;"&amp;Q93)+COUNTIFS($AK$3:$AK$98,$AK93,Y$3:Y$98,"&lt;"&amp;R93,Z$3:Z$98,"&gt;"&amp;Q93)+COUNTIFS($AK$3:$AK$98,$AK93,AA$3:AA$98,"&lt;"&amp;R93,AB$3:AB$98,"&gt;"&amp;Q93)+COUNTIFS($AK$3:$AK$98,$AK93,AC$3:AC$98,"&lt;"&amp;R93,AD$3:AD$98,"&gt;"&amp;Q93)+COUNTIFS($AK$3:$AK$98,$AK93,AE$3:AE$98,"&lt;"&amp;R93,AF$3:AF$98,"&gt;"&amp;Q93)+COUNTIFS($AK$3:$AK$98,$AK93,AG$3:AG$98,"&lt;"&amp;R93,AH$3:AH$98,"&gt;"&amp;Q93)-(Q93&lt;R93))</f>
        <v>0</v>
      </c>
      <c r="AX93">
        <f>AW93</f>
        <v>0</v>
      </c>
      <c r="AY93">
        <f>IF(OR($AK93="",S93="",T93=""),0,COUNTIFS($AK$3:$AK$98,$AK93,K$3:K$98,"&lt;"&amp;T93,L$3:L$98,"&gt;"&amp;S93)+COUNTIFS($AK$3:$AK$98,$AK93,M$3:M$98,"&lt;"&amp;T93,N$3:N$98,"&gt;"&amp;S93)+COUNTIFS($AK$3:$AK$98,$AK93,O$3:O$98,"&lt;"&amp;T93,P$3:P$98,"&gt;"&amp;S93)+COUNTIFS($AK$3:$AK$98,$AK93,Q$3:Q$98,"&lt;"&amp;T93,R$3:R$98,"&gt;"&amp;S93)+COUNTIFS($AK$3:$AK$98,$AK93,S$3:S$98,"&lt;"&amp;T93,T$3:T$98,"&gt;"&amp;S93)+COUNTIFS($AK$3:$AK$98,$AK93,U$3:U$98,"&lt;"&amp;T93,V$3:V$98,"&gt;"&amp;S93)+COUNTIFS($AK$3:$AK$98,$AK93,W$3:W$98,"&lt;"&amp;T93,X$3:X$98,"&gt;"&amp;S93)+COUNTIFS($AK$3:$AK$98,$AK93,Y$3:Y$98,"&lt;"&amp;T93,Z$3:Z$98,"&gt;"&amp;S93)+COUNTIFS($AK$3:$AK$98,$AK93,AA$3:AA$98,"&lt;"&amp;T93,AB$3:AB$98,"&gt;"&amp;S93)+COUNTIFS($AK$3:$AK$98,$AK93,AC$3:AC$98,"&lt;"&amp;T93,AD$3:AD$98,"&gt;"&amp;S93)+COUNTIFS($AK$3:$AK$98,$AK93,AE$3:AE$98,"&lt;"&amp;T93,AF$3:AF$98,"&gt;"&amp;S93)+COUNTIFS($AK$3:$AK$98,$AK93,AG$3:AG$98,"&lt;"&amp;T93,AH$3:AH$98,"&gt;"&amp;S93)-(S93&lt;T93))</f>
        <v>0</v>
      </c>
      <c r="AZ93">
        <f>AY93</f>
        <v>0</v>
      </c>
      <c r="BA93">
        <f>IF(OR($AK93="",U93="",V93=""),0,COUNTIFS($AK$3:$AK$98,$AK93,K$3:K$98,"&lt;"&amp;V93,L$3:L$98,"&gt;"&amp;U93)+COUNTIFS($AK$3:$AK$98,$AK93,M$3:M$98,"&lt;"&amp;V93,N$3:N$98,"&gt;"&amp;U93)+COUNTIFS($AK$3:$AK$98,$AK93,O$3:O$98,"&lt;"&amp;V93,P$3:P$98,"&gt;"&amp;U93)+COUNTIFS($AK$3:$AK$98,$AK93,Q$3:Q$98,"&lt;"&amp;V93,R$3:R$98,"&gt;"&amp;U93)+COUNTIFS($AK$3:$AK$98,$AK93,S$3:S$98,"&lt;"&amp;V93,T$3:T$98,"&gt;"&amp;U93)+COUNTIFS($AK$3:$AK$98,$AK93,U$3:U$98,"&lt;"&amp;V93,V$3:V$98,"&gt;"&amp;U93)+COUNTIFS($AK$3:$AK$98,$AK93,W$3:W$98,"&lt;"&amp;V93,X$3:X$98,"&gt;"&amp;U93)+COUNTIFS($AK$3:$AK$98,$AK93,Y$3:Y$98,"&lt;"&amp;V93,Z$3:Z$98,"&gt;"&amp;U93)+COUNTIFS($AK$3:$AK$98,$AK93,AA$3:AA$98,"&lt;"&amp;V93,AB$3:AB$98,"&gt;"&amp;U93)+COUNTIFS($AK$3:$AK$98,$AK93,AC$3:AC$98,"&lt;"&amp;V93,AD$3:AD$98,"&gt;"&amp;U93)+COUNTIFS($AK$3:$AK$98,$AK93,AE$3:AE$98,"&lt;"&amp;V93,AF$3:AF$98,"&gt;"&amp;U93)+COUNTIFS($AK$3:$AK$98,$AK93,AG$3:AG$98,"&lt;"&amp;V93,AH$3:AH$98,"&gt;"&amp;U93)-(U93&lt;V93))</f>
        <v>0</v>
      </c>
      <c r="BB93">
        <f>BA93</f>
        <v>0</v>
      </c>
      <c r="BC93">
        <f>IF(OR($AK93="",W93="",X93=""),0,COUNTIFS($AK$3:$AK$98,$AK93,K$3:K$98,"&lt;"&amp;X93,L$3:L$98,"&gt;"&amp;W93)+COUNTIFS($AK$3:$AK$98,$AK93,M$3:M$98,"&lt;"&amp;X93,N$3:N$98,"&gt;"&amp;W93)+COUNTIFS($AK$3:$AK$98,$AK93,O$3:O$98,"&lt;"&amp;X93,P$3:P$98,"&gt;"&amp;W93)+COUNTIFS($AK$3:$AK$98,$AK93,Q$3:Q$98,"&lt;"&amp;X93,R$3:R$98,"&gt;"&amp;W93)+COUNTIFS($AK$3:$AK$98,$AK93,S$3:S$98,"&lt;"&amp;X93,T$3:T$98,"&gt;"&amp;W93)+COUNTIFS($AK$3:$AK$98,$AK93,U$3:U$98,"&lt;"&amp;X93,V$3:V$98,"&gt;"&amp;W93)+COUNTIFS($AK$3:$AK$98,$AK93,W$3:W$98,"&lt;"&amp;X93,X$3:X$98,"&gt;"&amp;W93)+COUNTIFS($AK$3:$AK$98,$AK93,Y$3:Y$98,"&lt;"&amp;X93,Z$3:Z$98,"&gt;"&amp;W93)+COUNTIFS($AK$3:$AK$98,$AK93,AA$3:AA$98,"&lt;"&amp;X93,AB$3:AB$98,"&gt;"&amp;W93)+COUNTIFS($AK$3:$AK$98,$AK93,AC$3:AC$98,"&lt;"&amp;X93,AD$3:AD$98,"&gt;"&amp;W93)+COUNTIFS($AK$3:$AK$98,$AK93,AE$3:AE$98,"&lt;"&amp;X93,AF$3:AF$98,"&gt;"&amp;W93)+COUNTIFS($AK$3:$AK$98,$AK93,AG$3:AG$98,"&lt;"&amp;X93,AH$3:AH$98,"&gt;"&amp;W93)-(W93&lt;X93))</f>
        <v>0</v>
      </c>
      <c r="BD93">
        <f>BC93</f>
        <v>0</v>
      </c>
      <c r="BE93">
        <f>IF(OR($AK93="",Y93="",Z93=""),0,COUNTIFS($AK$3:$AK$98,$AK93,K$3:K$98,"&lt;"&amp;Z93,L$3:L$98,"&gt;"&amp;Y93)+COUNTIFS($AK$3:$AK$98,$AK93,M$3:M$98,"&lt;"&amp;Z93,N$3:N$98,"&gt;"&amp;Y93)+COUNTIFS($AK$3:$AK$98,$AK93,O$3:O$98,"&lt;"&amp;Z93,P$3:P$98,"&gt;"&amp;Y93)+COUNTIFS($AK$3:$AK$98,$AK93,Q$3:Q$98,"&lt;"&amp;Z93,R$3:R$98,"&gt;"&amp;Y93)+COUNTIFS($AK$3:$AK$98,$AK93,S$3:S$98,"&lt;"&amp;Z93,T$3:T$98,"&gt;"&amp;Y93)+COUNTIFS($AK$3:$AK$98,$AK93,U$3:U$98,"&lt;"&amp;Z93,V$3:V$98,"&gt;"&amp;Y93)+COUNTIFS($AK$3:$AK$98,$AK93,W$3:W$98,"&lt;"&amp;Z93,X$3:X$98,"&gt;"&amp;Y93)+COUNTIFS($AK$3:$AK$98,$AK93,Y$3:Y$98,"&lt;"&amp;Z93,Z$3:Z$98,"&gt;"&amp;Y93)+COUNTIFS($AK$3:$AK$98,$AK93,AA$3:AA$98,"&lt;"&amp;Z93,AB$3:AB$98,"&gt;"&amp;Y93)+COUNTIFS($AK$3:$AK$98,$AK93,AC$3:AC$98,"&lt;"&amp;Z93,AD$3:AD$98,"&gt;"&amp;Y93)+COUNTIFS($AK$3:$AK$98,$AK93,AE$3:AE$98,"&lt;"&amp;Z93,AF$3:AF$98,"&gt;"&amp;Y93)+COUNTIFS($AK$3:$AK$98,$AK93,AG$3:AG$98,"&lt;"&amp;Z93,AH$3:AH$98,"&gt;"&amp;Y93)-(Y93&lt;Z93))</f>
        <v>0</v>
      </c>
      <c r="BF93">
        <f>BE93</f>
        <v>0</v>
      </c>
      <c r="BG93">
        <f>IF(OR($AK93="",AA93="",AB93=""),0,COUNTIFS($AK$3:$AK$98,$AK93,K$3:K$98,"&lt;"&amp;AB93,L$3:L$98,"&gt;"&amp;AA93)+COUNTIFS($AK$3:$AK$98,$AK93,M$3:M$98,"&lt;"&amp;AB93,N$3:N$98,"&gt;"&amp;AA93)+COUNTIFS($AK$3:$AK$98,$AK93,O$3:O$98,"&lt;"&amp;AB93,P$3:P$98,"&gt;"&amp;AA93)+COUNTIFS($AK$3:$AK$98,$AK93,Q$3:Q$98,"&lt;"&amp;AB93,R$3:R$98,"&gt;"&amp;AA93)+COUNTIFS($AK$3:$AK$98,$AK93,S$3:S$98,"&lt;"&amp;AB93,T$3:T$98,"&gt;"&amp;AA93)+COUNTIFS($AK$3:$AK$98,$AK93,U$3:U$98,"&lt;"&amp;AB93,V$3:V$98,"&gt;"&amp;AA93)+COUNTIFS($AK$3:$AK$98,$AK93,W$3:W$98,"&lt;"&amp;AB93,X$3:X$98,"&gt;"&amp;AA93)+COUNTIFS($AK$3:$AK$98,$AK93,Y$3:Y$98,"&lt;"&amp;AB93,Z$3:Z$98,"&gt;"&amp;AA93)+COUNTIFS($AK$3:$AK$98,$AK93,AA$3:AA$98,"&lt;"&amp;AB93,AB$3:AB$98,"&gt;"&amp;AA93)+COUNTIFS($AK$3:$AK$98,$AK93,AC$3:AC$98,"&lt;"&amp;AB93,AD$3:AD$98,"&gt;"&amp;AA93)+COUNTIFS($AK$3:$AK$98,$AK93,AE$3:AE$98,"&lt;"&amp;AB93,AF$3:AF$98,"&gt;"&amp;AA93)+COUNTIFS($AK$3:$AK$98,$AK93,AG$3:AG$98,"&lt;"&amp;AB93,AH$3:AH$98,"&gt;"&amp;AA93)-(AA93&lt;AB93))</f>
        <v>0</v>
      </c>
      <c r="BH93">
        <f>BG93</f>
        <v>0</v>
      </c>
      <c r="BI93">
        <f>IF(OR($AK93="",AC93="",AD93=""),0,COUNTIFS($AK$3:$AK$98,$AK93,K$3:K$98,"&lt;"&amp;AD93,L$3:L$98,"&gt;"&amp;AC93)+COUNTIFS($AK$3:$AK$98,$AK93,M$3:M$98,"&lt;"&amp;AD93,N$3:N$98,"&gt;"&amp;AC93)+COUNTIFS($AK$3:$AK$98,$AK93,O$3:O$98,"&lt;"&amp;AD93,P$3:P$98,"&gt;"&amp;AC93)+COUNTIFS($AK$3:$AK$98,$AK93,Q$3:Q$98,"&lt;"&amp;AD93,R$3:R$98,"&gt;"&amp;AC93)+COUNTIFS($AK$3:$AK$98,$AK93,S$3:S$98,"&lt;"&amp;AD93,T$3:T$98,"&gt;"&amp;AC93)+COUNTIFS($AK$3:$AK$98,$AK93,U$3:U$98,"&lt;"&amp;AD93,V$3:V$98,"&gt;"&amp;AC93)+COUNTIFS($AK$3:$AK$98,$AK93,W$3:W$98,"&lt;"&amp;AD93,X$3:X$98,"&gt;"&amp;AC93)+COUNTIFS($AK$3:$AK$98,$AK93,Y$3:Y$98,"&lt;"&amp;AD93,Z$3:Z$98,"&gt;"&amp;AC93)+COUNTIFS($AK$3:$AK$98,$AK93,AA$3:AA$98,"&lt;"&amp;AD93,AB$3:AB$98,"&gt;"&amp;AC93)+COUNTIFS($AK$3:$AK$98,$AK93,AC$3:AC$98,"&lt;"&amp;AD93,AD$3:AD$98,"&gt;"&amp;AC93)+COUNTIFS($AK$3:$AK$98,$AK93,AE$3:AE$98,"&lt;"&amp;AD93,AF$3:AF$98,"&gt;"&amp;AC93)+COUNTIFS($AK$3:$AK$98,$AK93,AG$3:AG$98,"&lt;"&amp;AD93,AH$3:AH$98,"&gt;"&amp;AC93)-(AC93&lt;AD93))</f>
        <v>0</v>
      </c>
      <c r="BJ93">
        <f>BI93</f>
        <v>0</v>
      </c>
      <c r="BK93">
        <f>IF(OR($AK93="",AE93="",AF93=""),0,COUNTIFS($AK$3:$AK$98,$AK93,K$3:K$98,"&lt;"&amp;AF93,L$3:L$98,"&gt;"&amp;AE93)+COUNTIFS($AK$3:$AK$98,$AK93,M$3:M$98,"&lt;"&amp;AF93,N$3:N$98,"&gt;"&amp;AE93)+COUNTIFS($AK$3:$AK$98,$AK93,O$3:O$98,"&lt;"&amp;AF93,P$3:P$98,"&gt;"&amp;AE93)+COUNTIFS($AK$3:$AK$98,$AK93,Q$3:Q$98,"&lt;"&amp;AF93,R$3:R$98,"&gt;"&amp;AE93)+COUNTIFS($AK$3:$AK$98,$AK93,S$3:S$98,"&lt;"&amp;AF93,T$3:T$98,"&gt;"&amp;AE93)+COUNTIFS($AK$3:$AK$98,$AK93,U$3:U$98,"&lt;"&amp;AF93,V$3:V$98,"&gt;"&amp;AE93)+COUNTIFS($AK$3:$AK$98,$AK93,W$3:W$98,"&lt;"&amp;AF93,X$3:X$98,"&gt;"&amp;AE93)+COUNTIFS($AK$3:$AK$98,$AK93,Y$3:Y$98,"&lt;"&amp;AF93,Z$3:Z$98,"&gt;"&amp;AE93)+COUNTIFS($AK$3:$AK$98,$AK93,AA$3:AA$98,"&lt;"&amp;AF93,AB$3:AB$98,"&gt;"&amp;AE93)+COUNTIFS($AK$3:$AK$98,$AK93,AC$3:AC$98,"&lt;"&amp;AF93,AD$3:AD$98,"&gt;"&amp;AE93)+COUNTIFS($AK$3:$AK$98,$AK93,AE$3:AE$98,"&lt;"&amp;AF93,AF$3:AF$98,"&gt;"&amp;AE93)+COUNTIFS($AK$3:$AK$98,$AK93,AG$3:AG$98,"&lt;"&amp;AF93,AH$3:AH$98,"&gt;"&amp;AE93)-(AE93&lt;AF93))</f>
        <v>0</v>
      </c>
      <c r="BL93">
        <f>BK93</f>
        <v>0</v>
      </c>
      <c r="BM93">
        <f>IF(OR($AK93="",AG93="",AH93=""),0,COUNTIFS($AK$3:$AK$98,$AK93,K$3:K$98,"&lt;"&amp;AH93,L$3:L$98,"&gt;"&amp;AG93)+COUNTIFS($AK$3:$AK$98,$AK93,M$3:M$98,"&lt;"&amp;AH93,N$3:N$98,"&gt;"&amp;AG93)+COUNTIFS($AK$3:$AK$98,$AK93,O$3:O$98,"&lt;"&amp;AH93,P$3:P$98,"&gt;"&amp;AG93)+COUNTIFS($AK$3:$AK$98,$AK93,Q$3:Q$98,"&lt;"&amp;AH93,R$3:R$98,"&gt;"&amp;AG93)+COUNTIFS($AK$3:$AK$98,$AK93,S$3:S$98,"&lt;"&amp;AH93,T$3:T$98,"&gt;"&amp;AG93)+COUNTIFS($AK$3:$AK$98,$AK93,U$3:U$98,"&lt;"&amp;AH93,V$3:V$98,"&gt;"&amp;AG93)+COUNTIFS($AK$3:$AK$98,$AK93,W$3:W$98,"&lt;"&amp;AH93,X$3:X$98,"&gt;"&amp;AG93)+COUNTIFS($AK$3:$AK$98,$AK93,Y$3:Y$98,"&lt;"&amp;AH93,Z$3:Z$98,"&gt;"&amp;AG93)+COUNTIFS($AK$3:$AK$98,$AK93,AA$3:AA$98,"&lt;"&amp;AH93,AB$3:AB$98,"&gt;"&amp;AG93)+COUNTIFS($AK$3:$AK$98,$AK93,AC$3:AC$98,"&lt;"&amp;AH93,AD$3:AD$98,"&gt;"&amp;AG93)+COUNTIFS($AK$3:$AK$98,$AK93,AE$3:AE$98,"&lt;"&amp;AH93,AF$3:AF$98,"&gt;"&amp;AG93)+COUNTIFS($AK$3:$AK$98,$AK93,AG$3:AG$98,"&lt;"&amp;AH93,AH$3:AH$98,"&gt;"&amp;AG93)-(AG93&lt;AH93))</f>
        <v>0</v>
      </c>
      <c r="BN93">
        <f>BM93</f>
        <v>0</v>
      </c>
      <c r="BO93">
        <f>IF(ISNUMBER($G93),$G93,"")</f>
        <v>0</v>
      </c>
      <c r="BP93" t="str">
        <f>IF(AND($A93&lt;&gt;"",COUNT($K93:$AH93)&gt;0),ROW(),"")</f>
        <v/>
      </c>
    </row>
    <row r="94" spans="1:68" x14ac:dyDescent="0.15">
      <c r="A94" s="25" t="str">
        <f>IF($A91="","",$A91)</f>
        <v>chMobSaiyanJ</v>
      </c>
      <c r="B94" s="26" t="str">
        <f>IF($A91="","","fac")</f>
        <v>fac</v>
      </c>
      <c r="C94" s="26"/>
      <c r="D94" s="27">
        <v>4</v>
      </c>
      <c r="E94" s="28">
        <f>IF(AND($D94="",COUNT($K94:$AH94)=0),"",IF(K94="",0,MAX(0,NETWORKDAYS(K94,IF(L94&lt;&gt;"",L94,IF($J94&lt;&gt;"",K94,$AI$1)),祝日!$A$2:$A$200)))+IF(M94="",0,MAX(0,NETWORKDAYS(M94,IF(N94&lt;&gt;"",N94,IF($J94&lt;&gt;"",M94,$AI$1)),祝日!$A$2:$A$200)))+IF(O94="",0,MAX(0,NETWORKDAYS(O94,IF(P94&lt;&gt;"",P94,IF($J94&lt;&gt;"",O94,$AI$1)),祝日!$A$2:$A$200)))+IF(Q94="",0,MAX(0,NETWORKDAYS(Q94,IF(R94&lt;&gt;"",R94,IF($J94&lt;&gt;"",Q94,$AI$1)),祝日!$A$2:$A$200)))+IF(S94="",0,MAX(0,NETWORKDAYS(S94,IF(T94&lt;&gt;"",T94,IF($J94&lt;&gt;"",S94,$AI$1)),祝日!$A$2:$A$200)))+IF(U94="",0,MAX(0,NETWORKDAYS(U94,IF(V94&lt;&gt;"",V94,IF($J94&lt;&gt;"",U94,$AI$1)),祝日!$A$2:$A$200)))+IF(W94="",0,MAX(0,NETWORKDAYS(W94,IF(X94&lt;&gt;"",X94,IF($J94&lt;&gt;"",W94,$AI$1)),祝日!$A$2:$A$200)))+IF(Y94="",0,MAX(0,NETWORKDAYS(Y94,IF(Z94&lt;&gt;"",Z94,IF($J94&lt;&gt;"",Y94,$AI$1)),祝日!$A$2:$A$200)))+IF(AA94="",0,MAX(0,NETWORKDAYS(AA94,IF(AB94&lt;&gt;"",AB94,IF($J94&lt;&gt;"",AA94,$AI$1)),祝日!$A$2:$A$200)))+IF(AC94="",0,MAX(0,NETWORKDAYS(AC94,IF(AD94&lt;&gt;"",AD94,IF($J94&lt;&gt;"",AC94,$AI$1)),祝日!$A$2:$A$200)))+IF(AE94="",0,MAX(0,NETWORKDAYS(AE94,IF(AF94&lt;&gt;"",AF94,IF($J94&lt;&gt;"",AE94,$AI$1)),祝日!$A$2:$A$200)))+IF(AG94="",0,MAX(0,NETWORKDAYS(AG94,IF(AH94&lt;&gt;"",AH94,IF($J94&lt;&gt;"",AG94,$AI$1)),祝日!$A$2:$A$200))))</f>
        <v>0</v>
      </c>
      <c r="F94" s="28">
        <f>IF($D94="","",$D94-$E94)</f>
        <v>4</v>
      </c>
      <c r="G94" s="29">
        <f>IF(OR($D94="",$D94=0),"",$E94/$D94)</f>
        <v>0</v>
      </c>
      <c r="H94" s="30" t="str">
        <f>IF($D94="","",IF($J94&lt;&gt;"","FIX",IF(AND(SUMPRODUCT((MOD(COLUMN($K94:$AH94)-COLUMN($K94),2)=0)*($K94:$AH94&lt;&gt;""))=0,SUMPRODUCT((MOD(COLUMN($K94:$AH94)-COLUMN($K94),2)=1)*($K94:$AH94&lt;&gt;""))=0),"未着手",IF(SUMPRODUCT((MOD(COLUMN($K94:$AH94)-COLUMN($K94),2)=0)*($K94:$AH94&lt;&gt;""))&gt;SUMPRODUCT((MOD(COLUMN($K94:$AH94)-COLUMN($K94),2)=1)*($K94:$AH94&lt;&gt;"")),"作業中","中断"))))</f>
        <v>未着手</v>
      </c>
      <c r="I94" s="30" t="str">
        <f>IF($H94="中断",MAX(0,$AI$1-MAX(L94,N94,P94,R94,T94,V94,X94,Z94,AB94,AD94,AF94,AH94)),"")</f>
        <v/>
      </c>
      <c r="J94" s="26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K94" t="str">
        <f>IF($A91="","",IF(LOOKUP(2,1/($AJ$3:$AJ94&lt;&gt;""),$AJ$3:$AJ94)="-","",LOOKUP(2,1/($AJ$3:$AJ94&lt;&gt;""),$AJ$3:$AJ94)))</f>
        <v/>
      </c>
      <c r="AL94" t="str">
        <f>$H94</f>
        <v>未着手</v>
      </c>
      <c r="AM94">
        <f>IF(ISNUMBER($D94),$D94,0)</f>
        <v>4</v>
      </c>
      <c r="AN94">
        <f>IF(ISNUMBER($E94),$E94,0)</f>
        <v>0</v>
      </c>
      <c r="AO94">
        <f>IF(ISNUMBER($F94),$F94,0)</f>
        <v>4</v>
      </c>
      <c r="AQ94">
        <f>IF(OR($AK94="",K94="",L94=""),0,COUNTIFS($AK$3:$AK$98,$AK94,K$3:K$98,"&lt;"&amp;L94,L$3:L$98,"&gt;"&amp;K94)+COUNTIFS($AK$3:$AK$98,$AK94,M$3:M$98,"&lt;"&amp;L94,N$3:N$98,"&gt;"&amp;K94)+COUNTIFS($AK$3:$AK$98,$AK94,O$3:O$98,"&lt;"&amp;L94,P$3:P$98,"&gt;"&amp;K94)+COUNTIFS($AK$3:$AK$98,$AK94,Q$3:Q$98,"&lt;"&amp;L94,R$3:R$98,"&gt;"&amp;K94)+COUNTIFS($AK$3:$AK$98,$AK94,S$3:S$98,"&lt;"&amp;L94,T$3:T$98,"&gt;"&amp;K94)+COUNTIFS($AK$3:$AK$98,$AK94,U$3:U$98,"&lt;"&amp;L94,V$3:V$98,"&gt;"&amp;K94)+COUNTIFS($AK$3:$AK$98,$AK94,W$3:W$98,"&lt;"&amp;L94,X$3:X$98,"&gt;"&amp;K94)+COUNTIFS($AK$3:$AK$98,$AK94,Y$3:Y$98,"&lt;"&amp;L94,Z$3:Z$98,"&gt;"&amp;K94)+COUNTIFS($AK$3:$AK$98,$AK94,AA$3:AA$98,"&lt;"&amp;L94,AB$3:AB$98,"&gt;"&amp;K94)+COUNTIFS($AK$3:$AK$98,$AK94,AC$3:AC$98,"&lt;"&amp;L94,AD$3:AD$98,"&gt;"&amp;K94)+COUNTIFS($AK$3:$AK$98,$AK94,AE$3:AE$98,"&lt;"&amp;L94,AF$3:AF$98,"&gt;"&amp;K94)+COUNTIFS($AK$3:$AK$98,$AK94,AG$3:AG$98,"&lt;"&amp;L94,AH$3:AH$98,"&gt;"&amp;K94)-(K94&lt;L94))</f>
        <v>0</v>
      </c>
      <c r="AR94">
        <f>AQ94</f>
        <v>0</v>
      </c>
      <c r="AS94">
        <f>IF(OR($AK94="",M94="",N94=""),0,COUNTIFS($AK$3:$AK$98,$AK94,K$3:K$98,"&lt;"&amp;N94,L$3:L$98,"&gt;"&amp;M94)+COUNTIFS($AK$3:$AK$98,$AK94,M$3:M$98,"&lt;"&amp;N94,N$3:N$98,"&gt;"&amp;M94)+COUNTIFS($AK$3:$AK$98,$AK94,O$3:O$98,"&lt;"&amp;N94,P$3:P$98,"&gt;"&amp;M94)+COUNTIFS($AK$3:$AK$98,$AK94,Q$3:Q$98,"&lt;"&amp;N94,R$3:R$98,"&gt;"&amp;M94)+COUNTIFS($AK$3:$AK$98,$AK94,S$3:S$98,"&lt;"&amp;N94,T$3:T$98,"&gt;"&amp;M94)+COUNTIFS($AK$3:$AK$98,$AK94,U$3:U$98,"&lt;"&amp;N94,V$3:V$98,"&gt;"&amp;M94)+COUNTIFS($AK$3:$AK$98,$AK94,W$3:W$98,"&lt;"&amp;N94,X$3:X$98,"&gt;"&amp;M94)+COUNTIFS($AK$3:$AK$98,$AK94,Y$3:Y$98,"&lt;"&amp;N94,Z$3:Z$98,"&gt;"&amp;M94)+COUNTIFS($AK$3:$AK$98,$AK94,AA$3:AA$98,"&lt;"&amp;N94,AB$3:AB$98,"&gt;"&amp;M94)+COUNTIFS($AK$3:$AK$98,$AK94,AC$3:AC$98,"&lt;"&amp;N94,AD$3:AD$98,"&gt;"&amp;M94)+COUNTIFS($AK$3:$AK$98,$AK94,AE$3:AE$98,"&lt;"&amp;N94,AF$3:AF$98,"&gt;"&amp;M94)+COUNTIFS($AK$3:$AK$98,$AK94,AG$3:AG$98,"&lt;"&amp;N94,AH$3:AH$98,"&gt;"&amp;M94)-(M94&lt;N94))</f>
        <v>0</v>
      </c>
      <c r="AT94">
        <f>AS94</f>
        <v>0</v>
      </c>
      <c r="AU94">
        <f>IF(OR($AK94="",O94="",P94=""),0,COUNTIFS($AK$3:$AK$98,$AK94,K$3:K$98,"&lt;"&amp;P94,L$3:L$98,"&gt;"&amp;O94)+COUNTIFS($AK$3:$AK$98,$AK94,M$3:M$98,"&lt;"&amp;P94,N$3:N$98,"&gt;"&amp;O94)+COUNTIFS($AK$3:$AK$98,$AK94,O$3:O$98,"&lt;"&amp;P94,P$3:P$98,"&gt;"&amp;O94)+COUNTIFS($AK$3:$AK$98,$AK94,Q$3:Q$98,"&lt;"&amp;P94,R$3:R$98,"&gt;"&amp;O94)+COUNTIFS($AK$3:$AK$98,$AK94,S$3:S$98,"&lt;"&amp;P94,T$3:T$98,"&gt;"&amp;O94)+COUNTIFS($AK$3:$AK$98,$AK94,U$3:U$98,"&lt;"&amp;P94,V$3:V$98,"&gt;"&amp;O94)+COUNTIFS($AK$3:$AK$98,$AK94,W$3:W$98,"&lt;"&amp;P94,X$3:X$98,"&gt;"&amp;O94)+COUNTIFS($AK$3:$AK$98,$AK94,Y$3:Y$98,"&lt;"&amp;P94,Z$3:Z$98,"&gt;"&amp;O94)+COUNTIFS($AK$3:$AK$98,$AK94,AA$3:AA$98,"&lt;"&amp;P94,AB$3:AB$98,"&gt;"&amp;O94)+COUNTIFS($AK$3:$AK$98,$AK94,AC$3:AC$98,"&lt;"&amp;P94,AD$3:AD$98,"&gt;"&amp;O94)+COUNTIFS($AK$3:$AK$98,$AK94,AE$3:AE$98,"&lt;"&amp;P94,AF$3:AF$98,"&gt;"&amp;O94)+COUNTIFS($AK$3:$AK$98,$AK94,AG$3:AG$98,"&lt;"&amp;P94,AH$3:AH$98,"&gt;"&amp;O94)-(O94&lt;P94))</f>
        <v>0</v>
      </c>
      <c r="AV94">
        <f>AU94</f>
        <v>0</v>
      </c>
      <c r="AW94">
        <f>IF(OR($AK94="",Q94="",R94=""),0,COUNTIFS($AK$3:$AK$98,$AK94,K$3:K$98,"&lt;"&amp;R94,L$3:L$98,"&gt;"&amp;Q94)+COUNTIFS($AK$3:$AK$98,$AK94,M$3:M$98,"&lt;"&amp;R94,N$3:N$98,"&gt;"&amp;Q94)+COUNTIFS($AK$3:$AK$98,$AK94,O$3:O$98,"&lt;"&amp;R94,P$3:P$98,"&gt;"&amp;Q94)+COUNTIFS($AK$3:$AK$98,$AK94,Q$3:Q$98,"&lt;"&amp;R94,R$3:R$98,"&gt;"&amp;Q94)+COUNTIFS($AK$3:$AK$98,$AK94,S$3:S$98,"&lt;"&amp;R94,T$3:T$98,"&gt;"&amp;Q94)+COUNTIFS($AK$3:$AK$98,$AK94,U$3:U$98,"&lt;"&amp;R94,V$3:V$98,"&gt;"&amp;Q94)+COUNTIFS($AK$3:$AK$98,$AK94,W$3:W$98,"&lt;"&amp;R94,X$3:X$98,"&gt;"&amp;Q94)+COUNTIFS($AK$3:$AK$98,$AK94,Y$3:Y$98,"&lt;"&amp;R94,Z$3:Z$98,"&gt;"&amp;Q94)+COUNTIFS($AK$3:$AK$98,$AK94,AA$3:AA$98,"&lt;"&amp;R94,AB$3:AB$98,"&gt;"&amp;Q94)+COUNTIFS($AK$3:$AK$98,$AK94,AC$3:AC$98,"&lt;"&amp;R94,AD$3:AD$98,"&gt;"&amp;Q94)+COUNTIFS($AK$3:$AK$98,$AK94,AE$3:AE$98,"&lt;"&amp;R94,AF$3:AF$98,"&gt;"&amp;Q94)+COUNTIFS($AK$3:$AK$98,$AK94,AG$3:AG$98,"&lt;"&amp;R94,AH$3:AH$98,"&gt;"&amp;Q94)-(Q94&lt;R94))</f>
        <v>0</v>
      </c>
      <c r="AX94">
        <f>AW94</f>
        <v>0</v>
      </c>
      <c r="AY94">
        <f>IF(OR($AK94="",S94="",T94=""),0,COUNTIFS($AK$3:$AK$98,$AK94,K$3:K$98,"&lt;"&amp;T94,L$3:L$98,"&gt;"&amp;S94)+COUNTIFS($AK$3:$AK$98,$AK94,M$3:M$98,"&lt;"&amp;T94,N$3:N$98,"&gt;"&amp;S94)+COUNTIFS($AK$3:$AK$98,$AK94,O$3:O$98,"&lt;"&amp;T94,P$3:P$98,"&gt;"&amp;S94)+COUNTIFS($AK$3:$AK$98,$AK94,Q$3:Q$98,"&lt;"&amp;T94,R$3:R$98,"&gt;"&amp;S94)+COUNTIFS($AK$3:$AK$98,$AK94,S$3:S$98,"&lt;"&amp;T94,T$3:T$98,"&gt;"&amp;S94)+COUNTIFS($AK$3:$AK$98,$AK94,U$3:U$98,"&lt;"&amp;T94,V$3:V$98,"&gt;"&amp;S94)+COUNTIFS($AK$3:$AK$98,$AK94,W$3:W$98,"&lt;"&amp;T94,X$3:X$98,"&gt;"&amp;S94)+COUNTIFS($AK$3:$AK$98,$AK94,Y$3:Y$98,"&lt;"&amp;T94,Z$3:Z$98,"&gt;"&amp;S94)+COUNTIFS($AK$3:$AK$98,$AK94,AA$3:AA$98,"&lt;"&amp;T94,AB$3:AB$98,"&gt;"&amp;S94)+COUNTIFS($AK$3:$AK$98,$AK94,AC$3:AC$98,"&lt;"&amp;T94,AD$3:AD$98,"&gt;"&amp;S94)+COUNTIFS($AK$3:$AK$98,$AK94,AE$3:AE$98,"&lt;"&amp;T94,AF$3:AF$98,"&gt;"&amp;S94)+COUNTIFS($AK$3:$AK$98,$AK94,AG$3:AG$98,"&lt;"&amp;T94,AH$3:AH$98,"&gt;"&amp;S94)-(S94&lt;T94))</f>
        <v>0</v>
      </c>
      <c r="AZ94">
        <f>AY94</f>
        <v>0</v>
      </c>
      <c r="BA94">
        <f>IF(OR($AK94="",U94="",V94=""),0,COUNTIFS($AK$3:$AK$98,$AK94,K$3:K$98,"&lt;"&amp;V94,L$3:L$98,"&gt;"&amp;U94)+COUNTIFS($AK$3:$AK$98,$AK94,M$3:M$98,"&lt;"&amp;V94,N$3:N$98,"&gt;"&amp;U94)+COUNTIFS($AK$3:$AK$98,$AK94,O$3:O$98,"&lt;"&amp;V94,P$3:P$98,"&gt;"&amp;U94)+COUNTIFS($AK$3:$AK$98,$AK94,Q$3:Q$98,"&lt;"&amp;V94,R$3:R$98,"&gt;"&amp;U94)+COUNTIFS($AK$3:$AK$98,$AK94,S$3:S$98,"&lt;"&amp;V94,T$3:T$98,"&gt;"&amp;U94)+COUNTIFS($AK$3:$AK$98,$AK94,U$3:U$98,"&lt;"&amp;V94,V$3:V$98,"&gt;"&amp;U94)+COUNTIFS($AK$3:$AK$98,$AK94,W$3:W$98,"&lt;"&amp;V94,X$3:X$98,"&gt;"&amp;U94)+COUNTIFS($AK$3:$AK$98,$AK94,Y$3:Y$98,"&lt;"&amp;V94,Z$3:Z$98,"&gt;"&amp;U94)+COUNTIFS($AK$3:$AK$98,$AK94,AA$3:AA$98,"&lt;"&amp;V94,AB$3:AB$98,"&gt;"&amp;U94)+COUNTIFS($AK$3:$AK$98,$AK94,AC$3:AC$98,"&lt;"&amp;V94,AD$3:AD$98,"&gt;"&amp;U94)+COUNTIFS($AK$3:$AK$98,$AK94,AE$3:AE$98,"&lt;"&amp;V94,AF$3:AF$98,"&gt;"&amp;U94)+COUNTIFS($AK$3:$AK$98,$AK94,AG$3:AG$98,"&lt;"&amp;V94,AH$3:AH$98,"&gt;"&amp;U94)-(U94&lt;V94))</f>
        <v>0</v>
      </c>
      <c r="BB94">
        <f>BA94</f>
        <v>0</v>
      </c>
      <c r="BC94">
        <f>IF(OR($AK94="",W94="",X94=""),0,COUNTIFS($AK$3:$AK$98,$AK94,K$3:K$98,"&lt;"&amp;X94,L$3:L$98,"&gt;"&amp;W94)+COUNTIFS($AK$3:$AK$98,$AK94,M$3:M$98,"&lt;"&amp;X94,N$3:N$98,"&gt;"&amp;W94)+COUNTIFS($AK$3:$AK$98,$AK94,O$3:O$98,"&lt;"&amp;X94,P$3:P$98,"&gt;"&amp;W94)+COUNTIFS($AK$3:$AK$98,$AK94,Q$3:Q$98,"&lt;"&amp;X94,R$3:R$98,"&gt;"&amp;W94)+COUNTIFS($AK$3:$AK$98,$AK94,S$3:S$98,"&lt;"&amp;X94,T$3:T$98,"&gt;"&amp;W94)+COUNTIFS($AK$3:$AK$98,$AK94,U$3:U$98,"&lt;"&amp;X94,V$3:V$98,"&gt;"&amp;W94)+COUNTIFS($AK$3:$AK$98,$AK94,W$3:W$98,"&lt;"&amp;X94,X$3:X$98,"&gt;"&amp;W94)+COUNTIFS($AK$3:$AK$98,$AK94,Y$3:Y$98,"&lt;"&amp;X94,Z$3:Z$98,"&gt;"&amp;W94)+COUNTIFS($AK$3:$AK$98,$AK94,AA$3:AA$98,"&lt;"&amp;X94,AB$3:AB$98,"&gt;"&amp;W94)+COUNTIFS($AK$3:$AK$98,$AK94,AC$3:AC$98,"&lt;"&amp;X94,AD$3:AD$98,"&gt;"&amp;W94)+COUNTIFS($AK$3:$AK$98,$AK94,AE$3:AE$98,"&lt;"&amp;X94,AF$3:AF$98,"&gt;"&amp;W94)+COUNTIFS($AK$3:$AK$98,$AK94,AG$3:AG$98,"&lt;"&amp;X94,AH$3:AH$98,"&gt;"&amp;W94)-(W94&lt;X94))</f>
        <v>0</v>
      </c>
      <c r="BD94">
        <f>BC94</f>
        <v>0</v>
      </c>
      <c r="BE94">
        <f>IF(OR($AK94="",Y94="",Z94=""),0,COUNTIFS($AK$3:$AK$98,$AK94,K$3:K$98,"&lt;"&amp;Z94,L$3:L$98,"&gt;"&amp;Y94)+COUNTIFS($AK$3:$AK$98,$AK94,M$3:M$98,"&lt;"&amp;Z94,N$3:N$98,"&gt;"&amp;Y94)+COUNTIFS($AK$3:$AK$98,$AK94,O$3:O$98,"&lt;"&amp;Z94,P$3:P$98,"&gt;"&amp;Y94)+COUNTIFS($AK$3:$AK$98,$AK94,Q$3:Q$98,"&lt;"&amp;Z94,R$3:R$98,"&gt;"&amp;Y94)+COUNTIFS($AK$3:$AK$98,$AK94,S$3:S$98,"&lt;"&amp;Z94,T$3:T$98,"&gt;"&amp;Y94)+COUNTIFS($AK$3:$AK$98,$AK94,U$3:U$98,"&lt;"&amp;Z94,V$3:V$98,"&gt;"&amp;Y94)+COUNTIFS($AK$3:$AK$98,$AK94,W$3:W$98,"&lt;"&amp;Z94,X$3:X$98,"&gt;"&amp;Y94)+COUNTIFS($AK$3:$AK$98,$AK94,Y$3:Y$98,"&lt;"&amp;Z94,Z$3:Z$98,"&gt;"&amp;Y94)+COUNTIFS($AK$3:$AK$98,$AK94,AA$3:AA$98,"&lt;"&amp;Z94,AB$3:AB$98,"&gt;"&amp;Y94)+COUNTIFS($AK$3:$AK$98,$AK94,AC$3:AC$98,"&lt;"&amp;Z94,AD$3:AD$98,"&gt;"&amp;Y94)+COUNTIFS($AK$3:$AK$98,$AK94,AE$3:AE$98,"&lt;"&amp;Z94,AF$3:AF$98,"&gt;"&amp;Y94)+COUNTIFS($AK$3:$AK$98,$AK94,AG$3:AG$98,"&lt;"&amp;Z94,AH$3:AH$98,"&gt;"&amp;Y94)-(Y94&lt;Z94))</f>
        <v>0</v>
      </c>
      <c r="BF94">
        <f>BE94</f>
        <v>0</v>
      </c>
      <c r="BG94">
        <f>IF(OR($AK94="",AA94="",AB94=""),0,COUNTIFS($AK$3:$AK$98,$AK94,K$3:K$98,"&lt;"&amp;AB94,L$3:L$98,"&gt;"&amp;AA94)+COUNTIFS($AK$3:$AK$98,$AK94,M$3:M$98,"&lt;"&amp;AB94,N$3:N$98,"&gt;"&amp;AA94)+COUNTIFS($AK$3:$AK$98,$AK94,O$3:O$98,"&lt;"&amp;AB94,P$3:P$98,"&gt;"&amp;AA94)+COUNTIFS($AK$3:$AK$98,$AK94,Q$3:Q$98,"&lt;"&amp;AB94,R$3:R$98,"&gt;"&amp;AA94)+COUNTIFS($AK$3:$AK$98,$AK94,S$3:S$98,"&lt;"&amp;AB94,T$3:T$98,"&gt;"&amp;AA94)+COUNTIFS($AK$3:$AK$98,$AK94,U$3:U$98,"&lt;"&amp;AB94,V$3:V$98,"&gt;"&amp;AA94)+COUNTIFS($AK$3:$AK$98,$AK94,W$3:W$98,"&lt;"&amp;AB94,X$3:X$98,"&gt;"&amp;AA94)+COUNTIFS($AK$3:$AK$98,$AK94,Y$3:Y$98,"&lt;"&amp;AB94,Z$3:Z$98,"&gt;"&amp;AA94)+COUNTIFS($AK$3:$AK$98,$AK94,AA$3:AA$98,"&lt;"&amp;AB94,AB$3:AB$98,"&gt;"&amp;AA94)+COUNTIFS($AK$3:$AK$98,$AK94,AC$3:AC$98,"&lt;"&amp;AB94,AD$3:AD$98,"&gt;"&amp;AA94)+COUNTIFS($AK$3:$AK$98,$AK94,AE$3:AE$98,"&lt;"&amp;AB94,AF$3:AF$98,"&gt;"&amp;AA94)+COUNTIFS($AK$3:$AK$98,$AK94,AG$3:AG$98,"&lt;"&amp;AB94,AH$3:AH$98,"&gt;"&amp;AA94)-(AA94&lt;AB94))</f>
        <v>0</v>
      </c>
      <c r="BH94">
        <f>BG94</f>
        <v>0</v>
      </c>
      <c r="BI94">
        <f>IF(OR($AK94="",AC94="",AD94=""),0,COUNTIFS($AK$3:$AK$98,$AK94,K$3:K$98,"&lt;"&amp;AD94,L$3:L$98,"&gt;"&amp;AC94)+COUNTIFS($AK$3:$AK$98,$AK94,M$3:M$98,"&lt;"&amp;AD94,N$3:N$98,"&gt;"&amp;AC94)+COUNTIFS($AK$3:$AK$98,$AK94,O$3:O$98,"&lt;"&amp;AD94,P$3:P$98,"&gt;"&amp;AC94)+COUNTIFS($AK$3:$AK$98,$AK94,Q$3:Q$98,"&lt;"&amp;AD94,R$3:R$98,"&gt;"&amp;AC94)+COUNTIFS($AK$3:$AK$98,$AK94,S$3:S$98,"&lt;"&amp;AD94,T$3:T$98,"&gt;"&amp;AC94)+COUNTIFS($AK$3:$AK$98,$AK94,U$3:U$98,"&lt;"&amp;AD94,V$3:V$98,"&gt;"&amp;AC94)+COUNTIFS($AK$3:$AK$98,$AK94,W$3:W$98,"&lt;"&amp;AD94,X$3:X$98,"&gt;"&amp;AC94)+COUNTIFS($AK$3:$AK$98,$AK94,Y$3:Y$98,"&lt;"&amp;AD94,Z$3:Z$98,"&gt;"&amp;AC94)+COUNTIFS($AK$3:$AK$98,$AK94,AA$3:AA$98,"&lt;"&amp;AD94,AB$3:AB$98,"&gt;"&amp;AC94)+COUNTIFS($AK$3:$AK$98,$AK94,AC$3:AC$98,"&lt;"&amp;AD94,AD$3:AD$98,"&gt;"&amp;AC94)+COUNTIFS($AK$3:$AK$98,$AK94,AE$3:AE$98,"&lt;"&amp;AD94,AF$3:AF$98,"&gt;"&amp;AC94)+COUNTIFS($AK$3:$AK$98,$AK94,AG$3:AG$98,"&lt;"&amp;AD94,AH$3:AH$98,"&gt;"&amp;AC94)-(AC94&lt;AD94))</f>
        <v>0</v>
      </c>
      <c r="BJ94">
        <f>BI94</f>
        <v>0</v>
      </c>
      <c r="BK94">
        <f>IF(OR($AK94="",AE94="",AF94=""),0,COUNTIFS($AK$3:$AK$98,$AK94,K$3:K$98,"&lt;"&amp;AF94,L$3:L$98,"&gt;"&amp;AE94)+COUNTIFS($AK$3:$AK$98,$AK94,M$3:M$98,"&lt;"&amp;AF94,N$3:N$98,"&gt;"&amp;AE94)+COUNTIFS($AK$3:$AK$98,$AK94,O$3:O$98,"&lt;"&amp;AF94,P$3:P$98,"&gt;"&amp;AE94)+COUNTIFS($AK$3:$AK$98,$AK94,Q$3:Q$98,"&lt;"&amp;AF94,R$3:R$98,"&gt;"&amp;AE94)+COUNTIFS($AK$3:$AK$98,$AK94,S$3:S$98,"&lt;"&amp;AF94,T$3:T$98,"&gt;"&amp;AE94)+COUNTIFS($AK$3:$AK$98,$AK94,U$3:U$98,"&lt;"&amp;AF94,V$3:V$98,"&gt;"&amp;AE94)+COUNTIFS($AK$3:$AK$98,$AK94,W$3:W$98,"&lt;"&amp;AF94,X$3:X$98,"&gt;"&amp;AE94)+COUNTIFS($AK$3:$AK$98,$AK94,Y$3:Y$98,"&lt;"&amp;AF94,Z$3:Z$98,"&gt;"&amp;AE94)+COUNTIFS($AK$3:$AK$98,$AK94,AA$3:AA$98,"&lt;"&amp;AF94,AB$3:AB$98,"&gt;"&amp;AE94)+COUNTIFS($AK$3:$AK$98,$AK94,AC$3:AC$98,"&lt;"&amp;AF94,AD$3:AD$98,"&gt;"&amp;AE94)+COUNTIFS($AK$3:$AK$98,$AK94,AE$3:AE$98,"&lt;"&amp;AF94,AF$3:AF$98,"&gt;"&amp;AE94)+COUNTIFS($AK$3:$AK$98,$AK94,AG$3:AG$98,"&lt;"&amp;AF94,AH$3:AH$98,"&gt;"&amp;AE94)-(AE94&lt;AF94))</f>
        <v>0</v>
      </c>
      <c r="BL94">
        <f>BK94</f>
        <v>0</v>
      </c>
      <c r="BM94">
        <f>IF(OR($AK94="",AG94="",AH94=""),0,COUNTIFS($AK$3:$AK$98,$AK94,K$3:K$98,"&lt;"&amp;AH94,L$3:L$98,"&gt;"&amp;AG94)+COUNTIFS($AK$3:$AK$98,$AK94,M$3:M$98,"&lt;"&amp;AH94,N$3:N$98,"&gt;"&amp;AG94)+COUNTIFS($AK$3:$AK$98,$AK94,O$3:O$98,"&lt;"&amp;AH94,P$3:P$98,"&gt;"&amp;AG94)+COUNTIFS($AK$3:$AK$98,$AK94,Q$3:Q$98,"&lt;"&amp;AH94,R$3:R$98,"&gt;"&amp;AG94)+COUNTIFS($AK$3:$AK$98,$AK94,S$3:S$98,"&lt;"&amp;AH94,T$3:T$98,"&gt;"&amp;AG94)+COUNTIFS($AK$3:$AK$98,$AK94,U$3:U$98,"&lt;"&amp;AH94,V$3:V$98,"&gt;"&amp;AG94)+COUNTIFS($AK$3:$AK$98,$AK94,W$3:W$98,"&lt;"&amp;AH94,X$3:X$98,"&gt;"&amp;AG94)+COUNTIFS($AK$3:$AK$98,$AK94,Y$3:Y$98,"&lt;"&amp;AH94,Z$3:Z$98,"&gt;"&amp;AG94)+COUNTIFS($AK$3:$AK$98,$AK94,AA$3:AA$98,"&lt;"&amp;AH94,AB$3:AB$98,"&gt;"&amp;AG94)+COUNTIFS($AK$3:$AK$98,$AK94,AC$3:AC$98,"&lt;"&amp;AH94,AD$3:AD$98,"&gt;"&amp;AG94)+COUNTIFS($AK$3:$AK$98,$AK94,AE$3:AE$98,"&lt;"&amp;AH94,AF$3:AF$98,"&gt;"&amp;AG94)+COUNTIFS($AK$3:$AK$98,$AK94,AG$3:AG$98,"&lt;"&amp;AH94,AH$3:AH$98,"&gt;"&amp;AG94)-(AG94&lt;AH94))</f>
        <v>0</v>
      </c>
      <c r="BN94">
        <f>BM94</f>
        <v>0</v>
      </c>
      <c r="BO94">
        <f>IF(ISNUMBER($G94),$G94,"")</f>
        <v>0</v>
      </c>
      <c r="BP94" t="str">
        <f>IF(AND($A94&lt;&gt;"",COUNT($K94:$AH94)&gt;0),ROW(),"")</f>
        <v/>
      </c>
    </row>
    <row r="95" spans="1:68" x14ac:dyDescent="0.15">
      <c r="A95" s="13" t="s">
        <v>57</v>
      </c>
      <c r="B95" s="14" t="str">
        <f>IF($A95="","","total")</f>
        <v>total</v>
      </c>
      <c r="C95" s="14"/>
      <c r="D95" s="15">
        <f>IF($A95="","",SUM(D96:D98))</f>
        <v>17</v>
      </c>
      <c r="E95" s="15">
        <f>IF($A95="","",SUM(E96:E98))</f>
        <v>0</v>
      </c>
      <c r="F95" s="15">
        <f>IF($A95="","",D95-E95)</f>
        <v>17</v>
      </c>
      <c r="G95" s="16" t="str">
        <f>IF($A95="","",IFERROR(AVERAGEIFS(G96:G98,H96:H98,"&lt;&gt;未着手",H96:H98,"&lt;&gt;作業中"),""))</f>
        <v/>
      </c>
      <c r="H95" s="14"/>
      <c r="I95" s="14"/>
      <c r="J95" s="14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</row>
    <row r="96" spans="1:68" x14ac:dyDescent="0.15">
      <c r="A96" s="18" t="str">
        <f>IF($A95="","",$A95)</f>
        <v>chMobSaiyanI</v>
      </c>
      <c r="B96" s="19" t="str">
        <f>IF($A95="","","low")</f>
        <v>low</v>
      </c>
      <c r="C96" s="19"/>
      <c r="D96" s="20">
        <v>8</v>
      </c>
      <c r="E96" s="21">
        <f>IF(AND($D96="",COUNT($K96:$AH96)=0),"",IF(K96="",0,MAX(0,NETWORKDAYS(K96,IF(L96&lt;&gt;"",L96,IF($J96&lt;&gt;"",K96,$AI$1)),祝日!$A$2:$A$200)))+IF(M96="",0,MAX(0,NETWORKDAYS(M96,IF(N96&lt;&gt;"",N96,IF($J96&lt;&gt;"",M96,$AI$1)),祝日!$A$2:$A$200)))+IF(O96="",0,MAX(0,NETWORKDAYS(O96,IF(P96&lt;&gt;"",P96,IF($J96&lt;&gt;"",O96,$AI$1)),祝日!$A$2:$A$200)))+IF(Q96="",0,MAX(0,NETWORKDAYS(Q96,IF(R96&lt;&gt;"",R96,IF($J96&lt;&gt;"",Q96,$AI$1)),祝日!$A$2:$A$200)))+IF(S96="",0,MAX(0,NETWORKDAYS(S96,IF(T96&lt;&gt;"",T96,IF($J96&lt;&gt;"",S96,$AI$1)),祝日!$A$2:$A$200)))+IF(U96="",0,MAX(0,NETWORKDAYS(U96,IF(V96&lt;&gt;"",V96,IF($J96&lt;&gt;"",U96,$AI$1)),祝日!$A$2:$A$200)))+IF(W96="",0,MAX(0,NETWORKDAYS(W96,IF(X96&lt;&gt;"",X96,IF($J96&lt;&gt;"",W96,$AI$1)),祝日!$A$2:$A$200)))+IF(Y96="",0,MAX(0,NETWORKDAYS(Y96,IF(Z96&lt;&gt;"",Z96,IF($J96&lt;&gt;"",Y96,$AI$1)),祝日!$A$2:$A$200)))+IF(AA96="",0,MAX(0,NETWORKDAYS(AA96,IF(AB96&lt;&gt;"",AB96,IF($J96&lt;&gt;"",AA96,$AI$1)),祝日!$A$2:$A$200)))+IF(AC96="",0,MAX(0,NETWORKDAYS(AC96,IF(AD96&lt;&gt;"",AD96,IF($J96&lt;&gt;"",AC96,$AI$1)),祝日!$A$2:$A$200)))+IF(AE96="",0,MAX(0,NETWORKDAYS(AE96,IF(AF96&lt;&gt;"",AF96,IF($J96&lt;&gt;"",AE96,$AI$1)),祝日!$A$2:$A$200)))+IF(AG96="",0,MAX(0,NETWORKDAYS(AG96,IF(AH96&lt;&gt;"",AH96,IF($J96&lt;&gt;"",AG96,$AI$1)),祝日!$A$2:$A$200))))</f>
        <v>0</v>
      </c>
      <c r="F96" s="21">
        <f>IF($D96="","",$D96-$E96)</f>
        <v>8</v>
      </c>
      <c r="G96" s="22">
        <f>IF(OR($D96="",$D96=0),"",$E96/$D96)</f>
        <v>0</v>
      </c>
      <c r="H96" s="23" t="str">
        <f>IF($D96="","",IF($J96&lt;&gt;"","FIX",IF(AND(SUMPRODUCT((MOD(COLUMN($K96:$AH96)-COLUMN($K96),2)=0)*($K96:$AH96&lt;&gt;""))=0,SUMPRODUCT((MOD(COLUMN($K96:$AH96)-COLUMN($K96),2)=1)*($K96:$AH96&lt;&gt;""))=0),"未着手",IF(SUMPRODUCT((MOD(COLUMN($K96:$AH96)-COLUMN($K96),2)=0)*($K96:$AH96&lt;&gt;""))&gt;SUMPRODUCT((MOD(COLUMN($K96:$AH96)-COLUMN($K96),2)=1)*($K96:$AH96&lt;&gt;"")),"作業中","中断"))))</f>
        <v>未着手</v>
      </c>
      <c r="I96" s="23" t="str">
        <f>IF($H96="中断",MAX(0,$AI$1-MAX(L96,N96,P96,R96,T96,V96,X96,Z96,AB96,AD96,AF96,AH96)),"")</f>
        <v/>
      </c>
      <c r="J96" s="19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K96" t="str">
        <f>IF($A95="","",IF(LOOKUP(2,1/($AJ$3:$AJ96&lt;&gt;""),$AJ$3:$AJ96)="-","",LOOKUP(2,1/($AJ$3:$AJ96&lt;&gt;""),$AJ$3:$AJ96)))</f>
        <v/>
      </c>
      <c r="AL96" t="str">
        <f>$H96</f>
        <v>未着手</v>
      </c>
      <c r="AM96">
        <f>IF(ISNUMBER($D96),$D96,0)</f>
        <v>8</v>
      </c>
      <c r="AN96">
        <f>IF(ISNUMBER($E96),$E96,0)</f>
        <v>0</v>
      </c>
      <c r="AO96">
        <f>IF(ISNUMBER($F96),$F96,0)</f>
        <v>8</v>
      </c>
      <c r="AQ96">
        <f>IF(OR($AK96="",K96="",L96=""),0,COUNTIFS($AK$3:$AK$98,$AK96,K$3:K$98,"&lt;"&amp;L96,L$3:L$98,"&gt;"&amp;K96)+COUNTIFS($AK$3:$AK$98,$AK96,M$3:M$98,"&lt;"&amp;L96,N$3:N$98,"&gt;"&amp;K96)+COUNTIFS($AK$3:$AK$98,$AK96,O$3:O$98,"&lt;"&amp;L96,P$3:P$98,"&gt;"&amp;K96)+COUNTIFS($AK$3:$AK$98,$AK96,Q$3:Q$98,"&lt;"&amp;L96,R$3:R$98,"&gt;"&amp;K96)+COUNTIFS($AK$3:$AK$98,$AK96,S$3:S$98,"&lt;"&amp;L96,T$3:T$98,"&gt;"&amp;K96)+COUNTIFS($AK$3:$AK$98,$AK96,U$3:U$98,"&lt;"&amp;L96,V$3:V$98,"&gt;"&amp;K96)+COUNTIFS($AK$3:$AK$98,$AK96,W$3:W$98,"&lt;"&amp;L96,X$3:X$98,"&gt;"&amp;K96)+COUNTIFS($AK$3:$AK$98,$AK96,Y$3:Y$98,"&lt;"&amp;L96,Z$3:Z$98,"&gt;"&amp;K96)+COUNTIFS($AK$3:$AK$98,$AK96,AA$3:AA$98,"&lt;"&amp;L96,AB$3:AB$98,"&gt;"&amp;K96)+COUNTIFS($AK$3:$AK$98,$AK96,AC$3:AC$98,"&lt;"&amp;L96,AD$3:AD$98,"&gt;"&amp;K96)+COUNTIFS($AK$3:$AK$98,$AK96,AE$3:AE$98,"&lt;"&amp;L96,AF$3:AF$98,"&gt;"&amp;K96)+COUNTIFS($AK$3:$AK$98,$AK96,AG$3:AG$98,"&lt;"&amp;L96,AH$3:AH$98,"&gt;"&amp;K96)-(K96&lt;L96))</f>
        <v>0</v>
      </c>
      <c r="AR96">
        <f>AQ96</f>
        <v>0</v>
      </c>
      <c r="AS96">
        <f>IF(OR($AK96="",M96="",N96=""),0,COUNTIFS($AK$3:$AK$98,$AK96,K$3:K$98,"&lt;"&amp;N96,L$3:L$98,"&gt;"&amp;M96)+COUNTIFS($AK$3:$AK$98,$AK96,M$3:M$98,"&lt;"&amp;N96,N$3:N$98,"&gt;"&amp;M96)+COUNTIFS($AK$3:$AK$98,$AK96,O$3:O$98,"&lt;"&amp;N96,P$3:P$98,"&gt;"&amp;M96)+COUNTIFS($AK$3:$AK$98,$AK96,Q$3:Q$98,"&lt;"&amp;N96,R$3:R$98,"&gt;"&amp;M96)+COUNTIFS($AK$3:$AK$98,$AK96,S$3:S$98,"&lt;"&amp;N96,T$3:T$98,"&gt;"&amp;M96)+COUNTIFS($AK$3:$AK$98,$AK96,U$3:U$98,"&lt;"&amp;N96,V$3:V$98,"&gt;"&amp;M96)+COUNTIFS($AK$3:$AK$98,$AK96,W$3:W$98,"&lt;"&amp;N96,X$3:X$98,"&gt;"&amp;M96)+COUNTIFS($AK$3:$AK$98,$AK96,Y$3:Y$98,"&lt;"&amp;N96,Z$3:Z$98,"&gt;"&amp;M96)+COUNTIFS($AK$3:$AK$98,$AK96,AA$3:AA$98,"&lt;"&amp;N96,AB$3:AB$98,"&gt;"&amp;M96)+COUNTIFS($AK$3:$AK$98,$AK96,AC$3:AC$98,"&lt;"&amp;N96,AD$3:AD$98,"&gt;"&amp;M96)+COUNTIFS($AK$3:$AK$98,$AK96,AE$3:AE$98,"&lt;"&amp;N96,AF$3:AF$98,"&gt;"&amp;M96)+COUNTIFS($AK$3:$AK$98,$AK96,AG$3:AG$98,"&lt;"&amp;N96,AH$3:AH$98,"&gt;"&amp;M96)-(M96&lt;N96))</f>
        <v>0</v>
      </c>
      <c r="AT96">
        <f>AS96</f>
        <v>0</v>
      </c>
      <c r="AU96">
        <f>IF(OR($AK96="",O96="",P96=""),0,COUNTIFS($AK$3:$AK$98,$AK96,K$3:K$98,"&lt;"&amp;P96,L$3:L$98,"&gt;"&amp;O96)+COUNTIFS($AK$3:$AK$98,$AK96,M$3:M$98,"&lt;"&amp;P96,N$3:N$98,"&gt;"&amp;O96)+COUNTIFS($AK$3:$AK$98,$AK96,O$3:O$98,"&lt;"&amp;P96,P$3:P$98,"&gt;"&amp;O96)+COUNTIFS($AK$3:$AK$98,$AK96,Q$3:Q$98,"&lt;"&amp;P96,R$3:R$98,"&gt;"&amp;O96)+COUNTIFS($AK$3:$AK$98,$AK96,S$3:S$98,"&lt;"&amp;P96,T$3:T$98,"&gt;"&amp;O96)+COUNTIFS($AK$3:$AK$98,$AK96,U$3:U$98,"&lt;"&amp;P96,V$3:V$98,"&gt;"&amp;O96)+COUNTIFS($AK$3:$AK$98,$AK96,W$3:W$98,"&lt;"&amp;P96,X$3:X$98,"&gt;"&amp;O96)+COUNTIFS($AK$3:$AK$98,$AK96,Y$3:Y$98,"&lt;"&amp;P96,Z$3:Z$98,"&gt;"&amp;O96)+COUNTIFS($AK$3:$AK$98,$AK96,AA$3:AA$98,"&lt;"&amp;P96,AB$3:AB$98,"&gt;"&amp;O96)+COUNTIFS($AK$3:$AK$98,$AK96,AC$3:AC$98,"&lt;"&amp;P96,AD$3:AD$98,"&gt;"&amp;O96)+COUNTIFS($AK$3:$AK$98,$AK96,AE$3:AE$98,"&lt;"&amp;P96,AF$3:AF$98,"&gt;"&amp;O96)+COUNTIFS($AK$3:$AK$98,$AK96,AG$3:AG$98,"&lt;"&amp;P96,AH$3:AH$98,"&gt;"&amp;O96)-(O96&lt;P96))</f>
        <v>0</v>
      </c>
      <c r="AV96">
        <f>AU96</f>
        <v>0</v>
      </c>
      <c r="AW96">
        <f>IF(OR($AK96="",Q96="",R96=""),0,COUNTIFS($AK$3:$AK$98,$AK96,K$3:K$98,"&lt;"&amp;R96,L$3:L$98,"&gt;"&amp;Q96)+COUNTIFS($AK$3:$AK$98,$AK96,M$3:M$98,"&lt;"&amp;R96,N$3:N$98,"&gt;"&amp;Q96)+COUNTIFS($AK$3:$AK$98,$AK96,O$3:O$98,"&lt;"&amp;R96,P$3:P$98,"&gt;"&amp;Q96)+COUNTIFS($AK$3:$AK$98,$AK96,Q$3:Q$98,"&lt;"&amp;R96,R$3:R$98,"&gt;"&amp;Q96)+COUNTIFS($AK$3:$AK$98,$AK96,S$3:S$98,"&lt;"&amp;R96,T$3:T$98,"&gt;"&amp;Q96)+COUNTIFS($AK$3:$AK$98,$AK96,U$3:U$98,"&lt;"&amp;R96,V$3:V$98,"&gt;"&amp;Q96)+COUNTIFS($AK$3:$AK$98,$AK96,W$3:W$98,"&lt;"&amp;R96,X$3:X$98,"&gt;"&amp;Q96)+COUNTIFS($AK$3:$AK$98,$AK96,Y$3:Y$98,"&lt;"&amp;R96,Z$3:Z$98,"&gt;"&amp;Q96)+COUNTIFS($AK$3:$AK$98,$AK96,AA$3:AA$98,"&lt;"&amp;R96,AB$3:AB$98,"&gt;"&amp;Q96)+COUNTIFS($AK$3:$AK$98,$AK96,AC$3:AC$98,"&lt;"&amp;R96,AD$3:AD$98,"&gt;"&amp;Q96)+COUNTIFS($AK$3:$AK$98,$AK96,AE$3:AE$98,"&lt;"&amp;R96,AF$3:AF$98,"&gt;"&amp;Q96)+COUNTIFS($AK$3:$AK$98,$AK96,AG$3:AG$98,"&lt;"&amp;R96,AH$3:AH$98,"&gt;"&amp;Q96)-(Q96&lt;R96))</f>
        <v>0</v>
      </c>
      <c r="AX96">
        <f>AW96</f>
        <v>0</v>
      </c>
      <c r="AY96">
        <f>IF(OR($AK96="",S96="",T96=""),0,COUNTIFS($AK$3:$AK$98,$AK96,K$3:K$98,"&lt;"&amp;T96,L$3:L$98,"&gt;"&amp;S96)+COUNTIFS($AK$3:$AK$98,$AK96,M$3:M$98,"&lt;"&amp;T96,N$3:N$98,"&gt;"&amp;S96)+COUNTIFS($AK$3:$AK$98,$AK96,O$3:O$98,"&lt;"&amp;T96,P$3:P$98,"&gt;"&amp;S96)+COUNTIFS($AK$3:$AK$98,$AK96,Q$3:Q$98,"&lt;"&amp;T96,R$3:R$98,"&gt;"&amp;S96)+COUNTIFS($AK$3:$AK$98,$AK96,S$3:S$98,"&lt;"&amp;T96,T$3:T$98,"&gt;"&amp;S96)+COUNTIFS($AK$3:$AK$98,$AK96,U$3:U$98,"&lt;"&amp;T96,V$3:V$98,"&gt;"&amp;S96)+COUNTIFS($AK$3:$AK$98,$AK96,W$3:W$98,"&lt;"&amp;T96,X$3:X$98,"&gt;"&amp;S96)+COUNTIFS($AK$3:$AK$98,$AK96,Y$3:Y$98,"&lt;"&amp;T96,Z$3:Z$98,"&gt;"&amp;S96)+COUNTIFS($AK$3:$AK$98,$AK96,AA$3:AA$98,"&lt;"&amp;T96,AB$3:AB$98,"&gt;"&amp;S96)+COUNTIFS($AK$3:$AK$98,$AK96,AC$3:AC$98,"&lt;"&amp;T96,AD$3:AD$98,"&gt;"&amp;S96)+COUNTIFS($AK$3:$AK$98,$AK96,AE$3:AE$98,"&lt;"&amp;T96,AF$3:AF$98,"&gt;"&amp;S96)+COUNTIFS($AK$3:$AK$98,$AK96,AG$3:AG$98,"&lt;"&amp;T96,AH$3:AH$98,"&gt;"&amp;S96)-(S96&lt;T96))</f>
        <v>0</v>
      </c>
      <c r="AZ96">
        <f>AY96</f>
        <v>0</v>
      </c>
      <c r="BA96">
        <f>IF(OR($AK96="",U96="",V96=""),0,COUNTIFS($AK$3:$AK$98,$AK96,K$3:K$98,"&lt;"&amp;V96,L$3:L$98,"&gt;"&amp;U96)+COUNTIFS($AK$3:$AK$98,$AK96,M$3:M$98,"&lt;"&amp;V96,N$3:N$98,"&gt;"&amp;U96)+COUNTIFS($AK$3:$AK$98,$AK96,O$3:O$98,"&lt;"&amp;V96,P$3:P$98,"&gt;"&amp;U96)+COUNTIFS($AK$3:$AK$98,$AK96,Q$3:Q$98,"&lt;"&amp;V96,R$3:R$98,"&gt;"&amp;U96)+COUNTIFS($AK$3:$AK$98,$AK96,S$3:S$98,"&lt;"&amp;V96,T$3:T$98,"&gt;"&amp;U96)+COUNTIFS($AK$3:$AK$98,$AK96,U$3:U$98,"&lt;"&amp;V96,V$3:V$98,"&gt;"&amp;U96)+COUNTIFS($AK$3:$AK$98,$AK96,W$3:W$98,"&lt;"&amp;V96,X$3:X$98,"&gt;"&amp;U96)+COUNTIFS($AK$3:$AK$98,$AK96,Y$3:Y$98,"&lt;"&amp;V96,Z$3:Z$98,"&gt;"&amp;U96)+COUNTIFS($AK$3:$AK$98,$AK96,AA$3:AA$98,"&lt;"&amp;V96,AB$3:AB$98,"&gt;"&amp;U96)+COUNTIFS($AK$3:$AK$98,$AK96,AC$3:AC$98,"&lt;"&amp;V96,AD$3:AD$98,"&gt;"&amp;U96)+COUNTIFS($AK$3:$AK$98,$AK96,AE$3:AE$98,"&lt;"&amp;V96,AF$3:AF$98,"&gt;"&amp;U96)+COUNTIFS($AK$3:$AK$98,$AK96,AG$3:AG$98,"&lt;"&amp;V96,AH$3:AH$98,"&gt;"&amp;U96)-(U96&lt;V96))</f>
        <v>0</v>
      </c>
      <c r="BB96">
        <f>BA96</f>
        <v>0</v>
      </c>
      <c r="BC96">
        <f>IF(OR($AK96="",W96="",X96=""),0,COUNTIFS($AK$3:$AK$98,$AK96,K$3:K$98,"&lt;"&amp;X96,L$3:L$98,"&gt;"&amp;W96)+COUNTIFS($AK$3:$AK$98,$AK96,M$3:M$98,"&lt;"&amp;X96,N$3:N$98,"&gt;"&amp;W96)+COUNTIFS($AK$3:$AK$98,$AK96,O$3:O$98,"&lt;"&amp;X96,P$3:P$98,"&gt;"&amp;W96)+COUNTIFS($AK$3:$AK$98,$AK96,Q$3:Q$98,"&lt;"&amp;X96,R$3:R$98,"&gt;"&amp;W96)+COUNTIFS($AK$3:$AK$98,$AK96,S$3:S$98,"&lt;"&amp;X96,T$3:T$98,"&gt;"&amp;W96)+COUNTIFS($AK$3:$AK$98,$AK96,U$3:U$98,"&lt;"&amp;X96,V$3:V$98,"&gt;"&amp;W96)+COUNTIFS($AK$3:$AK$98,$AK96,W$3:W$98,"&lt;"&amp;X96,X$3:X$98,"&gt;"&amp;W96)+COUNTIFS($AK$3:$AK$98,$AK96,Y$3:Y$98,"&lt;"&amp;X96,Z$3:Z$98,"&gt;"&amp;W96)+COUNTIFS($AK$3:$AK$98,$AK96,AA$3:AA$98,"&lt;"&amp;X96,AB$3:AB$98,"&gt;"&amp;W96)+COUNTIFS($AK$3:$AK$98,$AK96,AC$3:AC$98,"&lt;"&amp;X96,AD$3:AD$98,"&gt;"&amp;W96)+COUNTIFS($AK$3:$AK$98,$AK96,AE$3:AE$98,"&lt;"&amp;X96,AF$3:AF$98,"&gt;"&amp;W96)+COUNTIFS($AK$3:$AK$98,$AK96,AG$3:AG$98,"&lt;"&amp;X96,AH$3:AH$98,"&gt;"&amp;W96)-(W96&lt;X96))</f>
        <v>0</v>
      </c>
      <c r="BD96">
        <f>BC96</f>
        <v>0</v>
      </c>
      <c r="BE96">
        <f>IF(OR($AK96="",Y96="",Z96=""),0,COUNTIFS($AK$3:$AK$98,$AK96,K$3:K$98,"&lt;"&amp;Z96,L$3:L$98,"&gt;"&amp;Y96)+COUNTIFS($AK$3:$AK$98,$AK96,M$3:M$98,"&lt;"&amp;Z96,N$3:N$98,"&gt;"&amp;Y96)+COUNTIFS($AK$3:$AK$98,$AK96,O$3:O$98,"&lt;"&amp;Z96,P$3:P$98,"&gt;"&amp;Y96)+COUNTIFS($AK$3:$AK$98,$AK96,Q$3:Q$98,"&lt;"&amp;Z96,R$3:R$98,"&gt;"&amp;Y96)+COUNTIFS($AK$3:$AK$98,$AK96,S$3:S$98,"&lt;"&amp;Z96,T$3:T$98,"&gt;"&amp;Y96)+COUNTIFS($AK$3:$AK$98,$AK96,U$3:U$98,"&lt;"&amp;Z96,V$3:V$98,"&gt;"&amp;Y96)+COUNTIFS($AK$3:$AK$98,$AK96,W$3:W$98,"&lt;"&amp;Z96,X$3:X$98,"&gt;"&amp;Y96)+COUNTIFS($AK$3:$AK$98,$AK96,Y$3:Y$98,"&lt;"&amp;Z96,Z$3:Z$98,"&gt;"&amp;Y96)+COUNTIFS($AK$3:$AK$98,$AK96,AA$3:AA$98,"&lt;"&amp;Z96,AB$3:AB$98,"&gt;"&amp;Y96)+COUNTIFS($AK$3:$AK$98,$AK96,AC$3:AC$98,"&lt;"&amp;Z96,AD$3:AD$98,"&gt;"&amp;Y96)+COUNTIFS($AK$3:$AK$98,$AK96,AE$3:AE$98,"&lt;"&amp;Z96,AF$3:AF$98,"&gt;"&amp;Y96)+COUNTIFS($AK$3:$AK$98,$AK96,AG$3:AG$98,"&lt;"&amp;Z96,AH$3:AH$98,"&gt;"&amp;Y96)-(Y96&lt;Z96))</f>
        <v>0</v>
      </c>
      <c r="BF96">
        <f>BE96</f>
        <v>0</v>
      </c>
      <c r="BG96">
        <f>IF(OR($AK96="",AA96="",AB96=""),0,COUNTIFS($AK$3:$AK$98,$AK96,K$3:K$98,"&lt;"&amp;AB96,L$3:L$98,"&gt;"&amp;AA96)+COUNTIFS($AK$3:$AK$98,$AK96,M$3:M$98,"&lt;"&amp;AB96,N$3:N$98,"&gt;"&amp;AA96)+COUNTIFS($AK$3:$AK$98,$AK96,O$3:O$98,"&lt;"&amp;AB96,P$3:P$98,"&gt;"&amp;AA96)+COUNTIFS($AK$3:$AK$98,$AK96,Q$3:Q$98,"&lt;"&amp;AB96,R$3:R$98,"&gt;"&amp;AA96)+COUNTIFS($AK$3:$AK$98,$AK96,S$3:S$98,"&lt;"&amp;AB96,T$3:T$98,"&gt;"&amp;AA96)+COUNTIFS($AK$3:$AK$98,$AK96,U$3:U$98,"&lt;"&amp;AB96,V$3:V$98,"&gt;"&amp;AA96)+COUNTIFS($AK$3:$AK$98,$AK96,W$3:W$98,"&lt;"&amp;AB96,X$3:X$98,"&gt;"&amp;AA96)+COUNTIFS($AK$3:$AK$98,$AK96,Y$3:Y$98,"&lt;"&amp;AB96,Z$3:Z$98,"&gt;"&amp;AA96)+COUNTIFS($AK$3:$AK$98,$AK96,AA$3:AA$98,"&lt;"&amp;AB96,AB$3:AB$98,"&gt;"&amp;AA96)+COUNTIFS($AK$3:$AK$98,$AK96,AC$3:AC$98,"&lt;"&amp;AB96,AD$3:AD$98,"&gt;"&amp;AA96)+COUNTIFS($AK$3:$AK$98,$AK96,AE$3:AE$98,"&lt;"&amp;AB96,AF$3:AF$98,"&gt;"&amp;AA96)+COUNTIFS($AK$3:$AK$98,$AK96,AG$3:AG$98,"&lt;"&amp;AB96,AH$3:AH$98,"&gt;"&amp;AA96)-(AA96&lt;AB96))</f>
        <v>0</v>
      </c>
      <c r="BH96">
        <f>BG96</f>
        <v>0</v>
      </c>
      <c r="BI96">
        <f>IF(OR($AK96="",AC96="",AD96=""),0,COUNTIFS($AK$3:$AK$98,$AK96,K$3:K$98,"&lt;"&amp;AD96,L$3:L$98,"&gt;"&amp;AC96)+COUNTIFS($AK$3:$AK$98,$AK96,M$3:M$98,"&lt;"&amp;AD96,N$3:N$98,"&gt;"&amp;AC96)+COUNTIFS($AK$3:$AK$98,$AK96,O$3:O$98,"&lt;"&amp;AD96,P$3:P$98,"&gt;"&amp;AC96)+COUNTIFS($AK$3:$AK$98,$AK96,Q$3:Q$98,"&lt;"&amp;AD96,R$3:R$98,"&gt;"&amp;AC96)+COUNTIFS($AK$3:$AK$98,$AK96,S$3:S$98,"&lt;"&amp;AD96,T$3:T$98,"&gt;"&amp;AC96)+COUNTIFS($AK$3:$AK$98,$AK96,U$3:U$98,"&lt;"&amp;AD96,V$3:V$98,"&gt;"&amp;AC96)+COUNTIFS($AK$3:$AK$98,$AK96,W$3:W$98,"&lt;"&amp;AD96,X$3:X$98,"&gt;"&amp;AC96)+COUNTIFS($AK$3:$AK$98,$AK96,Y$3:Y$98,"&lt;"&amp;AD96,Z$3:Z$98,"&gt;"&amp;AC96)+COUNTIFS($AK$3:$AK$98,$AK96,AA$3:AA$98,"&lt;"&amp;AD96,AB$3:AB$98,"&gt;"&amp;AC96)+COUNTIFS($AK$3:$AK$98,$AK96,AC$3:AC$98,"&lt;"&amp;AD96,AD$3:AD$98,"&gt;"&amp;AC96)+COUNTIFS($AK$3:$AK$98,$AK96,AE$3:AE$98,"&lt;"&amp;AD96,AF$3:AF$98,"&gt;"&amp;AC96)+COUNTIFS($AK$3:$AK$98,$AK96,AG$3:AG$98,"&lt;"&amp;AD96,AH$3:AH$98,"&gt;"&amp;AC96)-(AC96&lt;AD96))</f>
        <v>0</v>
      </c>
      <c r="BJ96">
        <f>BI96</f>
        <v>0</v>
      </c>
      <c r="BK96">
        <f>IF(OR($AK96="",AE96="",AF96=""),0,COUNTIFS($AK$3:$AK$98,$AK96,K$3:K$98,"&lt;"&amp;AF96,L$3:L$98,"&gt;"&amp;AE96)+COUNTIFS($AK$3:$AK$98,$AK96,M$3:M$98,"&lt;"&amp;AF96,N$3:N$98,"&gt;"&amp;AE96)+COUNTIFS($AK$3:$AK$98,$AK96,O$3:O$98,"&lt;"&amp;AF96,P$3:P$98,"&gt;"&amp;AE96)+COUNTIFS($AK$3:$AK$98,$AK96,Q$3:Q$98,"&lt;"&amp;AF96,R$3:R$98,"&gt;"&amp;AE96)+COUNTIFS($AK$3:$AK$98,$AK96,S$3:S$98,"&lt;"&amp;AF96,T$3:T$98,"&gt;"&amp;AE96)+COUNTIFS($AK$3:$AK$98,$AK96,U$3:U$98,"&lt;"&amp;AF96,V$3:V$98,"&gt;"&amp;AE96)+COUNTIFS($AK$3:$AK$98,$AK96,W$3:W$98,"&lt;"&amp;AF96,X$3:X$98,"&gt;"&amp;AE96)+COUNTIFS($AK$3:$AK$98,$AK96,Y$3:Y$98,"&lt;"&amp;AF96,Z$3:Z$98,"&gt;"&amp;AE96)+COUNTIFS($AK$3:$AK$98,$AK96,AA$3:AA$98,"&lt;"&amp;AF96,AB$3:AB$98,"&gt;"&amp;AE96)+COUNTIFS($AK$3:$AK$98,$AK96,AC$3:AC$98,"&lt;"&amp;AF96,AD$3:AD$98,"&gt;"&amp;AE96)+COUNTIFS($AK$3:$AK$98,$AK96,AE$3:AE$98,"&lt;"&amp;AF96,AF$3:AF$98,"&gt;"&amp;AE96)+COUNTIFS($AK$3:$AK$98,$AK96,AG$3:AG$98,"&lt;"&amp;AF96,AH$3:AH$98,"&gt;"&amp;AE96)-(AE96&lt;AF96))</f>
        <v>0</v>
      </c>
      <c r="BL96">
        <f>BK96</f>
        <v>0</v>
      </c>
      <c r="BM96">
        <f>IF(OR($AK96="",AG96="",AH96=""),0,COUNTIFS($AK$3:$AK$98,$AK96,K$3:K$98,"&lt;"&amp;AH96,L$3:L$98,"&gt;"&amp;AG96)+COUNTIFS($AK$3:$AK$98,$AK96,M$3:M$98,"&lt;"&amp;AH96,N$3:N$98,"&gt;"&amp;AG96)+COUNTIFS($AK$3:$AK$98,$AK96,O$3:O$98,"&lt;"&amp;AH96,P$3:P$98,"&gt;"&amp;AG96)+COUNTIFS($AK$3:$AK$98,$AK96,Q$3:Q$98,"&lt;"&amp;AH96,R$3:R$98,"&gt;"&amp;AG96)+COUNTIFS($AK$3:$AK$98,$AK96,S$3:S$98,"&lt;"&amp;AH96,T$3:T$98,"&gt;"&amp;AG96)+COUNTIFS($AK$3:$AK$98,$AK96,U$3:U$98,"&lt;"&amp;AH96,V$3:V$98,"&gt;"&amp;AG96)+COUNTIFS($AK$3:$AK$98,$AK96,W$3:W$98,"&lt;"&amp;AH96,X$3:X$98,"&gt;"&amp;AG96)+COUNTIFS($AK$3:$AK$98,$AK96,Y$3:Y$98,"&lt;"&amp;AH96,Z$3:Z$98,"&gt;"&amp;AG96)+COUNTIFS($AK$3:$AK$98,$AK96,AA$3:AA$98,"&lt;"&amp;AH96,AB$3:AB$98,"&gt;"&amp;AG96)+COUNTIFS($AK$3:$AK$98,$AK96,AC$3:AC$98,"&lt;"&amp;AH96,AD$3:AD$98,"&gt;"&amp;AG96)+COUNTIFS($AK$3:$AK$98,$AK96,AE$3:AE$98,"&lt;"&amp;AH96,AF$3:AF$98,"&gt;"&amp;AG96)+COUNTIFS($AK$3:$AK$98,$AK96,AG$3:AG$98,"&lt;"&amp;AH96,AH$3:AH$98,"&gt;"&amp;AG96)-(AG96&lt;AH96))</f>
        <v>0</v>
      </c>
      <c r="BN96">
        <f>BM96</f>
        <v>0</v>
      </c>
      <c r="BO96">
        <f>IF(ISNUMBER($G96),$G96,"")</f>
        <v>0</v>
      </c>
      <c r="BP96" t="str">
        <f>IF(AND($A96&lt;&gt;"",COUNT($K96:$AH96)&gt;0),ROW(),"")</f>
        <v/>
      </c>
    </row>
    <row r="97" spans="1:68" x14ac:dyDescent="0.15">
      <c r="A97" s="18" t="str">
        <f>IF($A95="","",$A95)</f>
        <v>chMobSaiyanI</v>
      </c>
      <c r="B97" s="19" t="str">
        <f>IF($A95="","","high")</f>
        <v>high</v>
      </c>
      <c r="C97" s="19"/>
      <c r="D97" s="20">
        <v>5</v>
      </c>
      <c r="E97" s="21">
        <f>IF(AND($D97="",COUNT($K97:$AH97)=0),"",IF(K97="",0,MAX(0,NETWORKDAYS(K97,IF(L97&lt;&gt;"",L97,IF($J97&lt;&gt;"",K97,$AI$1)),祝日!$A$2:$A$200)))+IF(M97="",0,MAX(0,NETWORKDAYS(M97,IF(N97&lt;&gt;"",N97,IF($J97&lt;&gt;"",M97,$AI$1)),祝日!$A$2:$A$200)))+IF(O97="",0,MAX(0,NETWORKDAYS(O97,IF(P97&lt;&gt;"",P97,IF($J97&lt;&gt;"",O97,$AI$1)),祝日!$A$2:$A$200)))+IF(Q97="",0,MAX(0,NETWORKDAYS(Q97,IF(R97&lt;&gt;"",R97,IF($J97&lt;&gt;"",Q97,$AI$1)),祝日!$A$2:$A$200)))+IF(S97="",0,MAX(0,NETWORKDAYS(S97,IF(T97&lt;&gt;"",T97,IF($J97&lt;&gt;"",S97,$AI$1)),祝日!$A$2:$A$200)))+IF(U97="",0,MAX(0,NETWORKDAYS(U97,IF(V97&lt;&gt;"",V97,IF($J97&lt;&gt;"",U97,$AI$1)),祝日!$A$2:$A$200)))+IF(W97="",0,MAX(0,NETWORKDAYS(W97,IF(X97&lt;&gt;"",X97,IF($J97&lt;&gt;"",W97,$AI$1)),祝日!$A$2:$A$200)))+IF(Y97="",0,MAX(0,NETWORKDAYS(Y97,IF(Z97&lt;&gt;"",Z97,IF($J97&lt;&gt;"",Y97,$AI$1)),祝日!$A$2:$A$200)))+IF(AA97="",0,MAX(0,NETWORKDAYS(AA97,IF(AB97&lt;&gt;"",AB97,IF($J97&lt;&gt;"",AA97,$AI$1)),祝日!$A$2:$A$200)))+IF(AC97="",0,MAX(0,NETWORKDAYS(AC97,IF(AD97&lt;&gt;"",AD97,IF($J97&lt;&gt;"",AC97,$AI$1)),祝日!$A$2:$A$200)))+IF(AE97="",0,MAX(0,NETWORKDAYS(AE97,IF(AF97&lt;&gt;"",AF97,IF($J97&lt;&gt;"",AE97,$AI$1)),祝日!$A$2:$A$200)))+IF(AG97="",0,MAX(0,NETWORKDAYS(AG97,IF(AH97&lt;&gt;"",AH97,IF($J97&lt;&gt;"",AG97,$AI$1)),祝日!$A$2:$A$200))))</f>
        <v>0</v>
      </c>
      <c r="F97" s="21">
        <f>IF($D97="","",$D97-$E97)</f>
        <v>5</v>
      </c>
      <c r="G97" s="22">
        <f>IF(OR($D97="",$D97=0),"",$E97/$D97)</f>
        <v>0</v>
      </c>
      <c r="H97" s="23" t="str">
        <f>IF($D97="","",IF($J97&lt;&gt;"","FIX",IF(AND(SUMPRODUCT((MOD(COLUMN($K97:$AH97)-COLUMN($K97),2)=0)*($K97:$AH97&lt;&gt;""))=0,SUMPRODUCT((MOD(COLUMN($K97:$AH97)-COLUMN($K97),2)=1)*($K97:$AH97&lt;&gt;""))=0),"未着手",IF(SUMPRODUCT((MOD(COLUMN($K97:$AH97)-COLUMN($K97),2)=0)*($K97:$AH97&lt;&gt;""))&gt;SUMPRODUCT((MOD(COLUMN($K97:$AH97)-COLUMN($K97),2)=1)*($K97:$AH97&lt;&gt;"")),"作業中","中断"))))</f>
        <v>未着手</v>
      </c>
      <c r="I97" s="23" t="str">
        <f>IF($H97="中断",MAX(0,$AI$1-MAX(L97,N97,P97,R97,T97,V97,X97,Z97,AB97,AD97,AF97,AH97)),"")</f>
        <v/>
      </c>
      <c r="J97" s="19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K97" t="str">
        <f>IF($A95="","",IF(LOOKUP(2,1/($AJ$3:$AJ97&lt;&gt;""),$AJ$3:$AJ97)="-","",LOOKUP(2,1/($AJ$3:$AJ97&lt;&gt;""),$AJ$3:$AJ97)))</f>
        <v/>
      </c>
      <c r="AL97" t="str">
        <f>$H97</f>
        <v>未着手</v>
      </c>
      <c r="AM97">
        <f>IF(ISNUMBER($D97),$D97,0)</f>
        <v>5</v>
      </c>
      <c r="AN97">
        <f>IF(ISNUMBER($E97),$E97,0)</f>
        <v>0</v>
      </c>
      <c r="AO97">
        <f>IF(ISNUMBER($F97),$F97,0)</f>
        <v>5</v>
      </c>
      <c r="AQ97">
        <f>IF(OR($AK97="",K97="",L97=""),0,COUNTIFS($AK$3:$AK$98,$AK97,K$3:K$98,"&lt;"&amp;L97,L$3:L$98,"&gt;"&amp;K97)+COUNTIFS($AK$3:$AK$98,$AK97,M$3:M$98,"&lt;"&amp;L97,N$3:N$98,"&gt;"&amp;K97)+COUNTIFS($AK$3:$AK$98,$AK97,O$3:O$98,"&lt;"&amp;L97,P$3:P$98,"&gt;"&amp;K97)+COUNTIFS($AK$3:$AK$98,$AK97,Q$3:Q$98,"&lt;"&amp;L97,R$3:R$98,"&gt;"&amp;K97)+COUNTIFS($AK$3:$AK$98,$AK97,S$3:S$98,"&lt;"&amp;L97,T$3:T$98,"&gt;"&amp;K97)+COUNTIFS($AK$3:$AK$98,$AK97,U$3:U$98,"&lt;"&amp;L97,V$3:V$98,"&gt;"&amp;K97)+COUNTIFS($AK$3:$AK$98,$AK97,W$3:W$98,"&lt;"&amp;L97,X$3:X$98,"&gt;"&amp;K97)+COUNTIFS($AK$3:$AK$98,$AK97,Y$3:Y$98,"&lt;"&amp;L97,Z$3:Z$98,"&gt;"&amp;K97)+COUNTIFS($AK$3:$AK$98,$AK97,AA$3:AA$98,"&lt;"&amp;L97,AB$3:AB$98,"&gt;"&amp;K97)+COUNTIFS($AK$3:$AK$98,$AK97,AC$3:AC$98,"&lt;"&amp;L97,AD$3:AD$98,"&gt;"&amp;K97)+COUNTIFS($AK$3:$AK$98,$AK97,AE$3:AE$98,"&lt;"&amp;L97,AF$3:AF$98,"&gt;"&amp;K97)+COUNTIFS($AK$3:$AK$98,$AK97,AG$3:AG$98,"&lt;"&amp;L97,AH$3:AH$98,"&gt;"&amp;K97)-(K97&lt;L97))</f>
        <v>0</v>
      </c>
      <c r="AR97">
        <f>AQ97</f>
        <v>0</v>
      </c>
      <c r="AS97">
        <f>IF(OR($AK97="",M97="",N97=""),0,COUNTIFS($AK$3:$AK$98,$AK97,K$3:K$98,"&lt;"&amp;N97,L$3:L$98,"&gt;"&amp;M97)+COUNTIFS($AK$3:$AK$98,$AK97,M$3:M$98,"&lt;"&amp;N97,N$3:N$98,"&gt;"&amp;M97)+COUNTIFS($AK$3:$AK$98,$AK97,O$3:O$98,"&lt;"&amp;N97,P$3:P$98,"&gt;"&amp;M97)+COUNTIFS($AK$3:$AK$98,$AK97,Q$3:Q$98,"&lt;"&amp;N97,R$3:R$98,"&gt;"&amp;M97)+COUNTIFS($AK$3:$AK$98,$AK97,S$3:S$98,"&lt;"&amp;N97,T$3:T$98,"&gt;"&amp;M97)+COUNTIFS($AK$3:$AK$98,$AK97,U$3:U$98,"&lt;"&amp;N97,V$3:V$98,"&gt;"&amp;M97)+COUNTIFS($AK$3:$AK$98,$AK97,W$3:W$98,"&lt;"&amp;N97,X$3:X$98,"&gt;"&amp;M97)+COUNTIFS($AK$3:$AK$98,$AK97,Y$3:Y$98,"&lt;"&amp;N97,Z$3:Z$98,"&gt;"&amp;M97)+COUNTIFS($AK$3:$AK$98,$AK97,AA$3:AA$98,"&lt;"&amp;N97,AB$3:AB$98,"&gt;"&amp;M97)+COUNTIFS($AK$3:$AK$98,$AK97,AC$3:AC$98,"&lt;"&amp;N97,AD$3:AD$98,"&gt;"&amp;M97)+COUNTIFS($AK$3:$AK$98,$AK97,AE$3:AE$98,"&lt;"&amp;N97,AF$3:AF$98,"&gt;"&amp;M97)+COUNTIFS($AK$3:$AK$98,$AK97,AG$3:AG$98,"&lt;"&amp;N97,AH$3:AH$98,"&gt;"&amp;M97)-(M97&lt;N97))</f>
        <v>0</v>
      </c>
      <c r="AT97">
        <f>AS97</f>
        <v>0</v>
      </c>
      <c r="AU97">
        <f>IF(OR($AK97="",O97="",P97=""),0,COUNTIFS($AK$3:$AK$98,$AK97,K$3:K$98,"&lt;"&amp;P97,L$3:L$98,"&gt;"&amp;O97)+COUNTIFS($AK$3:$AK$98,$AK97,M$3:M$98,"&lt;"&amp;P97,N$3:N$98,"&gt;"&amp;O97)+COUNTIFS($AK$3:$AK$98,$AK97,O$3:O$98,"&lt;"&amp;P97,P$3:P$98,"&gt;"&amp;O97)+COUNTIFS($AK$3:$AK$98,$AK97,Q$3:Q$98,"&lt;"&amp;P97,R$3:R$98,"&gt;"&amp;O97)+COUNTIFS($AK$3:$AK$98,$AK97,S$3:S$98,"&lt;"&amp;P97,T$3:T$98,"&gt;"&amp;O97)+COUNTIFS($AK$3:$AK$98,$AK97,U$3:U$98,"&lt;"&amp;P97,V$3:V$98,"&gt;"&amp;O97)+COUNTIFS($AK$3:$AK$98,$AK97,W$3:W$98,"&lt;"&amp;P97,X$3:X$98,"&gt;"&amp;O97)+COUNTIFS($AK$3:$AK$98,$AK97,Y$3:Y$98,"&lt;"&amp;P97,Z$3:Z$98,"&gt;"&amp;O97)+COUNTIFS($AK$3:$AK$98,$AK97,AA$3:AA$98,"&lt;"&amp;P97,AB$3:AB$98,"&gt;"&amp;O97)+COUNTIFS($AK$3:$AK$98,$AK97,AC$3:AC$98,"&lt;"&amp;P97,AD$3:AD$98,"&gt;"&amp;O97)+COUNTIFS($AK$3:$AK$98,$AK97,AE$3:AE$98,"&lt;"&amp;P97,AF$3:AF$98,"&gt;"&amp;O97)+COUNTIFS($AK$3:$AK$98,$AK97,AG$3:AG$98,"&lt;"&amp;P97,AH$3:AH$98,"&gt;"&amp;O97)-(O97&lt;P97))</f>
        <v>0</v>
      </c>
      <c r="AV97">
        <f>AU97</f>
        <v>0</v>
      </c>
      <c r="AW97">
        <f>IF(OR($AK97="",Q97="",R97=""),0,COUNTIFS($AK$3:$AK$98,$AK97,K$3:K$98,"&lt;"&amp;R97,L$3:L$98,"&gt;"&amp;Q97)+COUNTIFS($AK$3:$AK$98,$AK97,M$3:M$98,"&lt;"&amp;R97,N$3:N$98,"&gt;"&amp;Q97)+COUNTIFS($AK$3:$AK$98,$AK97,O$3:O$98,"&lt;"&amp;R97,P$3:P$98,"&gt;"&amp;Q97)+COUNTIFS($AK$3:$AK$98,$AK97,Q$3:Q$98,"&lt;"&amp;R97,R$3:R$98,"&gt;"&amp;Q97)+COUNTIFS($AK$3:$AK$98,$AK97,S$3:S$98,"&lt;"&amp;R97,T$3:T$98,"&gt;"&amp;Q97)+COUNTIFS($AK$3:$AK$98,$AK97,U$3:U$98,"&lt;"&amp;R97,V$3:V$98,"&gt;"&amp;Q97)+COUNTIFS($AK$3:$AK$98,$AK97,W$3:W$98,"&lt;"&amp;R97,X$3:X$98,"&gt;"&amp;Q97)+COUNTIFS($AK$3:$AK$98,$AK97,Y$3:Y$98,"&lt;"&amp;R97,Z$3:Z$98,"&gt;"&amp;Q97)+COUNTIFS($AK$3:$AK$98,$AK97,AA$3:AA$98,"&lt;"&amp;R97,AB$3:AB$98,"&gt;"&amp;Q97)+COUNTIFS($AK$3:$AK$98,$AK97,AC$3:AC$98,"&lt;"&amp;R97,AD$3:AD$98,"&gt;"&amp;Q97)+COUNTIFS($AK$3:$AK$98,$AK97,AE$3:AE$98,"&lt;"&amp;R97,AF$3:AF$98,"&gt;"&amp;Q97)+COUNTIFS($AK$3:$AK$98,$AK97,AG$3:AG$98,"&lt;"&amp;R97,AH$3:AH$98,"&gt;"&amp;Q97)-(Q97&lt;R97))</f>
        <v>0</v>
      </c>
      <c r="AX97">
        <f>AW97</f>
        <v>0</v>
      </c>
      <c r="AY97">
        <f>IF(OR($AK97="",S97="",T97=""),0,COUNTIFS($AK$3:$AK$98,$AK97,K$3:K$98,"&lt;"&amp;T97,L$3:L$98,"&gt;"&amp;S97)+COUNTIFS($AK$3:$AK$98,$AK97,M$3:M$98,"&lt;"&amp;T97,N$3:N$98,"&gt;"&amp;S97)+COUNTIFS($AK$3:$AK$98,$AK97,O$3:O$98,"&lt;"&amp;T97,P$3:P$98,"&gt;"&amp;S97)+COUNTIFS($AK$3:$AK$98,$AK97,Q$3:Q$98,"&lt;"&amp;T97,R$3:R$98,"&gt;"&amp;S97)+COUNTIFS($AK$3:$AK$98,$AK97,S$3:S$98,"&lt;"&amp;T97,T$3:T$98,"&gt;"&amp;S97)+COUNTIFS($AK$3:$AK$98,$AK97,U$3:U$98,"&lt;"&amp;T97,V$3:V$98,"&gt;"&amp;S97)+COUNTIFS($AK$3:$AK$98,$AK97,W$3:W$98,"&lt;"&amp;T97,X$3:X$98,"&gt;"&amp;S97)+COUNTIFS($AK$3:$AK$98,$AK97,Y$3:Y$98,"&lt;"&amp;T97,Z$3:Z$98,"&gt;"&amp;S97)+COUNTIFS($AK$3:$AK$98,$AK97,AA$3:AA$98,"&lt;"&amp;T97,AB$3:AB$98,"&gt;"&amp;S97)+COUNTIFS($AK$3:$AK$98,$AK97,AC$3:AC$98,"&lt;"&amp;T97,AD$3:AD$98,"&gt;"&amp;S97)+COUNTIFS($AK$3:$AK$98,$AK97,AE$3:AE$98,"&lt;"&amp;T97,AF$3:AF$98,"&gt;"&amp;S97)+COUNTIFS($AK$3:$AK$98,$AK97,AG$3:AG$98,"&lt;"&amp;T97,AH$3:AH$98,"&gt;"&amp;S97)-(S97&lt;T97))</f>
        <v>0</v>
      </c>
      <c r="AZ97">
        <f>AY97</f>
        <v>0</v>
      </c>
      <c r="BA97">
        <f>IF(OR($AK97="",U97="",V97=""),0,COUNTIFS($AK$3:$AK$98,$AK97,K$3:K$98,"&lt;"&amp;V97,L$3:L$98,"&gt;"&amp;U97)+COUNTIFS($AK$3:$AK$98,$AK97,M$3:M$98,"&lt;"&amp;V97,N$3:N$98,"&gt;"&amp;U97)+COUNTIFS($AK$3:$AK$98,$AK97,O$3:O$98,"&lt;"&amp;V97,P$3:P$98,"&gt;"&amp;U97)+COUNTIFS($AK$3:$AK$98,$AK97,Q$3:Q$98,"&lt;"&amp;V97,R$3:R$98,"&gt;"&amp;U97)+COUNTIFS($AK$3:$AK$98,$AK97,S$3:S$98,"&lt;"&amp;V97,T$3:T$98,"&gt;"&amp;U97)+COUNTIFS($AK$3:$AK$98,$AK97,U$3:U$98,"&lt;"&amp;V97,V$3:V$98,"&gt;"&amp;U97)+COUNTIFS($AK$3:$AK$98,$AK97,W$3:W$98,"&lt;"&amp;V97,X$3:X$98,"&gt;"&amp;U97)+COUNTIFS($AK$3:$AK$98,$AK97,Y$3:Y$98,"&lt;"&amp;V97,Z$3:Z$98,"&gt;"&amp;U97)+COUNTIFS($AK$3:$AK$98,$AK97,AA$3:AA$98,"&lt;"&amp;V97,AB$3:AB$98,"&gt;"&amp;U97)+COUNTIFS($AK$3:$AK$98,$AK97,AC$3:AC$98,"&lt;"&amp;V97,AD$3:AD$98,"&gt;"&amp;U97)+COUNTIFS($AK$3:$AK$98,$AK97,AE$3:AE$98,"&lt;"&amp;V97,AF$3:AF$98,"&gt;"&amp;U97)+COUNTIFS($AK$3:$AK$98,$AK97,AG$3:AG$98,"&lt;"&amp;V97,AH$3:AH$98,"&gt;"&amp;U97)-(U97&lt;V97))</f>
        <v>0</v>
      </c>
      <c r="BB97">
        <f>BA97</f>
        <v>0</v>
      </c>
      <c r="BC97">
        <f>IF(OR($AK97="",W97="",X97=""),0,COUNTIFS($AK$3:$AK$98,$AK97,K$3:K$98,"&lt;"&amp;X97,L$3:L$98,"&gt;"&amp;W97)+COUNTIFS($AK$3:$AK$98,$AK97,M$3:M$98,"&lt;"&amp;X97,N$3:N$98,"&gt;"&amp;W97)+COUNTIFS($AK$3:$AK$98,$AK97,O$3:O$98,"&lt;"&amp;X97,P$3:P$98,"&gt;"&amp;W97)+COUNTIFS($AK$3:$AK$98,$AK97,Q$3:Q$98,"&lt;"&amp;X97,R$3:R$98,"&gt;"&amp;W97)+COUNTIFS($AK$3:$AK$98,$AK97,S$3:S$98,"&lt;"&amp;X97,T$3:T$98,"&gt;"&amp;W97)+COUNTIFS($AK$3:$AK$98,$AK97,U$3:U$98,"&lt;"&amp;X97,V$3:V$98,"&gt;"&amp;W97)+COUNTIFS($AK$3:$AK$98,$AK97,W$3:W$98,"&lt;"&amp;X97,X$3:X$98,"&gt;"&amp;W97)+COUNTIFS($AK$3:$AK$98,$AK97,Y$3:Y$98,"&lt;"&amp;X97,Z$3:Z$98,"&gt;"&amp;W97)+COUNTIFS($AK$3:$AK$98,$AK97,AA$3:AA$98,"&lt;"&amp;X97,AB$3:AB$98,"&gt;"&amp;W97)+COUNTIFS($AK$3:$AK$98,$AK97,AC$3:AC$98,"&lt;"&amp;X97,AD$3:AD$98,"&gt;"&amp;W97)+COUNTIFS($AK$3:$AK$98,$AK97,AE$3:AE$98,"&lt;"&amp;X97,AF$3:AF$98,"&gt;"&amp;W97)+COUNTIFS($AK$3:$AK$98,$AK97,AG$3:AG$98,"&lt;"&amp;X97,AH$3:AH$98,"&gt;"&amp;W97)-(W97&lt;X97))</f>
        <v>0</v>
      </c>
      <c r="BD97">
        <f>BC97</f>
        <v>0</v>
      </c>
      <c r="BE97">
        <f>IF(OR($AK97="",Y97="",Z97=""),0,COUNTIFS($AK$3:$AK$98,$AK97,K$3:K$98,"&lt;"&amp;Z97,L$3:L$98,"&gt;"&amp;Y97)+COUNTIFS($AK$3:$AK$98,$AK97,M$3:M$98,"&lt;"&amp;Z97,N$3:N$98,"&gt;"&amp;Y97)+COUNTIFS($AK$3:$AK$98,$AK97,O$3:O$98,"&lt;"&amp;Z97,P$3:P$98,"&gt;"&amp;Y97)+COUNTIFS($AK$3:$AK$98,$AK97,Q$3:Q$98,"&lt;"&amp;Z97,R$3:R$98,"&gt;"&amp;Y97)+COUNTIFS($AK$3:$AK$98,$AK97,S$3:S$98,"&lt;"&amp;Z97,T$3:T$98,"&gt;"&amp;Y97)+COUNTIFS($AK$3:$AK$98,$AK97,U$3:U$98,"&lt;"&amp;Z97,V$3:V$98,"&gt;"&amp;Y97)+COUNTIFS($AK$3:$AK$98,$AK97,W$3:W$98,"&lt;"&amp;Z97,X$3:X$98,"&gt;"&amp;Y97)+COUNTIFS($AK$3:$AK$98,$AK97,Y$3:Y$98,"&lt;"&amp;Z97,Z$3:Z$98,"&gt;"&amp;Y97)+COUNTIFS($AK$3:$AK$98,$AK97,AA$3:AA$98,"&lt;"&amp;Z97,AB$3:AB$98,"&gt;"&amp;Y97)+COUNTIFS($AK$3:$AK$98,$AK97,AC$3:AC$98,"&lt;"&amp;Z97,AD$3:AD$98,"&gt;"&amp;Y97)+COUNTIFS($AK$3:$AK$98,$AK97,AE$3:AE$98,"&lt;"&amp;Z97,AF$3:AF$98,"&gt;"&amp;Y97)+COUNTIFS($AK$3:$AK$98,$AK97,AG$3:AG$98,"&lt;"&amp;Z97,AH$3:AH$98,"&gt;"&amp;Y97)-(Y97&lt;Z97))</f>
        <v>0</v>
      </c>
      <c r="BF97">
        <f>BE97</f>
        <v>0</v>
      </c>
      <c r="BG97">
        <f>IF(OR($AK97="",AA97="",AB97=""),0,COUNTIFS($AK$3:$AK$98,$AK97,K$3:K$98,"&lt;"&amp;AB97,L$3:L$98,"&gt;"&amp;AA97)+COUNTIFS($AK$3:$AK$98,$AK97,M$3:M$98,"&lt;"&amp;AB97,N$3:N$98,"&gt;"&amp;AA97)+COUNTIFS($AK$3:$AK$98,$AK97,O$3:O$98,"&lt;"&amp;AB97,P$3:P$98,"&gt;"&amp;AA97)+COUNTIFS($AK$3:$AK$98,$AK97,Q$3:Q$98,"&lt;"&amp;AB97,R$3:R$98,"&gt;"&amp;AA97)+COUNTIFS($AK$3:$AK$98,$AK97,S$3:S$98,"&lt;"&amp;AB97,T$3:T$98,"&gt;"&amp;AA97)+COUNTIFS($AK$3:$AK$98,$AK97,U$3:U$98,"&lt;"&amp;AB97,V$3:V$98,"&gt;"&amp;AA97)+COUNTIFS($AK$3:$AK$98,$AK97,W$3:W$98,"&lt;"&amp;AB97,X$3:X$98,"&gt;"&amp;AA97)+COUNTIFS($AK$3:$AK$98,$AK97,Y$3:Y$98,"&lt;"&amp;AB97,Z$3:Z$98,"&gt;"&amp;AA97)+COUNTIFS($AK$3:$AK$98,$AK97,AA$3:AA$98,"&lt;"&amp;AB97,AB$3:AB$98,"&gt;"&amp;AA97)+COUNTIFS($AK$3:$AK$98,$AK97,AC$3:AC$98,"&lt;"&amp;AB97,AD$3:AD$98,"&gt;"&amp;AA97)+COUNTIFS($AK$3:$AK$98,$AK97,AE$3:AE$98,"&lt;"&amp;AB97,AF$3:AF$98,"&gt;"&amp;AA97)+COUNTIFS($AK$3:$AK$98,$AK97,AG$3:AG$98,"&lt;"&amp;AB97,AH$3:AH$98,"&gt;"&amp;AA97)-(AA97&lt;AB97))</f>
        <v>0</v>
      </c>
      <c r="BH97">
        <f>BG97</f>
        <v>0</v>
      </c>
      <c r="BI97">
        <f>IF(OR($AK97="",AC97="",AD97=""),0,COUNTIFS($AK$3:$AK$98,$AK97,K$3:K$98,"&lt;"&amp;AD97,L$3:L$98,"&gt;"&amp;AC97)+COUNTIFS($AK$3:$AK$98,$AK97,M$3:M$98,"&lt;"&amp;AD97,N$3:N$98,"&gt;"&amp;AC97)+COUNTIFS($AK$3:$AK$98,$AK97,O$3:O$98,"&lt;"&amp;AD97,P$3:P$98,"&gt;"&amp;AC97)+COUNTIFS($AK$3:$AK$98,$AK97,Q$3:Q$98,"&lt;"&amp;AD97,R$3:R$98,"&gt;"&amp;AC97)+COUNTIFS($AK$3:$AK$98,$AK97,S$3:S$98,"&lt;"&amp;AD97,T$3:T$98,"&gt;"&amp;AC97)+COUNTIFS($AK$3:$AK$98,$AK97,U$3:U$98,"&lt;"&amp;AD97,V$3:V$98,"&gt;"&amp;AC97)+COUNTIFS($AK$3:$AK$98,$AK97,W$3:W$98,"&lt;"&amp;AD97,X$3:X$98,"&gt;"&amp;AC97)+COUNTIFS($AK$3:$AK$98,$AK97,Y$3:Y$98,"&lt;"&amp;AD97,Z$3:Z$98,"&gt;"&amp;AC97)+COUNTIFS($AK$3:$AK$98,$AK97,AA$3:AA$98,"&lt;"&amp;AD97,AB$3:AB$98,"&gt;"&amp;AC97)+COUNTIFS($AK$3:$AK$98,$AK97,AC$3:AC$98,"&lt;"&amp;AD97,AD$3:AD$98,"&gt;"&amp;AC97)+COUNTIFS($AK$3:$AK$98,$AK97,AE$3:AE$98,"&lt;"&amp;AD97,AF$3:AF$98,"&gt;"&amp;AC97)+COUNTIFS($AK$3:$AK$98,$AK97,AG$3:AG$98,"&lt;"&amp;AD97,AH$3:AH$98,"&gt;"&amp;AC97)-(AC97&lt;AD97))</f>
        <v>0</v>
      </c>
      <c r="BJ97">
        <f>BI97</f>
        <v>0</v>
      </c>
      <c r="BK97">
        <f>IF(OR($AK97="",AE97="",AF97=""),0,COUNTIFS($AK$3:$AK$98,$AK97,K$3:K$98,"&lt;"&amp;AF97,L$3:L$98,"&gt;"&amp;AE97)+COUNTIFS($AK$3:$AK$98,$AK97,M$3:M$98,"&lt;"&amp;AF97,N$3:N$98,"&gt;"&amp;AE97)+COUNTIFS($AK$3:$AK$98,$AK97,O$3:O$98,"&lt;"&amp;AF97,P$3:P$98,"&gt;"&amp;AE97)+COUNTIFS($AK$3:$AK$98,$AK97,Q$3:Q$98,"&lt;"&amp;AF97,R$3:R$98,"&gt;"&amp;AE97)+COUNTIFS($AK$3:$AK$98,$AK97,S$3:S$98,"&lt;"&amp;AF97,T$3:T$98,"&gt;"&amp;AE97)+COUNTIFS($AK$3:$AK$98,$AK97,U$3:U$98,"&lt;"&amp;AF97,V$3:V$98,"&gt;"&amp;AE97)+COUNTIFS($AK$3:$AK$98,$AK97,W$3:W$98,"&lt;"&amp;AF97,X$3:X$98,"&gt;"&amp;AE97)+COUNTIFS($AK$3:$AK$98,$AK97,Y$3:Y$98,"&lt;"&amp;AF97,Z$3:Z$98,"&gt;"&amp;AE97)+COUNTIFS($AK$3:$AK$98,$AK97,AA$3:AA$98,"&lt;"&amp;AF97,AB$3:AB$98,"&gt;"&amp;AE97)+COUNTIFS($AK$3:$AK$98,$AK97,AC$3:AC$98,"&lt;"&amp;AF97,AD$3:AD$98,"&gt;"&amp;AE97)+COUNTIFS($AK$3:$AK$98,$AK97,AE$3:AE$98,"&lt;"&amp;AF97,AF$3:AF$98,"&gt;"&amp;AE97)+COUNTIFS($AK$3:$AK$98,$AK97,AG$3:AG$98,"&lt;"&amp;AF97,AH$3:AH$98,"&gt;"&amp;AE97)-(AE97&lt;AF97))</f>
        <v>0</v>
      </c>
      <c r="BL97">
        <f>BK97</f>
        <v>0</v>
      </c>
      <c r="BM97">
        <f>IF(OR($AK97="",AG97="",AH97=""),0,COUNTIFS($AK$3:$AK$98,$AK97,K$3:K$98,"&lt;"&amp;AH97,L$3:L$98,"&gt;"&amp;AG97)+COUNTIFS($AK$3:$AK$98,$AK97,M$3:M$98,"&lt;"&amp;AH97,N$3:N$98,"&gt;"&amp;AG97)+COUNTIFS($AK$3:$AK$98,$AK97,O$3:O$98,"&lt;"&amp;AH97,P$3:P$98,"&gt;"&amp;AG97)+COUNTIFS($AK$3:$AK$98,$AK97,Q$3:Q$98,"&lt;"&amp;AH97,R$3:R$98,"&gt;"&amp;AG97)+COUNTIFS($AK$3:$AK$98,$AK97,S$3:S$98,"&lt;"&amp;AH97,T$3:T$98,"&gt;"&amp;AG97)+COUNTIFS($AK$3:$AK$98,$AK97,U$3:U$98,"&lt;"&amp;AH97,V$3:V$98,"&gt;"&amp;AG97)+COUNTIFS($AK$3:$AK$98,$AK97,W$3:W$98,"&lt;"&amp;AH97,X$3:X$98,"&gt;"&amp;AG97)+COUNTIFS($AK$3:$AK$98,$AK97,Y$3:Y$98,"&lt;"&amp;AH97,Z$3:Z$98,"&gt;"&amp;AG97)+COUNTIFS($AK$3:$AK$98,$AK97,AA$3:AA$98,"&lt;"&amp;AH97,AB$3:AB$98,"&gt;"&amp;AG97)+COUNTIFS($AK$3:$AK$98,$AK97,AC$3:AC$98,"&lt;"&amp;AH97,AD$3:AD$98,"&gt;"&amp;AG97)+COUNTIFS($AK$3:$AK$98,$AK97,AE$3:AE$98,"&lt;"&amp;AH97,AF$3:AF$98,"&gt;"&amp;AG97)+COUNTIFS($AK$3:$AK$98,$AK97,AG$3:AG$98,"&lt;"&amp;AH97,AH$3:AH$98,"&gt;"&amp;AG97)-(AG97&lt;AH97))</f>
        <v>0</v>
      </c>
      <c r="BN97">
        <f>BM97</f>
        <v>0</v>
      </c>
      <c r="BO97">
        <f>IF(ISNUMBER($G97),$G97,"")</f>
        <v>0</v>
      </c>
      <c r="BP97" t="str">
        <f>IF(AND($A97&lt;&gt;"",COUNT($K97:$AH97)&gt;0),ROW(),"")</f>
        <v/>
      </c>
    </row>
    <row r="98" spans="1:68" x14ac:dyDescent="0.15">
      <c r="A98" s="25" t="str">
        <f>IF($A95="","",$A95)</f>
        <v>chMobSaiyanI</v>
      </c>
      <c r="B98" s="26" t="str">
        <f>IF($A95="","","fac")</f>
        <v>fac</v>
      </c>
      <c r="C98" s="26"/>
      <c r="D98" s="27">
        <v>4</v>
      </c>
      <c r="E98" s="28">
        <f>IF(AND($D98="",COUNT($K98:$AH98)=0),"",IF(K98="",0,MAX(0,NETWORKDAYS(K98,IF(L98&lt;&gt;"",L98,IF($J98&lt;&gt;"",K98,$AI$1)),祝日!$A$2:$A$200)))+IF(M98="",0,MAX(0,NETWORKDAYS(M98,IF(N98&lt;&gt;"",N98,IF($J98&lt;&gt;"",M98,$AI$1)),祝日!$A$2:$A$200)))+IF(O98="",0,MAX(0,NETWORKDAYS(O98,IF(P98&lt;&gt;"",P98,IF($J98&lt;&gt;"",O98,$AI$1)),祝日!$A$2:$A$200)))+IF(Q98="",0,MAX(0,NETWORKDAYS(Q98,IF(R98&lt;&gt;"",R98,IF($J98&lt;&gt;"",Q98,$AI$1)),祝日!$A$2:$A$200)))+IF(S98="",0,MAX(0,NETWORKDAYS(S98,IF(T98&lt;&gt;"",T98,IF($J98&lt;&gt;"",S98,$AI$1)),祝日!$A$2:$A$200)))+IF(U98="",0,MAX(0,NETWORKDAYS(U98,IF(V98&lt;&gt;"",V98,IF($J98&lt;&gt;"",U98,$AI$1)),祝日!$A$2:$A$200)))+IF(W98="",0,MAX(0,NETWORKDAYS(W98,IF(X98&lt;&gt;"",X98,IF($J98&lt;&gt;"",W98,$AI$1)),祝日!$A$2:$A$200)))+IF(Y98="",0,MAX(0,NETWORKDAYS(Y98,IF(Z98&lt;&gt;"",Z98,IF($J98&lt;&gt;"",Y98,$AI$1)),祝日!$A$2:$A$200)))+IF(AA98="",0,MAX(0,NETWORKDAYS(AA98,IF(AB98&lt;&gt;"",AB98,IF($J98&lt;&gt;"",AA98,$AI$1)),祝日!$A$2:$A$200)))+IF(AC98="",0,MAX(0,NETWORKDAYS(AC98,IF(AD98&lt;&gt;"",AD98,IF($J98&lt;&gt;"",AC98,$AI$1)),祝日!$A$2:$A$200)))+IF(AE98="",0,MAX(0,NETWORKDAYS(AE98,IF(AF98&lt;&gt;"",AF98,IF($J98&lt;&gt;"",AE98,$AI$1)),祝日!$A$2:$A$200)))+IF(AG98="",0,MAX(0,NETWORKDAYS(AG98,IF(AH98&lt;&gt;"",AH98,IF($J98&lt;&gt;"",AG98,$AI$1)),祝日!$A$2:$A$200))))</f>
        <v>0</v>
      </c>
      <c r="F98" s="28">
        <f>IF($D98="","",$D98-$E98)</f>
        <v>4</v>
      </c>
      <c r="G98" s="29">
        <f>IF(OR($D98="",$D98=0),"",$E98/$D98)</f>
        <v>0</v>
      </c>
      <c r="H98" s="30" t="str">
        <f>IF($D98="","",IF($J98&lt;&gt;"","FIX",IF(AND(SUMPRODUCT((MOD(COLUMN($K98:$AH98)-COLUMN($K98),2)=0)*($K98:$AH98&lt;&gt;""))=0,SUMPRODUCT((MOD(COLUMN($K98:$AH98)-COLUMN($K98),2)=1)*($K98:$AH98&lt;&gt;""))=0),"未着手",IF(SUMPRODUCT((MOD(COLUMN($K98:$AH98)-COLUMN($K98),2)=0)*($K98:$AH98&lt;&gt;""))&gt;SUMPRODUCT((MOD(COLUMN($K98:$AH98)-COLUMN($K98),2)=1)*($K98:$AH98&lt;&gt;"")),"作業中","中断"))))</f>
        <v>未着手</v>
      </c>
      <c r="I98" s="30" t="str">
        <f>IF($H98="中断",MAX(0,$AI$1-MAX(L98,N98,P98,R98,T98,V98,X98,Z98,AB98,AD98,AF98,AH98)),"")</f>
        <v/>
      </c>
      <c r="J98" s="26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K98" t="str">
        <f>IF($A95="","",IF(LOOKUP(2,1/($AJ$3:$AJ98&lt;&gt;""),$AJ$3:$AJ98)="-","",LOOKUP(2,1/($AJ$3:$AJ98&lt;&gt;""),$AJ$3:$AJ98)))</f>
        <v/>
      </c>
      <c r="AL98" t="str">
        <f>$H98</f>
        <v>未着手</v>
      </c>
      <c r="AM98">
        <f>IF(ISNUMBER($D98),$D98,0)</f>
        <v>4</v>
      </c>
      <c r="AN98">
        <f>IF(ISNUMBER($E98),$E98,0)</f>
        <v>0</v>
      </c>
      <c r="AO98">
        <f>IF(ISNUMBER($F98),$F98,0)</f>
        <v>4</v>
      </c>
      <c r="AQ98">
        <f>IF(OR($AK98="",K98="",L98=""),0,COUNTIFS($AK$3:$AK$98,$AK98,K$3:K$98,"&lt;"&amp;L98,L$3:L$98,"&gt;"&amp;K98)+COUNTIFS($AK$3:$AK$98,$AK98,M$3:M$98,"&lt;"&amp;L98,N$3:N$98,"&gt;"&amp;K98)+COUNTIFS($AK$3:$AK$98,$AK98,O$3:O$98,"&lt;"&amp;L98,P$3:P$98,"&gt;"&amp;K98)+COUNTIFS($AK$3:$AK$98,$AK98,Q$3:Q$98,"&lt;"&amp;L98,R$3:R$98,"&gt;"&amp;K98)+COUNTIFS($AK$3:$AK$98,$AK98,S$3:S$98,"&lt;"&amp;L98,T$3:T$98,"&gt;"&amp;K98)+COUNTIFS($AK$3:$AK$98,$AK98,U$3:U$98,"&lt;"&amp;L98,V$3:V$98,"&gt;"&amp;K98)+COUNTIFS($AK$3:$AK$98,$AK98,W$3:W$98,"&lt;"&amp;L98,X$3:X$98,"&gt;"&amp;K98)+COUNTIFS($AK$3:$AK$98,$AK98,Y$3:Y$98,"&lt;"&amp;L98,Z$3:Z$98,"&gt;"&amp;K98)+COUNTIFS($AK$3:$AK$98,$AK98,AA$3:AA$98,"&lt;"&amp;L98,AB$3:AB$98,"&gt;"&amp;K98)+COUNTIFS($AK$3:$AK$98,$AK98,AC$3:AC$98,"&lt;"&amp;L98,AD$3:AD$98,"&gt;"&amp;K98)+COUNTIFS($AK$3:$AK$98,$AK98,AE$3:AE$98,"&lt;"&amp;L98,AF$3:AF$98,"&gt;"&amp;K98)+COUNTIFS($AK$3:$AK$98,$AK98,AG$3:AG$98,"&lt;"&amp;L98,AH$3:AH$98,"&gt;"&amp;K98)-(K98&lt;L98))</f>
        <v>0</v>
      </c>
      <c r="AR98">
        <f>AQ98</f>
        <v>0</v>
      </c>
      <c r="AS98">
        <f>IF(OR($AK98="",M98="",N98=""),0,COUNTIFS($AK$3:$AK$98,$AK98,K$3:K$98,"&lt;"&amp;N98,L$3:L$98,"&gt;"&amp;M98)+COUNTIFS($AK$3:$AK$98,$AK98,M$3:M$98,"&lt;"&amp;N98,N$3:N$98,"&gt;"&amp;M98)+COUNTIFS($AK$3:$AK$98,$AK98,O$3:O$98,"&lt;"&amp;N98,P$3:P$98,"&gt;"&amp;M98)+COUNTIFS($AK$3:$AK$98,$AK98,Q$3:Q$98,"&lt;"&amp;N98,R$3:R$98,"&gt;"&amp;M98)+COUNTIFS($AK$3:$AK$98,$AK98,S$3:S$98,"&lt;"&amp;N98,T$3:T$98,"&gt;"&amp;M98)+COUNTIFS($AK$3:$AK$98,$AK98,U$3:U$98,"&lt;"&amp;N98,V$3:V$98,"&gt;"&amp;M98)+COUNTIFS($AK$3:$AK$98,$AK98,W$3:W$98,"&lt;"&amp;N98,X$3:X$98,"&gt;"&amp;M98)+COUNTIFS($AK$3:$AK$98,$AK98,Y$3:Y$98,"&lt;"&amp;N98,Z$3:Z$98,"&gt;"&amp;M98)+COUNTIFS($AK$3:$AK$98,$AK98,AA$3:AA$98,"&lt;"&amp;N98,AB$3:AB$98,"&gt;"&amp;M98)+COUNTIFS($AK$3:$AK$98,$AK98,AC$3:AC$98,"&lt;"&amp;N98,AD$3:AD$98,"&gt;"&amp;M98)+COUNTIFS($AK$3:$AK$98,$AK98,AE$3:AE$98,"&lt;"&amp;N98,AF$3:AF$98,"&gt;"&amp;M98)+COUNTIFS($AK$3:$AK$98,$AK98,AG$3:AG$98,"&lt;"&amp;N98,AH$3:AH$98,"&gt;"&amp;M98)-(M98&lt;N98))</f>
        <v>0</v>
      </c>
      <c r="AT98">
        <f>AS98</f>
        <v>0</v>
      </c>
      <c r="AU98">
        <f>IF(OR($AK98="",O98="",P98=""),0,COUNTIFS($AK$3:$AK$98,$AK98,K$3:K$98,"&lt;"&amp;P98,L$3:L$98,"&gt;"&amp;O98)+COUNTIFS($AK$3:$AK$98,$AK98,M$3:M$98,"&lt;"&amp;P98,N$3:N$98,"&gt;"&amp;O98)+COUNTIFS($AK$3:$AK$98,$AK98,O$3:O$98,"&lt;"&amp;P98,P$3:P$98,"&gt;"&amp;O98)+COUNTIFS($AK$3:$AK$98,$AK98,Q$3:Q$98,"&lt;"&amp;P98,R$3:R$98,"&gt;"&amp;O98)+COUNTIFS($AK$3:$AK$98,$AK98,S$3:S$98,"&lt;"&amp;P98,T$3:T$98,"&gt;"&amp;O98)+COUNTIFS($AK$3:$AK$98,$AK98,U$3:U$98,"&lt;"&amp;P98,V$3:V$98,"&gt;"&amp;O98)+COUNTIFS($AK$3:$AK$98,$AK98,W$3:W$98,"&lt;"&amp;P98,X$3:X$98,"&gt;"&amp;O98)+COUNTIFS($AK$3:$AK$98,$AK98,Y$3:Y$98,"&lt;"&amp;P98,Z$3:Z$98,"&gt;"&amp;O98)+COUNTIFS($AK$3:$AK$98,$AK98,AA$3:AA$98,"&lt;"&amp;P98,AB$3:AB$98,"&gt;"&amp;O98)+COUNTIFS($AK$3:$AK$98,$AK98,AC$3:AC$98,"&lt;"&amp;P98,AD$3:AD$98,"&gt;"&amp;O98)+COUNTIFS($AK$3:$AK$98,$AK98,AE$3:AE$98,"&lt;"&amp;P98,AF$3:AF$98,"&gt;"&amp;O98)+COUNTIFS($AK$3:$AK$98,$AK98,AG$3:AG$98,"&lt;"&amp;P98,AH$3:AH$98,"&gt;"&amp;O98)-(O98&lt;P98))</f>
        <v>0</v>
      </c>
      <c r="AV98">
        <f>AU98</f>
        <v>0</v>
      </c>
      <c r="AW98">
        <f>IF(OR($AK98="",Q98="",R98=""),0,COUNTIFS($AK$3:$AK$98,$AK98,K$3:K$98,"&lt;"&amp;R98,L$3:L$98,"&gt;"&amp;Q98)+COUNTIFS($AK$3:$AK$98,$AK98,M$3:M$98,"&lt;"&amp;R98,N$3:N$98,"&gt;"&amp;Q98)+COUNTIFS($AK$3:$AK$98,$AK98,O$3:O$98,"&lt;"&amp;R98,P$3:P$98,"&gt;"&amp;Q98)+COUNTIFS($AK$3:$AK$98,$AK98,Q$3:Q$98,"&lt;"&amp;R98,R$3:R$98,"&gt;"&amp;Q98)+COUNTIFS($AK$3:$AK$98,$AK98,S$3:S$98,"&lt;"&amp;R98,T$3:T$98,"&gt;"&amp;Q98)+COUNTIFS($AK$3:$AK$98,$AK98,U$3:U$98,"&lt;"&amp;R98,V$3:V$98,"&gt;"&amp;Q98)+COUNTIFS($AK$3:$AK$98,$AK98,W$3:W$98,"&lt;"&amp;R98,X$3:X$98,"&gt;"&amp;Q98)+COUNTIFS($AK$3:$AK$98,$AK98,Y$3:Y$98,"&lt;"&amp;R98,Z$3:Z$98,"&gt;"&amp;Q98)+COUNTIFS($AK$3:$AK$98,$AK98,AA$3:AA$98,"&lt;"&amp;R98,AB$3:AB$98,"&gt;"&amp;Q98)+COUNTIFS($AK$3:$AK$98,$AK98,AC$3:AC$98,"&lt;"&amp;R98,AD$3:AD$98,"&gt;"&amp;Q98)+COUNTIFS($AK$3:$AK$98,$AK98,AE$3:AE$98,"&lt;"&amp;R98,AF$3:AF$98,"&gt;"&amp;Q98)+COUNTIFS($AK$3:$AK$98,$AK98,AG$3:AG$98,"&lt;"&amp;R98,AH$3:AH$98,"&gt;"&amp;Q98)-(Q98&lt;R98))</f>
        <v>0</v>
      </c>
      <c r="AX98">
        <f>AW98</f>
        <v>0</v>
      </c>
      <c r="AY98">
        <f>IF(OR($AK98="",S98="",T98=""),0,COUNTIFS($AK$3:$AK$98,$AK98,K$3:K$98,"&lt;"&amp;T98,L$3:L$98,"&gt;"&amp;S98)+COUNTIFS($AK$3:$AK$98,$AK98,M$3:M$98,"&lt;"&amp;T98,N$3:N$98,"&gt;"&amp;S98)+COUNTIFS($AK$3:$AK$98,$AK98,O$3:O$98,"&lt;"&amp;T98,P$3:P$98,"&gt;"&amp;S98)+COUNTIFS($AK$3:$AK$98,$AK98,Q$3:Q$98,"&lt;"&amp;T98,R$3:R$98,"&gt;"&amp;S98)+COUNTIFS($AK$3:$AK$98,$AK98,S$3:S$98,"&lt;"&amp;T98,T$3:T$98,"&gt;"&amp;S98)+COUNTIFS($AK$3:$AK$98,$AK98,U$3:U$98,"&lt;"&amp;T98,V$3:V$98,"&gt;"&amp;S98)+COUNTIFS($AK$3:$AK$98,$AK98,W$3:W$98,"&lt;"&amp;T98,X$3:X$98,"&gt;"&amp;S98)+COUNTIFS($AK$3:$AK$98,$AK98,Y$3:Y$98,"&lt;"&amp;T98,Z$3:Z$98,"&gt;"&amp;S98)+COUNTIFS($AK$3:$AK$98,$AK98,AA$3:AA$98,"&lt;"&amp;T98,AB$3:AB$98,"&gt;"&amp;S98)+COUNTIFS($AK$3:$AK$98,$AK98,AC$3:AC$98,"&lt;"&amp;T98,AD$3:AD$98,"&gt;"&amp;S98)+COUNTIFS($AK$3:$AK$98,$AK98,AE$3:AE$98,"&lt;"&amp;T98,AF$3:AF$98,"&gt;"&amp;S98)+COUNTIFS($AK$3:$AK$98,$AK98,AG$3:AG$98,"&lt;"&amp;T98,AH$3:AH$98,"&gt;"&amp;S98)-(S98&lt;T98))</f>
        <v>0</v>
      </c>
      <c r="AZ98">
        <f>AY98</f>
        <v>0</v>
      </c>
      <c r="BA98">
        <f>IF(OR($AK98="",U98="",V98=""),0,COUNTIFS($AK$3:$AK$98,$AK98,K$3:K$98,"&lt;"&amp;V98,L$3:L$98,"&gt;"&amp;U98)+COUNTIFS($AK$3:$AK$98,$AK98,M$3:M$98,"&lt;"&amp;V98,N$3:N$98,"&gt;"&amp;U98)+COUNTIFS($AK$3:$AK$98,$AK98,O$3:O$98,"&lt;"&amp;V98,P$3:P$98,"&gt;"&amp;U98)+COUNTIFS($AK$3:$AK$98,$AK98,Q$3:Q$98,"&lt;"&amp;V98,R$3:R$98,"&gt;"&amp;U98)+COUNTIFS($AK$3:$AK$98,$AK98,S$3:S$98,"&lt;"&amp;V98,T$3:T$98,"&gt;"&amp;U98)+COUNTIFS($AK$3:$AK$98,$AK98,U$3:U$98,"&lt;"&amp;V98,V$3:V$98,"&gt;"&amp;U98)+COUNTIFS($AK$3:$AK$98,$AK98,W$3:W$98,"&lt;"&amp;V98,X$3:X$98,"&gt;"&amp;U98)+COUNTIFS($AK$3:$AK$98,$AK98,Y$3:Y$98,"&lt;"&amp;V98,Z$3:Z$98,"&gt;"&amp;U98)+COUNTIFS($AK$3:$AK$98,$AK98,AA$3:AA$98,"&lt;"&amp;V98,AB$3:AB$98,"&gt;"&amp;U98)+COUNTIFS($AK$3:$AK$98,$AK98,AC$3:AC$98,"&lt;"&amp;V98,AD$3:AD$98,"&gt;"&amp;U98)+COUNTIFS($AK$3:$AK$98,$AK98,AE$3:AE$98,"&lt;"&amp;V98,AF$3:AF$98,"&gt;"&amp;U98)+COUNTIFS($AK$3:$AK$98,$AK98,AG$3:AG$98,"&lt;"&amp;V98,AH$3:AH$98,"&gt;"&amp;U98)-(U98&lt;V98))</f>
        <v>0</v>
      </c>
      <c r="BB98">
        <f>BA98</f>
        <v>0</v>
      </c>
      <c r="BC98">
        <f>IF(OR($AK98="",W98="",X98=""),0,COUNTIFS($AK$3:$AK$98,$AK98,K$3:K$98,"&lt;"&amp;X98,L$3:L$98,"&gt;"&amp;W98)+COUNTIFS($AK$3:$AK$98,$AK98,M$3:M$98,"&lt;"&amp;X98,N$3:N$98,"&gt;"&amp;W98)+COUNTIFS($AK$3:$AK$98,$AK98,O$3:O$98,"&lt;"&amp;X98,P$3:P$98,"&gt;"&amp;W98)+COUNTIFS($AK$3:$AK$98,$AK98,Q$3:Q$98,"&lt;"&amp;X98,R$3:R$98,"&gt;"&amp;W98)+COUNTIFS($AK$3:$AK$98,$AK98,S$3:S$98,"&lt;"&amp;X98,T$3:T$98,"&gt;"&amp;W98)+COUNTIFS($AK$3:$AK$98,$AK98,U$3:U$98,"&lt;"&amp;X98,V$3:V$98,"&gt;"&amp;W98)+COUNTIFS($AK$3:$AK$98,$AK98,W$3:W$98,"&lt;"&amp;X98,X$3:X$98,"&gt;"&amp;W98)+COUNTIFS($AK$3:$AK$98,$AK98,Y$3:Y$98,"&lt;"&amp;X98,Z$3:Z$98,"&gt;"&amp;W98)+COUNTIFS($AK$3:$AK$98,$AK98,AA$3:AA$98,"&lt;"&amp;X98,AB$3:AB$98,"&gt;"&amp;W98)+COUNTIFS($AK$3:$AK$98,$AK98,AC$3:AC$98,"&lt;"&amp;X98,AD$3:AD$98,"&gt;"&amp;W98)+COUNTIFS($AK$3:$AK$98,$AK98,AE$3:AE$98,"&lt;"&amp;X98,AF$3:AF$98,"&gt;"&amp;W98)+COUNTIFS($AK$3:$AK$98,$AK98,AG$3:AG$98,"&lt;"&amp;X98,AH$3:AH$98,"&gt;"&amp;W98)-(W98&lt;X98))</f>
        <v>0</v>
      </c>
      <c r="BD98">
        <f>BC98</f>
        <v>0</v>
      </c>
      <c r="BE98">
        <f>IF(OR($AK98="",Y98="",Z98=""),0,COUNTIFS($AK$3:$AK$98,$AK98,K$3:K$98,"&lt;"&amp;Z98,L$3:L$98,"&gt;"&amp;Y98)+COUNTIFS($AK$3:$AK$98,$AK98,M$3:M$98,"&lt;"&amp;Z98,N$3:N$98,"&gt;"&amp;Y98)+COUNTIFS($AK$3:$AK$98,$AK98,O$3:O$98,"&lt;"&amp;Z98,P$3:P$98,"&gt;"&amp;Y98)+COUNTIFS($AK$3:$AK$98,$AK98,Q$3:Q$98,"&lt;"&amp;Z98,R$3:R$98,"&gt;"&amp;Y98)+COUNTIFS($AK$3:$AK$98,$AK98,S$3:S$98,"&lt;"&amp;Z98,T$3:T$98,"&gt;"&amp;Y98)+COUNTIFS($AK$3:$AK$98,$AK98,U$3:U$98,"&lt;"&amp;Z98,V$3:V$98,"&gt;"&amp;Y98)+COUNTIFS($AK$3:$AK$98,$AK98,W$3:W$98,"&lt;"&amp;Z98,X$3:X$98,"&gt;"&amp;Y98)+COUNTIFS($AK$3:$AK$98,$AK98,Y$3:Y$98,"&lt;"&amp;Z98,Z$3:Z$98,"&gt;"&amp;Y98)+COUNTIFS($AK$3:$AK$98,$AK98,AA$3:AA$98,"&lt;"&amp;Z98,AB$3:AB$98,"&gt;"&amp;Y98)+COUNTIFS($AK$3:$AK$98,$AK98,AC$3:AC$98,"&lt;"&amp;Z98,AD$3:AD$98,"&gt;"&amp;Y98)+COUNTIFS($AK$3:$AK$98,$AK98,AE$3:AE$98,"&lt;"&amp;Z98,AF$3:AF$98,"&gt;"&amp;Y98)+COUNTIFS($AK$3:$AK$98,$AK98,AG$3:AG$98,"&lt;"&amp;Z98,AH$3:AH$98,"&gt;"&amp;Y98)-(Y98&lt;Z98))</f>
        <v>0</v>
      </c>
      <c r="BF98">
        <f>BE98</f>
        <v>0</v>
      </c>
      <c r="BG98">
        <f>IF(OR($AK98="",AA98="",AB98=""),0,COUNTIFS($AK$3:$AK$98,$AK98,K$3:K$98,"&lt;"&amp;AB98,L$3:L$98,"&gt;"&amp;AA98)+COUNTIFS($AK$3:$AK$98,$AK98,M$3:M$98,"&lt;"&amp;AB98,N$3:N$98,"&gt;"&amp;AA98)+COUNTIFS($AK$3:$AK$98,$AK98,O$3:O$98,"&lt;"&amp;AB98,P$3:P$98,"&gt;"&amp;AA98)+COUNTIFS($AK$3:$AK$98,$AK98,Q$3:Q$98,"&lt;"&amp;AB98,R$3:R$98,"&gt;"&amp;AA98)+COUNTIFS($AK$3:$AK$98,$AK98,S$3:S$98,"&lt;"&amp;AB98,T$3:T$98,"&gt;"&amp;AA98)+COUNTIFS($AK$3:$AK$98,$AK98,U$3:U$98,"&lt;"&amp;AB98,V$3:V$98,"&gt;"&amp;AA98)+COUNTIFS($AK$3:$AK$98,$AK98,W$3:W$98,"&lt;"&amp;AB98,X$3:X$98,"&gt;"&amp;AA98)+COUNTIFS($AK$3:$AK$98,$AK98,Y$3:Y$98,"&lt;"&amp;AB98,Z$3:Z$98,"&gt;"&amp;AA98)+COUNTIFS($AK$3:$AK$98,$AK98,AA$3:AA$98,"&lt;"&amp;AB98,AB$3:AB$98,"&gt;"&amp;AA98)+COUNTIFS($AK$3:$AK$98,$AK98,AC$3:AC$98,"&lt;"&amp;AB98,AD$3:AD$98,"&gt;"&amp;AA98)+COUNTIFS($AK$3:$AK$98,$AK98,AE$3:AE$98,"&lt;"&amp;AB98,AF$3:AF$98,"&gt;"&amp;AA98)+COUNTIFS($AK$3:$AK$98,$AK98,AG$3:AG$98,"&lt;"&amp;AB98,AH$3:AH$98,"&gt;"&amp;AA98)-(AA98&lt;AB98))</f>
        <v>0</v>
      </c>
      <c r="BH98">
        <f>BG98</f>
        <v>0</v>
      </c>
      <c r="BI98">
        <f>IF(OR($AK98="",AC98="",AD98=""),0,COUNTIFS($AK$3:$AK$98,$AK98,K$3:K$98,"&lt;"&amp;AD98,L$3:L$98,"&gt;"&amp;AC98)+COUNTIFS($AK$3:$AK$98,$AK98,M$3:M$98,"&lt;"&amp;AD98,N$3:N$98,"&gt;"&amp;AC98)+COUNTIFS($AK$3:$AK$98,$AK98,O$3:O$98,"&lt;"&amp;AD98,P$3:P$98,"&gt;"&amp;AC98)+COUNTIFS($AK$3:$AK$98,$AK98,Q$3:Q$98,"&lt;"&amp;AD98,R$3:R$98,"&gt;"&amp;AC98)+COUNTIFS($AK$3:$AK$98,$AK98,S$3:S$98,"&lt;"&amp;AD98,T$3:T$98,"&gt;"&amp;AC98)+COUNTIFS($AK$3:$AK$98,$AK98,U$3:U$98,"&lt;"&amp;AD98,V$3:V$98,"&gt;"&amp;AC98)+COUNTIFS($AK$3:$AK$98,$AK98,W$3:W$98,"&lt;"&amp;AD98,X$3:X$98,"&gt;"&amp;AC98)+COUNTIFS($AK$3:$AK$98,$AK98,Y$3:Y$98,"&lt;"&amp;AD98,Z$3:Z$98,"&gt;"&amp;AC98)+COUNTIFS($AK$3:$AK$98,$AK98,AA$3:AA$98,"&lt;"&amp;AD98,AB$3:AB$98,"&gt;"&amp;AC98)+COUNTIFS($AK$3:$AK$98,$AK98,AC$3:AC$98,"&lt;"&amp;AD98,AD$3:AD$98,"&gt;"&amp;AC98)+COUNTIFS($AK$3:$AK$98,$AK98,AE$3:AE$98,"&lt;"&amp;AD98,AF$3:AF$98,"&gt;"&amp;AC98)+COUNTIFS($AK$3:$AK$98,$AK98,AG$3:AG$98,"&lt;"&amp;AD98,AH$3:AH$98,"&gt;"&amp;AC98)-(AC98&lt;AD98))</f>
        <v>0</v>
      </c>
      <c r="BJ98">
        <f>BI98</f>
        <v>0</v>
      </c>
      <c r="BK98">
        <f>IF(OR($AK98="",AE98="",AF98=""),0,COUNTIFS($AK$3:$AK$98,$AK98,K$3:K$98,"&lt;"&amp;AF98,L$3:L$98,"&gt;"&amp;AE98)+COUNTIFS($AK$3:$AK$98,$AK98,M$3:M$98,"&lt;"&amp;AF98,N$3:N$98,"&gt;"&amp;AE98)+COUNTIFS($AK$3:$AK$98,$AK98,O$3:O$98,"&lt;"&amp;AF98,P$3:P$98,"&gt;"&amp;AE98)+COUNTIFS($AK$3:$AK$98,$AK98,Q$3:Q$98,"&lt;"&amp;AF98,R$3:R$98,"&gt;"&amp;AE98)+COUNTIFS($AK$3:$AK$98,$AK98,S$3:S$98,"&lt;"&amp;AF98,T$3:T$98,"&gt;"&amp;AE98)+COUNTIFS($AK$3:$AK$98,$AK98,U$3:U$98,"&lt;"&amp;AF98,V$3:V$98,"&gt;"&amp;AE98)+COUNTIFS($AK$3:$AK$98,$AK98,W$3:W$98,"&lt;"&amp;AF98,X$3:X$98,"&gt;"&amp;AE98)+COUNTIFS($AK$3:$AK$98,$AK98,Y$3:Y$98,"&lt;"&amp;AF98,Z$3:Z$98,"&gt;"&amp;AE98)+COUNTIFS($AK$3:$AK$98,$AK98,AA$3:AA$98,"&lt;"&amp;AF98,AB$3:AB$98,"&gt;"&amp;AE98)+COUNTIFS($AK$3:$AK$98,$AK98,AC$3:AC$98,"&lt;"&amp;AF98,AD$3:AD$98,"&gt;"&amp;AE98)+COUNTIFS($AK$3:$AK$98,$AK98,AE$3:AE$98,"&lt;"&amp;AF98,AF$3:AF$98,"&gt;"&amp;AE98)+COUNTIFS($AK$3:$AK$98,$AK98,AG$3:AG$98,"&lt;"&amp;AF98,AH$3:AH$98,"&gt;"&amp;AE98)-(AE98&lt;AF98))</f>
        <v>0</v>
      </c>
      <c r="BL98">
        <f>BK98</f>
        <v>0</v>
      </c>
      <c r="BM98">
        <f>IF(OR($AK98="",AG98="",AH98=""),0,COUNTIFS($AK$3:$AK$98,$AK98,K$3:K$98,"&lt;"&amp;AH98,L$3:L$98,"&gt;"&amp;AG98)+COUNTIFS($AK$3:$AK$98,$AK98,M$3:M$98,"&lt;"&amp;AH98,N$3:N$98,"&gt;"&amp;AG98)+COUNTIFS($AK$3:$AK$98,$AK98,O$3:O$98,"&lt;"&amp;AH98,P$3:P$98,"&gt;"&amp;AG98)+COUNTIFS($AK$3:$AK$98,$AK98,Q$3:Q$98,"&lt;"&amp;AH98,R$3:R$98,"&gt;"&amp;AG98)+COUNTIFS($AK$3:$AK$98,$AK98,S$3:S$98,"&lt;"&amp;AH98,T$3:T$98,"&gt;"&amp;AG98)+COUNTIFS($AK$3:$AK$98,$AK98,U$3:U$98,"&lt;"&amp;AH98,V$3:V$98,"&gt;"&amp;AG98)+COUNTIFS($AK$3:$AK$98,$AK98,W$3:W$98,"&lt;"&amp;AH98,X$3:X$98,"&gt;"&amp;AG98)+COUNTIFS($AK$3:$AK$98,$AK98,Y$3:Y$98,"&lt;"&amp;AH98,Z$3:Z$98,"&gt;"&amp;AG98)+COUNTIFS($AK$3:$AK$98,$AK98,AA$3:AA$98,"&lt;"&amp;AH98,AB$3:AB$98,"&gt;"&amp;AG98)+COUNTIFS($AK$3:$AK$98,$AK98,AC$3:AC$98,"&lt;"&amp;AH98,AD$3:AD$98,"&gt;"&amp;AG98)+COUNTIFS($AK$3:$AK$98,$AK98,AE$3:AE$98,"&lt;"&amp;AH98,AF$3:AF$98,"&gt;"&amp;AG98)+COUNTIFS($AK$3:$AK$98,$AK98,AG$3:AG$98,"&lt;"&amp;AH98,AH$3:AH$98,"&gt;"&amp;AG98)-(AG98&lt;AH98))</f>
        <v>0</v>
      </c>
      <c r="BN98">
        <f>BM98</f>
        <v>0</v>
      </c>
      <c r="BO98">
        <f>IF(ISNUMBER($G98),$G98,"")</f>
        <v>0</v>
      </c>
      <c r="BP98" t="str">
        <f>IF(AND($A98&lt;&gt;"",COUNT($K98:$AH98)&gt;0),ROW(),"")</f>
        <v/>
      </c>
    </row>
  </sheetData>
  <mergeCells count="22">
    <mergeCell ref="AG1:AH1"/>
    <mergeCell ref="AA1:AB1"/>
    <mergeCell ref="C1:C2"/>
    <mergeCell ref="E1:E2"/>
    <mergeCell ref="M1:N1"/>
    <mergeCell ref="K1:L1"/>
    <mergeCell ref="W1:X1"/>
    <mergeCell ref="O1:P1"/>
    <mergeCell ref="Y1:Z1"/>
    <mergeCell ref="A1:A2"/>
    <mergeCell ref="B1:B2"/>
    <mergeCell ref="Q1:R1"/>
    <mergeCell ref="AC1:AD1"/>
    <mergeCell ref="AE1:AF1"/>
    <mergeCell ref="G1:G2"/>
    <mergeCell ref="I1:I2"/>
    <mergeCell ref="S1:T1"/>
    <mergeCell ref="U1:V1"/>
    <mergeCell ref="D1:D2"/>
    <mergeCell ref="F1:F2"/>
    <mergeCell ref="H1:H2"/>
    <mergeCell ref="J1:J2"/>
  </mergeCells>
  <phoneticPr fontId="4"/>
  <conditionalFormatting sqref="A3:J98">
    <cfRule type="expression" dxfId="30" priority="1" stopIfTrue="1">
      <formula>AND($AJ3="",$A3&lt;&gt;"",$B3&lt;&gt;"",$B3&lt;&gt;"total",$D3="",COUNT($K3:$AH3)=0)</formula>
    </cfRule>
    <cfRule type="expression" dxfId="29" priority="4">
      <formula>AND($AJ3="",$H3="未着手")</formula>
    </cfRule>
    <cfRule type="expression" dxfId="28" priority="5">
      <formula>AND($AJ3="",$H3="作業中")</formula>
    </cfRule>
    <cfRule type="expression" dxfId="27" priority="6">
      <formula>AND($AJ3="",$H3="中断")</formula>
    </cfRule>
    <cfRule type="expression" dxfId="25" priority="8">
      <formula>AND($AJ3="",$H3="FIX")</formula>
    </cfRule>
  </conditionalFormatting>
  <conditionalFormatting sqref="F3:G98">
    <cfRule type="expression" dxfId="24" priority="2" stopIfTrue="1">
      <formula>AND($AJ3="",$D3&lt;&gt;"",$D3&gt;0,$E3&gt;$D3)</formula>
    </cfRule>
    <cfRule type="expression" dxfId="23" priority="3" stopIfTrue="1">
      <formula>AND($AJ3="",$D3&lt;&gt;"",$D3&gt;0,$E3/$D3&gt;=0.8,$B3&lt;&gt;"total",$H3&lt;&gt;"FIX")</formula>
    </cfRule>
  </conditionalFormatting>
  <conditionalFormatting sqref="L3:L98 N3:N98 P3:P98 R3:R98 T3:T98 V3:V98 X3:X98 Z3:Z98 AB3:AB98 AD3:AD98 AF3:AF98 AH3:AH7 AH12:AH28">
    <cfRule type="expression" dxfId="22" priority="19" stopIfTrue="1">
      <formula>AND(K3&lt;&gt;"",L3&lt;&gt;"",AR3&gt;0)</formula>
    </cfRule>
  </conditionalFormatting>
  <conditionalFormatting sqref="L3:L98 N3:N98 P3:P98 R3:R98 T3:T98 V3:V98 X3:X98 Z3:Z98 AB3:AB98 AD3:AD98 AF3:AF98">
    <cfRule type="expression" dxfId="21" priority="17" stopIfTrue="1">
      <formula>AND(L3&lt;&gt;"",M3&lt;&gt;"",M3&lt;L3)</formula>
    </cfRule>
  </conditionalFormatting>
  <conditionalFormatting sqref="M3:M38 O3:O38 Q3:Q98 S3:S98 U3:U98 W3:W98 Y3:Y98 AA3:AA98 AC3:AC98 AE3:AE98 AG3:AG98 M40:M98 O40:O98">
    <cfRule type="expression" dxfId="20" priority="16" stopIfTrue="1">
      <formula>AND(M3&lt;&gt;"",L3&lt;&gt;"",M3&lt;L3)</formula>
    </cfRule>
  </conditionalFormatting>
  <conditionalFormatting sqref="M3:M98 O3:O98 Q3:Q98 S3:S98 U3:U98 W3:W98 Y3:Y98 AA3:AA98 AC3:AC98 AE3:AE98 AG3:AG98 K3:K98">
    <cfRule type="expression" dxfId="19" priority="18" stopIfTrue="1">
      <formula>AND(K3&lt;&gt;"",L3&lt;&gt;"",AQ3&gt;0)</formula>
    </cfRule>
  </conditionalFormatting>
  <conditionalFormatting sqref="AG3:AG7 K3:K98 M3:M98 O3:O98 Q3:Q98 S3:S98 U3:U98 W3:W98 Y3:Y98 AA3:AA98 AC3:AC98 AE3:AE98 AG12:AG28">
    <cfRule type="expression" dxfId="18" priority="14" stopIfTrue="1">
      <formula>OR(AND(K3&lt;&gt;"",L3&lt;&gt;"",L3&lt;K3),AND(K3&lt;&gt;"",L3="",COUNTA(M3:$AH3)&gt;0))</formula>
    </cfRule>
  </conditionalFormatting>
  <conditionalFormatting sqref="AG8:AG11 AG29:AG98">
    <cfRule type="expression" dxfId="17" priority="55" stopIfTrue="1">
      <formula>OR(AND(AG8&lt;&gt;"",AH8&lt;&gt;"",AH8&lt;AG8),AND(AG8&lt;&gt;"",AH8="",COUNTA(AH8:$AI8)&gt;0))</formula>
    </cfRule>
  </conditionalFormatting>
  <conditionalFormatting sqref="AH3:AH7 L3:L98 N3:N98 P3:P98 R3:R98 T3:T98 V3:V98 X3:X98 Z3:Z98 AB3:AB98 AD3:AD98 AF3:AF98 AH12:AH28">
    <cfRule type="expression" dxfId="16" priority="15" stopIfTrue="1">
      <formula>OR(AND(L3&lt;&gt;"",K3=""),AND(L3&lt;&gt;"",K3&lt;&gt;"",L3&lt;K3),AND(L3="",K3&lt;&gt;"",COUNTA(M3:$AH3)&gt;0))</formula>
    </cfRule>
  </conditionalFormatting>
  <conditionalFormatting sqref="AH8:AH11 AH29:AH98">
    <cfRule type="expression" dxfId="15" priority="98" stopIfTrue="1">
      <formula>OR(AND(AH8&lt;&gt;"",AG8=""),AND(AH8&lt;&gt;"",AG8&lt;&gt;"",AH8&lt;AG8),AND(AH8="",AG8&lt;&gt;"",COUNTA(AH8:$AI8)&gt;0))</formula>
    </cfRule>
    <cfRule type="expression" dxfId="14" priority="99" stopIfTrue="1">
      <formula>AND(AG8&lt;&gt;"",AH8&lt;&gt;"",BN8&gt;0)</formula>
    </cfRule>
  </conditionalFormatting>
  <dataValidations disablePrompts="1" count="1">
    <dataValidation type="list" allowBlank="1" sqref="J5:J7 J9:J11 J13:J15 J17:J19 J21:J23 J26:J28 J30:J32 J34:J36 J38:J40 J42:J44 J47:J49 J51:J53 J55:J57 J59:J61 J63:J65 J67:J69 J72:J74 J76:J78 J80:J82 J84:J86 J88:J90 J92:J94 J96:J98" xr:uid="{00000000-0002-0000-0100-000000000000}">
      <formula1>"○"</formula1>
    </dataValidation>
  </dataValidations>
  <pageMargins left="0.75" right="0.75" top="1" bottom="1" header="0.5" footer="0.5"/>
  <pageSetup paperSize="9" orientation="portrait" horizontalDpi="1200" verticalDpi="1200"/>
  <ignoredErrors>
    <ignoredError sqref="A3:BP8 A15:BP98 A14:J14 L14:BP14 A10:BP13 A9:L9 O9:BP9" numberStoredAsText="1" formula="1" formulaRange="1" unlockedFormula="1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M128"/>
  <sheetViews>
    <sheetView showGridLines="0" zoomScaleNormal="100" workbookViewId="0">
      <pane xSplit="29" ySplit="3" topLeftCell="CZ4" activePane="bottomRight" state="frozen"/>
      <selection pane="topRight"/>
      <selection pane="bottomLeft"/>
      <selection pane="bottomRight" activeCell="B7" sqref="B7"/>
    </sheetView>
  </sheetViews>
  <sheetFormatPr defaultRowHeight="14.25" customHeight="1" x14ac:dyDescent="0.15"/>
  <cols>
    <col min="1" max="1" width="9" customWidth="1"/>
    <col min="2" max="2" width="16" customWidth="1"/>
    <col min="3" max="3" width="7" customWidth="1"/>
    <col min="4" max="4" width="9" customWidth="1"/>
    <col min="5" max="29" width="4" hidden="1" customWidth="1"/>
    <col min="30" max="269" width="2.75" customWidth="1"/>
    <col min="270" max="271" width="13" hidden="1" customWidth="1"/>
    <col min="272" max="273" width="4" hidden="1" customWidth="1"/>
  </cols>
  <sheetData>
    <row r="1" spans="1:273" ht="14.25" customHeight="1" x14ac:dyDescent="0.15">
      <c r="A1" s="55" t="s">
        <v>0</v>
      </c>
      <c r="B1" s="44">
        <v>46174</v>
      </c>
      <c r="C1" s="45" t="s">
        <v>1</v>
      </c>
      <c r="AD1" s="46">
        <f>IF(AD2="","",MONTH(AD2))</f>
        <v>6</v>
      </c>
      <c r="AE1" s="46" t="str">
        <f t="shared" ref="AE1:CP1" si="0">IF(MONTH(AE2)&lt;&gt;MONTH(AD2),MONTH(AE2),"")</f>
        <v/>
      </c>
      <c r="AF1" s="46" t="str">
        <f t="shared" si="0"/>
        <v/>
      </c>
      <c r="AG1" s="46" t="str">
        <f t="shared" si="0"/>
        <v/>
      </c>
      <c r="AH1" s="46" t="str">
        <f t="shared" si="0"/>
        <v/>
      </c>
      <c r="AI1" s="46" t="str">
        <f t="shared" si="0"/>
        <v/>
      </c>
      <c r="AJ1" s="46" t="str">
        <f t="shared" si="0"/>
        <v/>
      </c>
      <c r="AK1" s="46" t="str">
        <f t="shared" si="0"/>
        <v/>
      </c>
      <c r="AL1" s="46" t="str">
        <f t="shared" si="0"/>
        <v/>
      </c>
      <c r="AM1" s="46" t="str">
        <f t="shared" si="0"/>
        <v/>
      </c>
      <c r="AN1" s="46" t="str">
        <f t="shared" si="0"/>
        <v/>
      </c>
      <c r="AO1" s="46" t="str">
        <f t="shared" si="0"/>
        <v/>
      </c>
      <c r="AP1" s="46" t="str">
        <f t="shared" si="0"/>
        <v/>
      </c>
      <c r="AQ1" s="46" t="str">
        <f t="shared" si="0"/>
        <v/>
      </c>
      <c r="AR1" s="46" t="str">
        <f t="shared" si="0"/>
        <v/>
      </c>
      <c r="AS1" s="46" t="str">
        <f t="shared" si="0"/>
        <v/>
      </c>
      <c r="AT1" s="46" t="str">
        <f t="shared" si="0"/>
        <v/>
      </c>
      <c r="AU1" s="46" t="str">
        <f t="shared" si="0"/>
        <v/>
      </c>
      <c r="AV1" s="46" t="str">
        <f t="shared" si="0"/>
        <v/>
      </c>
      <c r="AW1" s="46" t="str">
        <f t="shared" si="0"/>
        <v/>
      </c>
      <c r="AX1" s="46" t="str">
        <f t="shared" si="0"/>
        <v/>
      </c>
      <c r="AY1" s="46" t="str">
        <f t="shared" si="0"/>
        <v/>
      </c>
      <c r="AZ1" s="46">
        <f t="shared" si="0"/>
        <v>7</v>
      </c>
      <c r="BA1" s="46" t="str">
        <f t="shared" si="0"/>
        <v/>
      </c>
      <c r="BB1" s="46" t="str">
        <f t="shared" si="0"/>
        <v/>
      </c>
      <c r="BC1" s="46" t="str">
        <f t="shared" si="0"/>
        <v/>
      </c>
      <c r="BD1" s="46" t="str">
        <f t="shared" si="0"/>
        <v/>
      </c>
      <c r="BE1" s="46" t="str">
        <f t="shared" si="0"/>
        <v/>
      </c>
      <c r="BF1" s="46" t="str">
        <f t="shared" si="0"/>
        <v/>
      </c>
      <c r="BG1" s="46" t="str">
        <f t="shared" si="0"/>
        <v/>
      </c>
      <c r="BH1" s="46" t="str">
        <f t="shared" si="0"/>
        <v/>
      </c>
      <c r="BI1" s="46" t="str">
        <f t="shared" si="0"/>
        <v/>
      </c>
      <c r="BJ1" s="46" t="str">
        <f t="shared" si="0"/>
        <v/>
      </c>
      <c r="BK1" s="46" t="str">
        <f t="shared" si="0"/>
        <v/>
      </c>
      <c r="BL1" s="46" t="str">
        <f t="shared" si="0"/>
        <v/>
      </c>
      <c r="BM1" s="46" t="str">
        <f t="shared" si="0"/>
        <v/>
      </c>
      <c r="BN1" s="46" t="str">
        <f t="shared" si="0"/>
        <v/>
      </c>
      <c r="BO1" s="46" t="str">
        <f t="shared" si="0"/>
        <v/>
      </c>
      <c r="BP1" s="46" t="str">
        <f t="shared" si="0"/>
        <v/>
      </c>
      <c r="BQ1" s="46" t="str">
        <f t="shared" si="0"/>
        <v/>
      </c>
      <c r="BR1" s="46" t="str">
        <f t="shared" si="0"/>
        <v/>
      </c>
      <c r="BS1" s="46" t="str">
        <f t="shared" si="0"/>
        <v/>
      </c>
      <c r="BT1" s="46" t="str">
        <f t="shared" si="0"/>
        <v/>
      </c>
      <c r="BU1" s="46" t="str">
        <f t="shared" si="0"/>
        <v/>
      </c>
      <c r="BV1" s="46">
        <f t="shared" si="0"/>
        <v>8</v>
      </c>
      <c r="BW1" s="46" t="str">
        <f t="shared" si="0"/>
        <v/>
      </c>
      <c r="BX1" s="46" t="str">
        <f t="shared" si="0"/>
        <v/>
      </c>
      <c r="BY1" s="46" t="str">
        <f t="shared" si="0"/>
        <v/>
      </c>
      <c r="BZ1" s="46" t="str">
        <f t="shared" si="0"/>
        <v/>
      </c>
      <c r="CA1" s="46" t="str">
        <f t="shared" si="0"/>
        <v/>
      </c>
      <c r="CB1" s="46" t="str">
        <f t="shared" si="0"/>
        <v/>
      </c>
      <c r="CC1" s="46" t="str">
        <f t="shared" si="0"/>
        <v/>
      </c>
      <c r="CD1" s="46" t="str">
        <f t="shared" si="0"/>
        <v/>
      </c>
      <c r="CE1" s="46" t="str">
        <f t="shared" si="0"/>
        <v/>
      </c>
      <c r="CF1" s="46" t="str">
        <f t="shared" si="0"/>
        <v/>
      </c>
      <c r="CG1" s="46" t="str">
        <f t="shared" si="0"/>
        <v/>
      </c>
      <c r="CH1" s="46" t="str">
        <f t="shared" si="0"/>
        <v/>
      </c>
      <c r="CI1" s="46" t="str">
        <f t="shared" si="0"/>
        <v/>
      </c>
      <c r="CJ1" s="46" t="str">
        <f t="shared" si="0"/>
        <v/>
      </c>
      <c r="CK1" s="46" t="str">
        <f t="shared" si="0"/>
        <v/>
      </c>
      <c r="CL1" s="46" t="str">
        <f t="shared" si="0"/>
        <v/>
      </c>
      <c r="CM1" s="46">
        <f t="shared" si="0"/>
        <v>9</v>
      </c>
      <c r="CN1" s="46" t="str">
        <f t="shared" si="0"/>
        <v/>
      </c>
      <c r="CO1" s="46" t="str">
        <f t="shared" si="0"/>
        <v/>
      </c>
      <c r="CP1" s="46" t="str">
        <f t="shared" si="0"/>
        <v/>
      </c>
      <c r="CQ1" s="46" t="str">
        <f t="shared" ref="CQ1:FB1" si="1">IF(MONTH(CQ2)&lt;&gt;MONTH(CP2),MONTH(CQ2),"")</f>
        <v/>
      </c>
      <c r="CR1" s="46" t="str">
        <f t="shared" si="1"/>
        <v/>
      </c>
      <c r="CS1" s="46" t="str">
        <f t="shared" si="1"/>
        <v/>
      </c>
      <c r="CT1" s="46" t="str">
        <f t="shared" si="1"/>
        <v/>
      </c>
      <c r="CU1" s="46" t="str">
        <f t="shared" si="1"/>
        <v/>
      </c>
      <c r="CV1" s="46" t="str">
        <f t="shared" si="1"/>
        <v/>
      </c>
      <c r="CW1" s="46" t="str">
        <f t="shared" si="1"/>
        <v/>
      </c>
      <c r="CX1" s="46" t="str">
        <f t="shared" si="1"/>
        <v/>
      </c>
      <c r="CY1" s="46" t="str">
        <f t="shared" si="1"/>
        <v/>
      </c>
      <c r="CZ1" s="46" t="str">
        <f t="shared" si="1"/>
        <v/>
      </c>
      <c r="DA1" s="46" t="str">
        <f t="shared" si="1"/>
        <v/>
      </c>
      <c r="DB1" s="46" t="str">
        <f t="shared" si="1"/>
        <v/>
      </c>
      <c r="DC1" s="46" t="str">
        <f t="shared" si="1"/>
        <v/>
      </c>
      <c r="DD1" s="46" t="str">
        <f t="shared" si="1"/>
        <v/>
      </c>
      <c r="DE1" s="46" t="str">
        <f t="shared" si="1"/>
        <v/>
      </c>
      <c r="DF1" s="46">
        <f t="shared" si="1"/>
        <v>10</v>
      </c>
      <c r="DG1" s="46" t="str">
        <f t="shared" si="1"/>
        <v/>
      </c>
      <c r="DH1" s="46" t="str">
        <f t="shared" si="1"/>
        <v/>
      </c>
      <c r="DI1" s="46" t="str">
        <f t="shared" si="1"/>
        <v/>
      </c>
      <c r="DJ1" s="46" t="str">
        <f t="shared" si="1"/>
        <v/>
      </c>
      <c r="DK1" s="46" t="str">
        <f t="shared" si="1"/>
        <v/>
      </c>
      <c r="DL1" s="46" t="str">
        <f t="shared" si="1"/>
        <v/>
      </c>
      <c r="DM1" s="46" t="str">
        <f t="shared" si="1"/>
        <v/>
      </c>
      <c r="DN1" s="46" t="str">
        <f t="shared" si="1"/>
        <v/>
      </c>
      <c r="DO1" s="46" t="str">
        <f t="shared" si="1"/>
        <v/>
      </c>
      <c r="DP1" s="46" t="str">
        <f t="shared" si="1"/>
        <v/>
      </c>
      <c r="DQ1" s="46" t="str">
        <f t="shared" si="1"/>
        <v/>
      </c>
      <c r="DR1" s="46" t="str">
        <f t="shared" si="1"/>
        <v/>
      </c>
      <c r="DS1" s="46" t="str">
        <f t="shared" si="1"/>
        <v/>
      </c>
      <c r="DT1" s="46" t="str">
        <f t="shared" si="1"/>
        <v/>
      </c>
      <c r="DU1" s="46" t="str">
        <f t="shared" si="1"/>
        <v/>
      </c>
      <c r="DV1" s="46" t="str">
        <f t="shared" si="1"/>
        <v/>
      </c>
      <c r="DW1" s="46" t="str">
        <f t="shared" si="1"/>
        <v/>
      </c>
      <c r="DX1" s="46" t="str">
        <f t="shared" si="1"/>
        <v/>
      </c>
      <c r="DY1" s="46" t="str">
        <f t="shared" si="1"/>
        <v/>
      </c>
      <c r="DZ1" s="46" t="str">
        <f t="shared" si="1"/>
        <v/>
      </c>
      <c r="EA1" s="46">
        <f t="shared" si="1"/>
        <v>11</v>
      </c>
      <c r="EB1" s="46" t="str">
        <f t="shared" si="1"/>
        <v/>
      </c>
      <c r="EC1" s="46" t="str">
        <f t="shared" si="1"/>
        <v/>
      </c>
      <c r="ED1" s="46" t="str">
        <f t="shared" si="1"/>
        <v/>
      </c>
      <c r="EE1" s="46" t="str">
        <f t="shared" si="1"/>
        <v/>
      </c>
      <c r="EF1" s="46" t="str">
        <f t="shared" si="1"/>
        <v/>
      </c>
      <c r="EG1" s="46" t="str">
        <f t="shared" si="1"/>
        <v/>
      </c>
      <c r="EH1" s="46" t="str">
        <f t="shared" si="1"/>
        <v/>
      </c>
      <c r="EI1" s="46" t="str">
        <f t="shared" si="1"/>
        <v/>
      </c>
      <c r="EJ1" s="46" t="str">
        <f t="shared" si="1"/>
        <v/>
      </c>
      <c r="EK1" s="46" t="str">
        <f t="shared" si="1"/>
        <v/>
      </c>
      <c r="EL1" s="46" t="str">
        <f t="shared" si="1"/>
        <v/>
      </c>
      <c r="EM1" s="46" t="str">
        <f t="shared" si="1"/>
        <v/>
      </c>
      <c r="EN1" s="46" t="str">
        <f t="shared" si="1"/>
        <v/>
      </c>
      <c r="EO1" s="46" t="str">
        <f t="shared" si="1"/>
        <v/>
      </c>
      <c r="EP1" s="46" t="str">
        <f t="shared" si="1"/>
        <v/>
      </c>
      <c r="EQ1" s="46" t="str">
        <f t="shared" si="1"/>
        <v/>
      </c>
      <c r="ER1" s="46" t="str">
        <f t="shared" si="1"/>
        <v/>
      </c>
      <c r="ES1" s="46" t="str">
        <f t="shared" si="1"/>
        <v/>
      </c>
      <c r="ET1" s="46">
        <f t="shared" si="1"/>
        <v>12</v>
      </c>
      <c r="EU1" s="46" t="str">
        <f t="shared" si="1"/>
        <v/>
      </c>
      <c r="EV1" s="46" t="str">
        <f t="shared" si="1"/>
        <v/>
      </c>
      <c r="EW1" s="46" t="str">
        <f t="shared" si="1"/>
        <v/>
      </c>
      <c r="EX1" s="46" t="str">
        <f t="shared" si="1"/>
        <v/>
      </c>
      <c r="EY1" s="46" t="str">
        <f t="shared" si="1"/>
        <v/>
      </c>
      <c r="EZ1" s="46" t="str">
        <f t="shared" si="1"/>
        <v/>
      </c>
      <c r="FA1" s="46" t="str">
        <f t="shared" si="1"/>
        <v/>
      </c>
      <c r="FB1" s="46" t="str">
        <f t="shared" si="1"/>
        <v/>
      </c>
      <c r="FC1" s="46" t="str">
        <f t="shared" ref="FC1:HN1" si="2">IF(MONTH(FC2)&lt;&gt;MONTH(FB2),MONTH(FC2),"")</f>
        <v/>
      </c>
      <c r="FD1" s="46" t="str">
        <f t="shared" si="2"/>
        <v/>
      </c>
      <c r="FE1" s="46" t="str">
        <f t="shared" si="2"/>
        <v/>
      </c>
      <c r="FF1" s="46" t="str">
        <f t="shared" si="2"/>
        <v/>
      </c>
      <c r="FG1" s="46" t="str">
        <f t="shared" si="2"/>
        <v/>
      </c>
      <c r="FH1" s="46" t="str">
        <f t="shared" si="2"/>
        <v/>
      </c>
      <c r="FI1" s="46" t="str">
        <f t="shared" si="2"/>
        <v/>
      </c>
      <c r="FJ1" s="46" t="str">
        <f t="shared" si="2"/>
        <v/>
      </c>
      <c r="FK1" s="46" t="str">
        <f t="shared" si="2"/>
        <v/>
      </c>
      <c r="FL1" s="46" t="str">
        <f t="shared" si="2"/>
        <v/>
      </c>
      <c r="FM1" s="46" t="str">
        <f t="shared" si="2"/>
        <v/>
      </c>
      <c r="FN1" s="46">
        <f t="shared" si="2"/>
        <v>1</v>
      </c>
      <c r="FO1" s="46" t="str">
        <f t="shared" si="2"/>
        <v/>
      </c>
      <c r="FP1" s="46" t="str">
        <f t="shared" si="2"/>
        <v/>
      </c>
      <c r="FQ1" s="46" t="str">
        <f t="shared" si="2"/>
        <v/>
      </c>
      <c r="FR1" s="46" t="str">
        <f t="shared" si="2"/>
        <v/>
      </c>
      <c r="FS1" s="46" t="str">
        <f t="shared" si="2"/>
        <v/>
      </c>
      <c r="FT1" s="46" t="str">
        <f t="shared" si="2"/>
        <v/>
      </c>
      <c r="FU1" s="46" t="str">
        <f t="shared" si="2"/>
        <v/>
      </c>
      <c r="FV1" s="46" t="str">
        <f t="shared" si="2"/>
        <v/>
      </c>
      <c r="FW1" s="46" t="str">
        <f t="shared" si="2"/>
        <v/>
      </c>
      <c r="FX1" s="46" t="str">
        <f t="shared" si="2"/>
        <v/>
      </c>
      <c r="FY1" s="46" t="str">
        <f t="shared" si="2"/>
        <v/>
      </c>
      <c r="FZ1" s="46" t="str">
        <f t="shared" si="2"/>
        <v/>
      </c>
      <c r="GA1" s="46" t="str">
        <f t="shared" si="2"/>
        <v/>
      </c>
      <c r="GB1" s="46" t="str">
        <f t="shared" si="2"/>
        <v/>
      </c>
      <c r="GC1" s="46" t="str">
        <f t="shared" si="2"/>
        <v/>
      </c>
      <c r="GD1" s="46" t="str">
        <f t="shared" si="2"/>
        <v/>
      </c>
      <c r="GE1" s="46" t="str">
        <f t="shared" si="2"/>
        <v/>
      </c>
      <c r="GF1" s="46">
        <f t="shared" si="2"/>
        <v>2</v>
      </c>
      <c r="GG1" s="46" t="str">
        <f t="shared" si="2"/>
        <v/>
      </c>
      <c r="GH1" s="46" t="str">
        <f t="shared" si="2"/>
        <v/>
      </c>
      <c r="GI1" s="46" t="str">
        <f t="shared" si="2"/>
        <v/>
      </c>
      <c r="GJ1" s="46" t="str">
        <f t="shared" si="2"/>
        <v/>
      </c>
      <c r="GK1" s="46" t="str">
        <f t="shared" si="2"/>
        <v/>
      </c>
      <c r="GL1" s="46" t="str">
        <f t="shared" si="2"/>
        <v/>
      </c>
      <c r="GM1" s="46" t="str">
        <f t="shared" si="2"/>
        <v/>
      </c>
      <c r="GN1" s="46" t="str">
        <f t="shared" si="2"/>
        <v/>
      </c>
      <c r="GO1" s="46" t="str">
        <f t="shared" si="2"/>
        <v/>
      </c>
      <c r="GP1" s="46" t="str">
        <f t="shared" si="2"/>
        <v/>
      </c>
      <c r="GQ1" s="46" t="str">
        <f t="shared" si="2"/>
        <v/>
      </c>
      <c r="GR1" s="46" t="str">
        <f t="shared" si="2"/>
        <v/>
      </c>
      <c r="GS1" s="46" t="str">
        <f t="shared" si="2"/>
        <v/>
      </c>
      <c r="GT1" s="46" t="str">
        <f t="shared" si="2"/>
        <v/>
      </c>
      <c r="GU1" s="46" t="str">
        <f t="shared" si="2"/>
        <v/>
      </c>
      <c r="GV1" s="46" t="str">
        <f t="shared" si="2"/>
        <v/>
      </c>
      <c r="GW1" s="46" t="str">
        <f t="shared" si="2"/>
        <v/>
      </c>
      <c r="GX1" s="46">
        <f t="shared" si="2"/>
        <v>3</v>
      </c>
      <c r="GY1" s="46" t="str">
        <f t="shared" si="2"/>
        <v/>
      </c>
      <c r="GZ1" s="46" t="str">
        <f t="shared" si="2"/>
        <v/>
      </c>
      <c r="HA1" s="46" t="str">
        <f t="shared" si="2"/>
        <v/>
      </c>
      <c r="HB1" s="46" t="str">
        <f t="shared" si="2"/>
        <v/>
      </c>
      <c r="HC1" s="46" t="str">
        <f t="shared" si="2"/>
        <v/>
      </c>
      <c r="HD1" s="46" t="str">
        <f t="shared" si="2"/>
        <v/>
      </c>
      <c r="HE1" s="46" t="str">
        <f t="shared" si="2"/>
        <v/>
      </c>
      <c r="HF1" s="46" t="str">
        <f t="shared" si="2"/>
        <v/>
      </c>
      <c r="HG1" s="46" t="str">
        <f t="shared" si="2"/>
        <v/>
      </c>
      <c r="HH1" s="46" t="str">
        <f t="shared" si="2"/>
        <v/>
      </c>
      <c r="HI1" s="46" t="str">
        <f t="shared" si="2"/>
        <v/>
      </c>
      <c r="HJ1" s="46" t="str">
        <f t="shared" si="2"/>
        <v/>
      </c>
      <c r="HK1" s="46" t="str">
        <f t="shared" si="2"/>
        <v/>
      </c>
      <c r="HL1" s="46" t="str">
        <f t="shared" si="2"/>
        <v/>
      </c>
      <c r="HM1" s="46" t="str">
        <f t="shared" si="2"/>
        <v/>
      </c>
      <c r="HN1" s="46" t="str">
        <f t="shared" si="2"/>
        <v/>
      </c>
      <c r="HO1" s="46" t="str">
        <f t="shared" ref="HO1:JI1" si="3">IF(MONTH(HO2)&lt;&gt;MONTH(HN2),MONTH(HO2),"")</f>
        <v/>
      </c>
      <c r="HP1" s="46" t="str">
        <f t="shared" si="3"/>
        <v/>
      </c>
      <c r="HQ1" s="46" t="str">
        <f t="shared" si="3"/>
        <v/>
      </c>
      <c r="HR1" s="46" t="str">
        <f t="shared" si="3"/>
        <v/>
      </c>
      <c r="HS1" s="46" t="str">
        <f t="shared" si="3"/>
        <v/>
      </c>
      <c r="HT1" s="46">
        <f t="shared" si="3"/>
        <v>4</v>
      </c>
      <c r="HU1" s="46" t="str">
        <f t="shared" si="3"/>
        <v/>
      </c>
      <c r="HV1" s="46" t="str">
        <f t="shared" si="3"/>
        <v/>
      </c>
      <c r="HW1" s="46" t="str">
        <f t="shared" si="3"/>
        <v/>
      </c>
      <c r="HX1" s="46" t="str">
        <f t="shared" si="3"/>
        <v/>
      </c>
      <c r="HY1" s="46" t="str">
        <f t="shared" si="3"/>
        <v/>
      </c>
      <c r="HZ1" s="46" t="str">
        <f t="shared" si="3"/>
        <v/>
      </c>
      <c r="IA1" s="46" t="str">
        <f t="shared" si="3"/>
        <v/>
      </c>
      <c r="IB1" s="46" t="str">
        <f t="shared" si="3"/>
        <v/>
      </c>
      <c r="IC1" s="46" t="str">
        <f t="shared" si="3"/>
        <v/>
      </c>
      <c r="ID1" s="46" t="str">
        <f t="shared" si="3"/>
        <v/>
      </c>
      <c r="IE1" s="46" t="str">
        <f t="shared" si="3"/>
        <v/>
      </c>
      <c r="IF1" s="46" t="str">
        <f t="shared" si="3"/>
        <v/>
      </c>
      <c r="IG1" s="46" t="str">
        <f t="shared" si="3"/>
        <v/>
      </c>
      <c r="IH1" s="46" t="str">
        <f t="shared" si="3"/>
        <v/>
      </c>
      <c r="II1" s="46" t="str">
        <f t="shared" si="3"/>
        <v/>
      </c>
      <c r="IJ1" s="46" t="str">
        <f t="shared" si="3"/>
        <v/>
      </c>
      <c r="IK1" s="46" t="str">
        <f t="shared" si="3"/>
        <v/>
      </c>
      <c r="IL1" s="46" t="str">
        <f t="shared" si="3"/>
        <v/>
      </c>
      <c r="IM1" s="46" t="str">
        <f t="shared" si="3"/>
        <v/>
      </c>
      <c r="IN1" s="46" t="str">
        <f t="shared" si="3"/>
        <v/>
      </c>
      <c r="IO1" s="46">
        <f t="shared" si="3"/>
        <v>5</v>
      </c>
      <c r="IP1" s="46" t="str">
        <f t="shared" si="3"/>
        <v/>
      </c>
      <c r="IQ1" s="46" t="str">
        <f t="shared" si="3"/>
        <v/>
      </c>
      <c r="IR1" s="46" t="str">
        <f t="shared" si="3"/>
        <v/>
      </c>
      <c r="IS1" s="46" t="str">
        <f t="shared" si="3"/>
        <v/>
      </c>
      <c r="IT1" s="46" t="str">
        <f t="shared" si="3"/>
        <v/>
      </c>
      <c r="IU1" s="46" t="str">
        <f t="shared" si="3"/>
        <v/>
      </c>
      <c r="IV1" s="46" t="str">
        <f t="shared" si="3"/>
        <v/>
      </c>
      <c r="IW1" s="46" t="str">
        <f t="shared" si="3"/>
        <v/>
      </c>
      <c r="IX1" s="46" t="str">
        <f t="shared" si="3"/>
        <v/>
      </c>
      <c r="IY1" s="46" t="str">
        <f t="shared" si="3"/>
        <v/>
      </c>
      <c r="IZ1" s="46" t="str">
        <f t="shared" si="3"/>
        <v/>
      </c>
      <c r="JA1" s="46" t="str">
        <f t="shared" si="3"/>
        <v/>
      </c>
      <c r="JB1" s="46" t="str">
        <f t="shared" si="3"/>
        <v/>
      </c>
      <c r="JC1" s="46" t="str">
        <f t="shared" si="3"/>
        <v/>
      </c>
      <c r="JD1" s="46" t="str">
        <f t="shared" si="3"/>
        <v/>
      </c>
      <c r="JE1" s="46" t="str">
        <f t="shared" si="3"/>
        <v/>
      </c>
      <c r="JF1" s="46" t="str">
        <f t="shared" si="3"/>
        <v/>
      </c>
      <c r="JG1" s="46">
        <f t="shared" si="3"/>
        <v>6</v>
      </c>
      <c r="JH1" s="46" t="str">
        <f t="shared" si="3"/>
        <v/>
      </c>
      <c r="JI1" s="46" t="str">
        <f t="shared" si="3"/>
        <v/>
      </c>
    </row>
    <row r="2" spans="1:273" ht="14.25" customHeight="1" x14ac:dyDescent="0.15">
      <c r="A2" s="43" t="s">
        <v>2</v>
      </c>
      <c r="B2" s="47">
        <f ca="1">工数管理!$AI$1</f>
        <v>46302</v>
      </c>
      <c r="AD2" s="48">
        <f>WORKDAY($B$1-1,1,祝日!$A$2:$A$200)</f>
        <v>46174</v>
      </c>
      <c r="AE2" s="48">
        <f>WORKDAY(AD2,1,祝日!$A$2:$A$200)</f>
        <v>46175</v>
      </c>
      <c r="AF2" s="48">
        <f>WORKDAY(AE2,1,祝日!$A$2:$A$200)</f>
        <v>46176</v>
      </c>
      <c r="AG2" s="48">
        <f>WORKDAY(AF2,1,祝日!$A$2:$A$200)</f>
        <v>46177</v>
      </c>
      <c r="AH2" s="48">
        <f>WORKDAY(AG2,1,祝日!$A$2:$A$200)</f>
        <v>46178</v>
      </c>
      <c r="AI2" s="48">
        <f>WORKDAY(AH2,1,祝日!$A$2:$A$200)</f>
        <v>46181</v>
      </c>
      <c r="AJ2" s="48">
        <f>WORKDAY(AI2,1,祝日!$A$2:$A$200)</f>
        <v>46182</v>
      </c>
      <c r="AK2" s="48">
        <f>WORKDAY(AJ2,1,祝日!$A$2:$A$200)</f>
        <v>46183</v>
      </c>
      <c r="AL2" s="48">
        <f>WORKDAY(AK2,1,祝日!$A$2:$A$200)</f>
        <v>46184</v>
      </c>
      <c r="AM2" s="48">
        <f>WORKDAY(AL2,1,祝日!$A$2:$A$200)</f>
        <v>46185</v>
      </c>
      <c r="AN2" s="48">
        <f>WORKDAY(AM2,1,祝日!$A$2:$A$200)</f>
        <v>46188</v>
      </c>
      <c r="AO2" s="48">
        <f>WORKDAY(AN2,1,祝日!$A$2:$A$200)</f>
        <v>46189</v>
      </c>
      <c r="AP2" s="48">
        <f>WORKDAY(AO2,1,祝日!$A$2:$A$200)</f>
        <v>46190</v>
      </c>
      <c r="AQ2" s="48">
        <f>WORKDAY(AP2,1,祝日!$A$2:$A$200)</f>
        <v>46191</v>
      </c>
      <c r="AR2" s="48">
        <f>WORKDAY(AQ2,1,祝日!$A$2:$A$200)</f>
        <v>46192</v>
      </c>
      <c r="AS2" s="48">
        <f>WORKDAY(AR2,1,祝日!$A$2:$A$200)</f>
        <v>46195</v>
      </c>
      <c r="AT2" s="48">
        <f>WORKDAY(AS2,1,祝日!$A$2:$A$200)</f>
        <v>46196</v>
      </c>
      <c r="AU2" s="48">
        <f>WORKDAY(AT2,1,祝日!$A$2:$A$200)</f>
        <v>46197</v>
      </c>
      <c r="AV2" s="48">
        <f>WORKDAY(AU2,1,祝日!$A$2:$A$200)</f>
        <v>46198</v>
      </c>
      <c r="AW2" s="48">
        <f>WORKDAY(AV2,1,祝日!$A$2:$A$200)</f>
        <v>46199</v>
      </c>
      <c r="AX2" s="48">
        <f>WORKDAY(AW2,1,祝日!$A$2:$A$200)</f>
        <v>46202</v>
      </c>
      <c r="AY2" s="48">
        <f>WORKDAY(AX2,1,祝日!$A$2:$A$200)</f>
        <v>46203</v>
      </c>
      <c r="AZ2" s="48">
        <f>WORKDAY(AY2,1,祝日!$A$2:$A$200)</f>
        <v>46204</v>
      </c>
      <c r="BA2" s="48">
        <f>WORKDAY(AZ2,1,祝日!$A$2:$A$200)</f>
        <v>46205</v>
      </c>
      <c r="BB2" s="48">
        <f>WORKDAY(BA2,1,祝日!$A$2:$A$200)</f>
        <v>46206</v>
      </c>
      <c r="BC2" s="48">
        <f>WORKDAY(BB2,1,祝日!$A$2:$A$200)</f>
        <v>46209</v>
      </c>
      <c r="BD2" s="48">
        <f>WORKDAY(BC2,1,祝日!$A$2:$A$200)</f>
        <v>46210</v>
      </c>
      <c r="BE2" s="48">
        <f>WORKDAY(BD2,1,祝日!$A$2:$A$200)</f>
        <v>46211</v>
      </c>
      <c r="BF2" s="48">
        <f>WORKDAY(BE2,1,祝日!$A$2:$A$200)</f>
        <v>46212</v>
      </c>
      <c r="BG2" s="48">
        <f>WORKDAY(BF2,1,祝日!$A$2:$A$200)</f>
        <v>46213</v>
      </c>
      <c r="BH2" s="48">
        <f>WORKDAY(BG2,1,祝日!$A$2:$A$200)</f>
        <v>46216</v>
      </c>
      <c r="BI2" s="48">
        <f>WORKDAY(BH2,1,祝日!$A$2:$A$200)</f>
        <v>46217</v>
      </c>
      <c r="BJ2" s="48">
        <f>WORKDAY(BI2,1,祝日!$A$2:$A$200)</f>
        <v>46218</v>
      </c>
      <c r="BK2" s="48">
        <f>WORKDAY(BJ2,1,祝日!$A$2:$A$200)</f>
        <v>46219</v>
      </c>
      <c r="BL2" s="48">
        <f>WORKDAY(BK2,1,祝日!$A$2:$A$200)</f>
        <v>46220</v>
      </c>
      <c r="BM2" s="48">
        <f>WORKDAY(BL2,1,祝日!$A$2:$A$200)</f>
        <v>46224</v>
      </c>
      <c r="BN2" s="48">
        <f>WORKDAY(BM2,1,祝日!$A$2:$A$200)</f>
        <v>46225</v>
      </c>
      <c r="BO2" s="48">
        <f>WORKDAY(BN2,1,祝日!$A$2:$A$200)</f>
        <v>46226</v>
      </c>
      <c r="BP2" s="48">
        <f>WORKDAY(BO2,1,祝日!$A$2:$A$200)</f>
        <v>46227</v>
      </c>
      <c r="BQ2" s="48">
        <f>WORKDAY(BP2,1,祝日!$A$2:$A$200)</f>
        <v>46230</v>
      </c>
      <c r="BR2" s="48">
        <f>WORKDAY(BQ2,1,祝日!$A$2:$A$200)</f>
        <v>46231</v>
      </c>
      <c r="BS2" s="48">
        <f>WORKDAY(BR2,1,祝日!$A$2:$A$200)</f>
        <v>46232</v>
      </c>
      <c r="BT2" s="48">
        <f>WORKDAY(BS2,1,祝日!$A$2:$A$200)</f>
        <v>46233</v>
      </c>
      <c r="BU2" s="48">
        <f>WORKDAY(BT2,1,祝日!$A$2:$A$200)</f>
        <v>46234</v>
      </c>
      <c r="BV2" s="48">
        <f>WORKDAY(BU2,1,祝日!$A$2:$A$200)</f>
        <v>46237</v>
      </c>
      <c r="BW2" s="48">
        <f>WORKDAY(BV2,1,祝日!$A$2:$A$200)</f>
        <v>46238</v>
      </c>
      <c r="BX2" s="48">
        <f>WORKDAY(BW2,1,祝日!$A$2:$A$200)</f>
        <v>46239</v>
      </c>
      <c r="BY2" s="48">
        <f>WORKDAY(BX2,1,祝日!$A$2:$A$200)</f>
        <v>46240</v>
      </c>
      <c r="BZ2" s="48">
        <f>WORKDAY(BY2,1,祝日!$A$2:$A$200)</f>
        <v>46241</v>
      </c>
      <c r="CA2" s="48">
        <f>WORKDAY(BZ2,1,祝日!$A$2:$A$200)</f>
        <v>46244</v>
      </c>
      <c r="CB2" s="48">
        <f>WORKDAY(CA2,1,祝日!$A$2:$A$200)</f>
        <v>46251</v>
      </c>
      <c r="CC2" s="48">
        <f>WORKDAY(CB2,1,祝日!$A$2:$A$200)</f>
        <v>46252</v>
      </c>
      <c r="CD2" s="48">
        <f>WORKDAY(CC2,1,祝日!$A$2:$A$200)</f>
        <v>46253</v>
      </c>
      <c r="CE2" s="48">
        <f>WORKDAY(CD2,1,祝日!$A$2:$A$200)</f>
        <v>46254</v>
      </c>
      <c r="CF2" s="48">
        <f>WORKDAY(CE2,1,祝日!$A$2:$A$200)</f>
        <v>46255</v>
      </c>
      <c r="CG2" s="48">
        <f>WORKDAY(CF2,1,祝日!$A$2:$A$200)</f>
        <v>46258</v>
      </c>
      <c r="CH2" s="48">
        <f>WORKDAY(CG2,1,祝日!$A$2:$A$200)</f>
        <v>46259</v>
      </c>
      <c r="CI2" s="48">
        <f>WORKDAY(CH2,1,祝日!$A$2:$A$200)</f>
        <v>46260</v>
      </c>
      <c r="CJ2" s="48">
        <f>WORKDAY(CI2,1,祝日!$A$2:$A$200)</f>
        <v>46261</v>
      </c>
      <c r="CK2" s="48">
        <f>WORKDAY(CJ2,1,祝日!$A$2:$A$200)</f>
        <v>46262</v>
      </c>
      <c r="CL2" s="48">
        <f>WORKDAY(CK2,1,祝日!$A$2:$A$200)</f>
        <v>46265</v>
      </c>
      <c r="CM2" s="48">
        <f>WORKDAY(CL2,1,祝日!$A$2:$A$200)</f>
        <v>46266</v>
      </c>
      <c r="CN2" s="48">
        <f>WORKDAY(CM2,1,祝日!$A$2:$A$200)</f>
        <v>46267</v>
      </c>
      <c r="CO2" s="48">
        <f>WORKDAY(CN2,1,祝日!$A$2:$A$200)</f>
        <v>46268</v>
      </c>
      <c r="CP2" s="48">
        <f>WORKDAY(CO2,1,祝日!$A$2:$A$200)</f>
        <v>46269</v>
      </c>
      <c r="CQ2" s="48">
        <f>WORKDAY(CP2,1,祝日!$A$2:$A$200)</f>
        <v>46272</v>
      </c>
      <c r="CR2" s="48">
        <f>WORKDAY(CQ2,1,祝日!$A$2:$A$200)</f>
        <v>46273</v>
      </c>
      <c r="CS2" s="48">
        <f>WORKDAY(CR2,1,祝日!$A$2:$A$200)</f>
        <v>46274</v>
      </c>
      <c r="CT2" s="48">
        <f>WORKDAY(CS2,1,祝日!$A$2:$A$200)</f>
        <v>46275</v>
      </c>
      <c r="CU2" s="48">
        <f>WORKDAY(CT2,1,祝日!$A$2:$A$200)</f>
        <v>46276</v>
      </c>
      <c r="CV2" s="48">
        <f>WORKDAY(CU2,1,祝日!$A$2:$A$200)</f>
        <v>46279</v>
      </c>
      <c r="CW2" s="48">
        <f>WORKDAY(CV2,1,祝日!$A$2:$A$200)</f>
        <v>46280</v>
      </c>
      <c r="CX2" s="48">
        <f>WORKDAY(CW2,1,祝日!$A$2:$A$200)</f>
        <v>46281</v>
      </c>
      <c r="CY2" s="48">
        <f>WORKDAY(CX2,1,祝日!$A$2:$A$200)</f>
        <v>46282</v>
      </c>
      <c r="CZ2" s="48">
        <f>WORKDAY(CY2,1,祝日!$A$2:$A$200)</f>
        <v>46283</v>
      </c>
      <c r="DA2" s="48">
        <f>WORKDAY(CZ2,1,祝日!$A$2:$A$200)</f>
        <v>46289</v>
      </c>
      <c r="DB2" s="48">
        <f>WORKDAY(DA2,1,祝日!$A$2:$A$200)</f>
        <v>46290</v>
      </c>
      <c r="DC2" s="48">
        <f>WORKDAY(DB2,1,祝日!$A$2:$A$200)</f>
        <v>46293</v>
      </c>
      <c r="DD2" s="48">
        <f>WORKDAY(DC2,1,祝日!$A$2:$A$200)</f>
        <v>46294</v>
      </c>
      <c r="DE2" s="48">
        <f>WORKDAY(DD2,1,祝日!$A$2:$A$200)</f>
        <v>46295</v>
      </c>
      <c r="DF2" s="48">
        <f>WORKDAY(DE2,1,祝日!$A$2:$A$200)</f>
        <v>46296</v>
      </c>
      <c r="DG2" s="48">
        <f>WORKDAY(DF2,1,祝日!$A$2:$A$200)</f>
        <v>46297</v>
      </c>
      <c r="DH2" s="48">
        <f>WORKDAY(DG2,1,祝日!$A$2:$A$200)</f>
        <v>46300</v>
      </c>
      <c r="DI2" s="48">
        <f>WORKDAY(DH2,1,祝日!$A$2:$A$200)</f>
        <v>46301</v>
      </c>
      <c r="DJ2" s="48">
        <f>WORKDAY(DI2,1,祝日!$A$2:$A$200)</f>
        <v>46302</v>
      </c>
      <c r="DK2" s="48">
        <f>WORKDAY(DJ2,1,祝日!$A$2:$A$200)</f>
        <v>46303</v>
      </c>
      <c r="DL2" s="48">
        <f>WORKDAY(DK2,1,祝日!$A$2:$A$200)</f>
        <v>46304</v>
      </c>
      <c r="DM2" s="48">
        <f>WORKDAY(DL2,1,祝日!$A$2:$A$200)</f>
        <v>46308</v>
      </c>
      <c r="DN2" s="48">
        <f>WORKDAY(DM2,1,祝日!$A$2:$A$200)</f>
        <v>46309</v>
      </c>
      <c r="DO2" s="48">
        <f>WORKDAY(DN2,1,祝日!$A$2:$A$200)</f>
        <v>46310</v>
      </c>
      <c r="DP2" s="48">
        <f>WORKDAY(DO2,1,祝日!$A$2:$A$200)</f>
        <v>46311</v>
      </c>
      <c r="DQ2" s="48">
        <f>WORKDAY(DP2,1,祝日!$A$2:$A$200)</f>
        <v>46314</v>
      </c>
      <c r="DR2" s="48">
        <f>WORKDAY(DQ2,1,祝日!$A$2:$A$200)</f>
        <v>46315</v>
      </c>
      <c r="DS2" s="48">
        <f>WORKDAY(DR2,1,祝日!$A$2:$A$200)</f>
        <v>46316</v>
      </c>
      <c r="DT2" s="48">
        <f>WORKDAY(DS2,1,祝日!$A$2:$A$200)</f>
        <v>46317</v>
      </c>
      <c r="DU2" s="48">
        <f>WORKDAY(DT2,1,祝日!$A$2:$A$200)</f>
        <v>46318</v>
      </c>
      <c r="DV2" s="48">
        <f>WORKDAY(DU2,1,祝日!$A$2:$A$200)</f>
        <v>46321</v>
      </c>
      <c r="DW2" s="48">
        <f>WORKDAY(DV2,1,祝日!$A$2:$A$200)</f>
        <v>46322</v>
      </c>
      <c r="DX2" s="48">
        <f>WORKDAY(DW2,1,祝日!$A$2:$A$200)</f>
        <v>46323</v>
      </c>
      <c r="DY2" s="48">
        <f>WORKDAY(DX2,1,祝日!$A$2:$A$200)</f>
        <v>46324</v>
      </c>
      <c r="DZ2" s="48">
        <f>WORKDAY(DY2,1,祝日!$A$2:$A$200)</f>
        <v>46325</v>
      </c>
      <c r="EA2" s="48">
        <f>WORKDAY(DZ2,1,祝日!$A$2:$A$200)</f>
        <v>46328</v>
      </c>
      <c r="EB2" s="48">
        <f>WORKDAY(EA2,1,祝日!$A$2:$A$200)</f>
        <v>46330</v>
      </c>
      <c r="EC2" s="48">
        <f>WORKDAY(EB2,1,祝日!$A$2:$A$200)</f>
        <v>46331</v>
      </c>
      <c r="ED2" s="48">
        <f>WORKDAY(EC2,1,祝日!$A$2:$A$200)</f>
        <v>46332</v>
      </c>
      <c r="EE2" s="48">
        <f>WORKDAY(ED2,1,祝日!$A$2:$A$200)</f>
        <v>46335</v>
      </c>
      <c r="EF2" s="48">
        <f>WORKDAY(EE2,1,祝日!$A$2:$A$200)</f>
        <v>46336</v>
      </c>
      <c r="EG2" s="48">
        <f>WORKDAY(EF2,1,祝日!$A$2:$A$200)</f>
        <v>46337</v>
      </c>
      <c r="EH2" s="48">
        <f>WORKDAY(EG2,1,祝日!$A$2:$A$200)</f>
        <v>46338</v>
      </c>
      <c r="EI2" s="48">
        <f>WORKDAY(EH2,1,祝日!$A$2:$A$200)</f>
        <v>46339</v>
      </c>
      <c r="EJ2" s="48">
        <f>WORKDAY(EI2,1,祝日!$A$2:$A$200)</f>
        <v>46342</v>
      </c>
      <c r="EK2" s="48">
        <f>WORKDAY(EJ2,1,祝日!$A$2:$A$200)</f>
        <v>46343</v>
      </c>
      <c r="EL2" s="48">
        <f>WORKDAY(EK2,1,祝日!$A$2:$A$200)</f>
        <v>46344</v>
      </c>
      <c r="EM2" s="48">
        <f>WORKDAY(EL2,1,祝日!$A$2:$A$200)</f>
        <v>46345</v>
      </c>
      <c r="EN2" s="48">
        <f>WORKDAY(EM2,1,祝日!$A$2:$A$200)</f>
        <v>46346</v>
      </c>
      <c r="EO2" s="48">
        <f>WORKDAY(EN2,1,祝日!$A$2:$A$200)</f>
        <v>46350</v>
      </c>
      <c r="EP2" s="48">
        <f>WORKDAY(EO2,1,祝日!$A$2:$A$200)</f>
        <v>46351</v>
      </c>
      <c r="EQ2" s="48">
        <f>WORKDAY(EP2,1,祝日!$A$2:$A$200)</f>
        <v>46352</v>
      </c>
      <c r="ER2" s="48">
        <f>WORKDAY(EQ2,1,祝日!$A$2:$A$200)</f>
        <v>46353</v>
      </c>
      <c r="ES2" s="48">
        <f>WORKDAY(ER2,1,祝日!$A$2:$A$200)</f>
        <v>46356</v>
      </c>
      <c r="ET2" s="48">
        <f>WORKDAY(ES2,1,祝日!$A$2:$A$200)</f>
        <v>46357</v>
      </c>
      <c r="EU2" s="48">
        <f>WORKDAY(ET2,1,祝日!$A$2:$A$200)</f>
        <v>46358</v>
      </c>
      <c r="EV2" s="48">
        <f>WORKDAY(EU2,1,祝日!$A$2:$A$200)</f>
        <v>46359</v>
      </c>
      <c r="EW2" s="48">
        <f>WORKDAY(EV2,1,祝日!$A$2:$A$200)</f>
        <v>46360</v>
      </c>
      <c r="EX2" s="48">
        <f>WORKDAY(EW2,1,祝日!$A$2:$A$200)</f>
        <v>46363</v>
      </c>
      <c r="EY2" s="48">
        <f>WORKDAY(EX2,1,祝日!$A$2:$A$200)</f>
        <v>46364</v>
      </c>
      <c r="EZ2" s="48">
        <f>WORKDAY(EY2,1,祝日!$A$2:$A$200)</f>
        <v>46365</v>
      </c>
      <c r="FA2" s="48">
        <f>WORKDAY(EZ2,1,祝日!$A$2:$A$200)</f>
        <v>46366</v>
      </c>
      <c r="FB2" s="48">
        <f>WORKDAY(FA2,1,祝日!$A$2:$A$200)</f>
        <v>46367</v>
      </c>
      <c r="FC2" s="48">
        <f>WORKDAY(FB2,1,祝日!$A$2:$A$200)</f>
        <v>46370</v>
      </c>
      <c r="FD2" s="48">
        <f>WORKDAY(FC2,1,祝日!$A$2:$A$200)</f>
        <v>46371</v>
      </c>
      <c r="FE2" s="48">
        <f>WORKDAY(FD2,1,祝日!$A$2:$A$200)</f>
        <v>46372</v>
      </c>
      <c r="FF2" s="48">
        <f>WORKDAY(FE2,1,祝日!$A$2:$A$200)</f>
        <v>46373</v>
      </c>
      <c r="FG2" s="48">
        <f>WORKDAY(FF2,1,祝日!$A$2:$A$200)</f>
        <v>46374</v>
      </c>
      <c r="FH2" s="48">
        <f>WORKDAY(FG2,1,祝日!$A$2:$A$200)</f>
        <v>46377</v>
      </c>
      <c r="FI2" s="48">
        <f>WORKDAY(FH2,1,祝日!$A$2:$A$200)</f>
        <v>46378</v>
      </c>
      <c r="FJ2" s="48">
        <f>WORKDAY(FI2,1,祝日!$A$2:$A$200)</f>
        <v>46379</v>
      </c>
      <c r="FK2" s="48">
        <f>WORKDAY(FJ2,1,祝日!$A$2:$A$200)</f>
        <v>46380</v>
      </c>
      <c r="FL2" s="48">
        <f>WORKDAY(FK2,1,祝日!$A$2:$A$200)</f>
        <v>46381</v>
      </c>
      <c r="FM2" s="48">
        <f>WORKDAY(FL2,1,祝日!$A$2:$A$200)</f>
        <v>46384</v>
      </c>
      <c r="FN2" s="48">
        <f>WORKDAY(FM2,1,祝日!$A$2:$A$200)</f>
        <v>46392</v>
      </c>
      <c r="FO2" s="48">
        <f>WORKDAY(FN2,1,祝日!$A$2:$A$200)</f>
        <v>46393</v>
      </c>
      <c r="FP2" s="48">
        <f>WORKDAY(FO2,1,祝日!$A$2:$A$200)</f>
        <v>46394</v>
      </c>
      <c r="FQ2" s="48">
        <f>WORKDAY(FP2,1,祝日!$A$2:$A$200)</f>
        <v>46395</v>
      </c>
      <c r="FR2" s="48">
        <f>WORKDAY(FQ2,1,祝日!$A$2:$A$200)</f>
        <v>46399</v>
      </c>
      <c r="FS2" s="48">
        <f>WORKDAY(FR2,1,祝日!$A$2:$A$200)</f>
        <v>46400</v>
      </c>
      <c r="FT2" s="48">
        <f>WORKDAY(FS2,1,祝日!$A$2:$A$200)</f>
        <v>46401</v>
      </c>
      <c r="FU2" s="48">
        <f>WORKDAY(FT2,1,祝日!$A$2:$A$200)</f>
        <v>46402</v>
      </c>
      <c r="FV2" s="48">
        <f>WORKDAY(FU2,1,祝日!$A$2:$A$200)</f>
        <v>46405</v>
      </c>
      <c r="FW2" s="48">
        <f>WORKDAY(FV2,1,祝日!$A$2:$A$200)</f>
        <v>46406</v>
      </c>
      <c r="FX2" s="48">
        <f>WORKDAY(FW2,1,祝日!$A$2:$A$200)</f>
        <v>46407</v>
      </c>
      <c r="FY2" s="48">
        <f>WORKDAY(FX2,1,祝日!$A$2:$A$200)</f>
        <v>46408</v>
      </c>
      <c r="FZ2" s="48">
        <f>WORKDAY(FY2,1,祝日!$A$2:$A$200)</f>
        <v>46409</v>
      </c>
      <c r="GA2" s="48">
        <f>WORKDAY(FZ2,1,祝日!$A$2:$A$200)</f>
        <v>46412</v>
      </c>
      <c r="GB2" s="48">
        <f>WORKDAY(GA2,1,祝日!$A$2:$A$200)</f>
        <v>46413</v>
      </c>
      <c r="GC2" s="48">
        <f>WORKDAY(GB2,1,祝日!$A$2:$A$200)</f>
        <v>46414</v>
      </c>
      <c r="GD2" s="48">
        <f>WORKDAY(GC2,1,祝日!$A$2:$A$200)</f>
        <v>46415</v>
      </c>
      <c r="GE2" s="48">
        <f>WORKDAY(GD2,1,祝日!$A$2:$A$200)</f>
        <v>46416</v>
      </c>
      <c r="GF2" s="48">
        <f>WORKDAY(GE2,1,祝日!$A$2:$A$200)</f>
        <v>46419</v>
      </c>
      <c r="GG2" s="48">
        <f>WORKDAY(GF2,1,祝日!$A$2:$A$200)</f>
        <v>46420</v>
      </c>
      <c r="GH2" s="48">
        <f>WORKDAY(GG2,1,祝日!$A$2:$A$200)</f>
        <v>46421</v>
      </c>
      <c r="GI2" s="48">
        <f>WORKDAY(GH2,1,祝日!$A$2:$A$200)</f>
        <v>46422</v>
      </c>
      <c r="GJ2" s="48">
        <f>WORKDAY(GI2,1,祝日!$A$2:$A$200)</f>
        <v>46423</v>
      </c>
      <c r="GK2" s="48">
        <f>WORKDAY(GJ2,1,祝日!$A$2:$A$200)</f>
        <v>46426</v>
      </c>
      <c r="GL2" s="48">
        <f>WORKDAY(GK2,1,祝日!$A$2:$A$200)</f>
        <v>46427</v>
      </c>
      <c r="GM2" s="48">
        <f>WORKDAY(GL2,1,祝日!$A$2:$A$200)</f>
        <v>46428</v>
      </c>
      <c r="GN2" s="48">
        <f>WORKDAY(GM2,1,祝日!$A$2:$A$200)</f>
        <v>46430</v>
      </c>
      <c r="GO2" s="48">
        <f>WORKDAY(GN2,1,祝日!$A$2:$A$200)</f>
        <v>46433</v>
      </c>
      <c r="GP2" s="48">
        <f>WORKDAY(GO2,1,祝日!$A$2:$A$200)</f>
        <v>46434</v>
      </c>
      <c r="GQ2" s="48">
        <f>WORKDAY(GP2,1,祝日!$A$2:$A$200)</f>
        <v>46435</v>
      </c>
      <c r="GR2" s="48">
        <f>WORKDAY(GQ2,1,祝日!$A$2:$A$200)</f>
        <v>46436</v>
      </c>
      <c r="GS2" s="48">
        <f>WORKDAY(GR2,1,祝日!$A$2:$A$200)</f>
        <v>46437</v>
      </c>
      <c r="GT2" s="48">
        <f>WORKDAY(GS2,1,祝日!$A$2:$A$200)</f>
        <v>46440</v>
      </c>
      <c r="GU2" s="48">
        <f>WORKDAY(GT2,1,祝日!$A$2:$A$200)</f>
        <v>46442</v>
      </c>
      <c r="GV2" s="48">
        <f>WORKDAY(GU2,1,祝日!$A$2:$A$200)</f>
        <v>46443</v>
      </c>
      <c r="GW2" s="48">
        <f>WORKDAY(GV2,1,祝日!$A$2:$A$200)</f>
        <v>46444</v>
      </c>
      <c r="GX2" s="48">
        <f>WORKDAY(GW2,1,祝日!$A$2:$A$200)</f>
        <v>46447</v>
      </c>
      <c r="GY2" s="48">
        <f>WORKDAY(GX2,1,祝日!$A$2:$A$200)</f>
        <v>46448</v>
      </c>
      <c r="GZ2" s="48">
        <f>WORKDAY(GY2,1,祝日!$A$2:$A$200)</f>
        <v>46449</v>
      </c>
      <c r="HA2" s="48">
        <f>WORKDAY(GZ2,1,祝日!$A$2:$A$200)</f>
        <v>46450</v>
      </c>
      <c r="HB2" s="48">
        <f>WORKDAY(HA2,1,祝日!$A$2:$A$200)</f>
        <v>46451</v>
      </c>
      <c r="HC2" s="48">
        <f>WORKDAY(HB2,1,祝日!$A$2:$A$200)</f>
        <v>46454</v>
      </c>
      <c r="HD2" s="48">
        <f>WORKDAY(HC2,1,祝日!$A$2:$A$200)</f>
        <v>46455</v>
      </c>
      <c r="HE2" s="48">
        <f>WORKDAY(HD2,1,祝日!$A$2:$A$200)</f>
        <v>46456</v>
      </c>
      <c r="HF2" s="48">
        <f>WORKDAY(HE2,1,祝日!$A$2:$A$200)</f>
        <v>46457</v>
      </c>
      <c r="HG2" s="48">
        <f>WORKDAY(HF2,1,祝日!$A$2:$A$200)</f>
        <v>46458</v>
      </c>
      <c r="HH2" s="48">
        <f>WORKDAY(HG2,1,祝日!$A$2:$A$200)</f>
        <v>46461</v>
      </c>
      <c r="HI2" s="48">
        <f>WORKDAY(HH2,1,祝日!$A$2:$A$200)</f>
        <v>46462</v>
      </c>
      <c r="HJ2" s="48">
        <f>WORKDAY(HI2,1,祝日!$A$2:$A$200)</f>
        <v>46463</v>
      </c>
      <c r="HK2" s="48">
        <f>WORKDAY(HJ2,1,祝日!$A$2:$A$200)</f>
        <v>46464</v>
      </c>
      <c r="HL2" s="48">
        <f>WORKDAY(HK2,1,祝日!$A$2:$A$200)</f>
        <v>46465</v>
      </c>
      <c r="HM2" s="48">
        <f>WORKDAY(HL2,1,祝日!$A$2:$A$200)</f>
        <v>46469</v>
      </c>
      <c r="HN2" s="48">
        <f>WORKDAY(HM2,1,祝日!$A$2:$A$200)</f>
        <v>46470</v>
      </c>
      <c r="HO2" s="48">
        <f>WORKDAY(HN2,1,祝日!$A$2:$A$200)</f>
        <v>46471</v>
      </c>
      <c r="HP2" s="48">
        <f>WORKDAY(HO2,1,祝日!$A$2:$A$200)</f>
        <v>46472</v>
      </c>
      <c r="HQ2" s="48">
        <f>WORKDAY(HP2,1,祝日!$A$2:$A$200)</f>
        <v>46475</v>
      </c>
      <c r="HR2" s="48">
        <f>WORKDAY(HQ2,1,祝日!$A$2:$A$200)</f>
        <v>46476</v>
      </c>
      <c r="HS2" s="48">
        <f>WORKDAY(HR2,1,祝日!$A$2:$A$200)</f>
        <v>46477</v>
      </c>
      <c r="HT2" s="48">
        <f>WORKDAY(HS2,1,祝日!$A$2:$A$200)</f>
        <v>46478</v>
      </c>
      <c r="HU2" s="48">
        <f>WORKDAY(HT2,1,祝日!$A$2:$A$200)</f>
        <v>46479</v>
      </c>
      <c r="HV2" s="48">
        <f>WORKDAY(HU2,1,祝日!$A$2:$A$200)</f>
        <v>46482</v>
      </c>
      <c r="HW2" s="48">
        <f>WORKDAY(HV2,1,祝日!$A$2:$A$200)</f>
        <v>46483</v>
      </c>
      <c r="HX2" s="48">
        <f>WORKDAY(HW2,1,祝日!$A$2:$A$200)</f>
        <v>46484</v>
      </c>
      <c r="HY2" s="48">
        <f>WORKDAY(HX2,1,祝日!$A$2:$A$200)</f>
        <v>46485</v>
      </c>
      <c r="HZ2" s="48">
        <f>WORKDAY(HY2,1,祝日!$A$2:$A$200)</f>
        <v>46486</v>
      </c>
      <c r="IA2" s="48">
        <f>WORKDAY(HZ2,1,祝日!$A$2:$A$200)</f>
        <v>46489</v>
      </c>
      <c r="IB2" s="48">
        <f>WORKDAY(IA2,1,祝日!$A$2:$A$200)</f>
        <v>46490</v>
      </c>
      <c r="IC2" s="48">
        <f>WORKDAY(IB2,1,祝日!$A$2:$A$200)</f>
        <v>46491</v>
      </c>
      <c r="ID2" s="48">
        <f>WORKDAY(IC2,1,祝日!$A$2:$A$200)</f>
        <v>46492</v>
      </c>
      <c r="IE2" s="48">
        <f>WORKDAY(ID2,1,祝日!$A$2:$A$200)</f>
        <v>46493</v>
      </c>
      <c r="IF2" s="48">
        <f>WORKDAY(IE2,1,祝日!$A$2:$A$200)</f>
        <v>46496</v>
      </c>
      <c r="IG2" s="48">
        <f>WORKDAY(IF2,1,祝日!$A$2:$A$200)</f>
        <v>46497</v>
      </c>
      <c r="IH2" s="48">
        <f>WORKDAY(IG2,1,祝日!$A$2:$A$200)</f>
        <v>46498</v>
      </c>
      <c r="II2" s="48">
        <f>WORKDAY(IH2,1,祝日!$A$2:$A$200)</f>
        <v>46499</v>
      </c>
      <c r="IJ2" s="48">
        <f>WORKDAY(II2,1,祝日!$A$2:$A$200)</f>
        <v>46500</v>
      </c>
      <c r="IK2" s="48">
        <f>WORKDAY(IJ2,1,祝日!$A$2:$A$200)</f>
        <v>46503</v>
      </c>
      <c r="IL2" s="48">
        <f>WORKDAY(IK2,1,祝日!$A$2:$A$200)</f>
        <v>46504</v>
      </c>
      <c r="IM2" s="48">
        <f>WORKDAY(IL2,1,祝日!$A$2:$A$200)</f>
        <v>46505</v>
      </c>
      <c r="IN2" s="48">
        <f>WORKDAY(IM2,1,祝日!$A$2:$A$200)</f>
        <v>46507</v>
      </c>
      <c r="IO2" s="48">
        <f>WORKDAY(IN2,1,祝日!$A$2:$A$200)</f>
        <v>46513</v>
      </c>
      <c r="IP2" s="48">
        <f>WORKDAY(IO2,1,祝日!$A$2:$A$200)</f>
        <v>46514</v>
      </c>
      <c r="IQ2" s="48">
        <f>WORKDAY(IP2,1,祝日!$A$2:$A$200)</f>
        <v>46517</v>
      </c>
      <c r="IR2" s="48">
        <f>WORKDAY(IQ2,1,祝日!$A$2:$A$200)</f>
        <v>46518</v>
      </c>
      <c r="IS2" s="48">
        <f>WORKDAY(IR2,1,祝日!$A$2:$A$200)</f>
        <v>46519</v>
      </c>
      <c r="IT2" s="48">
        <f>WORKDAY(IS2,1,祝日!$A$2:$A$200)</f>
        <v>46520</v>
      </c>
      <c r="IU2" s="48">
        <f>WORKDAY(IT2,1,祝日!$A$2:$A$200)</f>
        <v>46521</v>
      </c>
      <c r="IV2" s="48">
        <f>WORKDAY(IU2,1,祝日!$A$2:$A$200)</f>
        <v>46524</v>
      </c>
      <c r="IW2" s="48">
        <f>WORKDAY(IV2,1,祝日!$A$2:$A$200)</f>
        <v>46525</v>
      </c>
      <c r="IX2" s="48">
        <f>WORKDAY(IW2,1,祝日!$A$2:$A$200)</f>
        <v>46526</v>
      </c>
      <c r="IY2" s="48">
        <f>WORKDAY(IX2,1,祝日!$A$2:$A$200)</f>
        <v>46527</v>
      </c>
      <c r="IZ2" s="48">
        <f>WORKDAY(IY2,1,祝日!$A$2:$A$200)</f>
        <v>46528</v>
      </c>
      <c r="JA2" s="48">
        <f>WORKDAY(IZ2,1,祝日!$A$2:$A$200)</f>
        <v>46531</v>
      </c>
      <c r="JB2" s="48">
        <f>WORKDAY(JA2,1,祝日!$A$2:$A$200)</f>
        <v>46532</v>
      </c>
      <c r="JC2" s="48">
        <f>WORKDAY(JB2,1,祝日!$A$2:$A$200)</f>
        <v>46533</v>
      </c>
      <c r="JD2" s="48">
        <f>WORKDAY(JC2,1,祝日!$A$2:$A$200)</f>
        <v>46534</v>
      </c>
      <c r="JE2" s="48">
        <f>WORKDAY(JD2,1,祝日!$A$2:$A$200)</f>
        <v>46535</v>
      </c>
      <c r="JF2" s="48">
        <f>WORKDAY(JE2,1,祝日!$A$2:$A$200)</f>
        <v>46538</v>
      </c>
      <c r="JG2" s="48">
        <f>WORKDAY(JF2,1,祝日!$A$2:$A$200)</f>
        <v>46539</v>
      </c>
      <c r="JH2" s="48">
        <f>WORKDAY(JG2,1,祝日!$A$2:$A$200)</f>
        <v>46540</v>
      </c>
      <c r="JI2" s="48">
        <f>WORKDAY(JH2,1,祝日!$A$2:$A$200)</f>
        <v>46541</v>
      </c>
    </row>
    <row r="3" spans="1:273" ht="14.25" customHeight="1" x14ac:dyDescent="0.15">
      <c r="A3" s="61" t="s">
        <v>90</v>
      </c>
      <c r="B3" s="61" t="s">
        <v>89</v>
      </c>
      <c r="C3" s="61" t="s">
        <v>87</v>
      </c>
      <c r="D3" s="61" t="s">
        <v>88</v>
      </c>
      <c r="AD3" s="49" t="str">
        <f t="shared" ref="AD3:CO3" si="4">CHOOSE(WEEKDAY(AD2,2),"月","火","水","木","金","土","日")</f>
        <v>月</v>
      </c>
      <c r="AE3" s="49" t="str">
        <f t="shared" si="4"/>
        <v>火</v>
      </c>
      <c r="AF3" s="49" t="str">
        <f t="shared" si="4"/>
        <v>水</v>
      </c>
      <c r="AG3" s="49" t="str">
        <f t="shared" si="4"/>
        <v>木</v>
      </c>
      <c r="AH3" s="49" t="str">
        <f t="shared" si="4"/>
        <v>金</v>
      </c>
      <c r="AI3" s="49" t="str">
        <f t="shared" si="4"/>
        <v>月</v>
      </c>
      <c r="AJ3" s="49" t="str">
        <f t="shared" si="4"/>
        <v>火</v>
      </c>
      <c r="AK3" s="49" t="str">
        <f t="shared" si="4"/>
        <v>水</v>
      </c>
      <c r="AL3" s="49" t="str">
        <f t="shared" si="4"/>
        <v>木</v>
      </c>
      <c r="AM3" s="49" t="str">
        <f t="shared" si="4"/>
        <v>金</v>
      </c>
      <c r="AN3" s="49" t="str">
        <f t="shared" si="4"/>
        <v>月</v>
      </c>
      <c r="AO3" s="49" t="str">
        <f t="shared" si="4"/>
        <v>火</v>
      </c>
      <c r="AP3" s="49" t="str">
        <f t="shared" si="4"/>
        <v>水</v>
      </c>
      <c r="AQ3" s="49" t="str">
        <f t="shared" si="4"/>
        <v>木</v>
      </c>
      <c r="AR3" s="49" t="str">
        <f t="shared" si="4"/>
        <v>金</v>
      </c>
      <c r="AS3" s="49" t="str">
        <f t="shared" si="4"/>
        <v>月</v>
      </c>
      <c r="AT3" s="49" t="str">
        <f t="shared" si="4"/>
        <v>火</v>
      </c>
      <c r="AU3" s="49" t="str">
        <f t="shared" si="4"/>
        <v>水</v>
      </c>
      <c r="AV3" s="49" t="str">
        <f t="shared" si="4"/>
        <v>木</v>
      </c>
      <c r="AW3" s="49" t="str">
        <f t="shared" si="4"/>
        <v>金</v>
      </c>
      <c r="AX3" s="49" t="str">
        <f t="shared" si="4"/>
        <v>月</v>
      </c>
      <c r="AY3" s="49" t="str">
        <f t="shared" si="4"/>
        <v>火</v>
      </c>
      <c r="AZ3" s="49" t="str">
        <f t="shared" si="4"/>
        <v>水</v>
      </c>
      <c r="BA3" s="49" t="str">
        <f t="shared" si="4"/>
        <v>木</v>
      </c>
      <c r="BB3" s="49" t="str">
        <f t="shared" si="4"/>
        <v>金</v>
      </c>
      <c r="BC3" s="49" t="str">
        <f t="shared" si="4"/>
        <v>月</v>
      </c>
      <c r="BD3" s="49" t="str">
        <f t="shared" si="4"/>
        <v>火</v>
      </c>
      <c r="BE3" s="49" t="str">
        <f t="shared" si="4"/>
        <v>水</v>
      </c>
      <c r="BF3" s="49" t="str">
        <f t="shared" si="4"/>
        <v>木</v>
      </c>
      <c r="BG3" s="49" t="str">
        <f t="shared" si="4"/>
        <v>金</v>
      </c>
      <c r="BH3" s="49" t="str">
        <f t="shared" si="4"/>
        <v>月</v>
      </c>
      <c r="BI3" s="49" t="str">
        <f t="shared" si="4"/>
        <v>火</v>
      </c>
      <c r="BJ3" s="49" t="str">
        <f t="shared" si="4"/>
        <v>水</v>
      </c>
      <c r="BK3" s="49" t="str">
        <f t="shared" si="4"/>
        <v>木</v>
      </c>
      <c r="BL3" s="49" t="str">
        <f t="shared" si="4"/>
        <v>金</v>
      </c>
      <c r="BM3" s="49" t="str">
        <f t="shared" si="4"/>
        <v>火</v>
      </c>
      <c r="BN3" s="49" t="str">
        <f t="shared" si="4"/>
        <v>水</v>
      </c>
      <c r="BO3" s="49" t="str">
        <f t="shared" si="4"/>
        <v>木</v>
      </c>
      <c r="BP3" s="49" t="str">
        <f t="shared" si="4"/>
        <v>金</v>
      </c>
      <c r="BQ3" s="49" t="str">
        <f t="shared" si="4"/>
        <v>月</v>
      </c>
      <c r="BR3" s="49" t="str">
        <f t="shared" si="4"/>
        <v>火</v>
      </c>
      <c r="BS3" s="49" t="str">
        <f t="shared" si="4"/>
        <v>水</v>
      </c>
      <c r="BT3" s="49" t="str">
        <f t="shared" si="4"/>
        <v>木</v>
      </c>
      <c r="BU3" s="49" t="str">
        <f t="shared" si="4"/>
        <v>金</v>
      </c>
      <c r="BV3" s="49" t="str">
        <f t="shared" si="4"/>
        <v>月</v>
      </c>
      <c r="BW3" s="49" t="str">
        <f t="shared" si="4"/>
        <v>火</v>
      </c>
      <c r="BX3" s="49" t="str">
        <f t="shared" si="4"/>
        <v>水</v>
      </c>
      <c r="BY3" s="49" t="str">
        <f t="shared" si="4"/>
        <v>木</v>
      </c>
      <c r="BZ3" s="49" t="str">
        <f t="shared" si="4"/>
        <v>金</v>
      </c>
      <c r="CA3" s="49" t="str">
        <f t="shared" si="4"/>
        <v>月</v>
      </c>
      <c r="CB3" s="49" t="str">
        <f t="shared" si="4"/>
        <v>月</v>
      </c>
      <c r="CC3" s="49" t="str">
        <f t="shared" si="4"/>
        <v>火</v>
      </c>
      <c r="CD3" s="49" t="str">
        <f t="shared" si="4"/>
        <v>水</v>
      </c>
      <c r="CE3" s="49" t="str">
        <f t="shared" si="4"/>
        <v>木</v>
      </c>
      <c r="CF3" s="49" t="str">
        <f t="shared" si="4"/>
        <v>金</v>
      </c>
      <c r="CG3" s="49" t="str">
        <f t="shared" si="4"/>
        <v>月</v>
      </c>
      <c r="CH3" s="49" t="str">
        <f t="shared" si="4"/>
        <v>火</v>
      </c>
      <c r="CI3" s="49" t="str">
        <f t="shared" si="4"/>
        <v>水</v>
      </c>
      <c r="CJ3" s="49" t="str">
        <f t="shared" si="4"/>
        <v>木</v>
      </c>
      <c r="CK3" s="49" t="str">
        <f t="shared" si="4"/>
        <v>金</v>
      </c>
      <c r="CL3" s="49" t="str">
        <f t="shared" si="4"/>
        <v>月</v>
      </c>
      <c r="CM3" s="49" t="str">
        <f t="shared" si="4"/>
        <v>火</v>
      </c>
      <c r="CN3" s="49" t="str">
        <f t="shared" si="4"/>
        <v>水</v>
      </c>
      <c r="CO3" s="49" t="str">
        <f t="shared" si="4"/>
        <v>木</v>
      </c>
      <c r="CP3" s="49" t="str">
        <f t="shared" ref="CP3:FA3" si="5">CHOOSE(WEEKDAY(CP2,2),"月","火","水","木","金","土","日")</f>
        <v>金</v>
      </c>
      <c r="CQ3" s="49" t="str">
        <f t="shared" si="5"/>
        <v>月</v>
      </c>
      <c r="CR3" s="49" t="str">
        <f t="shared" si="5"/>
        <v>火</v>
      </c>
      <c r="CS3" s="49" t="str">
        <f t="shared" si="5"/>
        <v>水</v>
      </c>
      <c r="CT3" s="49" t="str">
        <f t="shared" si="5"/>
        <v>木</v>
      </c>
      <c r="CU3" s="49" t="str">
        <f t="shared" si="5"/>
        <v>金</v>
      </c>
      <c r="CV3" s="49" t="str">
        <f t="shared" si="5"/>
        <v>月</v>
      </c>
      <c r="CW3" s="49" t="str">
        <f t="shared" si="5"/>
        <v>火</v>
      </c>
      <c r="CX3" s="49" t="str">
        <f t="shared" si="5"/>
        <v>水</v>
      </c>
      <c r="CY3" s="49" t="str">
        <f t="shared" si="5"/>
        <v>木</v>
      </c>
      <c r="CZ3" s="49" t="str">
        <f t="shared" si="5"/>
        <v>金</v>
      </c>
      <c r="DA3" s="49" t="str">
        <f t="shared" si="5"/>
        <v>木</v>
      </c>
      <c r="DB3" s="49" t="str">
        <f t="shared" si="5"/>
        <v>金</v>
      </c>
      <c r="DC3" s="49" t="str">
        <f t="shared" si="5"/>
        <v>月</v>
      </c>
      <c r="DD3" s="49" t="str">
        <f t="shared" si="5"/>
        <v>火</v>
      </c>
      <c r="DE3" s="49" t="str">
        <f t="shared" si="5"/>
        <v>水</v>
      </c>
      <c r="DF3" s="49" t="str">
        <f t="shared" si="5"/>
        <v>木</v>
      </c>
      <c r="DG3" s="49" t="str">
        <f t="shared" si="5"/>
        <v>金</v>
      </c>
      <c r="DH3" s="49" t="str">
        <f t="shared" si="5"/>
        <v>月</v>
      </c>
      <c r="DI3" s="49" t="str">
        <f t="shared" si="5"/>
        <v>火</v>
      </c>
      <c r="DJ3" s="49" t="str">
        <f t="shared" si="5"/>
        <v>水</v>
      </c>
      <c r="DK3" s="49" t="str">
        <f t="shared" si="5"/>
        <v>木</v>
      </c>
      <c r="DL3" s="49" t="str">
        <f t="shared" si="5"/>
        <v>金</v>
      </c>
      <c r="DM3" s="49" t="str">
        <f t="shared" si="5"/>
        <v>火</v>
      </c>
      <c r="DN3" s="49" t="str">
        <f t="shared" si="5"/>
        <v>水</v>
      </c>
      <c r="DO3" s="49" t="str">
        <f t="shared" si="5"/>
        <v>木</v>
      </c>
      <c r="DP3" s="49" t="str">
        <f t="shared" si="5"/>
        <v>金</v>
      </c>
      <c r="DQ3" s="49" t="str">
        <f t="shared" si="5"/>
        <v>月</v>
      </c>
      <c r="DR3" s="49" t="str">
        <f t="shared" si="5"/>
        <v>火</v>
      </c>
      <c r="DS3" s="49" t="str">
        <f t="shared" si="5"/>
        <v>水</v>
      </c>
      <c r="DT3" s="49" t="str">
        <f t="shared" si="5"/>
        <v>木</v>
      </c>
      <c r="DU3" s="49" t="str">
        <f t="shared" si="5"/>
        <v>金</v>
      </c>
      <c r="DV3" s="49" t="str">
        <f t="shared" si="5"/>
        <v>月</v>
      </c>
      <c r="DW3" s="49" t="str">
        <f t="shared" si="5"/>
        <v>火</v>
      </c>
      <c r="DX3" s="49" t="str">
        <f t="shared" si="5"/>
        <v>水</v>
      </c>
      <c r="DY3" s="49" t="str">
        <f t="shared" si="5"/>
        <v>木</v>
      </c>
      <c r="DZ3" s="49" t="str">
        <f t="shared" si="5"/>
        <v>金</v>
      </c>
      <c r="EA3" s="49" t="str">
        <f t="shared" si="5"/>
        <v>月</v>
      </c>
      <c r="EB3" s="49" t="str">
        <f t="shared" si="5"/>
        <v>水</v>
      </c>
      <c r="EC3" s="49" t="str">
        <f t="shared" si="5"/>
        <v>木</v>
      </c>
      <c r="ED3" s="49" t="str">
        <f t="shared" si="5"/>
        <v>金</v>
      </c>
      <c r="EE3" s="49" t="str">
        <f t="shared" si="5"/>
        <v>月</v>
      </c>
      <c r="EF3" s="49" t="str">
        <f t="shared" si="5"/>
        <v>火</v>
      </c>
      <c r="EG3" s="49" t="str">
        <f t="shared" si="5"/>
        <v>水</v>
      </c>
      <c r="EH3" s="49" t="str">
        <f t="shared" si="5"/>
        <v>木</v>
      </c>
      <c r="EI3" s="49" t="str">
        <f t="shared" si="5"/>
        <v>金</v>
      </c>
      <c r="EJ3" s="49" t="str">
        <f t="shared" si="5"/>
        <v>月</v>
      </c>
      <c r="EK3" s="49" t="str">
        <f t="shared" si="5"/>
        <v>火</v>
      </c>
      <c r="EL3" s="49" t="str">
        <f t="shared" si="5"/>
        <v>水</v>
      </c>
      <c r="EM3" s="49" t="str">
        <f t="shared" si="5"/>
        <v>木</v>
      </c>
      <c r="EN3" s="49" t="str">
        <f t="shared" si="5"/>
        <v>金</v>
      </c>
      <c r="EO3" s="49" t="str">
        <f t="shared" si="5"/>
        <v>火</v>
      </c>
      <c r="EP3" s="49" t="str">
        <f t="shared" si="5"/>
        <v>水</v>
      </c>
      <c r="EQ3" s="49" t="str">
        <f t="shared" si="5"/>
        <v>木</v>
      </c>
      <c r="ER3" s="49" t="str">
        <f t="shared" si="5"/>
        <v>金</v>
      </c>
      <c r="ES3" s="49" t="str">
        <f t="shared" si="5"/>
        <v>月</v>
      </c>
      <c r="ET3" s="49" t="str">
        <f t="shared" si="5"/>
        <v>火</v>
      </c>
      <c r="EU3" s="49" t="str">
        <f t="shared" si="5"/>
        <v>水</v>
      </c>
      <c r="EV3" s="49" t="str">
        <f t="shared" si="5"/>
        <v>木</v>
      </c>
      <c r="EW3" s="49" t="str">
        <f t="shared" si="5"/>
        <v>金</v>
      </c>
      <c r="EX3" s="49" t="str">
        <f t="shared" si="5"/>
        <v>月</v>
      </c>
      <c r="EY3" s="49" t="str">
        <f t="shared" si="5"/>
        <v>火</v>
      </c>
      <c r="EZ3" s="49" t="str">
        <f t="shared" si="5"/>
        <v>水</v>
      </c>
      <c r="FA3" s="49" t="str">
        <f t="shared" si="5"/>
        <v>木</v>
      </c>
      <c r="FB3" s="49" t="str">
        <f t="shared" ref="FB3:HM3" si="6">CHOOSE(WEEKDAY(FB2,2),"月","火","水","木","金","土","日")</f>
        <v>金</v>
      </c>
      <c r="FC3" s="49" t="str">
        <f t="shared" si="6"/>
        <v>月</v>
      </c>
      <c r="FD3" s="49" t="str">
        <f t="shared" si="6"/>
        <v>火</v>
      </c>
      <c r="FE3" s="49" t="str">
        <f t="shared" si="6"/>
        <v>水</v>
      </c>
      <c r="FF3" s="49" t="str">
        <f t="shared" si="6"/>
        <v>木</v>
      </c>
      <c r="FG3" s="49" t="str">
        <f t="shared" si="6"/>
        <v>金</v>
      </c>
      <c r="FH3" s="49" t="str">
        <f t="shared" si="6"/>
        <v>月</v>
      </c>
      <c r="FI3" s="49" t="str">
        <f t="shared" si="6"/>
        <v>火</v>
      </c>
      <c r="FJ3" s="49" t="str">
        <f t="shared" si="6"/>
        <v>水</v>
      </c>
      <c r="FK3" s="49" t="str">
        <f t="shared" si="6"/>
        <v>木</v>
      </c>
      <c r="FL3" s="49" t="str">
        <f t="shared" si="6"/>
        <v>金</v>
      </c>
      <c r="FM3" s="49" t="str">
        <f t="shared" si="6"/>
        <v>月</v>
      </c>
      <c r="FN3" s="49" t="str">
        <f t="shared" si="6"/>
        <v>火</v>
      </c>
      <c r="FO3" s="49" t="str">
        <f t="shared" si="6"/>
        <v>水</v>
      </c>
      <c r="FP3" s="49" t="str">
        <f t="shared" si="6"/>
        <v>木</v>
      </c>
      <c r="FQ3" s="49" t="str">
        <f t="shared" si="6"/>
        <v>金</v>
      </c>
      <c r="FR3" s="49" t="str">
        <f t="shared" si="6"/>
        <v>火</v>
      </c>
      <c r="FS3" s="49" t="str">
        <f t="shared" si="6"/>
        <v>水</v>
      </c>
      <c r="FT3" s="49" t="str">
        <f t="shared" si="6"/>
        <v>木</v>
      </c>
      <c r="FU3" s="49" t="str">
        <f t="shared" si="6"/>
        <v>金</v>
      </c>
      <c r="FV3" s="49" t="str">
        <f t="shared" si="6"/>
        <v>月</v>
      </c>
      <c r="FW3" s="49" t="str">
        <f t="shared" si="6"/>
        <v>火</v>
      </c>
      <c r="FX3" s="49" t="str">
        <f t="shared" si="6"/>
        <v>水</v>
      </c>
      <c r="FY3" s="49" t="str">
        <f t="shared" si="6"/>
        <v>木</v>
      </c>
      <c r="FZ3" s="49" t="str">
        <f t="shared" si="6"/>
        <v>金</v>
      </c>
      <c r="GA3" s="49" t="str">
        <f t="shared" si="6"/>
        <v>月</v>
      </c>
      <c r="GB3" s="49" t="str">
        <f t="shared" si="6"/>
        <v>火</v>
      </c>
      <c r="GC3" s="49" t="str">
        <f t="shared" si="6"/>
        <v>水</v>
      </c>
      <c r="GD3" s="49" t="str">
        <f t="shared" si="6"/>
        <v>木</v>
      </c>
      <c r="GE3" s="49" t="str">
        <f t="shared" si="6"/>
        <v>金</v>
      </c>
      <c r="GF3" s="49" t="str">
        <f t="shared" si="6"/>
        <v>月</v>
      </c>
      <c r="GG3" s="49" t="str">
        <f t="shared" si="6"/>
        <v>火</v>
      </c>
      <c r="GH3" s="49" t="str">
        <f t="shared" si="6"/>
        <v>水</v>
      </c>
      <c r="GI3" s="49" t="str">
        <f t="shared" si="6"/>
        <v>木</v>
      </c>
      <c r="GJ3" s="49" t="str">
        <f t="shared" si="6"/>
        <v>金</v>
      </c>
      <c r="GK3" s="49" t="str">
        <f t="shared" si="6"/>
        <v>月</v>
      </c>
      <c r="GL3" s="49" t="str">
        <f t="shared" si="6"/>
        <v>火</v>
      </c>
      <c r="GM3" s="49" t="str">
        <f t="shared" si="6"/>
        <v>水</v>
      </c>
      <c r="GN3" s="49" t="str">
        <f t="shared" si="6"/>
        <v>金</v>
      </c>
      <c r="GO3" s="49" t="str">
        <f t="shared" si="6"/>
        <v>月</v>
      </c>
      <c r="GP3" s="49" t="str">
        <f t="shared" si="6"/>
        <v>火</v>
      </c>
      <c r="GQ3" s="49" t="str">
        <f t="shared" si="6"/>
        <v>水</v>
      </c>
      <c r="GR3" s="49" t="str">
        <f t="shared" si="6"/>
        <v>木</v>
      </c>
      <c r="GS3" s="49" t="str">
        <f t="shared" si="6"/>
        <v>金</v>
      </c>
      <c r="GT3" s="49" t="str">
        <f t="shared" si="6"/>
        <v>月</v>
      </c>
      <c r="GU3" s="49" t="str">
        <f t="shared" si="6"/>
        <v>水</v>
      </c>
      <c r="GV3" s="49" t="str">
        <f t="shared" si="6"/>
        <v>木</v>
      </c>
      <c r="GW3" s="49" t="str">
        <f t="shared" si="6"/>
        <v>金</v>
      </c>
      <c r="GX3" s="49" t="str">
        <f t="shared" si="6"/>
        <v>月</v>
      </c>
      <c r="GY3" s="49" t="str">
        <f t="shared" si="6"/>
        <v>火</v>
      </c>
      <c r="GZ3" s="49" t="str">
        <f t="shared" si="6"/>
        <v>水</v>
      </c>
      <c r="HA3" s="49" t="str">
        <f t="shared" si="6"/>
        <v>木</v>
      </c>
      <c r="HB3" s="49" t="str">
        <f t="shared" si="6"/>
        <v>金</v>
      </c>
      <c r="HC3" s="49" t="str">
        <f t="shared" si="6"/>
        <v>月</v>
      </c>
      <c r="HD3" s="49" t="str">
        <f t="shared" si="6"/>
        <v>火</v>
      </c>
      <c r="HE3" s="49" t="str">
        <f t="shared" si="6"/>
        <v>水</v>
      </c>
      <c r="HF3" s="49" t="str">
        <f t="shared" si="6"/>
        <v>木</v>
      </c>
      <c r="HG3" s="49" t="str">
        <f t="shared" si="6"/>
        <v>金</v>
      </c>
      <c r="HH3" s="49" t="str">
        <f t="shared" si="6"/>
        <v>月</v>
      </c>
      <c r="HI3" s="49" t="str">
        <f t="shared" si="6"/>
        <v>火</v>
      </c>
      <c r="HJ3" s="49" t="str">
        <f t="shared" si="6"/>
        <v>水</v>
      </c>
      <c r="HK3" s="49" t="str">
        <f t="shared" si="6"/>
        <v>木</v>
      </c>
      <c r="HL3" s="49" t="str">
        <f t="shared" si="6"/>
        <v>金</v>
      </c>
      <c r="HM3" s="49" t="str">
        <f t="shared" si="6"/>
        <v>火</v>
      </c>
      <c r="HN3" s="49" t="str">
        <f t="shared" ref="HN3:JI3" si="7">CHOOSE(WEEKDAY(HN2,2),"月","火","水","木","金","土","日")</f>
        <v>水</v>
      </c>
      <c r="HO3" s="49" t="str">
        <f t="shared" si="7"/>
        <v>木</v>
      </c>
      <c r="HP3" s="49" t="str">
        <f t="shared" si="7"/>
        <v>金</v>
      </c>
      <c r="HQ3" s="49" t="str">
        <f t="shared" si="7"/>
        <v>月</v>
      </c>
      <c r="HR3" s="49" t="str">
        <f t="shared" si="7"/>
        <v>火</v>
      </c>
      <c r="HS3" s="49" t="str">
        <f t="shared" si="7"/>
        <v>水</v>
      </c>
      <c r="HT3" s="49" t="str">
        <f t="shared" si="7"/>
        <v>木</v>
      </c>
      <c r="HU3" s="49" t="str">
        <f t="shared" si="7"/>
        <v>金</v>
      </c>
      <c r="HV3" s="49" t="str">
        <f t="shared" si="7"/>
        <v>月</v>
      </c>
      <c r="HW3" s="49" t="str">
        <f t="shared" si="7"/>
        <v>火</v>
      </c>
      <c r="HX3" s="49" t="str">
        <f t="shared" si="7"/>
        <v>水</v>
      </c>
      <c r="HY3" s="49" t="str">
        <f t="shared" si="7"/>
        <v>木</v>
      </c>
      <c r="HZ3" s="49" t="str">
        <f t="shared" si="7"/>
        <v>金</v>
      </c>
      <c r="IA3" s="49" t="str">
        <f t="shared" si="7"/>
        <v>月</v>
      </c>
      <c r="IB3" s="49" t="str">
        <f t="shared" si="7"/>
        <v>火</v>
      </c>
      <c r="IC3" s="49" t="str">
        <f t="shared" si="7"/>
        <v>水</v>
      </c>
      <c r="ID3" s="49" t="str">
        <f t="shared" si="7"/>
        <v>木</v>
      </c>
      <c r="IE3" s="49" t="str">
        <f t="shared" si="7"/>
        <v>金</v>
      </c>
      <c r="IF3" s="49" t="str">
        <f t="shared" si="7"/>
        <v>月</v>
      </c>
      <c r="IG3" s="49" t="str">
        <f t="shared" si="7"/>
        <v>火</v>
      </c>
      <c r="IH3" s="49" t="str">
        <f t="shared" si="7"/>
        <v>水</v>
      </c>
      <c r="II3" s="49" t="str">
        <f t="shared" si="7"/>
        <v>木</v>
      </c>
      <c r="IJ3" s="49" t="str">
        <f t="shared" si="7"/>
        <v>金</v>
      </c>
      <c r="IK3" s="49" t="str">
        <f t="shared" si="7"/>
        <v>月</v>
      </c>
      <c r="IL3" s="49" t="str">
        <f t="shared" si="7"/>
        <v>火</v>
      </c>
      <c r="IM3" s="49" t="str">
        <f t="shared" si="7"/>
        <v>水</v>
      </c>
      <c r="IN3" s="49" t="str">
        <f t="shared" si="7"/>
        <v>金</v>
      </c>
      <c r="IO3" s="49" t="str">
        <f t="shared" si="7"/>
        <v>木</v>
      </c>
      <c r="IP3" s="49" t="str">
        <f t="shared" si="7"/>
        <v>金</v>
      </c>
      <c r="IQ3" s="49" t="str">
        <f t="shared" si="7"/>
        <v>月</v>
      </c>
      <c r="IR3" s="49" t="str">
        <f t="shared" si="7"/>
        <v>火</v>
      </c>
      <c r="IS3" s="49" t="str">
        <f t="shared" si="7"/>
        <v>水</v>
      </c>
      <c r="IT3" s="49" t="str">
        <f t="shared" si="7"/>
        <v>木</v>
      </c>
      <c r="IU3" s="49" t="str">
        <f t="shared" si="7"/>
        <v>金</v>
      </c>
      <c r="IV3" s="49" t="str">
        <f t="shared" si="7"/>
        <v>月</v>
      </c>
      <c r="IW3" s="49" t="str">
        <f t="shared" si="7"/>
        <v>火</v>
      </c>
      <c r="IX3" s="49" t="str">
        <f t="shared" si="7"/>
        <v>水</v>
      </c>
      <c r="IY3" s="49" t="str">
        <f t="shared" si="7"/>
        <v>木</v>
      </c>
      <c r="IZ3" s="49" t="str">
        <f t="shared" si="7"/>
        <v>金</v>
      </c>
      <c r="JA3" s="49" t="str">
        <f t="shared" si="7"/>
        <v>月</v>
      </c>
      <c r="JB3" s="49" t="str">
        <f t="shared" si="7"/>
        <v>火</v>
      </c>
      <c r="JC3" s="49" t="str">
        <f t="shared" si="7"/>
        <v>水</v>
      </c>
      <c r="JD3" s="49" t="str">
        <f t="shared" si="7"/>
        <v>木</v>
      </c>
      <c r="JE3" s="49" t="str">
        <f t="shared" si="7"/>
        <v>金</v>
      </c>
      <c r="JF3" s="49" t="str">
        <f t="shared" si="7"/>
        <v>月</v>
      </c>
      <c r="JG3" s="49" t="str">
        <f t="shared" si="7"/>
        <v>火</v>
      </c>
      <c r="JH3" s="49" t="str">
        <f t="shared" si="7"/>
        <v>水</v>
      </c>
      <c r="JI3" s="49" t="str">
        <f t="shared" si="7"/>
        <v>木</v>
      </c>
    </row>
    <row r="4" spans="1:273" ht="14.25" customHeight="1" x14ac:dyDescent="0.15">
      <c r="A4" s="53" t="str">
        <f>IF($E4="","",IF($JL4=1,INDEX(工数管理!$A$3:$A$98,$E4)&amp;"",IF(INDEX(工数管理!$AK$3:$AK$98,$E4)="","未割当",INDEX(工数管理!$AK$3:$AK$98,$E4))))</f>
        <v>CH01</v>
      </c>
      <c r="B4" s="51" t="str">
        <f>IF($E4="","",IF($JL4=1,"",INDEX(工数管理!$A$3:$A$98,$E4)&amp;""))</f>
        <v/>
      </c>
      <c r="C4" s="50" t="str">
        <f>IF($E4="","",IF($JL4=1,"",INDEX(工数管理!$B$3:$B$98,$E4)&amp;""))</f>
        <v/>
      </c>
      <c r="D4" s="50" t="str">
        <f ca="1">IF($E4="","",INDEX(工数管理!$H$3:$H$98,$E4)&amp;"")</f>
        <v>作業中</v>
      </c>
      <c r="E4">
        <f>IFERROR(MATCH(SMALL(工数管理!$BP$3:$BP$98,ROW()-3),工数管理!$BP$3:$BP$98,0),"")</f>
        <v>1</v>
      </c>
      <c r="F4" t="str">
        <f>IF($E4="","",IF(INDEX(工数管理!$K$3:$K$98,$E4)="","",INDEX(工数管理!$K$3:$K$98,$E4)))</f>
        <v/>
      </c>
      <c r="G4" t="str">
        <f>IF($E4="","",IF(INDEX(工数管理!$L$3:$L$98,$E4)="","",INDEX(工数管理!$L$3:$L$98,$E4)))</f>
        <v/>
      </c>
      <c r="H4" t="str">
        <f>IF($E4="","",IF(INDEX(工数管理!$M$3:$M$98,$E4)="","",INDEX(工数管理!$M$3:$M$98,$E4)))</f>
        <v/>
      </c>
      <c r="I4" t="str">
        <f>IF($E4="","",IF(INDEX(工数管理!$N$3:$N$98,$E4)="","",INDEX(工数管理!$N$3:$N$98,$E4)))</f>
        <v/>
      </c>
      <c r="J4" t="str">
        <f>IF($E4="","",IF(INDEX(工数管理!$O$3:$O$98,$E4)="","",INDEX(工数管理!$O$3:$O$98,$E4)))</f>
        <v/>
      </c>
      <c r="K4" t="str">
        <f>IF($E4="","",IF(INDEX(工数管理!$P$3:$P$98,$E4)="","",INDEX(工数管理!$P$3:$P$98,$E4)))</f>
        <v/>
      </c>
      <c r="L4" t="str">
        <f>IF($E4="","",IF(INDEX(工数管理!$Q$3:$Q$98,$E4)="","",INDEX(工数管理!$Q$3:$Q$98,$E4)))</f>
        <v/>
      </c>
      <c r="M4" t="str">
        <f>IF($E4="","",IF(INDEX(工数管理!$R$3:$R$98,$E4)="","",INDEX(工数管理!$R$3:$R$98,$E4)))</f>
        <v/>
      </c>
      <c r="N4" t="str">
        <f>IF($E4="","",IF(INDEX(工数管理!$S$3:$S$98,$E4)="","",INDEX(工数管理!$S$3:$S$98,$E4)))</f>
        <v/>
      </c>
      <c r="O4" t="str">
        <f>IF($E4="","",IF(INDEX(工数管理!$T$3:$T$98,$E4)="","",INDEX(工数管理!$T$3:$T$98,$E4)))</f>
        <v/>
      </c>
      <c r="P4" t="str">
        <f>IF($E4="","",IF(INDEX(工数管理!$U$3:$U$98,$E4)="","",INDEX(工数管理!$U$3:$U$98,$E4)))</f>
        <v/>
      </c>
      <c r="Q4" t="str">
        <f>IF($E4="","",IF(INDEX(工数管理!$V$3:$V$98,$E4)="","",INDEX(工数管理!$V$3:$V$98,$E4)))</f>
        <v/>
      </c>
      <c r="R4" t="str">
        <f>IF($E4="","",IF(INDEX(工数管理!$W$3:$W$98,$E4)="","",INDEX(工数管理!$W$3:$W$98,$E4)))</f>
        <v/>
      </c>
      <c r="S4" t="str">
        <f>IF($E4="","",IF(INDEX(工数管理!$X$3:$X$98,$E4)="","",INDEX(工数管理!$X$3:$X$98,$E4)))</f>
        <v/>
      </c>
      <c r="T4" t="str">
        <f>IF($E4="","",IF(INDEX(工数管理!$Y$3:$Y$98,$E4)="","",INDEX(工数管理!$Y$3:$Y$98,$E4)))</f>
        <v/>
      </c>
      <c r="U4" t="str">
        <f>IF($E4="","",IF(INDEX(工数管理!$Z$3:$Z$98,$E4)="","",INDEX(工数管理!$Z$3:$Z$98,$E4)))</f>
        <v/>
      </c>
      <c r="V4" t="str">
        <f>IF($E4="","",IF(INDEX(工数管理!$AA$3:$AA$98,$E4)="","",INDEX(工数管理!$AA$3:$AA$98,$E4)))</f>
        <v/>
      </c>
      <c r="W4" t="str">
        <f>IF($E4="","",IF(INDEX(工数管理!$AB$3:$AB$98,$E4)="","",INDEX(工数管理!$AB$3:$AB$98,$E4)))</f>
        <v/>
      </c>
      <c r="X4" t="str">
        <f>IF($E4="","",IF(INDEX(工数管理!$AC$3:$AC$98,$E4)="","",INDEX(工数管理!$AC$3:$AC$98,$E4)))</f>
        <v/>
      </c>
      <c r="Y4" t="str">
        <f>IF($E4="","",IF(INDEX(工数管理!$AD$3:$AD$98,$E4)="","",INDEX(工数管理!$AD$3:$AD$98,$E4)))</f>
        <v/>
      </c>
      <c r="Z4" t="str">
        <f>IF($E4="","",IF(INDEX(工数管理!$AE$3:$AE$98,$E4)="","",INDEX(工数管理!$AE$3:$AE$98,$E4)))</f>
        <v/>
      </c>
      <c r="AA4" t="str">
        <f>IF($E4="","",IF(INDEX(工数管理!$AF$3:$AF$98,$E4)="","",INDEX(工数管理!$AF$3:$AF$98,$E4)))</f>
        <v/>
      </c>
      <c r="AB4" t="str">
        <f>IF($E4="","",IF(INDEX(工数管理!$AG$3:$AG$98,$E4)="","",INDEX(工数管理!$AG$3:$AG$98,$E4)))</f>
        <v/>
      </c>
      <c r="AC4" t="str">
        <f>IF($E4="","",IF(INDEX(工数管理!$AH$3:$AH$98,$E4)="","",INDEX(工数管理!$AH$3:$AH$98,$E4)))</f>
        <v/>
      </c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L4">
        <f>IF($E4="","",IF(INDEX(工数管理!$AJ$3:$AJ$98,$E4)&lt;&gt;"",1,0))</f>
        <v>1</v>
      </c>
      <c r="JM4">
        <f>IF($E4="","",IFERROR(MATCH($A4,祝日!$J$1:$L$1,0),""))</f>
        <v>1</v>
      </c>
    </row>
    <row r="5" spans="1:273" ht="14.25" customHeight="1" x14ac:dyDescent="0.15">
      <c r="A5" s="53" t="str">
        <f>IF($E5="","",IF($JL5=1,INDEX(工数管理!$A$3:$A$98,$E5)&amp;"",IF(INDEX(工数管理!$AK$3:$AK$98,$E5)="","未割当",INDEX(工数管理!$AK$3:$AK$98,$E5))))</f>
        <v>CH01</v>
      </c>
      <c r="B5" s="54" t="str">
        <f>IF($E5="","",IF($JL5=1,"",INDEX(工数管理!$A$3:$A$98,$E5)&amp;""))</f>
        <v>chHondawaraA</v>
      </c>
      <c r="C5" s="53" t="str">
        <f>IF($E5="","",IF($JL5=1,"",INDEX(工数管理!$B$3:$B$98,$E5)&amp;""))</f>
        <v>low</v>
      </c>
      <c r="D5" s="53" t="str">
        <f>IF($E5="","",INDEX(工数管理!$H$3:$H$98,$E5)&amp;"")</f>
        <v>作業中</v>
      </c>
      <c r="E5">
        <f>IFERROR(MATCH(SMALL(工数管理!$BP$3:$BP$98,ROW()-3),工数管理!$BP$3:$BP$98,0),"")</f>
        <v>7</v>
      </c>
      <c r="F5">
        <f>IF($E5="","",IF(INDEX(工数管理!$K$3:$K$98,$E5)="","",INDEX(工数管理!$K$3:$K$98,$E5)))</f>
        <v>46283</v>
      </c>
      <c r="G5">
        <f>IF($E5="","",IF(INDEX(工数管理!$L$3:$L$98,$E5)="","",INDEX(工数管理!$L$3:$L$98,$E5)))</f>
        <v>46294</v>
      </c>
      <c r="H5">
        <f>IF($E5="","",IF(INDEX(工数管理!$M$3:$M$98,$E5)="","",INDEX(工数管理!$M$3:$M$98,$E5)))</f>
        <v>46302</v>
      </c>
      <c r="I5" t="str">
        <f>IF($E5="","",IF(INDEX(工数管理!$N$3:$N$98,$E5)="","",INDEX(工数管理!$N$3:$N$98,$E5)))</f>
        <v/>
      </c>
      <c r="J5" t="str">
        <f>IF($E5="","",IF(INDEX(工数管理!$O$3:$O$98,$E5)="","",INDEX(工数管理!$O$3:$O$98,$E5)))</f>
        <v/>
      </c>
      <c r="K5" t="str">
        <f>IF($E5="","",IF(INDEX(工数管理!$P$3:$P$98,$E5)="","",INDEX(工数管理!$P$3:$P$98,$E5)))</f>
        <v/>
      </c>
      <c r="L5" t="str">
        <f>IF($E5="","",IF(INDEX(工数管理!$Q$3:$Q$98,$E5)="","",INDEX(工数管理!$Q$3:$Q$98,$E5)))</f>
        <v/>
      </c>
      <c r="M5" t="str">
        <f>IF($E5="","",IF(INDEX(工数管理!$R$3:$R$98,$E5)="","",INDEX(工数管理!$R$3:$R$98,$E5)))</f>
        <v/>
      </c>
      <c r="N5" t="str">
        <f>IF($E5="","",IF(INDEX(工数管理!$S$3:$S$98,$E5)="","",INDEX(工数管理!$S$3:$S$98,$E5)))</f>
        <v/>
      </c>
      <c r="O5" t="str">
        <f>IF($E5="","",IF(INDEX(工数管理!$T$3:$T$98,$E5)="","",INDEX(工数管理!$T$3:$T$98,$E5)))</f>
        <v/>
      </c>
      <c r="P5" t="str">
        <f>IF($E5="","",IF(INDEX(工数管理!$U$3:$U$98,$E5)="","",INDEX(工数管理!$U$3:$U$98,$E5)))</f>
        <v/>
      </c>
      <c r="Q5" t="str">
        <f>IF($E5="","",IF(INDEX(工数管理!$V$3:$V$98,$E5)="","",INDEX(工数管理!$V$3:$V$98,$E5)))</f>
        <v/>
      </c>
      <c r="R5" t="str">
        <f>IF($E5="","",IF(INDEX(工数管理!$W$3:$W$98,$E5)="","",INDEX(工数管理!$W$3:$W$98,$E5)))</f>
        <v/>
      </c>
      <c r="S5" t="str">
        <f>IF($E5="","",IF(INDEX(工数管理!$X$3:$X$98,$E5)="","",INDEX(工数管理!$X$3:$X$98,$E5)))</f>
        <v/>
      </c>
      <c r="T5" t="str">
        <f>IF($E5="","",IF(INDEX(工数管理!$Y$3:$Y$98,$E5)="","",INDEX(工数管理!$Y$3:$Y$98,$E5)))</f>
        <v/>
      </c>
      <c r="U5" t="str">
        <f>IF($E5="","",IF(INDEX(工数管理!$Z$3:$Z$98,$E5)="","",INDEX(工数管理!$Z$3:$Z$98,$E5)))</f>
        <v/>
      </c>
      <c r="V5" t="str">
        <f>IF($E5="","",IF(INDEX(工数管理!$AA$3:$AA$98,$E5)="","",INDEX(工数管理!$AA$3:$AA$98,$E5)))</f>
        <v/>
      </c>
      <c r="W5" t="str">
        <f>IF($E5="","",IF(INDEX(工数管理!$AB$3:$AB$98,$E5)="","",INDEX(工数管理!$AB$3:$AB$98,$E5)))</f>
        <v/>
      </c>
      <c r="X5" t="str">
        <f>IF($E5="","",IF(INDEX(工数管理!$AC$3:$AC$98,$E5)="","",INDEX(工数管理!$AC$3:$AC$98,$E5)))</f>
        <v/>
      </c>
      <c r="Y5" t="str">
        <f>IF($E5="","",IF(INDEX(工数管理!$AD$3:$AD$98,$E5)="","",INDEX(工数管理!$AD$3:$AD$98,$E5)))</f>
        <v/>
      </c>
      <c r="Z5" t="str">
        <f>IF($E5="","",IF(INDEX(工数管理!$AE$3:$AE$98,$E5)="","",INDEX(工数管理!$AE$3:$AE$98,$E5)))</f>
        <v/>
      </c>
      <c r="AA5" t="str">
        <f>IF($E5="","",IF(INDEX(工数管理!$AF$3:$AF$98,$E5)="","",INDEX(工数管理!$AF$3:$AF$98,$E5)))</f>
        <v/>
      </c>
      <c r="AB5" t="str">
        <f>IF($E5="","",IF(INDEX(工数管理!$AG$3:$AG$98,$E5)="","",INDEX(工数管理!$AG$3:$AG$98,$E5)))</f>
        <v/>
      </c>
      <c r="AC5" t="str">
        <f>IF($E5="","",IF(INDEX(工数管理!$AH$3:$AH$98,$E5)="","",INDEX(工数管理!$AH$3:$AH$98,$E5)))</f>
        <v/>
      </c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L5">
        <f>IF($E5="","",IF(INDEX(工数管理!$AJ$3:$AJ$98,$E5)&lt;&gt;"",1,0))</f>
        <v>0</v>
      </c>
      <c r="JM5">
        <f>IF($E5="","",IFERROR(MATCH($A5,祝日!$J$1:$L$1,0),""))</f>
        <v>1</v>
      </c>
    </row>
    <row r="6" spans="1:273" ht="14.25" customHeight="1" x14ac:dyDescent="0.15">
      <c r="A6" s="53" t="str">
        <f>IF($E6="","",IF($JL6=1,INDEX(工数管理!$A$3:$A$98,$E6)&amp;"",IF(INDEX(工数管理!$AK$3:$AK$98,$E6)="","未割当",INDEX(工数管理!$AK$3:$AK$98,$E6))))</f>
        <v>CH01</v>
      </c>
      <c r="B6" s="54" t="str">
        <f>IF($E6="","",IF($JL6=1,"",INDEX(工数管理!$A$3:$A$98,$E6)&amp;""))</f>
        <v>chHijikiA</v>
      </c>
      <c r="C6" s="53" t="str">
        <f>IF($E6="","",IF($JL6=1,"",INDEX(工数管理!$B$3:$B$98,$E6)&amp;""))</f>
        <v>low</v>
      </c>
      <c r="D6" s="53" t="str">
        <f>IF($E6="","",INDEX(工数管理!$H$3:$H$98,$E6)&amp;"")</f>
        <v>中断</v>
      </c>
      <c r="E6">
        <f>IFERROR(MATCH(SMALL(工数管理!$BP$3:$BP$98,ROW()-3),工数管理!$BP$3:$BP$98,0),"")</f>
        <v>11</v>
      </c>
      <c r="F6">
        <f>IF($E6="","",IF(INDEX(工数管理!$K$3:$K$98,$E6)="","",INDEX(工数管理!$K$3:$K$98,$E6)))</f>
        <v>46295</v>
      </c>
      <c r="G6">
        <f>IF($E6="","",IF(INDEX(工数管理!$L$3:$L$98,$E6)="","",INDEX(工数管理!$L$3:$L$98,$E6)))</f>
        <v>46301</v>
      </c>
      <c r="H6" t="str">
        <f>IF($E6="","",IF(INDEX(工数管理!$M$3:$M$98,$E6)="","",INDEX(工数管理!$M$3:$M$98,$E6)))</f>
        <v/>
      </c>
      <c r="I6" t="str">
        <f>IF($E6="","",IF(INDEX(工数管理!$N$3:$N$98,$E6)="","",INDEX(工数管理!$N$3:$N$98,$E6)))</f>
        <v/>
      </c>
      <c r="J6" t="str">
        <f>IF($E6="","",IF(INDEX(工数管理!$O$3:$O$98,$E6)="","",INDEX(工数管理!$O$3:$O$98,$E6)))</f>
        <v/>
      </c>
      <c r="K6" t="str">
        <f>IF($E6="","",IF(INDEX(工数管理!$P$3:$P$98,$E6)="","",INDEX(工数管理!$P$3:$P$98,$E6)))</f>
        <v/>
      </c>
      <c r="L6" t="str">
        <f>IF($E6="","",IF(INDEX(工数管理!$Q$3:$Q$98,$E6)="","",INDEX(工数管理!$Q$3:$Q$98,$E6)))</f>
        <v/>
      </c>
      <c r="M6" t="str">
        <f>IF($E6="","",IF(INDEX(工数管理!$R$3:$R$98,$E6)="","",INDEX(工数管理!$R$3:$R$98,$E6)))</f>
        <v/>
      </c>
      <c r="N6" t="str">
        <f>IF($E6="","",IF(INDEX(工数管理!$S$3:$S$98,$E6)="","",INDEX(工数管理!$S$3:$S$98,$E6)))</f>
        <v/>
      </c>
      <c r="O6" t="str">
        <f>IF($E6="","",IF(INDEX(工数管理!$T$3:$T$98,$E6)="","",INDEX(工数管理!$T$3:$T$98,$E6)))</f>
        <v/>
      </c>
      <c r="P6" t="str">
        <f>IF($E6="","",IF(INDEX(工数管理!$U$3:$U$98,$E6)="","",INDEX(工数管理!$U$3:$U$98,$E6)))</f>
        <v/>
      </c>
      <c r="Q6" t="str">
        <f>IF($E6="","",IF(INDEX(工数管理!$V$3:$V$98,$E6)="","",INDEX(工数管理!$V$3:$V$98,$E6)))</f>
        <v/>
      </c>
      <c r="R6" t="str">
        <f>IF($E6="","",IF(INDEX(工数管理!$W$3:$W$98,$E6)="","",INDEX(工数管理!$W$3:$W$98,$E6)))</f>
        <v/>
      </c>
      <c r="S6" t="str">
        <f>IF($E6="","",IF(INDEX(工数管理!$X$3:$X$98,$E6)="","",INDEX(工数管理!$X$3:$X$98,$E6)))</f>
        <v/>
      </c>
      <c r="T6" t="str">
        <f>IF($E6="","",IF(INDEX(工数管理!$Y$3:$Y$98,$E6)="","",INDEX(工数管理!$Y$3:$Y$98,$E6)))</f>
        <v/>
      </c>
      <c r="U6" t="str">
        <f>IF($E6="","",IF(INDEX(工数管理!$Z$3:$Z$98,$E6)="","",INDEX(工数管理!$Z$3:$Z$98,$E6)))</f>
        <v/>
      </c>
      <c r="V6" t="str">
        <f>IF($E6="","",IF(INDEX(工数管理!$AA$3:$AA$98,$E6)="","",INDEX(工数管理!$AA$3:$AA$98,$E6)))</f>
        <v/>
      </c>
      <c r="W6" t="str">
        <f>IF($E6="","",IF(INDEX(工数管理!$AB$3:$AB$98,$E6)="","",INDEX(工数管理!$AB$3:$AB$98,$E6)))</f>
        <v/>
      </c>
      <c r="X6" t="str">
        <f>IF($E6="","",IF(INDEX(工数管理!$AC$3:$AC$98,$E6)="","",INDEX(工数管理!$AC$3:$AC$98,$E6)))</f>
        <v/>
      </c>
      <c r="Y6" t="str">
        <f>IF($E6="","",IF(INDEX(工数管理!$AD$3:$AD$98,$E6)="","",INDEX(工数管理!$AD$3:$AD$98,$E6)))</f>
        <v/>
      </c>
      <c r="Z6" t="str">
        <f>IF($E6="","",IF(INDEX(工数管理!$AE$3:$AE$98,$E6)="","",INDEX(工数管理!$AE$3:$AE$98,$E6)))</f>
        <v/>
      </c>
      <c r="AA6" t="str">
        <f>IF($E6="","",IF(INDEX(工数管理!$AF$3:$AF$98,$E6)="","",INDEX(工数管理!$AF$3:$AF$98,$E6)))</f>
        <v/>
      </c>
      <c r="AB6" t="str">
        <f>IF($E6="","",IF(INDEX(工数管理!$AG$3:$AG$98,$E6)="","",INDEX(工数管理!$AG$3:$AG$98,$E6)))</f>
        <v/>
      </c>
      <c r="AC6" t="str">
        <f>IF($E6="","",IF(INDEX(工数管理!$AH$3:$AH$98,$E6)="","",INDEX(工数管理!$AH$3:$AH$98,$E6)))</f>
        <v/>
      </c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L6">
        <f>IF($E6="","",IF(INDEX(工数管理!$AJ$3:$AJ$98,$E6)&lt;&gt;"",1,0))</f>
        <v>0</v>
      </c>
      <c r="JM6">
        <f>IF($E6="","",IFERROR(MATCH($A6,祝日!$J$1:$L$1,0),""))</f>
        <v>1</v>
      </c>
    </row>
    <row r="7" spans="1:273" ht="14.25" customHeight="1" x14ac:dyDescent="0.15">
      <c r="A7" s="53" t="str">
        <f>IF($E7="","",IF($JL7=1,INDEX(工数管理!$A$3:$A$98,$E7)&amp;"",IF(INDEX(工数管理!$AK$3:$AK$98,$E7)="","未割当",INDEX(工数管理!$AK$3:$AK$98,$E7))))</f>
        <v>CH01</v>
      </c>
      <c r="B7" s="54" t="str">
        <f>IF($E7="","",IF($JL7=1,"",INDEX(工数管理!$A$3:$A$98,$E7)&amp;""))</f>
        <v>chBuChildA</v>
      </c>
      <c r="C7" s="53" t="str">
        <f>IF($E7="","",IF($JL7=1,"",INDEX(工数管理!$B$3:$B$98,$E7)&amp;""))</f>
        <v>low</v>
      </c>
      <c r="D7" s="53" t="str">
        <f>IF($E7="","",INDEX(工数管理!$H$3:$H$98,$E7)&amp;"")</f>
        <v>FIX</v>
      </c>
      <c r="E7">
        <f>IFERROR(MATCH(SMALL(工数管理!$BP$3:$BP$98,ROW()-3),工数管理!$BP$3:$BP$98,0),"")</f>
        <v>15</v>
      </c>
      <c r="F7">
        <f>IF($E7="","",IF(INDEX(工数管理!$K$3:$K$98,$E7)="","",INDEX(工数管理!$K$3:$K$98,$E7)))</f>
        <v>46199</v>
      </c>
      <c r="G7">
        <f>IF($E7="","",IF(INDEX(工数管理!$L$3:$L$98,$E7)="","",INDEX(工数管理!$L$3:$L$98,$E7)))</f>
        <v>46217</v>
      </c>
      <c r="H7" t="str">
        <f>IF($E7="","",IF(INDEX(工数管理!$M$3:$M$98,$E7)="","",INDEX(工数管理!$M$3:$M$98,$E7)))</f>
        <v/>
      </c>
      <c r="I7" t="str">
        <f>IF($E7="","",IF(INDEX(工数管理!$N$3:$N$98,$E7)="","",INDEX(工数管理!$N$3:$N$98,$E7)))</f>
        <v/>
      </c>
      <c r="J7" t="str">
        <f>IF($E7="","",IF(INDEX(工数管理!$O$3:$O$98,$E7)="","",INDEX(工数管理!$O$3:$O$98,$E7)))</f>
        <v/>
      </c>
      <c r="K7" t="str">
        <f>IF($E7="","",IF(INDEX(工数管理!$P$3:$P$98,$E7)="","",INDEX(工数管理!$P$3:$P$98,$E7)))</f>
        <v/>
      </c>
      <c r="L7" t="str">
        <f>IF($E7="","",IF(INDEX(工数管理!$Q$3:$Q$98,$E7)="","",INDEX(工数管理!$Q$3:$Q$98,$E7)))</f>
        <v/>
      </c>
      <c r="M7" t="str">
        <f>IF($E7="","",IF(INDEX(工数管理!$R$3:$R$98,$E7)="","",INDEX(工数管理!$R$3:$R$98,$E7)))</f>
        <v/>
      </c>
      <c r="N7" t="str">
        <f>IF($E7="","",IF(INDEX(工数管理!$S$3:$S$98,$E7)="","",INDEX(工数管理!$S$3:$S$98,$E7)))</f>
        <v/>
      </c>
      <c r="O7" t="str">
        <f>IF($E7="","",IF(INDEX(工数管理!$T$3:$T$98,$E7)="","",INDEX(工数管理!$T$3:$T$98,$E7)))</f>
        <v/>
      </c>
      <c r="P7" t="str">
        <f>IF($E7="","",IF(INDEX(工数管理!$U$3:$U$98,$E7)="","",INDEX(工数管理!$U$3:$U$98,$E7)))</f>
        <v/>
      </c>
      <c r="Q7" t="str">
        <f>IF($E7="","",IF(INDEX(工数管理!$V$3:$V$98,$E7)="","",INDEX(工数管理!$V$3:$V$98,$E7)))</f>
        <v/>
      </c>
      <c r="R7" t="str">
        <f>IF($E7="","",IF(INDEX(工数管理!$W$3:$W$98,$E7)="","",INDEX(工数管理!$W$3:$W$98,$E7)))</f>
        <v/>
      </c>
      <c r="S7" t="str">
        <f>IF($E7="","",IF(INDEX(工数管理!$X$3:$X$98,$E7)="","",INDEX(工数管理!$X$3:$X$98,$E7)))</f>
        <v/>
      </c>
      <c r="T7" t="str">
        <f>IF($E7="","",IF(INDEX(工数管理!$Y$3:$Y$98,$E7)="","",INDEX(工数管理!$Y$3:$Y$98,$E7)))</f>
        <v/>
      </c>
      <c r="U7" t="str">
        <f>IF($E7="","",IF(INDEX(工数管理!$Z$3:$Z$98,$E7)="","",INDEX(工数管理!$Z$3:$Z$98,$E7)))</f>
        <v/>
      </c>
      <c r="V7" t="str">
        <f>IF($E7="","",IF(INDEX(工数管理!$AA$3:$AA$98,$E7)="","",INDEX(工数管理!$AA$3:$AA$98,$E7)))</f>
        <v/>
      </c>
      <c r="W7" t="str">
        <f>IF($E7="","",IF(INDEX(工数管理!$AB$3:$AB$98,$E7)="","",INDEX(工数管理!$AB$3:$AB$98,$E7)))</f>
        <v/>
      </c>
      <c r="X7" t="str">
        <f>IF($E7="","",IF(INDEX(工数管理!$AC$3:$AC$98,$E7)="","",INDEX(工数管理!$AC$3:$AC$98,$E7)))</f>
        <v/>
      </c>
      <c r="Y7" t="str">
        <f>IF($E7="","",IF(INDEX(工数管理!$AD$3:$AD$98,$E7)="","",INDEX(工数管理!$AD$3:$AD$98,$E7)))</f>
        <v/>
      </c>
      <c r="Z7" t="str">
        <f>IF($E7="","",IF(INDEX(工数管理!$AE$3:$AE$98,$E7)="","",INDEX(工数管理!$AE$3:$AE$98,$E7)))</f>
        <v/>
      </c>
      <c r="AA7" t="str">
        <f>IF($E7="","",IF(INDEX(工数管理!$AF$3:$AF$98,$E7)="","",INDEX(工数管理!$AF$3:$AF$98,$E7)))</f>
        <v/>
      </c>
      <c r="AB7" t="str">
        <f>IF($E7="","",IF(INDEX(工数管理!$AG$3:$AG$98,$E7)="","",INDEX(工数管理!$AG$3:$AG$98,$E7)))</f>
        <v/>
      </c>
      <c r="AC7" t="str">
        <f>IF($E7="","",IF(INDEX(工数管理!$AH$3:$AH$98,$E7)="","",INDEX(工数管理!$AH$3:$AH$98,$E7)))</f>
        <v/>
      </c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L7">
        <f>IF($E7="","",IF(INDEX(工数管理!$AJ$3:$AJ$98,$E7)&lt;&gt;"",1,0))</f>
        <v>0</v>
      </c>
      <c r="JM7">
        <f>IF($E7="","",IFERROR(MATCH($A7,祝日!$J$1:$L$1,0),""))</f>
        <v>1</v>
      </c>
    </row>
    <row r="8" spans="1:273" ht="14.25" customHeight="1" x14ac:dyDescent="0.15">
      <c r="A8" s="53" t="str">
        <f>IF($E8="","",IF($JL8=1,INDEX(工数管理!$A$3:$A$98,$E8)&amp;"",IF(INDEX(工数管理!$AK$3:$AK$98,$E8)="","未割当",INDEX(工数管理!$AK$3:$AK$98,$E8))))</f>
        <v>CH01</v>
      </c>
      <c r="B8" s="54" t="str">
        <f>IF($E8="","",IF($JL8=1,"",INDEX(工数管理!$A$3:$A$98,$E8)&amp;""))</f>
        <v>chBuChildA</v>
      </c>
      <c r="C8" s="53" t="str">
        <f>IF($E8="","",IF($JL8=1,"",INDEX(工数管理!$B$3:$B$98,$E8)&amp;""))</f>
        <v>high</v>
      </c>
      <c r="D8" s="53" t="str">
        <f>IF($E8="","",INDEX(工数管理!$H$3:$H$98,$E8)&amp;"")</f>
        <v>FIX</v>
      </c>
      <c r="E8">
        <f>IFERROR(MATCH(SMALL(工数管理!$BP$3:$BP$98,ROW()-3),工数管理!$BP$3:$BP$98,0),"")</f>
        <v>16</v>
      </c>
      <c r="F8">
        <f>IF($E8="","",IF(INDEX(工数管理!$K$3:$K$98,$E8)="","",INDEX(工数管理!$K$3:$K$98,$E8)))</f>
        <v>46218</v>
      </c>
      <c r="G8">
        <f>IF($E8="","",IF(INDEX(工数管理!$L$3:$L$98,$E8)="","",INDEX(工数管理!$L$3:$L$98,$E8)))</f>
        <v>46231</v>
      </c>
      <c r="H8" t="str">
        <f>IF($E8="","",IF(INDEX(工数管理!$M$3:$M$98,$E8)="","",INDEX(工数管理!$M$3:$M$98,$E8)))</f>
        <v/>
      </c>
      <c r="I8" t="str">
        <f>IF($E8="","",IF(INDEX(工数管理!$N$3:$N$98,$E8)="","",INDEX(工数管理!$N$3:$N$98,$E8)))</f>
        <v/>
      </c>
      <c r="J8" t="str">
        <f>IF($E8="","",IF(INDEX(工数管理!$O$3:$O$98,$E8)="","",INDEX(工数管理!$O$3:$O$98,$E8)))</f>
        <v/>
      </c>
      <c r="K8" t="str">
        <f>IF($E8="","",IF(INDEX(工数管理!$P$3:$P$98,$E8)="","",INDEX(工数管理!$P$3:$P$98,$E8)))</f>
        <v/>
      </c>
      <c r="L8" t="str">
        <f>IF($E8="","",IF(INDEX(工数管理!$Q$3:$Q$98,$E8)="","",INDEX(工数管理!$Q$3:$Q$98,$E8)))</f>
        <v/>
      </c>
      <c r="M8" t="str">
        <f>IF($E8="","",IF(INDEX(工数管理!$R$3:$R$98,$E8)="","",INDEX(工数管理!$R$3:$R$98,$E8)))</f>
        <v/>
      </c>
      <c r="N8" t="str">
        <f>IF($E8="","",IF(INDEX(工数管理!$S$3:$S$98,$E8)="","",INDEX(工数管理!$S$3:$S$98,$E8)))</f>
        <v/>
      </c>
      <c r="O8" t="str">
        <f>IF($E8="","",IF(INDEX(工数管理!$T$3:$T$98,$E8)="","",INDEX(工数管理!$T$3:$T$98,$E8)))</f>
        <v/>
      </c>
      <c r="P8" t="str">
        <f>IF($E8="","",IF(INDEX(工数管理!$U$3:$U$98,$E8)="","",INDEX(工数管理!$U$3:$U$98,$E8)))</f>
        <v/>
      </c>
      <c r="Q8" t="str">
        <f>IF($E8="","",IF(INDEX(工数管理!$V$3:$V$98,$E8)="","",INDEX(工数管理!$V$3:$V$98,$E8)))</f>
        <v/>
      </c>
      <c r="R8" t="str">
        <f>IF($E8="","",IF(INDEX(工数管理!$W$3:$W$98,$E8)="","",INDEX(工数管理!$W$3:$W$98,$E8)))</f>
        <v/>
      </c>
      <c r="S8" t="str">
        <f>IF($E8="","",IF(INDEX(工数管理!$X$3:$X$98,$E8)="","",INDEX(工数管理!$X$3:$X$98,$E8)))</f>
        <v/>
      </c>
      <c r="T8" t="str">
        <f>IF($E8="","",IF(INDEX(工数管理!$Y$3:$Y$98,$E8)="","",INDEX(工数管理!$Y$3:$Y$98,$E8)))</f>
        <v/>
      </c>
      <c r="U8" t="str">
        <f>IF($E8="","",IF(INDEX(工数管理!$Z$3:$Z$98,$E8)="","",INDEX(工数管理!$Z$3:$Z$98,$E8)))</f>
        <v/>
      </c>
      <c r="V8" t="str">
        <f>IF($E8="","",IF(INDEX(工数管理!$AA$3:$AA$98,$E8)="","",INDEX(工数管理!$AA$3:$AA$98,$E8)))</f>
        <v/>
      </c>
      <c r="W8" t="str">
        <f>IF($E8="","",IF(INDEX(工数管理!$AB$3:$AB$98,$E8)="","",INDEX(工数管理!$AB$3:$AB$98,$E8)))</f>
        <v/>
      </c>
      <c r="X8" t="str">
        <f>IF($E8="","",IF(INDEX(工数管理!$AC$3:$AC$98,$E8)="","",INDEX(工数管理!$AC$3:$AC$98,$E8)))</f>
        <v/>
      </c>
      <c r="Y8" t="str">
        <f>IF($E8="","",IF(INDEX(工数管理!$AD$3:$AD$98,$E8)="","",INDEX(工数管理!$AD$3:$AD$98,$E8)))</f>
        <v/>
      </c>
      <c r="Z8" t="str">
        <f>IF($E8="","",IF(INDEX(工数管理!$AE$3:$AE$98,$E8)="","",INDEX(工数管理!$AE$3:$AE$98,$E8)))</f>
        <v/>
      </c>
      <c r="AA8" t="str">
        <f>IF($E8="","",IF(INDEX(工数管理!$AF$3:$AF$98,$E8)="","",INDEX(工数管理!$AF$3:$AF$98,$E8)))</f>
        <v/>
      </c>
      <c r="AB8" t="str">
        <f>IF($E8="","",IF(INDEX(工数管理!$AG$3:$AG$98,$E8)="","",INDEX(工数管理!$AG$3:$AG$98,$E8)))</f>
        <v/>
      </c>
      <c r="AC8" t="str">
        <f>IF($E8="","",IF(INDEX(工数管理!$AH$3:$AH$98,$E8)="","",INDEX(工数管理!$AH$3:$AH$98,$E8)))</f>
        <v/>
      </c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L8">
        <f>IF($E8="","",IF(INDEX(工数管理!$AJ$3:$AJ$98,$E8)&lt;&gt;"",1,0))</f>
        <v>0</v>
      </c>
      <c r="JM8">
        <f>IF($E8="","",IFERROR(MATCH($A8,祝日!$J$1:$L$1,0),""))</f>
        <v>1</v>
      </c>
    </row>
    <row r="9" spans="1:273" ht="14.25" customHeight="1" x14ac:dyDescent="0.15">
      <c r="A9" s="53" t="str">
        <f>IF($E9="","",IF($JL9=1,INDEX(工数管理!$A$3:$A$98,$E9)&amp;"",IF(INDEX(工数管理!$AK$3:$AK$98,$E9)="","未割当",INDEX(工数管理!$AK$3:$AK$98,$E9))))</f>
        <v>CH01</v>
      </c>
      <c r="B9" s="54" t="str">
        <f>IF($E9="","",IF($JL9=1,"",INDEX(工数管理!$A$3:$A$98,$E9)&amp;""))</f>
        <v>chBuChildA</v>
      </c>
      <c r="C9" s="53" t="str">
        <f>IF($E9="","",IF($JL9=1,"",INDEX(工数管理!$B$3:$B$98,$E9)&amp;""))</f>
        <v>fac</v>
      </c>
      <c r="D9" s="53" t="str">
        <f>IF($E9="","",INDEX(工数管理!$H$3:$H$98,$E9)&amp;"")</f>
        <v>FIX</v>
      </c>
      <c r="E9">
        <f>IFERROR(MATCH(SMALL(工数管理!$BP$3:$BP$98,ROW()-3),工数管理!$BP$3:$BP$98,0),"")</f>
        <v>17</v>
      </c>
      <c r="F9">
        <f>IF($E9="","",IF(INDEX(工数管理!$K$3:$K$98,$E9)="","",INDEX(工数管理!$K$3:$K$98,$E9)))</f>
        <v>46261</v>
      </c>
      <c r="G9">
        <f>IF($E9="","",IF(INDEX(工数管理!$L$3:$L$98,$E9)="","",INDEX(工数管理!$L$3:$L$98,$E9)))</f>
        <v>46275</v>
      </c>
      <c r="H9" t="str">
        <f>IF($E9="","",IF(INDEX(工数管理!$M$3:$M$98,$E9)="","",INDEX(工数管理!$M$3:$M$98,$E9)))</f>
        <v/>
      </c>
      <c r="I9" t="str">
        <f>IF($E9="","",IF(INDEX(工数管理!$N$3:$N$98,$E9)="","",INDEX(工数管理!$N$3:$N$98,$E9)))</f>
        <v/>
      </c>
      <c r="J9" t="str">
        <f>IF($E9="","",IF(INDEX(工数管理!$O$3:$O$98,$E9)="","",INDEX(工数管理!$O$3:$O$98,$E9)))</f>
        <v/>
      </c>
      <c r="K9" t="str">
        <f>IF($E9="","",IF(INDEX(工数管理!$P$3:$P$98,$E9)="","",INDEX(工数管理!$P$3:$P$98,$E9)))</f>
        <v/>
      </c>
      <c r="L9" t="str">
        <f>IF($E9="","",IF(INDEX(工数管理!$Q$3:$Q$98,$E9)="","",INDEX(工数管理!$Q$3:$Q$98,$E9)))</f>
        <v/>
      </c>
      <c r="M9" t="str">
        <f>IF($E9="","",IF(INDEX(工数管理!$R$3:$R$98,$E9)="","",INDEX(工数管理!$R$3:$R$98,$E9)))</f>
        <v/>
      </c>
      <c r="N9" t="str">
        <f>IF($E9="","",IF(INDEX(工数管理!$S$3:$S$98,$E9)="","",INDEX(工数管理!$S$3:$S$98,$E9)))</f>
        <v/>
      </c>
      <c r="O9" t="str">
        <f>IF($E9="","",IF(INDEX(工数管理!$T$3:$T$98,$E9)="","",INDEX(工数管理!$T$3:$T$98,$E9)))</f>
        <v/>
      </c>
      <c r="P9" t="str">
        <f>IF($E9="","",IF(INDEX(工数管理!$U$3:$U$98,$E9)="","",INDEX(工数管理!$U$3:$U$98,$E9)))</f>
        <v/>
      </c>
      <c r="Q9" t="str">
        <f>IF($E9="","",IF(INDEX(工数管理!$V$3:$V$98,$E9)="","",INDEX(工数管理!$V$3:$V$98,$E9)))</f>
        <v/>
      </c>
      <c r="R9" t="str">
        <f>IF($E9="","",IF(INDEX(工数管理!$W$3:$W$98,$E9)="","",INDEX(工数管理!$W$3:$W$98,$E9)))</f>
        <v/>
      </c>
      <c r="S9" t="str">
        <f>IF($E9="","",IF(INDEX(工数管理!$X$3:$X$98,$E9)="","",INDEX(工数管理!$X$3:$X$98,$E9)))</f>
        <v/>
      </c>
      <c r="T9" t="str">
        <f>IF($E9="","",IF(INDEX(工数管理!$Y$3:$Y$98,$E9)="","",INDEX(工数管理!$Y$3:$Y$98,$E9)))</f>
        <v/>
      </c>
      <c r="U9" t="str">
        <f>IF($E9="","",IF(INDEX(工数管理!$Z$3:$Z$98,$E9)="","",INDEX(工数管理!$Z$3:$Z$98,$E9)))</f>
        <v/>
      </c>
      <c r="V9" t="str">
        <f>IF($E9="","",IF(INDEX(工数管理!$AA$3:$AA$98,$E9)="","",INDEX(工数管理!$AA$3:$AA$98,$E9)))</f>
        <v/>
      </c>
      <c r="W9" t="str">
        <f>IF($E9="","",IF(INDEX(工数管理!$AB$3:$AB$98,$E9)="","",INDEX(工数管理!$AB$3:$AB$98,$E9)))</f>
        <v/>
      </c>
      <c r="X9" t="str">
        <f>IF($E9="","",IF(INDEX(工数管理!$AC$3:$AC$98,$E9)="","",INDEX(工数管理!$AC$3:$AC$98,$E9)))</f>
        <v/>
      </c>
      <c r="Y9" t="str">
        <f>IF($E9="","",IF(INDEX(工数管理!$AD$3:$AD$98,$E9)="","",INDEX(工数管理!$AD$3:$AD$98,$E9)))</f>
        <v/>
      </c>
      <c r="Z9" t="str">
        <f>IF($E9="","",IF(INDEX(工数管理!$AE$3:$AE$98,$E9)="","",INDEX(工数管理!$AE$3:$AE$98,$E9)))</f>
        <v/>
      </c>
      <c r="AA9" t="str">
        <f>IF($E9="","",IF(INDEX(工数管理!$AF$3:$AF$98,$E9)="","",INDEX(工数管理!$AF$3:$AF$98,$E9)))</f>
        <v/>
      </c>
      <c r="AB9" t="str">
        <f>IF($E9="","",IF(INDEX(工数管理!$AG$3:$AG$98,$E9)="","",INDEX(工数管理!$AG$3:$AG$98,$E9)))</f>
        <v/>
      </c>
      <c r="AC9" t="str">
        <f>IF($E9="","",IF(INDEX(工数管理!$AH$3:$AH$98,$E9)="","",INDEX(工数管理!$AH$3:$AH$98,$E9)))</f>
        <v/>
      </c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52"/>
      <c r="GZ9" s="52"/>
      <c r="HA9" s="52"/>
      <c r="HB9" s="52"/>
      <c r="HC9" s="52"/>
      <c r="HD9" s="52"/>
      <c r="HE9" s="52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2"/>
      <c r="II9" s="52"/>
      <c r="IJ9" s="52"/>
      <c r="IK9" s="52"/>
      <c r="IL9" s="52"/>
      <c r="IM9" s="52"/>
      <c r="IN9" s="52"/>
      <c r="IO9" s="52"/>
      <c r="IP9" s="52"/>
      <c r="IQ9" s="52"/>
      <c r="IR9" s="52"/>
      <c r="IS9" s="52"/>
      <c r="IT9" s="52"/>
      <c r="IU9" s="52"/>
      <c r="IV9" s="52"/>
      <c r="IW9" s="52"/>
      <c r="IX9" s="52"/>
      <c r="IY9" s="52"/>
      <c r="IZ9" s="52"/>
      <c r="JA9" s="52"/>
      <c r="JB9" s="52"/>
      <c r="JC9" s="52"/>
      <c r="JD9" s="52"/>
      <c r="JE9" s="52"/>
      <c r="JF9" s="52"/>
      <c r="JG9" s="52"/>
      <c r="JH9" s="52"/>
      <c r="JI9" s="52"/>
      <c r="JL9">
        <f>IF($E9="","",IF(INDEX(工数管理!$AJ$3:$AJ$98,$E9)&lt;&gt;"",1,0))</f>
        <v>0</v>
      </c>
      <c r="JM9">
        <f>IF($E9="","",IFERROR(MATCH($A9,祝日!$J$1:$L$1,0),""))</f>
        <v>1</v>
      </c>
    </row>
    <row r="10" spans="1:273" ht="14.25" customHeight="1" x14ac:dyDescent="0.15">
      <c r="A10" s="53" t="str">
        <f>IF($E10="","",IF($JL10=1,INDEX(工数管理!$A$3:$A$98,$E10)&amp;"",IF(INDEX(工数管理!$AK$3:$AK$98,$E10)="","未割当",INDEX(工数管理!$AK$3:$AK$98,$E10))))</f>
        <v>CH01</v>
      </c>
      <c r="B10" s="54" t="str">
        <f>IF($E10="","",IF($JL10=1,"",INDEX(工数管理!$A$3:$A$98,$E10)&amp;""))</f>
        <v>chGkChildA</v>
      </c>
      <c r="C10" s="53" t="str">
        <f>IF($E10="","",IF($JL10=1,"",INDEX(工数管理!$B$3:$B$98,$E10)&amp;""))</f>
        <v>low</v>
      </c>
      <c r="D10" s="53" t="str">
        <f>IF($E10="","",INDEX(工数管理!$H$3:$H$98,$E10)&amp;"")</f>
        <v>FIX</v>
      </c>
      <c r="E10">
        <f>IFERROR(MATCH(SMALL(工数管理!$BP$3:$BP$98,ROW()-3),工数管理!$BP$3:$BP$98,0),"")</f>
        <v>19</v>
      </c>
      <c r="F10">
        <f>IF($E10="","",IF(INDEX(工数管理!$K$3:$K$98,$E10)="","",INDEX(工数管理!$K$3:$K$98,$E10)))</f>
        <v>46174</v>
      </c>
      <c r="G10">
        <f>IF($E10="","",IF(INDEX(工数管理!$L$3:$L$98,$E10)="","",INDEX(工数管理!$L$3:$L$98,$E10)))</f>
        <v>46181</v>
      </c>
      <c r="H10" t="str">
        <f>IF($E10="","",IF(INDEX(工数管理!$M$3:$M$98,$E10)="","",INDEX(工数管理!$M$3:$M$98,$E10)))</f>
        <v/>
      </c>
      <c r="I10" t="str">
        <f>IF($E10="","",IF(INDEX(工数管理!$N$3:$N$98,$E10)="","",INDEX(工数管理!$N$3:$N$98,$E10)))</f>
        <v/>
      </c>
      <c r="J10" t="str">
        <f>IF($E10="","",IF(INDEX(工数管理!$O$3:$O$98,$E10)="","",INDEX(工数管理!$O$3:$O$98,$E10)))</f>
        <v/>
      </c>
      <c r="K10" t="str">
        <f>IF($E10="","",IF(INDEX(工数管理!$P$3:$P$98,$E10)="","",INDEX(工数管理!$P$3:$P$98,$E10)))</f>
        <v/>
      </c>
      <c r="L10" t="str">
        <f>IF($E10="","",IF(INDEX(工数管理!$Q$3:$Q$98,$E10)="","",INDEX(工数管理!$Q$3:$Q$98,$E10)))</f>
        <v/>
      </c>
      <c r="M10" t="str">
        <f>IF($E10="","",IF(INDEX(工数管理!$R$3:$R$98,$E10)="","",INDEX(工数管理!$R$3:$R$98,$E10)))</f>
        <v/>
      </c>
      <c r="N10" t="str">
        <f>IF($E10="","",IF(INDEX(工数管理!$S$3:$S$98,$E10)="","",INDEX(工数管理!$S$3:$S$98,$E10)))</f>
        <v/>
      </c>
      <c r="O10" t="str">
        <f>IF($E10="","",IF(INDEX(工数管理!$T$3:$T$98,$E10)="","",INDEX(工数管理!$T$3:$T$98,$E10)))</f>
        <v/>
      </c>
      <c r="P10" t="str">
        <f>IF($E10="","",IF(INDEX(工数管理!$U$3:$U$98,$E10)="","",INDEX(工数管理!$U$3:$U$98,$E10)))</f>
        <v/>
      </c>
      <c r="Q10" t="str">
        <f>IF($E10="","",IF(INDEX(工数管理!$V$3:$V$98,$E10)="","",INDEX(工数管理!$V$3:$V$98,$E10)))</f>
        <v/>
      </c>
      <c r="R10" t="str">
        <f>IF($E10="","",IF(INDEX(工数管理!$W$3:$W$98,$E10)="","",INDEX(工数管理!$W$3:$W$98,$E10)))</f>
        <v/>
      </c>
      <c r="S10" t="str">
        <f>IF($E10="","",IF(INDEX(工数管理!$X$3:$X$98,$E10)="","",INDEX(工数管理!$X$3:$X$98,$E10)))</f>
        <v/>
      </c>
      <c r="T10" t="str">
        <f>IF($E10="","",IF(INDEX(工数管理!$Y$3:$Y$98,$E10)="","",INDEX(工数管理!$Y$3:$Y$98,$E10)))</f>
        <v/>
      </c>
      <c r="U10" t="str">
        <f>IF($E10="","",IF(INDEX(工数管理!$Z$3:$Z$98,$E10)="","",INDEX(工数管理!$Z$3:$Z$98,$E10)))</f>
        <v/>
      </c>
      <c r="V10" t="str">
        <f>IF($E10="","",IF(INDEX(工数管理!$AA$3:$AA$98,$E10)="","",INDEX(工数管理!$AA$3:$AA$98,$E10)))</f>
        <v/>
      </c>
      <c r="W10" t="str">
        <f>IF($E10="","",IF(INDEX(工数管理!$AB$3:$AB$98,$E10)="","",INDEX(工数管理!$AB$3:$AB$98,$E10)))</f>
        <v/>
      </c>
      <c r="X10" t="str">
        <f>IF($E10="","",IF(INDEX(工数管理!$AC$3:$AC$98,$E10)="","",INDEX(工数管理!$AC$3:$AC$98,$E10)))</f>
        <v/>
      </c>
      <c r="Y10" t="str">
        <f>IF($E10="","",IF(INDEX(工数管理!$AD$3:$AD$98,$E10)="","",INDEX(工数管理!$AD$3:$AD$98,$E10)))</f>
        <v/>
      </c>
      <c r="Z10" t="str">
        <f>IF($E10="","",IF(INDEX(工数管理!$AE$3:$AE$98,$E10)="","",INDEX(工数管理!$AE$3:$AE$98,$E10)))</f>
        <v/>
      </c>
      <c r="AA10" t="str">
        <f>IF($E10="","",IF(INDEX(工数管理!$AF$3:$AF$98,$E10)="","",INDEX(工数管理!$AF$3:$AF$98,$E10)))</f>
        <v/>
      </c>
      <c r="AB10" t="str">
        <f>IF($E10="","",IF(INDEX(工数管理!$AG$3:$AG$98,$E10)="","",INDEX(工数管理!$AG$3:$AG$98,$E10)))</f>
        <v/>
      </c>
      <c r="AC10" t="str">
        <f>IF($E10="","",IF(INDEX(工数管理!$AH$3:$AH$98,$E10)="","",INDEX(工数管理!$AH$3:$AH$98,$E10)))</f>
        <v/>
      </c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  <c r="FE10" s="52"/>
      <c r="FF10" s="52"/>
      <c r="FG10" s="52"/>
      <c r="FH10" s="52"/>
      <c r="FI10" s="52"/>
      <c r="FJ10" s="52"/>
      <c r="FK10" s="52"/>
      <c r="FL10" s="52"/>
      <c r="FM10" s="52"/>
      <c r="FN10" s="52"/>
      <c r="FO10" s="52"/>
      <c r="FP10" s="52"/>
      <c r="FQ10" s="52"/>
      <c r="FR10" s="52"/>
      <c r="FS10" s="52"/>
      <c r="FT10" s="52"/>
      <c r="FU10" s="52"/>
      <c r="FV10" s="52"/>
      <c r="FW10" s="52"/>
      <c r="FX10" s="52"/>
      <c r="FY10" s="52"/>
      <c r="FZ10" s="52"/>
      <c r="GA10" s="52"/>
      <c r="GB10" s="52"/>
      <c r="GC10" s="52"/>
      <c r="GD10" s="52"/>
      <c r="GE10" s="52"/>
      <c r="GF10" s="52"/>
      <c r="GG10" s="52"/>
      <c r="GH10" s="52"/>
      <c r="GI10" s="52"/>
      <c r="GJ10" s="52"/>
      <c r="GK10" s="52"/>
      <c r="GL10" s="52"/>
      <c r="GM10" s="52"/>
      <c r="GN10" s="52"/>
      <c r="GO10" s="52"/>
      <c r="GP10" s="52"/>
      <c r="GQ10" s="52"/>
      <c r="GR10" s="52"/>
      <c r="GS10" s="52"/>
      <c r="GT10" s="52"/>
      <c r="GU10" s="52"/>
      <c r="GV10" s="52"/>
      <c r="GW10" s="52"/>
      <c r="GX10" s="52"/>
      <c r="GY10" s="52"/>
      <c r="GZ10" s="52"/>
      <c r="HA10" s="52"/>
      <c r="HB10" s="52"/>
      <c r="HC10" s="52"/>
      <c r="HD10" s="52"/>
      <c r="HE10" s="52"/>
      <c r="HF10" s="52"/>
      <c r="HG10" s="52"/>
      <c r="HH10" s="52"/>
      <c r="HI10" s="52"/>
      <c r="HJ10" s="52"/>
      <c r="HK10" s="52"/>
      <c r="HL10" s="52"/>
      <c r="HM10" s="52"/>
      <c r="HN10" s="52"/>
      <c r="HO10" s="52"/>
      <c r="HP10" s="52"/>
      <c r="HQ10" s="52"/>
      <c r="HR10" s="52"/>
      <c r="HS10" s="52"/>
      <c r="HT10" s="52"/>
      <c r="HU10" s="52"/>
      <c r="HV10" s="52"/>
      <c r="HW10" s="52"/>
      <c r="HX10" s="52"/>
      <c r="HY10" s="52"/>
      <c r="HZ10" s="52"/>
      <c r="IA10" s="52"/>
      <c r="IB10" s="52"/>
      <c r="IC10" s="52"/>
      <c r="ID10" s="52"/>
      <c r="IE10" s="52"/>
      <c r="IF10" s="52"/>
      <c r="IG10" s="52"/>
      <c r="IH10" s="52"/>
      <c r="II10" s="52"/>
      <c r="IJ10" s="52"/>
      <c r="IK10" s="52"/>
      <c r="IL10" s="52"/>
      <c r="IM10" s="52"/>
      <c r="IN10" s="52"/>
      <c r="IO10" s="52"/>
      <c r="IP10" s="52"/>
      <c r="IQ10" s="52"/>
      <c r="IR10" s="52"/>
      <c r="IS10" s="52"/>
      <c r="IT10" s="52"/>
      <c r="IU10" s="52"/>
      <c r="IV10" s="52"/>
      <c r="IW10" s="52"/>
      <c r="IX10" s="52"/>
      <c r="IY10" s="52"/>
      <c r="IZ10" s="52"/>
      <c r="JA10" s="52"/>
      <c r="JB10" s="52"/>
      <c r="JC10" s="52"/>
      <c r="JD10" s="52"/>
      <c r="JE10" s="52"/>
      <c r="JF10" s="52"/>
      <c r="JG10" s="52"/>
      <c r="JH10" s="52"/>
      <c r="JI10" s="52"/>
      <c r="JL10">
        <f>IF($E10="","",IF(INDEX(工数管理!$AJ$3:$AJ$98,$E10)&lt;&gt;"",1,0))</f>
        <v>0</v>
      </c>
      <c r="JM10">
        <f>IF($E10="","",IFERROR(MATCH($A10,祝日!$J$1:$L$1,0),""))</f>
        <v>1</v>
      </c>
    </row>
    <row r="11" spans="1:273" ht="14.25" customHeight="1" x14ac:dyDescent="0.15">
      <c r="A11" s="53" t="str">
        <f>IF($E11="","",IF($JL11=1,INDEX(工数管理!$A$3:$A$98,$E11)&amp;"",IF(INDEX(工数管理!$AK$3:$AK$98,$E11)="","未割当",INDEX(工数管理!$AK$3:$AK$98,$E11))))</f>
        <v>CH01</v>
      </c>
      <c r="B11" s="54" t="str">
        <f>IF($E11="","",IF($JL11=1,"",INDEX(工数管理!$A$3:$A$98,$E11)&amp;""))</f>
        <v>chGkChildA</v>
      </c>
      <c r="C11" s="53" t="str">
        <f>IF($E11="","",IF($JL11=1,"",INDEX(工数管理!$B$3:$B$98,$E11)&amp;""))</f>
        <v>high</v>
      </c>
      <c r="D11" s="53" t="str">
        <f>IF($E11="","",INDEX(工数管理!$H$3:$H$98,$E11)&amp;"")</f>
        <v>FIX</v>
      </c>
      <c r="E11">
        <f>IFERROR(MATCH(SMALL(工数管理!$BP$3:$BP$98,ROW()-3),工数管理!$BP$3:$BP$98,0),"")</f>
        <v>20</v>
      </c>
      <c r="F11">
        <f>IF($E11="","",IF(INDEX(工数管理!$K$3:$K$98,$E11)="","",INDEX(工数管理!$K$3:$K$98,$E11)))</f>
        <v>46182</v>
      </c>
      <c r="G11">
        <f>IF($E11="","",IF(INDEX(工数管理!$L$3:$L$98,$E11)="","",INDEX(工数管理!$L$3:$L$98,$E11)))</f>
        <v>46198</v>
      </c>
      <c r="H11" t="str">
        <f>IF($E11="","",IF(INDEX(工数管理!$M$3:$M$98,$E11)="","",INDEX(工数管理!$M$3:$M$98,$E11)))</f>
        <v/>
      </c>
      <c r="I11" t="str">
        <f>IF($E11="","",IF(INDEX(工数管理!$N$3:$N$98,$E11)="","",INDEX(工数管理!$N$3:$N$98,$E11)))</f>
        <v/>
      </c>
      <c r="J11" t="str">
        <f>IF($E11="","",IF(INDEX(工数管理!$O$3:$O$98,$E11)="","",INDEX(工数管理!$O$3:$O$98,$E11)))</f>
        <v/>
      </c>
      <c r="K11" t="str">
        <f>IF($E11="","",IF(INDEX(工数管理!$P$3:$P$98,$E11)="","",INDEX(工数管理!$P$3:$P$98,$E11)))</f>
        <v/>
      </c>
      <c r="L11" t="str">
        <f>IF($E11="","",IF(INDEX(工数管理!$Q$3:$Q$98,$E11)="","",INDEX(工数管理!$Q$3:$Q$98,$E11)))</f>
        <v/>
      </c>
      <c r="M11" t="str">
        <f>IF($E11="","",IF(INDEX(工数管理!$R$3:$R$98,$E11)="","",INDEX(工数管理!$R$3:$R$98,$E11)))</f>
        <v/>
      </c>
      <c r="N11" t="str">
        <f>IF($E11="","",IF(INDEX(工数管理!$S$3:$S$98,$E11)="","",INDEX(工数管理!$S$3:$S$98,$E11)))</f>
        <v/>
      </c>
      <c r="O11" t="str">
        <f>IF($E11="","",IF(INDEX(工数管理!$T$3:$T$98,$E11)="","",INDEX(工数管理!$T$3:$T$98,$E11)))</f>
        <v/>
      </c>
      <c r="P11" t="str">
        <f>IF($E11="","",IF(INDEX(工数管理!$U$3:$U$98,$E11)="","",INDEX(工数管理!$U$3:$U$98,$E11)))</f>
        <v/>
      </c>
      <c r="Q11" t="str">
        <f>IF($E11="","",IF(INDEX(工数管理!$V$3:$V$98,$E11)="","",INDEX(工数管理!$V$3:$V$98,$E11)))</f>
        <v/>
      </c>
      <c r="R11" t="str">
        <f>IF($E11="","",IF(INDEX(工数管理!$W$3:$W$98,$E11)="","",INDEX(工数管理!$W$3:$W$98,$E11)))</f>
        <v/>
      </c>
      <c r="S11" t="str">
        <f>IF($E11="","",IF(INDEX(工数管理!$X$3:$X$98,$E11)="","",INDEX(工数管理!$X$3:$X$98,$E11)))</f>
        <v/>
      </c>
      <c r="T11" t="str">
        <f>IF($E11="","",IF(INDEX(工数管理!$Y$3:$Y$98,$E11)="","",INDEX(工数管理!$Y$3:$Y$98,$E11)))</f>
        <v/>
      </c>
      <c r="U11" t="str">
        <f>IF($E11="","",IF(INDEX(工数管理!$Z$3:$Z$98,$E11)="","",INDEX(工数管理!$Z$3:$Z$98,$E11)))</f>
        <v/>
      </c>
      <c r="V11" t="str">
        <f>IF($E11="","",IF(INDEX(工数管理!$AA$3:$AA$98,$E11)="","",INDEX(工数管理!$AA$3:$AA$98,$E11)))</f>
        <v/>
      </c>
      <c r="W11" t="str">
        <f>IF($E11="","",IF(INDEX(工数管理!$AB$3:$AB$98,$E11)="","",INDEX(工数管理!$AB$3:$AB$98,$E11)))</f>
        <v/>
      </c>
      <c r="X11" t="str">
        <f>IF($E11="","",IF(INDEX(工数管理!$AC$3:$AC$98,$E11)="","",INDEX(工数管理!$AC$3:$AC$98,$E11)))</f>
        <v/>
      </c>
      <c r="Y11" t="str">
        <f>IF($E11="","",IF(INDEX(工数管理!$AD$3:$AD$98,$E11)="","",INDEX(工数管理!$AD$3:$AD$98,$E11)))</f>
        <v/>
      </c>
      <c r="Z11" t="str">
        <f>IF($E11="","",IF(INDEX(工数管理!$AE$3:$AE$98,$E11)="","",INDEX(工数管理!$AE$3:$AE$98,$E11)))</f>
        <v/>
      </c>
      <c r="AA11" t="str">
        <f>IF($E11="","",IF(INDEX(工数管理!$AF$3:$AF$98,$E11)="","",INDEX(工数管理!$AF$3:$AF$98,$E11)))</f>
        <v/>
      </c>
      <c r="AB11" t="str">
        <f>IF($E11="","",IF(INDEX(工数管理!$AG$3:$AG$98,$E11)="","",INDEX(工数管理!$AG$3:$AG$98,$E11)))</f>
        <v/>
      </c>
      <c r="AC11" t="str">
        <f>IF($E11="","",IF(INDEX(工数管理!$AH$3:$AH$98,$E11)="","",INDEX(工数管理!$AH$3:$AH$98,$E11)))</f>
        <v/>
      </c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L11">
        <f>IF($E11="","",IF(INDEX(工数管理!$AJ$3:$AJ$98,$E11)&lt;&gt;"",1,0))</f>
        <v>0</v>
      </c>
      <c r="JM11">
        <f>IF($E11="","",IFERROR(MATCH($A11,祝日!$J$1:$L$1,0),""))</f>
        <v>1</v>
      </c>
    </row>
    <row r="12" spans="1:273" ht="14.25" customHeight="1" x14ac:dyDescent="0.15">
      <c r="A12" s="53" t="str">
        <f>IF($E12="","",IF($JL12=1,INDEX(工数管理!$A$3:$A$98,$E12)&amp;"",IF(INDEX(工数管理!$AK$3:$AK$98,$E12)="","未割当",INDEX(工数管理!$AK$3:$AK$98,$E12))))</f>
        <v>CH01</v>
      </c>
      <c r="B12" s="54" t="str">
        <f>IF($E12="","",IF($JL12=1,"",INDEX(工数管理!$A$3:$A$98,$E12)&amp;""))</f>
        <v>chGkChildA</v>
      </c>
      <c r="C12" s="53" t="str">
        <f>IF($E12="","",IF($JL12=1,"",INDEX(工数管理!$B$3:$B$98,$E12)&amp;""))</f>
        <v>fac</v>
      </c>
      <c r="D12" s="53" t="str">
        <f>IF($E12="","",INDEX(工数管理!$H$3:$H$98,$E12)&amp;"")</f>
        <v>FIX</v>
      </c>
      <c r="E12">
        <f>IFERROR(MATCH(SMALL(工数管理!$BP$3:$BP$98,ROW()-3),工数管理!$BP$3:$BP$98,0),"")</f>
        <v>21</v>
      </c>
      <c r="F12">
        <f>IF($E12="","",IF(INDEX(工数管理!$K$3:$K$98,$E12)="","",INDEX(工数管理!$K$3:$K$98,$E12)))</f>
        <v>46232</v>
      </c>
      <c r="G12">
        <f>IF($E12="","",IF(INDEX(工数管理!$L$3:$L$98,$E12)="","",INDEX(工数管理!$L$3:$L$98,$E12)))</f>
        <v>46238</v>
      </c>
      <c r="H12" t="str">
        <f>IF($E12="","",IF(INDEX(工数管理!$M$3:$M$98,$E12)="","",INDEX(工数管理!$M$3:$M$98,$E12)))</f>
        <v/>
      </c>
      <c r="I12" t="str">
        <f>IF($E12="","",IF(INDEX(工数管理!$N$3:$N$98,$E12)="","",INDEX(工数管理!$N$3:$N$98,$E12)))</f>
        <v/>
      </c>
      <c r="J12" t="str">
        <f>IF($E12="","",IF(INDEX(工数管理!$O$3:$O$98,$E12)="","",INDEX(工数管理!$O$3:$O$98,$E12)))</f>
        <v/>
      </c>
      <c r="K12" t="str">
        <f>IF($E12="","",IF(INDEX(工数管理!$P$3:$P$98,$E12)="","",INDEX(工数管理!$P$3:$P$98,$E12)))</f>
        <v/>
      </c>
      <c r="L12" t="str">
        <f>IF($E12="","",IF(INDEX(工数管理!$Q$3:$Q$98,$E12)="","",INDEX(工数管理!$Q$3:$Q$98,$E12)))</f>
        <v/>
      </c>
      <c r="M12" t="str">
        <f>IF($E12="","",IF(INDEX(工数管理!$R$3:$R$98,$E12)="","",INDEX(工数管理!$R$3:$R$98,$E12)))</f>
        <v/>
      </c>
      <c r="N12" t="str">
        <f>IF($E12="","",IF(INDEX(工数管理!$S$3:$S$98,$E12)="","",INDEX(工数管理!$S$3:$S$98,$E12)))</f>
        <v/>
      </c>
      <c r="O12" t="str">
        <f>IF($E12="","",IF(INDEX(工数管理!$T$3:$T$98,$E12)="","",INDEX(工数管理!$T$3:$T$98,$E12)))</f>
        <v/>
      </c>
      <c r="P12" t="str">
        <f>IF($E12="","",IF(INDEX(工数管理!$U$3:$U$98,$E12)="","",INDEX(工数管理!$U$3:$U$98,$E12)))</f>
        <v/>
      </c>
      <c r="Q12" t="str">
        <f>IF($E12="","",IF(INDEX(工数管理!$V$3:$V$98,$E12)="","",INDEX(工数管理!$V$3:$V$98,$E12)))</f>
        <v/>
      </c>
      <c r="R12" t="str">
        <f>IF($E12="","",IF(INDEX(工数管理!$W$3:$W$98,$E12)="","",INDEX(工数管理!$W$3:$W$98,$E12)))</f>
        <v/>
      </c>
      <c r="S12" t="str">
        <f>IF($E12="","",IF(INDEX(工数管理!$X$3:$X$98,$E12)="","",INDEX(工数管理!$X$3:$X$98,$E12)))</f>
        <v/>
      </c>
      <c r="T12" t="str">
        <f>IF($E12="","",IF(INDEX(工数管理!$Y$3:$Y$98,$E12)="","",INDEX(工数管理!$Y$3:$Y$98,$E12)))</f>
        <v/>
      </c>
      <c r="U12" t="str">
        <f>IF($E12="","",IF(INDEX(工数管理!$Z$3:$Z$98,$E12)="","",INDEX(工数管理!$Z$3:$Z$98,$E12)))</f>
        <v/>
      </c>
      <c r="V12" t="str">
        <f>IF($E12="","",IF(INDEX(工数管理!$AA$3:$AA$98,$E12)="","",INDEX(工数管理!$AA$3:$AA$98,$E12)))</f>
        <v/>
      </c>
      <c r="W12" t="str">
        <f>IF($E12="","",IF(INDEX(工数管理!$AB$3:$AB$98,$E12)="","",INDEX(工数管理!$AB$3:$AB$98,$E12)))</f>
        <v/>
      </c>
      <c r="X12" t="str">
        <f>IF($E12="","",IF(INDEX(工数管理!$AC$3:$AC$98,$E12)="","",INDEX(工数管理!$AC$3:$AC$98,$E12)))</f>
        <v/>
      </c>
      <c r="Y12" t="str">
        <f>IF($E12="","",IF(INDEX(工数管理!$AD$3:$AD$98,$E12)="","",INDEX(工数管理!$AD$3:$AD$98,$E12)))</f>
        <v/>
      </c>
      <c r="Z12" t="str">
        <f>IF($E12="","",IF(INDEX(工数管理!$AE$3:$AE$98,$E12)="","",INDEX(工数管理!$AE$3:$AE$98,$E12)))</f>
        <v/>
      </c>
      <c r="AA12" t="str">
        <f>IF($E12="","",IF(INDEX(工数管理!$AF$3:$AF$98,$E12)="","",INDEX(工数管理!$AF$3:$AF$98,$E12)))</f>
        <v/>
      </c>
      <c r="AB12" t="str">
        <f>IF($E12="","",IF(INDEX(工数管理!$AG$3:$AG$98,$E12)="","",INDEX(工数管理!$AG$3:$AG$98,$E12)))</f>
        <v/>
      </c>
      <c r="AC12" t="str">
        <f>IF($E12="","",IF(INDEX(工数管理!$AH$3:$AH$98,$E12)="","",INDEX(工数管理!$AH$3:$AH$98,$E12)))</f>
        <v/>
      </c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2"/>
      <c r="FC12" s="52"/>
      <c r="FD12" s="52"/>
      <c r="FE12" s="52"/>
      <c r="FF12" s="52"/>
      <c r="FG12" s="52"/>
      <c r="FH12" s="52"/>
      <c r="FI12" s="52"/>
      <c r="FJ12" s="52"/>
      <c r="FK12" s="52"/>
      <c r="FL12" s="52"/>
      <c r="FM12" s="52"/>
      <c r="FN12" s="52"/>
      <c r="FO12" s="52"/>
      <c r="FP12" s="52"/>
      <c r="FQ12" s="52"/>
      <c r="FR12" s="52"/>
      <c r="FS12" s="52"/>
      <c r="FT12" s="52"/>
      <c r="FU12" s="52"/>
      <c r="FV12" s="52"/>
      <c r="FW12" s="52"/>
      <c r="FX12" s="52"/>
      <c r="FY12" s="52"/>
      <c r="FZ12" s="52"/>
      <c r="GA12" s="52"/>
      <c r="GB12" s="52"/>
      <c r="GC12" s="52"/>
      <c r="GD12" s="52"/>
      <c r="GE12" s="52"/>
      <c r="GF12" s="52"/>
      <c r="GG12" s="52"/>
      <c r="GH12" s="52"/>
      <c r="GI12" s="52"/>
      <c r="GJ12" s="52"/>
      <c r="GK12" s="52"/>
      <c r="GL12" s="52"/>
      <c r="GM12" s="52"/>
      <c r="GN12" s="52"/>
      <c r="GO12" s="52"/>
      <c r="GP12" s="52"/>
      <c r="GQ12" s="52"/>
      <c r="GR12" s="52"/>
      <c r="GS12" s="52"/>
      <c r="GT12" s="52"/>
      <c r="GU12" s="52"/>
      <c r="GV12" s="52"/>
      <c r="GW12" s="52"/>
      <c r="GX12" s="52"/>
      <c r="GY12" s="52"/>
      <c r="GZ12" s="52"/>
      <c r="HA12" s="52"/>
      <c r="HB12" s="52"/>
      <c r="HC12" s="52"/>
      <c r="HD12" s="52"/>
      <c r="HE12" s="52"/>
      <c r="HF12" s="52"/>
      <c r="HG12" s="52"/>
      <c r="HH12" s="52"/>
      <c r="HI12" s="52"/>
      <c r="HJ12" s="52"/>
      <c r="HK12" s="52"/>
      <c r="HL12" s="52"/>
      <c r="HM12" s="52"/>
      <c r="HN12" s="52"/>
      <c r="HO12" s="52"/>
      <c r="HP12" s="52"/>
      <c r="HQ12" s="52"/>
      <c r="HR12" s="52"/>
      <c r="HS12" s="52"/>
      <c r="HT12" s="52"/>
      <c r="HU12" s="52"/>
      <c r="HV12" s="52"/>
      <c r="HW12" s="52"/>
      <c r="HX12" s="52"/>
      <c r="HY12" s="52"/>
      <c r="HZ12" s="52"/>
      <c r="IA12" s="52"/>
      <c r="IB12" s="52"/>
      <c r="IC12" s="52"/>
      <c r="ID12" s="52"/>
      <c r="IE12" s="52"/>
      <c r="IF12" s="52"/>
      <c r="IG12" s="52"/>
      <c r="IH12" s="52"/>
      <c r="II12" s="52"/>
      <c r="IJ12" s="52"/>
      <c r="IK12" s="52"/>
      <c r="IL12" s="52"/>
      <c r="IM12" s="52"/>
      <c r="IN12" s="52"/>
      <c r="IO12" s="52"/>
      <c r="IP12" s="52"/>
      <c r="IQ12" s="52"/>
      <c r="IR12" s="52"/>
      <c r="IS12" s="52"/>
      <c r="IT12" s="52"/>
      <c r="IU12" s="52"/>
      <c r="IV12" s="52"/>
      <c r="IW12" s="52"/>
      <c r="IX12" s="52"/>
      <c r="IY12" s="52"/>
      <c r="IZ12" s="52"/>
      <c r="JA12" s="52"/>
      <c r="JB12" s="52"/>
      <c r="JC12" s="52"/>
      <c r="JD12" s="52"/>
      <c r="JE12" s="52"/>
      <c r="JF12" s="52"/>
      <c r="JG12" s="52"/>
      <c r="JH12" s="52"/>
      <c r="JI12" s="52"/>
      <c r="JL12">
        <f>IF($E12="","",IF(INDEX(工数管理!$AJ$3:$AJ$98,$E12)&lt;&gt;"",1,0))</f>
        <v>0</v>
      </c>
      <c r="JM12">
        <f>IF($E12="","",IFERROR(MATCH($A12,祝日!$J$1:$L$1,0),""))</f>
        <v>1</v>
      </c>
    </row>
    <row r="13" spans="1:273" ht="14.25" customHeight="1" x14ac:dyDescent="0.15">
      <c r="A13" s="53" t="str">
        <f>IF($E13="","",IF($JL13=1,INDEX(工数管理!$A$3:$A$98,$E13)&amp;"",IF(INDEX(工数管理!$AK$3:$AK$98,$E13)="","未割当",INDEX(工数管理!$AK$3:$AK$98,$E13))))</f>
        <v>CH02</v>
      </c>
      <c r="B13" s="54" t="str">
        <f>IF($E13="","",IF($JL13=1,"",INDEX(工数管理!$A$3:$A$98,$E13)&amp;""))</f>
        <v/>
      </c>
      <c r="C13" s="53" t="str">
        <f>IF($E13="","",IF($JL13=1,"",INDEX(工数管理!$B$3:$B$98,$E13)&amp;""))</f>
        <v/>
      </c>
      <c r="D13" s="53" t="str">
        <f ca="1">IF($E13="","",INDEX(工数管理!$H$3:$H$98,$E13)&amp;"")</f>
        <v>作業中</v>
      </c>
      <c r="E13">
        <f>IFERROR(MATCH(SMALL(工数管理!$BP$3:$BP$98,ROW()-3),工数管理!$BP$3:$BP$98,0),"")</f>
        <v>22</v>
      </c>
      <c r="F13" t="str">
        <f>IF($E13="","",IF(INDEX(工数管理!$K$3:$K$98,$E13)="","",INDEX(工数管理!$K$3:$K$98,$E13)))</f>
        <v/>
      </c>
      <c r="G13" t="str">
        <f>IF($E13="","",IF(INDEX(工数管理!$L$3:$L$98,$E13)="","",INDEX(工数管理!$L$3:$L$98,$E13)))</f>
        <v/>
      </c>
      <c r="H13" t="str">
        <f>IF($E13="","",IF(INDEX(工数管理!$M$3:$M$98,$E13)="","",INDEX(工数管理!$M$3:$M$98,$E13)))</f>
        <v/>
      </c>
      <c r="I13" t="str">
        <f>IF($E13="","",IF(INDEX(工数管理!$N$3:$N$98,$E13)="","",INDEX(工数管理!$N$3:$N$98,$E13)))</f>
        <v/>
      </c>
      <c r="J13" t="str">
        <f>IF($E13="","",IF(INDEX(工数管理!$O$3:$O$98,$E13)="","",INDEX(工数管理!$O$3:$O$98,$E13)))</f>
        <v/>
      </c>
      <c r="K13" t="str">
        <f>IF($E13="","",IF(INDEX(工数管理!$P$3:$P$98,$E13)="","",INDEX(工数管理!$P$3:$P$98,$E13)))</f>
        <v/>
      </c>
      <c r="L13" t="str">
        <f>IF($E13="","",IF(INDEX(工数管理!$Q$3:$Q$98,$E13)="","",INDEX(工数管理!$Q$3:$Q$98,$E13)))</f>
        <v/>
      </c>
      <c r="M13" t="str">
        <f>IF($E13="","",IF(INDEX(工数管理!$R$3:$R$98,$E13)="","",INDEX(工数管理!$R$3:$R$98,$E13)))</f>
        <v/>
      </c>
      <c r="N13" t="str">
        <f>IF($E13="","",IF(INDEX(工数管理!$S$3:$S$98,$E13)="","",INDEX(工数管理!$S$3:$S$98,$E13)))</f>
        <v/>
      </c>
      <c r="O13" t="str">
        <f>IF($E13="","",IF(INDEX(工数管理!$T$3:$T$98,$E13)="","",INDEX(工数管理!$T$3:$T$98,$E13)))</f>
        <v/>
      </c>
      <c r="P13" t="str">
        <f>IF($E13="","",IF(INDEX(工数管理!$U$3:$U$98,$E13)="","",INDEX(工数管理!$U$3:$U$98,$E13)))</f>
        <v/>
      </c>
      <c r="Q13" t="str">
        <f>IF($E13="","",IF(INDEX(工数管理!$V$3:$V$98,$E13)="","",INDEX(工数管理!$V$3:$V$98,$E13)))</f>
        <v/>
      </c>
      <c r="R13" t="str">
        <f>IF($E13="","",IF(INDEX(工数管理!$W$3:$W$98,$E13)="","",INDEX(工数管理!$W$3:$W$98,$E13)))</f>
        <v/>
      </c>
      <c r="S13" t="str">
        <f>IF($E13="","",IF(INDEX(工数管理!$X$3:$X$98,$E13)="","",INDEX(工数管理!$X$3:$X$98,$E13)))</f>
        <v/>
      </c>
      <c r="T13" t="str">
        <f>IF($E13="","",IF(INDEX(工数管理!$Y$3:$Y$98,$E13)="","",INDEX(工数管理!$Y$3:$Y$98,$E13)))</f>
        <v/>
      </c>
      <c r="U13" t="str">
        <f>IF($E13="","",IF(INDEX(工数管理!$Z$3:$Z$98,$E13)="","",INDEX(工数管理!$Z$3:$Z$98,$E13)))</f>
        <v/>
      </c>
      <c r="V13" t="str">
        <f>IF($E13="","",IF(INDEX(工数管理!$AA$3:$AA$98,$E13)="","",INDEX(工数管理!$AA$3:$AA$98,$E13)))</f>
        <v/>
      </c>
      <c r="W13" t="str">
        <f>IF($E13="","",IF(INDEX(工数管理!$AB$3:$AB$98,$E13)="","",INDEX(工数管理!$AB$3:$AB$98,$E13)))</f>
        <v/>
      </c>
      <c r="X13" t="str">
        <f>IF($E13="","",IF(INDEX(工数管理!$AC$3:$AC$98,$E13)="","",INDEX(工数管理!$AC$3:$AC$98,$E13)))</f>
        <v/>
      </c>
      <c r="Y13" t="str">
        <f>IF($E13="","",IF(INDEX(工数管理!$AD$3:$AD$98,$E13)="","",INDEX(工数管理!$AD$3:$AD$98,$E13)))</f>
        <v/>
      </c>
      <c r="Z13" t="str">
        <f>IF($E13="","",IF(INDEX(工数管理!$AE$3:$AE$98,$E13)="","",INDEX(工数管理!$AE$3:$AE$98,$E13)))</f>
        <v/>
      </c>
      <c r="AA13" t="str">
        <f>IF($E13="","",IF(INDEX(工数管理!$AF$3:$AF$98,$E13)="","",INDEX(工数管理!$AF$3:$AF$98,$E13)))</f>
        <v/>
      </c>
      <c r="AB13" t="str">
        <f>IF($E13="","",IF(INDEX(工数管理!$AG$3:$AG$98,$E13)="","",INDEX(工数管理!$AG$3:$AG$98,$E13)))</f>
        <v/>
      </c>
      <c r="AC13" t="str">
        <f>IF($E13="","",IF(INDEX(工数管理!$AH$3:$AH$98,$E13)="","",INDEX(工数管理!$AH$3:$AH$98,$E13)))</f>
        <v/>
      </c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52"/>
      <c r="FC13" s="52"/>
      <c r="FD13" s="52"/>
      <c r="FE13" s="52"/>
      <c r="FF13" s="52"/>
      <c r="FG13" s="52"/>
      <c r="FH13" s="52"/>
      <c r="FI13" s="52"/>
      <c r="FJ13" s="52"/>
      <c r="FK13" s="52"/>
      <c r="FL13" s="52"/>
      <c r="FM13" s="52"/>
      <c r="FN13" s="52"/>
      <c r="FO13" s="52"/>
      <c r="FP13" s="52"/>
      <c r="FQ13" s="52"/>
      <c r="FR13" s="52"/>
      <c r="FS13" s="52"/>
      <c r="FT13" s="52"/>
      <c r="FU13" s="52"/>
      <c r="FV13" s="52"/>
      <c r="FW13" s="52"/>
      <c r="FX13" s="52"/>
      <c r="FY13" s="52"/>
      <c r="FZ13" s="52"/>
      <c r="GA13" s="52"/>
      <c r="GB13" s="52"/>
      <c r="GC13" s="52"/>
      <c r="GD13" s="52"/>
      <c r="GE13" s="52"/>
      <c r="GF13" s="52"/>
      <c r="GG13" s="52"/>
      <c r="GH13" s="52"/>
      <c r="GI13" s="52"/>
      <c r="GJ13" s="52"/>
      <c r="GK13" s="52"/>
      <c r="GL13" s="52"/>
      <c r="GM13" s="52"/>
      <c r="GN13" s="52"/>
      <c r="GO13" s="52"/>
      <c r="GP13" s="52"/>
      <c r="GQ13" s="52"/>
      <c r="GR13" s="52"/>
      <c r="GS13" s="52"/>
      <c r="GT13" s="52"/>
      <c r="GU13" s="52"/>
      <c r="GV13" s="52"/>
      <c r="GW13" s="52"/>
      <c r="GX13" s="52"/>
      <c r="GY13" s="52"/>
      <c r="GZ13" s="52"/>
      <c r="HA13" s="52"/>
      <c r="HB13" s="52"/>
      <c r="HC13" s="52"/>
      <c r="HD13" s="52"/>
      <c r="HE13" s="52"/>
      <c r="HF13" s="52"/>
      <c r="HG13" s="52"/>
      <c r="HH13" s="52"/>
      <c r="HI13" s="52"/>
      <c r="HJ13" s="52"/>
      <c r="HK13" s="52"/>
      <c r="HL13" s="52"/>
      <c r="HM13" s="52"/>
      <c r="HN13" s="52"/>
      <c r="HO13" s="52"/>
      <c r="HP13" s="52"/>
      <c r="HQ13" s="52"/>
      <c r="HR13" s="52"/>
      <c r="HS13" s="52"/>
      <c r="HT13" s="52"/>
      <c r="HU13" s="52"/>
      <c r="HV13" s="52"/>
      <c r="HW13" s="52"/>
      <c r="HX13" s="52"/>
      <c r="HY13" s="52"/>
      <c r="HZ13" s="52"/>
      <c r="IA13" s="52"/>
      <c r="IB13" s="52"/>
      <c r="IC13" s="52"/>
      <c r="ID13" s="52"/>
      <c r="IE13" s="52"/>
      <c r="IF13" s="52"/>
      <c r="IG13" s="52"/>
      <c r="IH13" s="52"/>
      <c r="II13" s="52"/>
      <c r="IJ13" s="52"/>
      <c r="IK13" s="52"/>
      <c r="IL13" s="52"/>
      <c r="IM13" s="52"/>
      <c r="IN13" s="52"/>
      <c r="IO13" s="52"/>
      <c r="IP13" s="52"/>
      <c r="IQ13" s="52"/>
      <c r="IR13" s="52"/>
      <c r="IS13" s="52"/>
      <c r="IT13" s="52"/>
      <c r="IU13" s="52"/>
      <c r="IV13" s="52"/>
      <c r="IW13" s="52"/>
      <c r="IX13" s="52"/>
      <c r="IY13" s="52"/>
      <c r="IZ13" s="52"/>
      <c r="JA13" s="52"/>
      <c r="JB13" s="52"/>
      <c r="JC13" s="52"/>
      <c r="JD13" s="52"/>
      <c r="JE13" s="52"/>
      <c r="JF13" s="52"/>
      <c r="JG13" s="52"/>
      <c r="JH13" s="52"/>
      <c r="JI13" s="52"/>
      <c r="JL13">
        <f>IF($E13="","",IF(INDEX(工数管理!$AJ$3:$AJ$98,$E13)&lt;&gt;"",1,0))</f>
        <v>1</v>
      </c>
      <c r="JM13">
        <f>IF($E13="","",IFERROR(MATCH($A13,祝日!$J$1:$L$1,0),""))</f>
        <v>2</v>
      </c>
    </row>
    <row r="14" spans="1:273" ht="14.25" customHeight="1" x14ac:dyDescent="0.15">
      <c r="A14" s="53" t="str">
        <f>IF($E14="","",IF($JL14=1,INDEX(工数管理!$A$3:$A$98,$E14)&amp;"",IF(INDEX(工数管理!$AK$3:$AK$98,$E14)="","未割当",INDEX(工数管理!$AK$3:$AK$98,$E14))))</f>
        <v>CH02</v>
      </c>
      <c r="B14" s="54" t="str">
        <f>IF($E14="","",IF($JL14=1,"",INDEX(工数管理!$A$3:$A$98,$E14)&amp;""))</f>
        <v>chMobSaiyanG</v>
      </c>
      <c r="C14" s="53" t="str">
        <f>IF($E14="","",IF($JL14=1,"",INDEX(工数管理!$B$3:$B$98,$E14)&amp;""))</f>
        <v>low</v>
      </c>
      <c r="D14" s="53" t="str">
        <f>IF($E14="","",INDEX(工数管理!$H$3:$H$98,$E14)&amp;"")</f>
        <v>中断</v>
      </c>
      <c r="E14">
        <f>IFERROR(MATCH(SMALL(工数管理!$BP$3:$BP$98,ROW()-3),工数管理!$BP$3:$BP$98,0),"")</f>
        <v>28</v>
      </c>
      <c r="F14">
        <f>IF($E14="","",IF(INDEX(工数管理!$K$3:$K$98,$E14)="","",INDEX(工数管理!$K$3:$K$98,$E14)))</f>
        <v>46281</v>
      </c>
      <c r="G14">
        <f>IF($E14="","",IF(INDEX(工数管理!$L$3:$L$98,$E14)="","",INDEX(工数管理!$L$3:$L$98,$E14)))</f>
        <v>46282</v>
      </c>
      <c r="H14">
        <f>IF($E14="","",IF(INDEX(工数管理!$M$3:$M$98,$E14)="","",INDEX(工数管理!$M$3:$M$98,$E14)))</f>
        <v>46293</v>
      </c>
      <c r="I14">
        <f>IF($E14="","",IF(INDEX(工数管理!$N$3:$N$98,$E14)="","",INDEX(工数管理!$N$3:$N$98,$E14)))</f>
        <v>46294</v>
      </c>
      <c r="J14">
        <f>IF($E14="","",IF(INDEX(工数管理!$O$3:$O$98,$E14)="","",INDEX(工数管理!$O$3:$O$98,$E14)))</f>
        <v>46296</v>
      </c>
      <c r="K14">
        <f>IF($E14="","",IF(INDEX(工数管理!$P$3:$P$98,$E14)="","",INDEX(工数管理!$P$3:$P$98,$E14)))</f>
        <v>46296</v>
      </c>
      <c r="L14" t="str">
        <f>IF($E14="","",IF(INDEX(工数管理!$Q$3:$Q$98,$E14)="","",INDEX(工数管理!$Q$3:$Q$98,$E14)))</f>
        <v/>
      </c>
      <c r="M14" t="str">
        <f>IF($E14="","",IF(INDEX(工数管理!$R$3:$R$98,$E14)="","",INDEX(工数管理!$R$3:$R$98,$E14)))</f>
        <v/>
      </c>
      <c r="N14" t="str">
        <f>IF($E14="","",IF(INDEX(工数管理!$S$3:$S$98,$E14)="","",INDEX(工数管理!$S$3:$S$98,$E14)))</f>
        <v/>
      </c>
      <c r="O14" t="str">
        <f>IF($E14="","",IF(INDEX(工数管理!$T$3:$T$98,$E14)="","",INDEX(工数管理!$T$3:$T$98,$E14)))</f>
        <v/>
      </c>
      <c r="P14" t="str">
        <f>IF($E14="","",IF(INDEX(工数管理!$U$3:$U$98,$E14)="","",INDEX(工数管理!$U$3:$U$98,$E14)))</f>
        <v/>
      </c>
      <c r="Q14" t="str">
        <f>IF($E14="","",IF(INDEX(工数管理!$V$3:$V$98,$E14)="","",INDEX(工数管理!$V$3:$V$98,$E14)))</f>
        <v/>
      </c>
      <c r="R14" t="str">
        <f>IF($E14="","",IF(INDEX(工数管理!$W$3:$W$98,$E14)="","",INDEX(工数管理!$W$3:$W$98,$E14)))</f>
        <v/>
      </c>
      <c r="S14" t="str">
        <f>IF($E14="","",IF(INDEX(工数管理!$X$3:$X$98,$E14)="","",INDEX(工数管理!$X$3:$X$98,$E14)))</f>
        <v/>
      </c>
      <c r="T14" t="str">
        <f>IF($E14="","",IF(INDEX(工数管理!$Y$3:$Y$98,$E14)="","",INDEX(工数管理!$Y$3:$Y$98,$E14)))</f>
        <v/>
      </c>
      <c r="U14" t="str">
        <f>IF($E14="","",IF(INDEX(工数管理!$Z$3:$Z$98,$E14)="","",INDEX(工数管理!$Z$3:$Z$98,$E14)))</f>
        <v/>
      </c>
      <c r="V14" t="str">
        <f>IF($E14="","",IF(INDEX(工数管理!$AA$3:$AA$98,$E14)="","",INDEX(工数管理!$AA$3:$AA$98,$E14)))</f>
        <v/>
      </c>
      <c r="W14" t="str">
        <f>IF($E14="","",IF(INDEX(工数管理!$AB$3:$AB$98,$E14)="","",INDEX(工数管理!$AB$3:$AB$98,$E14)))</f>
        <v/>
      </c>
      <c r="X14" t="str">
        <f>IF($E14="","",IF(INDEX(工数管理!$AC$3:$AC$98,$E14)="","",INDEX(工数管理!$AC$3:$AC$98,$E14)))</f>
        <v/>
      </c>
      <c r="Y14" t="str">
        <f>IF($E14="","",IF(INDEX(工数管理!$AD$3:$AD$98,$E14)="","",INDEX(工数管理!$AD$3:$AD$98,$E14)))</f>
        <v/>
      </c>
      <c r="Z14" t="str">
        <f>IF($E14="","",IF(INDEX(工数管理!$AE$3:$AE$98,$E14)="","",INDEX(工数管理!$AE$3:$AE$98,$E14)))</f>
        <v/>
      </c>
      <c r="AA14" t="str">
        <f>IF($E14="","",IF(INDEX(工数管理!$AF$3:$AF$98,$E14)="","",INDEX(工数管理!$AF$3:$AF$98,$E14)))</f>
        <v/>
      </c>
      <c r="AB14" t="str">
        <f>IF($E14="","",IF(INDEX(工数管理!$AG$3:$AG$98,$E14)="","",INDEX(工数管理!$AG$3:$AG$98,$E14)))</f>
        <v/>
      </c>
      <c r="AC14" t="str">
        <f>IF($E14="","",IF(INDEX(工数管理!$AH$3:$AH$98,$E14)="","",INDEX(工数管理!$AH$3:$AH$98,$E14)))</f>
        <v/>
      </c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52"/>
      <c r="FC14" s="52"/>
      <c r="FD14" s="52"/>
      <c r="FE14" s="52"/>
      <c r="FF14" s="52"/>
      <c r="FG14" s="52"/>
      <c r="FH14" s="52"/>
      <c r="FI14" s="52"/>
      <c r="FJ14" s="52"/>
      <c r="FK14" s="52"/>
      <c r="FL14" s="52"/>
      <c r="FM14" s="52"/>
      <c r="FN14" s="52"/>
      <c r="FO14" s="52"/>
      <c r="FP14" s="52"/>
      <c r="FQ14" s="52"/>
      <c r="FR14" s="52"/>
      <c r="FS14" s="52"/>
      <c r="FT14" s="52"/>
      <c r="FU14" s="52"/>
      <c r="FV14" s="52"/>
      <c r="FW14" s="52"/>
      <c r="FX14" s="52"/>
      <c r="FY14" s="52"/>
      <c r="FZ14" s="52"/>
      <c r="GA14" s="52"/>
      <c r="GB14" s="52"/>
      <c r="GC14" s="52"/>
      <c r="GD14" s="52"/>
      <c r="GE14" s="52"/>
      <c r="GF14" s="52"/>
      <c r="GG14" s="52"/>
      <c r="GH14" s="52"/>
      <c r="GI14" s="52"/>
      <c r="GJ14" s="52"/>
      <c r="GK14" s="52"/>
      <c r="GL14" s="52"/>
      <c r="GM14" s="52"/>
      <c r="GN14" s="52"/>
      <c r="GO14" s="52"/>
      <c r="GP14" s="52"/>
      <c r="GQ14" s="52"/>
      <c r="GR14" s="52"/>
      <c r="GS14" s="52"/>
      <c r="GT14" s="52"/>
      <c r="GU14" s="52"/>
      <c r="GV14" s="52"/>
      <c r="GW14" s="52"/>
      <c r="GX14" s="52"/>
      <c r="GY14" s="52"/>
      <c r="GZ14" s="52"/>
      <c r="HA14" s="52"/>
      <c r="HB14" s="52"/>
      <c r="HC14" s="52"/>
      <c r="HD14" s="52"/>
      <c r="HE14" s="52"/>
      <c r="HF14" s="52"/>
      <c r="HG14" s="52"/>
      <c r="HH14" s="52"/>
      <c r="HI14" s="52"/>
      <c r="HJ14" s="52"/>
      <c r="HK14" s="52"/>
      <c r="HL14" s="52"/>
      <c r="HM14" s="52"/>
      <c r="HN14" s="52"/>
      <c r="HO14" s="52"/>
      <c r="HP14" s="52"/>
      <c r="HQ14" s="52"/>
      <c r="HR14" s="52"/>
      <c r="HS14" s="52"/>
      <c r="HT14" s="52"/>
      <c r="HU14" s="52"/>
      <c r="HV14" s="52"/>
      <c r="HW14" s="52"/>
      <c r="HX14" s="52"/>
      <c r="HY14" s="52"/>
      <c r="HZ14" s="52"/>
      <c r="IA14" s="52"/>
      <c r="IB14" s="52"/>
      <c r="IC14" s="52"/>
      <c r="ID14" s="52"/>
      <c r="IE14" s="52"/>
      <c r="IF14" s="52"/>
      <c r="IG14" s="52"/>
      <c r="IH14" s="52"/>
      <c r="II14" s="52"/>
      <c r="IJ14" s="52"/>
      <c r="IK14" s="52"/>
      <c r="IL14" s="52"/>
      <c r="IM14" s="52"/>
      <c r="IN14" s="52"/>
      <c r="IO14" s="52"/>
      <c r="IP14" s="52"/>
      <c r="IQ14" s="52"/>
      <c r="IR14" s="52"/>
      <c r="IS14" s="52"/>
      <c r="IT14" s="52"/>
      <c r="IU14" s="52"/>
      <c r="IV14" s="52"/>
      <c r="IW14" s="52"/>
      <c r="IX14" s="52"/>
      <c r="IY14" s="52"/>
      <c r="IZ14" s="52"/>
      <c r="JA14" s="52"/>
      <c r="JB14" s="52"/>
      <c r="JC14" s="52"/>
      <c r="JD14" s="52"/>
      <c r="JE14" s="52"/>
      <c r="JF14" s="52"/>
      <c r="JG14" s="52"/>
      <c r="JH14" s="52"/>
      <c r="JI14" s="52"/>
      <c r="JL14">
        <f>IF($E14="","",IF(INDEX(工数管理!$AJ$3:$AJ$98,$E14)&lt;&gt;"",1,0))</f>
        <v>0</v>
      </c>
      <c r="JM14">
        <f>IF($E14="","",IFERROR(MATCH($A14,祝日!$J$1:$L$1,0),""))</f>
        <v>2</v>
      </c>
    </row>
    <row r="15" spans="1:273" ht="14.25" customHeight="1" x14ac:dyDescent="0.15">
      <c r="A15" s="53" t="str">
        <f>IF($E15="","",IF($JL15=1,INDEX(工数管理!$A$3:$A$98,$E15)&amp;"",IF(INDEX(工数管理!$AK$3:$AK$98,$E15)="","未割当",INDEX(工数管理!$AK$3:$AK$98,$E15))))</f>
        <v>CH02</v>
      </c>
      <c r="B15" s="54" t="str">
        <f>IF($E15="","",IF($JL15=1,"",INDEX(工数管理!$A$3:$A$98,$E15)&amp;""))</f>
        <v>chMobSaiyanC</v>
      </c>
      <c r="C15" s="53" t="str">
        <f>IF($E15="","",IF($JL15=1,"",INDEX(工数管理!$B$3:$B$98,$E15)&amp;""))</f>
        <v>low</v>
      </c>
      <c r="D15" s="53" t="str">
        <f>IF($E15="","",INDEX(工数管理!$H$3:$H$98,$E15)&amp;"")</f>
        <v>FIX</v>
      </c>
      <c r="E15">
        <f>IFERROR(MATCH(SMALL(工数管理!$BP$3:$BP$98,ROW()-3),工数管理!$BP$3:$BP$98,0),"")</f>
        <v>32</v>
      </c>
      <c r="F15">
        <f>IF($E15="","",IF(INDEX(工数管理!$K$3:$K$98,$E15)="","",INDEX(工数管理!$K$3:$K$98,$E15)))</f>
        <v>46267</v>
      </c>
      <c r="G15">
        <f>IF($E15="","",IF(INDEX(工数管理!$L$3:$L$98,$E15)="","",INDEX(工数管理!$L$3:$L$98,$E15)))</f>
        <v>46267</v>
      </c>
      <c r="H15">
        <f>IF($E15="","",IF(INDEX(工数管理!$M$3:$M$98,$E15)="","",INDEX(工数管理!$M$3:$M$98,$E15)))</f>
        <v>46270</v>
      </c>
      <c r="I15">
        <f>IF($E15="","",IF(INDEX(工数管理!$N$3:$N$98,$E15)="","",INDEX(工数管理!$N$3:$N$98,$E15)))</f>
        <v>46280</v>
      </c>
      <c r="J15" t="str">
        <f>IF($E15="","",IF(INDEX(工数管理!$O$3:$O$98,$E15)="","",INDEX(工数管理!$O$3:$O$98,$E15)))</f>
        <v/>
      </c>
      <c r="K15" t="str">
        <f>IF($E15="","",IF(INDEX(工数管理!$P$3:$P$98,$E15)="","",INDEX(工数管理!$P$3:$P$98,$E15)))</f>
        <v/>
      </c>
      <c r="L15" t="str">
        <f>IF($E15="","",IF(INDEX(工数管理!$Q$3:$Q$98,$E15)="","",INDEX(工数管理!$Q$3:$Q$98,$E15)))</f>
        <v/>
      </c>
      <c r="M15" t="str">
        <f>IF($E15="","",IF(INDEX(工数管理!$R$3:$R$98,$E15)="","",INDEX(工数管理!$R$3:$R$98,$E15)))</f>
        <v/>
      </c>
      <c r="N15" t="str">
        <f>IF($E15="","",IF(INDEX(工数管理!$S$3:$S$98,$E15)="","",INDEX(工数管理!$S$3:$S$98,$E15)))</f>
        <v/>
      </c>
      <c r="O15" t="str">
        <f>IF($E15="","",IF(INDEX(工数管理!$T$3:$T$98,$E15)="","",INDEX(工数管理!$T$3:$T$98,$E15)))</f>
        <v/>
      </c>
      <c r="P15" t="str">
        <f>IF($E15="","",IF(INDEX(工数管理!$U$3:$U$98,$E15)="","",INDEX(工数管理!$U$3:$U$98,$E15)))</f>
        <v/>
      </c>
      <c r="Q15" t="str">
        <f>IF($E15="","",IF(INDEX(工数管理!$V$3:$V$98,$E15)="","",INDEX(工数管理!$V$3:$V$98,$E15)))</f>
        <v/>
      </c>
      <c r="R15" t="str">
        <f>IF($E15="","",IF(INDEX(工数管理!$W$3:$W$98,$E15)="","",INDEX(工数管理!$W$3:$W$98,$E15)))</f>
        <v/>
      </c>
      <c r="S15" t="str">
        <f>IF($E15="","",IF(INDEX(工数管理!$X$3:$X$98,$E15)="","",INDEX(工数管理!$X$3:$X$98,$E15)))</f>
        <v/>
      </c>
      <c r="T15" t="str">
        <f>IF($E15="","",IF(INDEX(工数管理!$Y$3:$Y$98,$E15)="","",INDEX(工数管理!$Y$3:$Y$98,$E15)))</f>
        <v/>
      </c>
      <c r="U15" t="str">
        <f>IF($E15="","",IF(INDEX(工数管理!$Z$3:$Z$98,$E15)="","",INDEX(工数管理!$Z$3:$Z$98,$E15)))</f>
        <v/>
      </c>
      <c r="V15" t="str">
        <f>IF($E15="","",IF(INDEX(工数管理!$AA$3:$AA$98,$E15)="","",INDEX(工数管理!$AA$3:$AA$98,$E15)))</f>
        <v/>
      </c>
      <c r="W15" t="str">
        <f>IF($E15="","",IF(INDEX(工数管理!$AB$3:$AB$98,$E15)="","",INDEX(工数管理!$AB$3:$AB$98,$E15)))</f>
        <v/>
      </c>
      <c r="X15" t="str">
        <f>IF($E15="","",IF(INDEX(工数管理!$AC$3:$AC$98,$E15)="","",INDEX(工数管理!$AC$3:$AC$98,$E15)))</f>
        <v/>
      </c>
      <c r="Y15" t="str">
        <f>IF($E15="","",IF(INDEX(工数管理!$AD$3:$AD$98,$E15)="","",INDEX(工数管理!$AD$3:$AD$98,$E15)))</f>
        <v/>
      </c>
      <c r="Z15" t="str">
        <f>IF($E15="","",IF(INDEX(工数管理!$AE$3:$AE$98,$E15)="","",INDEX(工数管理!$AE$3:$AE$98,$E15)))</f>
        <v/>
      </c>
      <c r="AA15" t="str">
        <f>IF($E15="","",IF(INDEX(工数管理!$AF$3:$AF$98,$E15)="","",INDEX(工数管理!$AF$3:$AF$98,$E15)))</f>
        <v/>
      </c>
      <c r="AB15" t="str">
        <f>IF($E15="","",IF(INDEX(工数管理!$AG$3:$AG$98,$E15)="","",INDEX(工数管理!$AG$3:$AG$98,$E15)))</f>
        <v/>
      </c>
      <c r="AC15" t="str">
        <f>IF($E15="","",IF(INDEX(工数管理!$AH$3:$AH$98,$E15)="","",INDEX(工数管理!$AH$3:$AH$98,$E15)))</f>
        <v/>
      </c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2"/>
      <c r="FM15" s="52"/>
      <c r="FN15" s="52"/>
      <c r="FO15" s="52"/>
      <c r="FP15" s="52"/>
      <c r="FQ15" s="52"/>
      <c r="FR15" s="52"/>
      <c r="FS15" s="52"/>
      <c r="FT15" s="52"/>
      <c r="FU15" s="52"/>
      <c r="FV15" s="52"/>
      <c r="FW15" s="52"/>
      <c r="FX15" s="52"/>
      <c r="FY15" s="52"/>
      <c r="FZ15" s="52"/>
      <c r="GA15" s="52"/>
      <c r="GB15" s="52"/>
      <c r="GC15" s="52"/>
      <c r="GD15" s="52"/>
      <c r="GE15" s="52"/>
      <c r="GF15" s="52"/>
      <c r="GG15" s="52"/>
      <c r="GH15" s="52"/>
      <c r="GI15" s="52"/>
      <c r="GJ15" s="52"/>
      <c r="GK15" s="52"/>
      <c r="GL15" s="52"/>
      <c r="GM15" s="52"/>
      <c r="GN15" s="52"/>
      <c r="GO15" s="52"/>
      <c r="GP15" s="52"/>
      <c r="GQ15" s="52"/>
      <c r="GR15" s="52"/>
      <c r="GS15" s="52"/>
      <c r="GT15" s="52"/>
      <c r="GU15" s="52"/>
      <c r="GV15" s="52"/>
      <c r="GW15" s="52"/>
      <c r="GX15" s="52"/>
      <c r="GY15" s="52"/>
      <c r="GZ15" s="52"/>
      <c r="HA15" s="52"/>
      <c r="HB15" s="52"/>
      <c r="HC15" s="52"/>
      <c r="HD15" s="52"/>
      <c r="HE15" s="52"/>
      <c r="HF15" s="52"/>
      <c r="HG15" s="52"/>
      <c r="HH15" s="52"/>
      <c r="HI15" s="52"/>
      <c r="HJ15" s="52"/>
      <c r="HK15" s="52"/>
      <c r="HL15" s="52"/>
      <c r="HM15" s="52"/>
      <c r="HN15" s="52"/>
      <c r="HO15" s="52"/>
      <c r="HP15" s="52"/>
      <c r="HQ15" s="52"/>
      <c r="HR15" s="52"/>
      <c r="HS15" s="52"/>
      <c r="HT15" s="52"/>
      <c r="HU15" s="52"/>
      <c r="HV15" s="52"/>
      <c r="HW15" s="52"/>
      <c r="HX15" s="52"/>
      <c r="HY15" s="52"/>
      <c r="HZ15" s="52"/>
      <c r="IA15" s="52"/>
      <c r="IB15" s="52"/>
      <c r="IC15" s="52"/>
      <c r="ID15" s="52"/>
      <c r="IE15" s="52"/>
      <c r="IF15" s="52"/>
      <c r="IG15" s="52"/>
      <c r="IH15" s="52"/>
      <c r="II15" s="52"/>
      <c r="IJ15" s="52"/>
      <c r="IK15" s="52"/>
      <c r="IL15" s="52"/>
      <c r="IM15" s="52"/>
      <c r="IN15" s="52"/>
      <c r="IO15" s="52"/>
      <c r="IP15" s="52"/>
      <c r="IQ15" s="52"/>
      <c r="IR15" s="52"/>
      <c r="IS15" s="52"/>
      <c r="IT15" s="52"/>
      <c r="IU15" s="52"/>
      <c r="IV15" s="52"/>
      <c r="IW15" s="52"/>
      <c r="IX15" s="52"/>
      <c r="IY15" s="52"/>
      <c r="IZ15" s="52"/>
      <c r="JA15" s="52"/>
      <c r="JB15" s="52"/>
      <c r="JC15" s="52"/>
      <c r="JD15" s="52"/>
      <c r="JE15" s="52"/>
      <c r="JF15" s="52"/>
      <c r="JG15" s="52"/>
      <c r="JH15" s="52"/>
      <c r="JI15" s="52"/>
      <c r="JL15">
        <f>IF($E15="","",IF(INDEX(工数管理!$AJ$3:$AJ$98,$E15)&lt;&gt;"",1,0))</f>
        <v>0</v>
      </c>
      <c r="JM15">
        <f>IF($E15="","",IFERROR(MATCH($A15,祝日!$J$1:$L$1,0),""))</f>
        <v>2</v>
      </c>
    </row>
    <row r="16" spans="1:273" ht="14.25" customHeight="1" x14ac:dyDescent="0.15">
      <c r="A16" s="53" t="str">
        <f>IF($E16="","",IF($JL16=1,INDEX(工数管理!$A$3:$A$98,$E16)&amp;"",IF(INDEX(工数管理!$AK$3:$AK$98,$E16)="","未割当",INDEX(工数管理!$AK$3:$AK$98,$E16))))</f>
        <v>CH02</v>
      </c>
      <c r="B16" s="54" t="str">
        <f>IF($E16="","",IF($JL16=1,"",INDEX(工数管理!$A$3:$A$98,$E16)&amp;""))</f>
        <v>chMobSaiyanC</v>
      </c>
      <c r="C16" s="53" t="str">
        <f>IF($E16="","",IF($JL16=1,"",INDEX(工数管理!$B$3:$B$98,$E16)&amp;""))</f>
        <v>high</v>
      </c>
      <c r="D16" s="53" t="str">
        <f>IF($E16="","",INDEX(工数管理!$H$3:$H$98,$E16)&amp;"")</f>
        <v>FIX</v>
      </c>
      <c r="E16">
        <f>IFERROR(MATCH(SMALL(工数管理!$BP$3:$BP$98,ROW()-3),工数管理!$BP$3:$BP$98,0),"")</f>
        <v>33</v>
      </c>
      <c r="F16">
        <f>IF($E16="","",IF(INDEX(工数管理!$K$3:$K$98,$E16)="","",INDEX(工数管理!$K$3:$K$98,$E16)))</f>
        <v>46283</v>
      </c>
      <c r="G16">
        <f>IF($E16="","",IF(INDEX(工数管理!$L$3:$L$98,$E16)="","",INDEX(工数管理!$L$3:$L$98,$E16)))</f>
        <v>46290</v>
      </c>
      <c r="H16" t="str">
        <f>IF($E16="","",IF(INDEX(工数管理!$M$3:$M$98,$E16)="","",INDEX(工数管理!$M$3:$M$98,$E16)))</f>
        <v/>
      </c>
      <c r="I16" t="str">
        <f>IF($E16="","",IF(INDEX(工数管理!$N$3:$N$98,$E16)="","",INDEX(工数管理!$N$3:$N$98,$E16)))</f>
        <v/>
      </c>
      <c r="J16" t="str">
        <f>IF($E16="","",IF(INDEX(工数管理!$O$3:$O$98,$E16)="","",INDEX(工数管理!$O$3:$O$98,$E16)))</f>
        <v/>
      </c>
      <c r="K16" t="str">
        <f>IF($E16="","",IF(INDEX(工数管理!$P$3:$P$98,$E16)="","",INDEX(工数管理!$P$3:$P$98,$E16)))</f>
        <v/>
      </c>
      <c r="L16" t="str">
        <f>IF($E16="","",IF(INDEX(工数管理!$Q$3:$Q$98,$E16)="","",INDEX(工数管理!$Q$3:$Q$98,$E16)))</f>
        <v/>
      </c>
      <c r="M16" t="str">
        <f>IF($E16="","",IF(INDEX(工数管理!$R$3:$R$98,$E16)="","",INDEX(工数管理!$R$3:$R$98,$E16)))</f>
        <v/>
      </c>
      <c r="N16" t="str">
        <f>IF($E16="","",IF(INDEX(工数管理!$S$3:$S$98,$E16)="","",INDEX(工数管理!$S$3:$S$98,$E16)))</f>
        <v/>
      </c>
      <c r="O16" t="str">
        <f>IF($E16="","",IF(INDEX(工数管理!$T$3:$T$98,$E16)="","",INDEX(工数管理!$T$3:$T$98,$E16)))</f>
        <v/>
      </c>
      <c r="P16" t="str">
        <f>IF($E16="","",IF(INDEX(工数管理!$U$3:$U$98,$E16)="","",INDEX(工数管理!$U$3:$U$98,$E16)))</f>
        <v/>
      </c>
      <c r="Q16" t="str">
        <f>IF($E16="","",IF(INDEX(工数管理!$V$3:$V$98,$E16)="","",INDEX(工数管理!$V$3:$V$98,$E16)))</f>
        <v/>
      </c>
      <c r="R16" t="str">
        <f>IF($E16="","",IF(INDEX(工数管理!$W$3:$W$98,$E16)="","",INDEX(工数管理!$W$3:$W$98,$E16)))</f>
        <v/>
      </c>
      <c r="S16" t="str">
        <f>IF($E16="","",IF(INDEX(工数管理!$X$3:$X$98,$E16)="","",INDEX(工数管理!$X$3:$X$98,$E16)))</f>
        <v/>
      </c>
      <c r="T16" t="str">
        <f>IF($E16="","",IF(INDEX(工数管理!$Y$3:$Y$98,$E16)="","",INDEX(工数管理!$Y$3:$Y$98,$E16)))</f>
        <v/>
      </c>
      <c r="U16" t="str">
        <f>IF($E16="","",IF(INDEX(工数管理!$Z$3:$Z$98,$E16)="","",INDEX(工数管理!$Z$3:$Z$98,$E16)))</f>
        <v/>
      </c>
      <c r="V16" t="str">
        <f>IF($E16="","",IF(INDEX(工数管理!$AA$3:$AA$98,$E16)="","",INDEX(工数管理!$AA$3:$AA$98,$E16)))</f>
        <v/>
      </c>
      <c r="W16" t="str">
        <f>IF($E16="","",IF(INDEX(工数管理!$AB$3:$AB$98,$E16)="","",INDEX(工数管理!$AB$3:$AB$98,$E16)))</f>
        <v/>
      </c>
      <c r="X16" t="str">
        <f>IF($E16="","",IF(INDEX(工数管理!$AC$3:$AC$98,$E16)="","",INDEX(工数管理!$AC$3:$AC$98,$E16)))</f>
        <v/>
      </c>
      <c r="Y16" t="str">
        <f>IF($E16="","",IF(INDEX(工数管理!$AD$3:$AD$98,$E16)="","",INDEX(工数管理!$AD$3:$AD$98,$E16)))</f>
        <v/>
      </c>
      <c r="Z16" t="str">
        <f>IF($E16="","",IF(INDEX(工数管理!$AE$3:$AE$98,$E16)="","",INDEX(工数管理!$AE$3:$AE$98,$E16)))</f>
        <v/>
      </c>
      <c r="AA16" t="str">
        <f>IF($E16="","",IF(INDEX(工数管理!$AF$3:$AF$98,$E16)="","",INDEX(工数管理!$AF$3:$AF$98,$E16)))</f>
        <v/>
      </c>
      <c r="AB16" t="str">
        <f>IF($E16="","",IF(INDEX(工数管理!$AG$3:$AG$98,$E16)="","",INDEX(工数管理!$AG$3:$AG$98,$E16)))</f>
        <v/>
      </c>
      <c r="AC16" t="str">
        <f>IF($E16="","",IF(INDEX(工数管理!$AH$3:$AH$98,$E16)="","",INDEX(工数管理!$AH$3:$AH$98,$E16)))</f>
        <v/>
      </c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  <c r="FR16" s="52"/>
      <c r="FS16" s="52"/>
      <c r="FT16" s="52"/>
      <c r="FU16" s="52"/>
      <c r="FV16" s="52"/>
      <c r="FW16" s="52"/>
      <c r="FX16" s="52"/>
      <c r="FY16" s="52"/>
      <c r="FZ16" s="52"/>
      <c r="GA16" s="52"/>
      <c r="GB16" s="52"/>
      <c r="GC16" s="52"/>
      <c r="GD16" s="52"/>
      <c r="GE16" s="52"/>
      <c r="GF16" s="52"/>
      <c r="GG16" s="52"/>
      <c r="GH16" s="52"/>
      <c r="GI16" s="52"/>
      <c r="GJ16" s="52"/>
      <c r="GK16" s="52"/>
      <c r="GL16" s="52"/>
      <c r="GM16" s="52"/>
      <c r="GN16" s="52"/>
      <c r="GO16" s="52"/>
      <c r="GP16" s="52"/>
      <c r="GQ16" s="52"/>
      <c r="GR16" s="52"/>
      <c r="GS16" s="52"/>
      <c r="GT16" s="52"/>
      <c r="GU16" s="52"/>
      <c r="GV16" s="52"/>
      <c r="GW16" s="52"/>
      <c r="GX16" s="52"/>
      <c r="GY16" s="52"/>
      <c r="GZ16" s="52"/>
      <c r="HA16" s="52"/>
      <c r="HB16" s="52"/>
      <c r="HC16" s="52"/>
      <c r="HD16" s="52"/>
      <c r="HE16" s="52"/>
      <c r="HF16" s="52"/>
      <c r="HG16" s="52"/>
      <c r="HH16" s="52"/>
      <c r="HI16" s="52"/>
      <c r="HJ16" s="52"/>
      <c r="HK16" s="52"/>
      <c r="HL16" s="52"/>
      <c r="HM16" s="52"/>
      <c r="HN16" s="52"/>
      <c r="HO16" s="52"/>
      <c r="HP16" s="52"/>
      <c r="HQ16" s="52"/>
      <c r="HR16" s="52"/>
      <c r="HS16" s="52"/>
      <c r="HT16" s="52"/>
      <c r="HU16" s="52"/>
      <c r="HV16" s="52"/>
      <c r="HW16" s="52"/>
      <c r="HX16" s="52"/>
      <c r="HY16" s="52"/>
      <c r="HZ16" s="52"/>
      <c r="IA16" s="52"/>
      <c r="IB16" s="52"/>
      <c r="IC16" s="52"/>
      <c r="ID16" s="52"/>
      <c r="IE16" s="52"/>
      <c r="IF16" s="52"/>
      <c r="IG16" s="52"/>
      <c r="IH16" s="52"/>
      <c r="II16" s="52"/>
      <c r="IJ16" s="52"/>
      <c r="IK16" s="52"/>
      <c r="IL16" s="52"/>
      <c r="IM16" s="52"/>
      <c r="IN16" s="52"/>
      <c r="IO16" s="52"/>
      <c r="IP16" s="52"/>
      <c r="IQ16" s="52"/>
      <c r="IR16" s="52"/>
      <c r="IS16" s="52"/>
      <c r="IT16" s="52"/>
      <c r="IU16" s="52"/>
      <c r="IV16" s="52"/>
      <c r="IW16" s="52"/>
      <c r="IX16" s="52"/>
      <c r="IY16" s="52"/>
      <c r="IZ16" s="52"/>
      <c r="JA16" s="52"/>
      <c r="JB16" s="52"/>
      <c r="JC16" s="52"/>
      <c r="JD16" s="52"/>
      <c r="JE16" s="52"/>
      <c r="JF16" s="52"/>
      <c r="JG16" s="52"/>
      <c r="JH16" s="52"/>
      <c r="JI16" s="52"/>
      <c r="JL16">
        <f>IF($E16="","",IF(INDEX(工数管理!$AJ$3:$AJ$98,$E16)&lt;&gt;"",1,0))</f>
        <v>0</v>
      </c>
      <c r="JM16">
        <f>IF($E16="","",IFERROR(MATCH($A16,祝日!$J$1:$L$1,0),""))</f>
        <v>2</v>
      </c>
    </row>
    <row r="17" spans="1:273" ht="14.25" customHeight="1" x14ac:dyDescent="0.15">
      <c r="A17" s="53" t="str">
        <f>IF($E17="","",IF($JL17=1,INDEX(工数管理!$A$3:$A$98,$E17)&amp;"",IF(INDEX(工数管理!$AK$3:$AK$98,$E17)="","未割当",INDEX(工数管理!$AK$3:$AK$98,$E17))))</f>
        <v>CH02</v>
      </c>
      <c r="B17" s="54" t="str">
        <f>IF($E17="","",IF($JL17=1,"",INDEX(工数管理!$A$3:$A$98,$E17)&amp;""))</f>
        <v>chMobSaiyanC</v>
      </c>
      <c r="C17" s="53" t="str">
        <f>IF($E17="","",IF($JL17=1,"",INDEX(工数管理!$B$3:$B$98,$E17)&amp;""))</f>
        <v>fac</v>
      </c>
      <c r="D17" s="53" t="str">
        <f>IF($E17="","",INDEX(工数管理!$H$3:$H$98,$E17)&amp;"")</f>
        <v>中断</v>
      </c>
      <c r="E17">
        <f>IFERROR(MATCH(SMALL(工数管理!$BP$3:$BP$98,ROW()-3),工数管理!$BP$3:$BP$98,0),"")</f>
        <v>34</v>
      </c>
      <c r="F17">
        <f>IF($E17="","",IF(INDEX(工数管理!$K$3:$K$98,$E17)="","",INDEX(工数管理!$K$3:$K$98,$E17)))</f>
        <v>46300</v>
      </c>
      <c r="G17">
        <f>IF($E17="","",IF(INDEX(工数管理!$L$3:$L$98,$E17)="","",INDEX(工数管理!$L$3:$L$98,$E17)))</f>
        <v>46302</v>
      </c>
      <c r="H17" t="str">
        <f>IF($E17="","",IF(INDEX(工数管理!$M$3:$M$98,$E17)="","",INDEX(工数管理!$M$3:$M$98,$E17)))</f>
        <v/>
      </c>
      <c r="I17" t="str">
        <f>IF($E17="","",IF(INDEX(工数管理!$N$3:$N$98,$E17)="","",INDEX(工数管理!$N$3:$N$98,$E17)))</f>
        <v/>
      </c>
      <c r="J17" t="str">
        <f>IF($E17="","",IF(INDEX(工数管理!$O$3:$O$98,$E17)="","",INDEX(工数管理!$O$3:$O$98,$E17)))</f>
        <v/>
      </c>
      <c r="K17" t="str">
        <f>IF($E17="","",IF(INDEX(工数管理!$P$3:$P$98,$E17)="","",INDEX(工数管理!$P$3:$P$98,$E17)))</f>
        <v/>
      </c>
      <c r="L17" t="str">
        <f>IF($E17="","",IF(INDEX(工数管理!$Q$3:$Q$98,$E17)="","",INDEX(工数管理!$Q$3:$Q$98,$E17)))</f>
        <v/>
      </c>
      <c r="M17" t="str">
        <f>IF($E17="","",IF(INDEX(工数管理!$R$3:$R$98,$E17)="","",INDEX(工数管理!$R$3:$R$98,$E17)))</f>
        <v/>
      </c>
      <c r="N17" t="str">
        <f>IF($E17="","",IF(INDEX(工数管理!$S$3:$S$98,$E17)="","",INDEX(工数管理!$S$3:$S$98,$E17)))</f>
        <v/>
      </c>
      <c r="O17" t="str">
        <f>IF($E17="","",IF(INDEX(工数管理!$T$3:$T$98,$E17)="","",INDEX(工数管理!$T$3:$T$98,$E17)))</f>
        <v/>
      </c>
      <c r="P17" t="str">
        <f>IF($E17="","",IF(INDEX(工数管理!$U$3:$U$98,$E17)="","",INDEX(工数管理!$U$3:$U$98,$E17)))</f>
        <v/>
      </c>
      <c r="Q17" t="str">
        <f>IF($E17="","",IF(INDEX(工数管理!$V$3:$V$98,$E17)="","",INDEX(工数管理!$V$3:$V$98,$E17)))</f>
        <v/>
      </c>
      <c r="R17" t="str">
        <f>IF($E17="","",IF(INDEX(工数管理!$W$3:$W$98,$E17)="","",INDEX(工数管理!$W$3:$W$98,$E17)))</f>
        <v/>
      </c>
      <c r="S17" t="str">
        <f>IF($E17="","",IF(INDEX(工数管理!$X$3:$X$98,$E17)="","",INDEX(工数管理!$X$3:$X$98,$E17)))</f>
        <v/>
      </c>
      <c r="T17" t="str">
        <f>IF($E17="","",IF(INDEX(工数管理!$Y$3:$Y$98,$E17)="","",INDEX(工数管理!$Y$3:$Y$98,$E17)))</f>
        <v/>
      </c>
      <c r="U17" t="str">
        <f>IF($E17="","",IF(INDEX(工数管理!$Z$3:$Z$98,$E17)="","",INDEX(工数管理!$Z$3:$Z$98,$E17)))</f>
        <v/>
      </c>
      <c r="V17" t="str">
        <f>IF($E17="","",IF(INDEX(工数管理!$AA$3:$AA$98,$E17)="","",INDEX(工数管理!$AA$3:$AA$98,$E17)))</f>
        <v/>
      </c>
      <c r="W17" t="str">
        <f>IF($E17="","",IF(INDEX(工数管理!$AB$3:$AB$98,$E17)="","",INDEX(工数管理!$AB$3:$AB$98,$E17)))</f>
        <v/>
      </c>
      <c r="X17" t="str">
        <f>IF($E17="","",IF(INDEX(工数管理!$AC$3:$AC$98,$E17)="","",INDEX(工数管理!$AC$3:$AC$98,$E17)))</f>
        <v/>
      </c>
      <c r="Y17" t="str">
        <f>IF($E17="","",IF(INDEX(工数管理!$AD$3:$AD$98,$E17)="","",INDEX(工数管理!$AD$3:$AD$98,$E17)))</f>
        <v/>
      </c>
      <c r="Z17" t="str">
        <f>IF($E17="","",IF(INDEX(工数管理!$AE$3:$AE$98,$E17)="","",INDEX(工数管理!$AE$3:$AE$98,$E17)))</f>
        <v/>
      </c>
      <c r="AA17" t="str">
        <f>IF($E17="","",IF(INDEX(工数管理!$AF$3:$AF$98,$E17)="","",INDEX(工数管理!$AF$3:$AF$98,$E17)))</f>
        <v/>
      </c>
      <c r="AB17" t="str">
        <f>IF($E17="","",IF(INDEX(工数管理!$AG$3:$AG$98,$E17)="","",INDEX(工数管理!$AG$3:$AG$98,$E17)))</f>
        <v/>
      </c>
      <c r="AC17" t="str">
        <f>IF($E17="","",IF(INDEX(工数管理!$AH$3:$AH$98,$E17)="","",INDEX(工数管理!$AH$3:$AH$98,$E17)))</f>
        <v/>
      </c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  <c r="FE17" s="52"/>
      <c r="FF17" s="52"/>
      <c r="FG17" s="52"/>
      <c r="FH17" s="52"/>
      <c r="FI17" s="52"/>
      <c r="FJ17" s="52"/>
      <c r="FK17" s="52"/>
      <c r="FL17" s="52"/>
      <c r="FM17" s="52"/>
      <c r="FN17" s="52"/>
      <c r="FO17" s="52"/>
      <c r="FP17" s="52"/>
      <c r="FQ17" s="52"/>
      <c r="FR17" s="52"/>
      <c r="FS17" s="52"/>
      <c r="FT17" s="52"/>
      <c r="FU17" s="52"/>
      <c r="FV17" s="52"/>
      <c r="FW17" s="52"/>
      <c r="FX17" s="52"/>
      <c r="FY17" s="52"/>
      <c r="FZ17" s="52"/>
      <c r="GA17" s="52"/>
      <c r="GB17" s="52"/>
      <c r="GC17" s="52"/>
      <c r="GD17" s="52"/>
      <c r="GE17" s="52"/>
      <c r="GF17" s="52"/>
      <c r="GG17" s="52"/>
      <c r="GH17" s="52"/>
      <c r="GI17" s="52"/>
      <c r="GJ17" s="52"/>
      <c r="GK17" s="52"/>
      <c r="GL17" s="52"/>
      <c r="GM17" s="52"/>
      <c r="GN17" s="52"/>
      <c r="GO17" s="52"/>
      <c r="GP17" s="52"/>
      <c r="GQ17" s="52"/>
      <c r="GR17" s="52"/>
      <c r="GS17" s="52"/>
      <c r="GT17" s="52"/>
      <c r="GU17" s="52"/>
      <c r="GV17" s="52"/>
      <c r="GW17" s="52"/>
      <c r="GX17" s="52"/>
      <c r="GY17" s="52"/>
      <c r="GZ17" s="52"/>
      <c r="HA17" s="52"/>
      <c r="HB17" s="52"/>
      <c r="HC17" s="52"/>
      <c r="HD17" s="52"/>
      <c r="HE17" s="52"/>
      <c r="HF17" s="52"/>
      <c r="HG17" s="52"/>
      <c r="HH17" s="52"/>
      <c r="HI17" s="52"/>
      <c r="HJ17" s="52"/>
      <c r="HK17" s="52"/>
      <c r="HL17" s="52"/>
      <c r="HM17" s="52"/>
      <c r="HN17" s="52"/>
      <c r="HO17" s="52"/>
      <c r="HP17" s="52"/>
      <c r="HQ17" s="52"/>
      <c r="HR17" s="52"/>
      <c r="HS17" s="52"/>
      <c r="HT17" s="52"/>
      <c r="HU17" s="52"/>
      <c r="HV17" s="52"/>
      <c r="HW17" s="52"/>
      <c r="HX17" s="52"/>
      <c r="HY17" s="52"/>
      <c r="HZ17" s="52"/>
      <c r="IA17" s="52"/>
      <c r="IB17" s="52"/>
      <c r="IC17" s="52"/>
      <c r="ID17" s="52"/>
      <c r="IE17" s="52"/>
      <c r="IF17" s="52"/>
      <c r="IG17" s="52"/>
      <c r="IH17" s="52"/>
      <c r="II17" s="52"/>
      <c r="IJ17" s="52"/>
      <c r="IK17" s="52"/>
      <c r="IL17" s="52"/>
      <c r="IM17" s="52"/>
      <c r="IN17" s="52"/>
      <c r="IO17" s="52"/>
      <c r="IP17" s="52"/>
      <c r="IQ17" s="52"/>
      <c r="IR17" s="52"/>
      <c r="IS17" s="52"/>
      <c r="IT17" s="52"/>
      <c r="IU17" s="52"/>
      <c r="IV17" s="52"/>
      <c r="IW17" s="52"/>
      <c r="IX17" s="52"/>
      <c r="IY17" s="52"/>
      <c r="IZ17" s="52"/>
      <c r="JA17" s="52"/>
      <c r="JB17" s="52"/>
      <c r="JC17" s="52"/>
      <c r="JD17" s="52"/>
      <c r="JE17" s="52"/>
      <c r="JF17" s="52"/>
      <c r="JG17" s="52"/>
      <c r="JH17" s="52"/>
      <c r="JI17" s="52"/>
      <c r="JL17">
        <f>IF($E17="","",IF(INDEX(工数管理!$AJ$3:$AJ$98,$E17)&lt;&gt;"",1,0))</f>
        <v>0</v>
      </c>
      <c r="JM17">
        <f>IF($E17="","",IFERROR(MATCH($A17,祝日!$J$1:$L$1,0),""))</f>
        <v>2</v>
      </c>
    </row>
    <row r="18" spans="1:273" ht="14.25" customHeight="1" x14ac:dyDescent="0.15">
      <c r="A18" s="53" t="str">
        <f>IF($E18="","",IF($JL18=1,INDEX(工数管理!$A$3:$A$98,$E18)&amp;"",IF(INDEX(工数管理!$AK$3:$AK$98,$E18)="","未割当",INDEX(工数管理!$AK$3:$AK$98,$E18))))</f>
        <v>CH02</v>
      </c>
      <c r="B18" s="54" t="str">
        <f>IF($E18="","",IF($JL18=1,"",INDEX(工数管理!$A$3:$A$98,$E18)&amp;""))</f>
        <v>chMobAlienA</v>
      </c>
      <c r="C18" s="53" t="str">
        <f>IF($E18="","",IF($JL18=1,"",INDEX(工数管理!$B$3:$B$98,$E18)&amp;""))</f>
        <v>low</v>
      </c>
      <c r="D18" s="53" t="str">
        <f>IF($E18="","",INDEX(工数管理!$H$3:$H$98,$E18)&amp;"")</f>
        <v>FIX</v>
      </c>
      <c r="E18">
        <f>IFERROR(MATCH(SMALL(工数管理!$BP$3:$BP$98,ROW()-3),工数管理!$BP$3:$BP$98,0),"")</f>
        <v>36</v>
      </c>
      <c r="F18">
        <f>IF($E18="","",IF(INDEX(工数管理!$K$3:$K$98,$E18)="","",INDEX(工数管理!$K$3:$K$98,$E18)))</f>
        <v>46237</v>
      </c>
      <c r="G18">
        <f>IF($E18="","",IF(INDEX(工数管理!$L$3:$L$98,$E18)="","",INDEX(工数管理!$L$3:$L$98,$E18)))</f>
        <v>46254</v>
      </c>
      <c r="H18">
        <f>IF($E18="","",IF(INDEX(工数管理!$M$3:$M$98,$E18)="","",INDEX(工数管理!$M$3:$M$98,$E18)))</f>
        <v>46295</v>
      </c>
      <c r="I18">
        <f>IF($E18="","",IF(INDEX(工数管理!$N$3:$N$98,$E18)="","",INDEX(工数管理!$N$3:$N$98,$E18)))</f>
        <v>46295</v>
      </c>
      <c r="J18" t="str">
        <f>IF($E18="","",IF(INDEX(工数管理!$O$3:$O$98,$E18)="","",INDEX(工数管理!$O$3:$O$98,$E18)))</f>
        <v/>
      </c>
      <c r="K18" t="str">
        <f>IF($E18="","",IF(INDEX(工数管理!$P$3:$P$98,$E18)="","",INDEX(工数管理!$P$3:$P$98,$E18)))</f>
        <v/>
      </c>
      <c r="L18" t="str">
        <f>IF($E18="","",IF(INDEX(工数管理!$Q$3:$Q$98,$E18)="","",INDEX(工数管理!$Q$3:$Q$98,$E18)))</f>
        <v/>
      </c>
      <c r="M18" t="str">
        <f>IF($E18="","",IF(INDEX(工数管理!$R$3:$R$98,$E18)="","",INDEX(工数管理!$R$3:$R$98,$E18)))</f>
        <v/>
      </c>
      <c r="N18" t="str">
        <f>IF($E18="","",IF(INDEX(工数管理!$S$3:$S$98,$E18)="","",INDEX(工数管理!$S$3:$S$98,$E18)))</f>
        <v/>
      </c>
      <c r="O18" t="str">
        <f>IF($E18="","",IF(INDEX(工数管理!$T$3:$T$98,$E18)="","",INDEX(工数管理!$T$3:$T$98,$E18)))</f>
        <v/>
      </c>
      <c r="P18" t="str">
        <f>IF($E18="","",IF(INDEX(工数管理!$U$3:$U$98,$E18)="","",INDEX(工数管理!$U$3:$U$98,$E18)))</f>
        <v/>
      </c>
      <c r="Q18" t="str">
        <f>IF($E18="","",IF(INDEX(工数管理!$V$3:$V$98,$E18)="","",INDEX(工数管理!$V$3:$V$98,$E18)))</f>
        <v/>
      </c>
      <c r="R18" t="str">
        <f>IF($E18="","",IF(INDEX(工数管理!$W$3:$W$98,$E18)="","",INDEX(工数管理!$W$3:$W$98,$E18)))</f>
        <v/>
      </c>
      <c r="S18" t="str">
        <f>IF($E18="","",IF(INDEX(工数管理!$X$3:$X$98,$E18)="","",INDEX(工数管理!$X$3:$X$98,$E18)))</f>
        <v/>
      </c>
      <c r="T18" t="str">
        <f>IF($E18="","",IF(INDEX(工数管理!$Y$3:$Y$98,$E18)="","",INDEX(工数管理!$Y$3:$Y$98,$E18)))</f>
        <v/>
      </c>
      <c r="U18" t="str">
        <f>IF($E18="","",IF(INDEX(工数管理!$Z$3:$Z$98,$E18)="","",INDEX(工数管理!$Z$3:$Z$98,$E18)))</f>
        <v/>
      </c>
      <c r="V18" t="str">
        <f>IF($E18="","",IF(INDEX(工数管理!$AA$3:$AA$98,$E18)="","",INDEX(工数管理!$AA$3:$AA$98,$E18)))</f>
        <v/>
      </c>
      <c r="W18" t="str">
        <f>IF($E18="","",IF(INDEX(工数管理!$AB$3:$AB$98,$E18)="","",INDEX(工数管理!$AB$3:$AB$98,$E18)))</f>
        <v/>
      </c>
      <c r="X18" t="str">
        <f>IF($E18="","",IF(INDEX(工数管理!$AC$3:$AC$98,$E18)="","",INDEX(工数管理!$AC$3:$AC$98,$E18)))</f>
        <v/>
      </c>
      <c r="Y18" t="str">
        <f>IF($E18="","",IF(INDEX(工数管理!$AD$3:$AD$98,$E18)="","",INDEX(工数管理!$AD$3:$AD$98,$E18)))</f>
        <v/>
      </c>
      <c r="Z18" t="str">
        <f>IF($E18="","",IF(INDEX(工数管理!$AE$3:$AE$98,$E18)="","",INDEX(工数管理!$AE$3:$AE$98,$E18)))</f>
        <v/>
      </c>
      <c r="AA18" t="str">
        <f>IF($E18="","",IF(INDEX(工数管理!$AF$3:$AF$98,$E18)="","",INDEX(工数管理!$AF$3:$AF$98,$E18)))</f>
        <v/>
      </c>
      <c r="AB18" t="str">
        <f>IF($E18="","",IF(INDEX(工数管理!$AG$3:$AG$98,$E18)="","",INDEX(工数管理!$AG$3:$AG$98,$E18)))</f>
        <v/>
      </c>
      <c r="AC18" t="str">
        <f>IF($E18="","",IF(INDEX(工数管理!$AH$3:$AH$98,$E18)="","",INDEX(工数管理!$AH$3:$AH$98,$E18)))</f>
        <v/>
      </c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  <c r="FB18" s="52"/>
      <c r="FC18" s="52"/>
      <c r="FD18" s="52"/>
      <c r="FE18" s="52"/>
      <c r="FF18" s="52"/>
      <c r="FG18" s="52"/>
      <c r="FH18" s="52"/>
      <c r="FI18" s="52"/>
      <c r="FJ18" s="52"/>
      <c r="FK18" s="52"/>
      <c r="FL18" s="52"/>
      <c r="FM18" s="52"/>
      <c r="FN18" s="52"/>
      <c r="FO18" s="52"/>
      <c r="FP18" s="52"/>
      <c r="FQ18" s="52"/>
      <c r="FR18" s="52"/>
      <c r="FS18" s="52"/>
      <c r="FT18" s="52"/>
      <c r="FU18" s="52"/>
      <c r="FV18" s="52"/>
      <c r="FW18" s="52"/>
      <c r="FX18" s="52"/>
      <c r="FY18" s="52"/>
      <c r="FZ18" s="52"/>
      <c r="GA18" s="52"/>
      <c r="GB18" s="52"/>
      <c r="GC18" s="52"/>
      <c r="GD18" s="52"/>
      <c r="GE18" s="52"/>
      <c r="GF18" s="52"/>
      <c r="GG18" s="52"/>
      <c r="GH18" s="52"/>
      <c r="GI18" s="52"/>
      <c r="GJ18" s="52"/>
      <c r="GK18" s="52"/>
      <c r="GL18" s="52"/>
      <c r="GM18" s="52"/>
      <c r="GN18" s="52"/>
      <c r="GO18" s="52"/>
      <c r="GP18" s="52"/>
      <c r="GQ18" s="52"/>
      <c r="GR18" s="52"/>
      <c r="GS18" s="52"/>
      <c r="GT18" s="52"/>
      <c r="GU18" s="52"/>
      <c r="GV18" s="52"/>
      <c r="GW18" s="52"/>
      <c r="GX18" s="52"/>
      <c r="GY18" s="52"/>
      <c r="GZ18" s="52"/>
      <c r="HA18" s="52"/>
      <c r="HB18" s="52"/>
      <c r="HC18" s="52"/>
      <c r="HD18" s="52"/>
      <c r="HE18" s="52"/>
      <c r="HF18" s="52"/>
      <c r="HG18" s="52"/>
      <c r="HH18" s="52"/>
      <c r="HI18" s="52"/>
      <c r="HJ18" s="52"/>
      <c r="HK18" s="52"/>
      <c r="HL18" s="52"/>
      <c r="HM18" s="52"/>
      <c r="HN18" s="52"/>
      <c r="HO18" s="52"/>
      <c r="HP18" s="52"/>
      <c r="HQ18" s="52"/>
      <c r="HR18" s="52"/>
      <c r="HS18" s="52"/>
      <c r="HT18" s="52"/>
      <c r="HU18" s="52"/>
      <c r="HV18" s="52"/>
      <c r="HW18" s="52"/>
      <c r="HX18" s="52"/>
      <c r="HY18" s="52"/>
      <c r="HZ18" s="52"/>
      <c r="IA18" s="52"/>
      <c r="IB18" s="52"/>
      <c r="IC18" s="52"/>
      <c r="ID18" s="52"/>
      <c r="IE18" s="52"/>
      <c r="IF18" s="52"/>
      <c r="IG18" s="52"/>
      <c r="IH18" s="52"/>
      <c r="II18" s="52"/>
      <c r="IJ18" s="52"/>
      <c r="IK18" s="52"/>
      <c r="IL18" s="52"/>
      <c r="IM18" s="52"/>
      <c r="IN18" s="52"/>
      <c r="IO18" s="52"/>
      <c r="IP18" s="52"/>
      <c r="IQ18" s="52"/>
      <c r="IR18" s="52"/>
      <c r="IS18" s="52"/>
      <c r="IT18" s="52"/>
      <c r="IU18" s="52"/>
      <c r="IV18" s="52"/>
      <c r="IW18" s="52"/>
      <c r="IX18" s="52"/>
      <c r="IY18" s="52"/>
      <c r="IZ18" s="52"/>
      <c r="JA18" s="52"/>
      <c r="JB18" s="52"/>
      <c r="JC18" s="52"/>
      <c r="JD18" s="52"/>
      <c r="JE18" s="52"/>
      <c r="JF18" s="52"/>
      <c r="JG18" s="52"/>
      <c r="JH18" s="52"/>
      <c r="JI18" s="52"/>
      <c r="JL18">
        <f>IF($E18="","",IF(INDEX(工数管理!$AJ$3:$AJ$98,$E18)&lt;&gt;"",1,0))</f>
        <v>0</v>
      </c>
      <c r="JM18">
        <f>IF($E18="","",IFERROR(MATCH($A18,祝日!$J$1:$L$1,0),""))</f>
        <v>2</v>
      </c>
    </row>
    <row r="19" spans="1:273" ht="14.25" customHeight="1" x14ac:dyDescent="0.15">
      <c r="A19" s="53" t="str">
        <f>IF($E19="","",IF($JL19=1,INDEX(工数管理!$A$3:$A$98,$E19)&amp;"",IF(INDEX(工数管理!$AK$3:$AK$98,$E19)="","未割当",INDEX(工数管理!$AK$3:$AK$98,$E19))))</f>
        <v>CH02</v>
      </c>
      <c r="B19" s="54" t="str">
        <f>IF($E19="","",IF($JL19=1,"",INDEX(工数管理!$A$3:$A$98,$E19)&amp;""))</f>
        <v>chMobAlienA</v>
      </c>
      <c r="C19" s="53" t="str">
        <f>IF($E19="","",IF($JL19=1,"",INDEX(工数管理!$B$3:$B$98,$E19)&amp;""))</f>
        <v>high</v>
      </c>
      <c r="D19" s="53" t="str">
        <f>IF($E19="","",INDEX(工数管理!$H$3:$H$98,$E19)&amp;"")</f>
        <v>FIX</v>
      </c>
      <c r="E19">
        <f>IFERROR(MATCH(SMALL(工数管理!$BP$3:$BP$98,ROW()-3),工数管理!$BP$3:$BP$98,0),"")</f>
        <v>37</v>
      </c>
      <c r="F19">
        <f>IF($E19="","",IF(INDEX(工数管理!$K$3:$K$98,$E19)="","",INDEX(工数管理!$K$3:$K$98,$E19)))</f>
        <v>46255</v>
      </c>
      <c r="G19">
        <f>IF($E19="","",IF(INDEX(工数管理!$L$3:$L$98,$E19)="","",INDEX(工数管理!$L$3:$L$98,$E19)))</f>
        <v>46266</v>
      </c>
      <c r="H19">
        <f>IF($E19="","",IF(INDEX(工数管理!$M$3:$M$98,$E19)="","",INDEX(工数管理!$M$3:$M$98,$E19)))</f>
        <v>46268</v>
      </c>
      <c r="I19">
        <f>IF($E19="","",IF(INDEX(工数管理!$N$3:$N$98,$E19)="","",INDEX(工数管理!$N$3:$N$98,$E19)))</f>
        <v>46269</v>
      </c>
      <c r="J19">
        <f>IF($E19="","",IF(INDEX(工数管理!$O$3:$O$98,$E19)="","",INDEX(工数管理!$O$3:$O$98,$E19)))</f>
        <v>46297</v>
      </c>
      <c r="K19">
        <f>IF($E19="","",IF(INDEX(工数管理!$P$3:$P$98,$E19)="","",INDEX(工数管理!$P$3:$P$98,$E19)))</f>
        <v>46299</v>
      </c>
      <c r="L19" t="str">
        <f>IF($E19="","",IF(INDEX(工数管理!$Q$3:$Q$98,$E19)="","",INDEX(工数管理!$Q$3:$Q$98,$E19)))</f>
        <v/>
      </c>
      <c r="M19" t="str">
        <f>IF($E19="","",IF(INDEX(工数管理!$R$3:$R$98,$E19)="","",INDEX(工数管理!$R$3:$R$98,$E19)))</f>
        <v/>
      </c>
      <c r="N19" t="str">
        <f>IF($E19="","",IF(INDEX(工数管理!$S$3:$S$98,$E19)="","",INDEX(工数管理!$S$3:$S$98,$E19)))</f>
        <v/>
      </c>
      <c r="O19" t="str">
        <f>IF($E19="","",IF(INDEX(工数管理!$T$3:$T$98,$E19)="","",INDEX(工数管理!$T$3:$T$98,$E19)))</f>
        <v/>
      </c>
      <c r="P19" t="str">
        <f>IF($E19="","",IF(INDEX(工数管理!$U$3:$U$98,$E19)="","",INDEX(工数管理!$U$3:$U$98,$E19)))</f>
        <v/>
      </c>
      <c r="Q19" t="str">
        <f>IF($E19="","",IF(INDEX(工数管理!$V$3:$V$98,$E19)="","",INDEX(工数管理!$V$3:$V$98,$E19)))</f>
        <v/>
      </c>
      <c r="R19" t="str">
        <f>IF($E19="","",IF(INDEX(工数管理!$W$3:$W$98,$E19)="","",INDEX(工数管理!$W$3:$W$98,$E19)))</f>
        <v/>
      </c>
      <c r="S19" t="str">
        <f>IF($E19="","",IF(INDEX(工数管理!$X$3:$X$98,$E19)="","",INDEX(工数管理!$X$3:$X$98,$E19)))</f>
        <v/>
      </c>
      <c r="T19" t="str">
        <f>IF($E19="","",IF(INDEX(工数管理!$Y$3:$Y$98,$E19)="","",INDEX(工数管理!$Y$3:$Y$98,$E19)))</f>
        <v/>
      </c>
      <c r="U19" t="str">
        <f>IF($E19="","",IF(INDEX(工数管理!$Z$3:$Z$98,$E19)="","",INDEX(工数管理!$Z$3:$Z$98,$E19)))</f>
        <v/>
      </c>
      <c r="V19" t="str">
        <f>IF($E19="","",IF(INDEX(工数管理!$AA$3:$AA$98,$E19)="","",INDEX(工数管理!$AA$3:$AA$98,$E19)))</f>
        <v/>
      </c>
      <c r="W19" t="str">
        <f>IF($E19="","",IF(INDEX(工数管理!$AB$3:$AB$98,$E19)="","",INDEX(工数管理!$AB$3:$AB$98,$E19)))</f>
        <v/>
      </c>
      <c r="X19" t="str">
        <f>IF($E19="","",IF(INDEX(工数管理!$AC$3:$AC$98,$E19)="","",INDEX(工数管理!$AC$3:$AC$98,$E19)))</f>
        <v/>
      </c>
      <c r="Y19" t="str">
        <f>IF($E19="","",IF(INDEX(工数管理!$AD$3:$AD$98,$E19)="","",INDEX(工数管理!$AD$3:$AD$98,$E19)))</f>
        <v/>
      </c>
      <c r="Z19" t="str">
        <f>IF($E19="","",IF(INDEX(工数管理!$AE$3:$AE$98,$E19)="","",INDEX(工数管理!$AE$3:$AE$98,$E19)))</f>
        <v/>
      </c>
      <c r="AA19" t="str">
        <f>IF($E19="","",IF(INDEX(工数管理!$AF$3:$AF$98,$E19)="","",INDEX(工数管理!$AF$3:$AF$98,$E19)))</f>
        <v/>
      </c>
      <c r="AB19" t="str">
        <f>IF($E19="","",IF(INDEX(工数管理!$AG$3:$AG$98,$E19)="","",INDEX(工数管理!$AG$3:$AG$98,$E19)))</f>
        <v/>
      </c>
      <c r="AC19" t="str">
        <f>IF($E19="","",IF(INDEX(工数管理!$AH$3:$AH$98,$E19)="","",INDEX(工数管理!$AH$3:$AH$98,$E19)))</f>
        <v/>
      </c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2"/>
      <c r="FB19" s="52"/>
      <c r="FC19" s="52"/>
      <c r="FD19" s="52"/>
      <c r="FE19" s="52"/>
      <c r="FF19" s="52"/>
      <c r="FG19" s="52"/>
      <c r="FH19" s="52"/>
      <c r="FI19" s="52"/>
      <c r="FJ19" s="52"/>
      <c r="FK19" s="52"/>
      <c r="FL19" s="52"/>
      <c r="FM19" s="52"/>
      <c r="FN19" s="52"/>
      <c r="FO19" s="52"/>
      <c r="FP19" s="52"/>
      <c r="FQ19" s="52"/>
      <c r="FR19" s="52"/>
      <c r="FS19" s="52"/>
      <c r="FT19" s="52"/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  <c r="GG19" s="52"/>
      <c r="GH19" s="52"/>
      <c r="GI19" s="52"/>
      <c r="GJ19" s="52"/>
      <c r="GK19" s="52"/>
      <c r="GL19" s="52"/>
      <c r="GM19" s="52"/>
      <c r="GN19" s="52"/>
      <c r="GO19" s="52"/>
      <c r="GP19" s="52"/>
      <c r="GQ19" s="52"/>
      <c r="GR19" s="52"/>
      <c r="GS19" s="52"/>
      <c r="GT19" s="52"/>
      <c r="GU19" s="52"/>
      <c r="GV19" s="52"/>
      <c r="GW19" s="52"/>
      <c r="GX19" s="52"/>
      <c r="GY19" s="52"/>
      <c r="GZ19" s="52"/>
      <c r="HA19" s="52"/>
      <c r="HB19" s="52"/>
      <c r="HC19" s="52"/>
      <c r="HD19" s="52"/>
      <c r="HE19" s="52"/>
      <c r="HF19" s="52"/>
      <c r="HG19" s="52"/>
      <c r="HH19" s="52"/>
      <c r="HI19" s="52"/>
      <c r="HJ19" s="52"/>
      <c r="HK19" s="52"/>
      <c r="HL19" s="52"/>
      <c r="HM19" s="52"/>
      <c r="HN19" s="52"/>
      <c r="HO19" s="52"/>
      <c r="HP19" s="52"/>
      <c r="HQ19" s="52"/>
      <c r="HR19" s="52"/>
      <c r="HS19" s="52"/>
      <c r="HT19" s="52"/>
      <c r="HU19" s="52"/>
      <c r="HV19" s="52"/>
      <c r="HW19" s="52"/>
      <c r="HX19" s="52"/>
      <c r="HY19" s="52"/>
      <c r="HZ19" s="52"/>
      <c r="IA19" s="52"/>
      <c r="IB19" s="52"/>
      <c r="IC19" s="52"/>
      <c r="ID19" s="52"/>
      <c r="IE19" s="52"/>
      <c r="IF19" s="52"/>
      <c r="IG19" s="52"/>
      <c r="IH19" s="52"/>
      <c r="II19" s="52"/>
      <c r="IJ19" s="52"/>
      <c r="IK19" s="52"/>
      <c r="IL19" s="52"/>
      <c r="IM19" s="52"/>
      <c r="IN19" s="52"/>
      <c r="IO19" s="52"/>
      <c r="IP19" s="52"/>
      <c r="IQ19" s="52"/>
      <c r="IR19" s="52"/>
      <c r="IS19" s="52"/>
      <c r="IT19" s="52"/>
      <c r="IU19" s="52"/>
      <c r="IV19" s="52"/>
      <c r="IW19" s="52"/>
      <c r="IX19" s="52"/>
      <c r="IY19" s="52"/>
      <c r="IZ19" s="52"/>
      <c r="JA19" s="52"/>
      <c r="JB19" s="52"/>
      <c r="JC19" s="52"/>
      <c r="JD19" s="52"/>
      <c r="JE19" s="52"/>
      <c r="JF19" s="52"/>
      <c r="JG19" s="52"/>
      <c r="JH19" s="52"/>
      <c r="JI19" s="52"/>
      <c r="JL19">
        <f>IF($E19="","",IF(INDEX(工数管理!$AJ$3:$AJ$98,$E19)&lt;&gt;"",1,0))</f>
        <v>0</v>
      </c>
      <c r="JM19">
        <f>IF($E19="","",IFERROR(MATCH($A19,祝日!$J$1:$L$1,0),""))</f>
        <v>2</v>
      </c>
    </row>
    <row r="20" spans="1:273" ht="14.25" customHeight="1" x14ac:dyDescent="0.15">
      <c r="A20" s="53" t="str">
        <f>IF($E20="","",IF($JL20=1,INDEX(工数管理!$A$3:$A$98,$E20)&amp;"",IF(INDEX(工数管理!$AK$3:$AK$98,$E20)="","未割当",INDEX(工数管理!$AK$3:$AK$98,$E20))))</f>
        <v>CH02</v>
      </c>
      <c r="B20" s="54" t="str">
        <f>IF($E20="","",IF($JL20=1,"",INDEX(工数管理!$A$3:$A$98,$E20)&amp;""))</f>
        <v>chMobAlienA</v>
      </c>
      <c r="C20" s="53" t="str">
        <f>IF($E20="","",IF($JL20=1,"",INDEX(工数管理!$B$3:$B$98,$E20)&amp;""))</f>
        <v>fac</v>
      </c>
      <c r="D20" s="53" t="str">
        <f>IF($E20="","",INDEX(工数管理!$H$3:$H$98,$E20)&amp;"")</f>
        <v>作業中</v>
      </c>
      <c r="E20">
        <f>IFERROR(MATCH(SMALL(工数管理!$BP$3:$BP$98,ROW()-3),工数管理!$BP$3:$BP$98,0),"")</f>
        <v>38</v>
      </c>
      <c r="F20">
        <f>IF($E20="","",IF(INDEX(工数管理!$K$3:$K$98,$E20)="","",INDEX(工数管理!$K$3:$K$98,$E20)))</f>
        <v>46303</v>
      </c>
      <c r="G20" t="str">
        <f>IF($E20="","",IF(INDEX(工数管理!$L$3:$L$98,$E20)="","",INDEX(工数管理!$L$3:$L$98,$E20)))</f>
        <v/>
      </c>
      <c r="H20" t="str">
        <f>IF($E20="","",IF(INDEX(工数管理!$M$3:$M$98,$E20)="","",INDEX(工数管理!$M$3:$M$98,$E20)))</f>
        <v/>
      </c>
      <c r="I20" t="str">
        <f>IF($E20="","",IF(INDEX(工数管理!$N$3:$N$98,$E20)="","",INDEX(工数管理!$N$3:$N$98,$E20)))</f>
        <v/>
      </c>
      <c r="J20" t="str">
        <f>IF($E20="","",IF(INDEX(工数管理!$O$3:$O$98,$E20)="","",INDEX(工数管理!$O$3:$O$98,$E20)))</f>
        <v/>
      </c>
      <c r="K20" t="str">
        <f>IF($E20="","",IF(INDEX(工数管理!$P$3:$P$98,$E20)="","",INDEX(工数管理!$P$3:$P$98,$E20)))</f>
        <v/>
      </c>
      <c r="L20" t="str">
        <f>IF($E20="","",IF(INDEX(工数管理!$Q$3:$Q$98,$E20)="","",INDEX(工数管理!$Q$3:$Q$98,$E20)))</f>
        <v/>
      </c>
      <c r="M20" t="str">
        <f>IF($E20="","",IF(INDEX(工数管理!$R$3:$R$98,$E20)="","",INDEX(工数管理!$R$3:$R$98,$E20)))</f>
        <v/>
      </c>
      <c r="N20" t="str">
        <f>IF($E20="","",IF(INDEX(工数管理!$S$3:$S$98,$E20)="","",INDEX(工数管理!$S$3:$S$98,$E20)))</f>
        <v/>
      </c>
      <c r="O20" t="str">
        <f>IF($E20="","",IF(INDEX(工数管理!$T$3:$T$98,$E20)="","",INDEX(工数管理!$T$3:$T$98,$E20)))</f>
        <v/>
      </c>
      <c r="P20" t="str">
        <f>IF($E20="","",IF(INDEX(工数管理!$U$3:$U$98,$E20)="","",INDEX(工数管理!$U$3:$U$98,$E20)))</f>
        <v/>
      </c>
      <c r="Q20" t="str">
        <f>IF($E20="","",IF(INDEX(工数管理!$V$3:$V$98,$E20)="","",INDEX(工数管理!$V$3:$V$98,$E20)))</f>
        <v/>
      </c>
      <c r="R20" t="str">
        <f>IF($E20="","",IF(INDEX(工数管理!$W$3:$W$98,$E20)="","",INDEX(工数管理!$W$3:$W$98,$E20)))</f>
        <v/>
      </c>
      <c r="S20" t="str">
        <f>IF($E20="","",IF(INDEX(工数管理!$X$3:$X$98,$E20)="","",INDEX(工数管理!$X$3:$X$98,$E20)))</f>
        <v/>
      </c>
      <c r="T20" t="str">
        <f>IF($E20="","",IF(INDEX(工数管理!$Y$3:$Y$98,$E20)="","",INDEX(工数管理!$Y$3:$Y$98,$E20)))</f>
        <v/>
      </c>
      <c r="U20" t="str">
        <f>IF($E20="","",IF(INDEX(工数管理!$Z$3:$Z$98,$E20)="","",INDEX(工数管理!$Z$3:$Z$98,$E20)))</f>
        <v/>
      </c>
      <c r="V20" t="str">
        <f>IF($E20="","",IF(INDEX(工数管理!$AA$3:$AA$98,$E20)="","",INDEX(工数管理!$AA$3:$AA$98,$E20)))</f>
        <v/>
      </c>
      <c r="W20" t="str">
        <f>IF($E20="","",IF(INDEX(工数管理!$AB$3:$AB$98,$E20)="","",INDEX(工数管理!$AB$3:$AB$98,$E20)))</f>
        <v/>
      </c>
      <c r="X20" t="str">
        <f>IF($E20="","",IF(INDEX(工数管理!$AC$3:$AC$98,$E20)="","",INDEX(工数管理!$AC$3:$AC$98,$E20)))</f>
        <v/>
      </c>
      <c r="Y20" t="str">
        <f>IF($E20="","",IF(INDEX(工数管理!$AD$3:$AD$98,$E20)="","",INDEX(工数管理!$AD$3:$AD$98,$E20)))</f>
        <v/>
      </c>
      <c r="Z20" t="str">
        <f>IF($E20="","",IF(INDEX(工数管理!$AE$3:$AE$98,$E20)="","",INDEX(工数管理!$AE$3:$AE$98,$E20)))</f>
        <v/>
      </c>
      <c r="AA20" t="str">
        <f>IF($E20="","",IF(INDEX(工数管理!$AF$3:$AF$98,$E20)="","",INDEX(工数管理!$AF$3:$AF$98,$E20)))</f>
        <v/>
      </c>
      <c r="AB20" t="str">
        <f>IF($E20="","",IF(INDEX(工数管理!$AG$3:$AG$98,$E20)="","",INDEX(工数管理!$AG$3:$AG$98,$E20)))</f>
        <v/>
      </c>
      <c r="AC20" t="str">
        <f>IF($E20="","",IF(INDEX(工数管理!$AH$3:$AH$98,$E20)="","",INDEX(工数管理!$AH$3:$AH$98,$E20)))</f>
        <v/>
      </c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  <c r="FB20" s="52"/>
      <c r="FC20" s="52"/>
      <c r="FD20" s="52"/>
      <c r="FE20" s="52"/>
      <c r="FF20" s="52"/>
      <c r="FG20" s="52"/>
      <c r="FH20" s="52"/>
      <c r="FI20" s="52"/>
      <c r="FJ20" s="52"/>
      <c r="FK20" s="52"/>
      <c r="FL20" s="52"/>
      <c r="FM20" s="52"/>
      <c r="FN20" s="52"/>
      <c r="FO20" s="52"/>
      <c r="FP20" s="52"/>
      <c r="FQ20" s="52"/>
      <c r="FR20" s="52"/>
      <c r="FS20" s="52"/>
      <c r="FT20" s="52"/>
      <c r="FU20" s="52"/>
      <c r="FV20" s="52"/>
      <c r="FW20" s="52"/>
      <c r="FX20" s="52"/>
      <c r="FY20" s="52"/>
      <c r="FZ20" s="52"/>
      <c r="GA20" s="52"/>
      <c r="GB20" s="52"/>
      <c r="GC20" s="52"/>
      <c r="GD20" s="52"/>
      <c r="GE20" s="52"/>
      <c r="GF20" s="52"/>
      <c r="GG20" s="52"/>
      <c r="GH20" s="52"/>
      <c r="GI20" s="52"/>
      <c r="GJ20" s="52"/>
      <c r="GK20" s="52"/>
      <c r="GL20" s="52"/>
      <c r="GM20" s="52"/>
      <c r="GN20" s="52"/>
      <c r="GO20" s="52"/>
      <c r="GP20" s="52"/>
      <c r="GQ20" s="52"/>
      <c r="GR20" s="52"/>
      <c r="GS20" s="52"/>
      <c r="GT20" s="52"/>
      <c r="GU20" s="52"/>
      <c r="GV20" s="52"/>
      <c r="GW20" s="52"/>
      <c r="GX20" s="52"/>
      <c r="GY20" s="52"/>
      <c r="GZ20" s="52"/>
      <c r="HA20" s="52"/>
      <c r="HB20" s="52"/>
      <c r="HC20" s="52"/>
      <c r="HD20" s="52"/>
      <c r="HE20" s="52"/>
      <c r="HF20" s="52"/>
      <c r="HG20" s="52"/>
      <c r="HH20" s="52"/>
      <c r="HI20" s="52"/>
      <c r="HJ20" s="52"/>
      <c r="HK20" s="52"/>
      <c r="HL20" s="52"/>
      <c r="HM20" s="52"/>
      <c r="HN20" s="52"/>
      <c r="HO20" s="52"/>
      <c r="HP20" s="52"/>
      <c r="HQ20" s="52"/>
      <c r="HR20" s="52"/>
      <c r="HS20" s="52"/>
      <c r="HT20" s="52"/>
      <c r="HU20" s="52"/>
      <c r="HV20" s="52"/>
      <c r="HW20" s="52"/>
      <c r="HX20" s="52"/>
      <c r="HY20" s="52"/>
      <c r="HZ20" s="52"/>
      <c r="IA20" s="52"/>
      <c r="IB20" s="52"/>
      <c r="IC20" s="52"/>
      <c r="ID20" s="52"/>
      <c r="IE20" s="52"/>
      <c r="IF20" s="52"/>
      <c r="IG20" s="52"/>
      <c r="IH20" s="52"/>
      <c r="II20" s="52"/>
      <c r="IJ20" s="52"/>
      <c r="IK20" s="52"/>
      <c r="IL20" s="52"/>
      <c r="IM20" s="52"/>
      <c r="IN20" s="52"/>
      <c r="IO20" s="52"/>
      <c r="IP20" s="52"/>
      <c r="IQ20" s="52"/>
      <c r="IR20" s="52"/>
      <c r="IS20" s="52"/>
      <c r="IT20" s="52"/>
      <c r="IU20" s="52"/>
      <c r="IV20" s="52"/>
      <c r="IW20" s="52"/>
      <c r="IX20" s="52"/>
      <c r="IY20" s="52"/>
      <c r="IZ20" s="52"/>
      <c r="JA20" s="52"/>
      <c r="JB20" s="52"/>
      <c r="JC20" s="52"/>
      <c r="JD20" s="52"/>
      <c r="JE20" s="52"/>
      <c r="JF20" s="52"/>
      <c r="JG20" s="52"/>
      <c r="JH20" s="52"/>
      <c r="JI20" s="52"/>
      <c r="JL20">
        <f>IF($E20="","",IF(INDEX(工数管理!$AJ$3:$AJ$98,$E20)&lt;&gt;"",1,0))</f>
        <v>0</v>
      </c>
      <c r="JM20">
        <f>IF($E20="","",IFERROR(MATCH($A20,祝日!$J$1:$L$1,0),""))</f>
        <v>2</v>
      </c>
    </row>
    <row r="21" spans="1:273" ht="14.25" customHeight="1" x14ac:dyDescent="0.15">
      <c r="A21" s="53" t="str">
        <f>IF($E21="","",IF($JL21=1,INDEX(工数管理!$A$3:$A$98,$E21)&amp;"",IF(INDEX(工数管理!$AK$3:$AK$98,$E21)="","未割当",INDEX(工数管理!$AK$3:$AK$98,$E21))))</f>
        <v>CH02</v>
      </c>
      <c r="B21" s="54" t="str">
        <f>IF($E21="","",IF($JL21=1,"",INDEX(工数管理!$A$3:$A$98,$E21)&amp;""))</f>
        <v>chMobSaiyanA</v>
      </c>
      <c r="C21" s="53" t="str">
        <f>IF($E21="","",IF($JL21=1,"",INDEX(工数管理!$B$3:$B$98,$E21)&amp;""))</f>
        <v>low</v>
      </c>
      <c r="D21" s="53" t="str">
        <f>IF($E21="","",INDEX(工数管理!$H$3:$H$98,$E21)&amp;"")</f>
        <v>FIX</v>
      </c>
      <c r="E21">
        <f>IFERROR(MATCH(SMALL(工数管理!$BP$3:$BP$98,ROW()-3),工数管理!$BP$3:$BP$98,0),"")</f>
        <v>40</v>
      </c>
      <c r="F21">
        <f>IF($E21="","",IF(INDEX(工数管理!$K$3:$K$98,$E21)="","",INDEX(工数管理!$K$3:$K$98,$E21)))</f>
        <v>46204</v>
      </c>
      <c r="G21">
        <f>IF($E21="","",IF(INDEX(工数管理!$L$3:$L$98,$E21)="","",INDEX(工数管理!$L$3:$L$98,$E21)))</f>
        <v>46217</v>
      </c>
      <c r="H21" t="str">
        <f>IF($E21="","",IF(INDEX(工数管理!$M$3:$M$98,$E21)="","",INDEX(工数管理!$M$3:$M$98,$E21)))</f>
        <v/>
      </c>
      <c r="I21" t="str">
        <f>IF($E21="","",IF(INDEX(工数管理!$N$3:$N$98,$E21)="","",INDEX(工数管理!$N$3:$N$98,$E21)))</f>
        <v/>
      </c>
      <c r="J21" t="str">
        <f>IF($E21="","",IF(INDEX(工数管理!$O$3:$O$98,$E21)="","",INDEX(工数管理!$O$3:$O$98,$E21)))</f>
        <v/>
      </c>
      <c r="K21" t="str">
        <f>IF($E21="","",IF(INDEX(工数管理!$P$3:$P$98,$E21)="","",INDEX(工数管理!$P$3:$P$98,$E21)))</f>
        <v/>
      </c>
      <c r="L21" t="str">
        <f>IF($E21="","",IF(INDEX(工数管理!$Q$3:$Q$98,$E21)="","",INDEX(工数管理!$Q$3:$Q$98,$E21)))</f>
        <v/>
      </c>
      <c r="M21" t="str">
        <f>IF($E21="","",IF(INDEX(工数管理!$R$3:$R$98,$E21)="","",INDEX(工数管理!$R$3:$R$98,$E21)))</f>
        <v/>
      </c>
      <c r="N21" t="str">
        <f>IF($E21="","",IF(INDEX(工数管理!$S$3:$S$98,$E21)="","",INDEX(工数管理!$S$3:$S$98,$E21)))</f>
        <v/>
      </c>
      <c r="O21" t="str">
        <f>IF($E21="","",IF(INDEX(工数管理!$T$3:$T$98,$E21)="","",INDEX(工数管理!$T$3:$T$98,$E21)))</f>
        <v/>
      </c>
      <c r="P21" t="str">
        <f>IF($E21="","",IF(INDEX(工数管理!$U$3:$U$98,$E21)="","",INDEX(工数管理!$U$3:$U$98,$E21)))</f>
        <v/>
      </c>
      <c r="Q21" t="str">
        <f>IF($E21="","",IF(INDEX(工数管理!$V$3:$V$98,$E21)="","",INDEX(工数管理!$V$3:$V$98,$E21)))</f>
        <v/>
      </c>
      <c r="R21" t="str">
        <f>IF($E21="","",IF(INDEX(工数管理!$W$3:$W$98,$E21)="","",INDEX(工数管理!$W$3:$W$98,$E21)))</f>
        <v/>
      </c>
      <c r="S21" t="str">
        <f>IF($E21="","",IF(INDEX(工数管理!$X$3:$X$98,$E21)="","",INDEX(工数管理!$X$3:$X$98,$E21)))</f>
        <v/>
      </c>
      <c r="T21" t="str">
        <f>IF($E21="","",IF(INDEX(工数管理!$Y$3:$Y$98,$E21)="","",INDEX(工数管理!$Y$3:$Y$98,$E21)))</f>
        <v/>
      </c>
      <c r="U21" t="str">
        <f>IF($E21="","",IF(INDEX(工数管理!$Z$3:$Z$98,$E21)="","",INDEX(工数管理!$Z$3:$Z$98,$E21)))</f>
        <v/>
      </c>
      <c r="V21" t="str">
        <f>IF($E21="","",IF(INDEX(工数管理!$AA$3:$AA$98,$E21)="","",INDEX(工数管理!$AA$3:$AA$98,$E21)))</f>
        <v/>
      </c>
      <c r="W21" t="str">
        <f>IF($E21="","",IF(INDEX(工数管理!$AB$3:$AB$98,$E21)="","",INDEX(工数管理!$AB$3:$AB$98,$E21)))</f>
        <v/>
      </c>
      <c r="X21" t="str">
        <f>IF($E21="","",IF(INDEX(工数管理!$AC$3:$AC$98,$E21)="","",INDEX(工数管理!$AC$3:$AC$98,$E21)))</f>
        <v/>
      </c>
      <c r="Y21" t="str">
        <f>IF($E21="","",IF(INDEX(工数管理!$AD$3:$AD$98,$E21)="","",INDEX(工数管理!$AD$3:$AD$98,$E21)))</f>
        <v/>
      </c>
      <c r="Z21" t="str">
        <f>IF($E21="","",IF(INDEX(工数管理!$AE$3:$AE$98,$E21)="","",INDEX(工数管理!$AE$3:$AE$98,$E21)))</f>
        <v/>
      </c>
      <c r="AA21" t="str">
        <f>IF($E21="","",IF(INDEX(工数管理!$AF$3:$AF$98,$E21)="","",INDEX(工数管理!$AF$3:$AF$98,$E21)))</f>
        <v/>
      </c>
      <c r="AB21" t="str">
        <f>IF($E21="","",IF(INDEX(工数管理!$AG$3:$AG$98,$E21)="","",INDEX(工数管理!$AG$3:$AG$98,$E21)))</f>
        <v/>
      </c>
      <c r="AC21" t="str">
        <f>IF($E21="","",IF(INDEX(工数管理!$AH$3:$AH$98,$E21)="","",INDEX(工数管理!$AH$3:$AH$98,$E21)))</f>
        <v/>
      </c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2"/>
      <c r="FA21" s="52"/>
      <c r="FB21" s="52"/>
      <c r="FC21" s="52"/>
      <c r="FD21" s="52"/>
      <c r="FE21" s="52"/>
      <c r="FF21" s="52"/>
      <c r="FG21" s="52"/>
      <c r="FH21" s="52"/>
      <c r="FI21" s="52"/>
      <c r="FJ21" s="52"/>
      <c r="FK21" s="52"/>
      <c r="FL21" s="52"/>
      <c r="FM21" s="52"/>
      <c r="FN21" s="52"/>
      <c r="FO21" s="52"/>
      <c r="FP21" s="52"/>
      <c r="FQ21" s="52"/>
      <c r="FR21" s="52"/>
      <c r="FS21" s="52"/>
      <c r="FT21" s="52"/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  <c r="GG21" s="52"/>
      <c r="GH21" s="52"/>
      <c r="GI21" s="52"/>
      <c r="GJ21" s="52"/>
      <c r="GK21" s="52"/>
      <c r="GL21" s="52"/>
      <c r="GM21" s="52"/>
      <c r="GN21" s="52"/>
      <c r="GO21" s="52"/>
      <c r="GP21" s="52"/>
      <c r="GQ21" s="52"/>
      <c r="GR21" s="52"/>
      <c r="GS21" s="52"/>
      <c r="GT21" s="52"/>
      <c r="GU21" s="52"/>
      <c r="GV21" s="52"/>
      <c r="GW21" s="52"/>
      <c r="GX21" s="52"/>
      <c r="GY21" s="52"/>
      <c r="GZ21" s="52"/>
      <c r="HA21" s="52"/>
      <c r="HB21" s="52"/>
      <c r="HC21" s="52"/>
      <c r="HD21" s="52"/>
      <c r="HE21" s="52"/>
      <c r="HF21" s="52"/>
      <c r="HG21" s="52"/>
      <c r="HH21" s="52"/>
      <c r="HI21" s="52"/>
      <c r="HJ21" s="52"/>
      <c r="HK21" s="52"/>
      <c r="HL21" s="52"/>
      <c r="HM21" s="52"/>
      <c r="HN21" s="52"/>
      <c r="HO21" s="52"/>
      <c r="HP21" s="52"/>
      <c r="HQ21" s="52"/>
      <c r="HR21" s="52"/>
      <c r="HS21" s="52"/>
      <c r="HT21" s="52"/>
      <c r="HU21" s="52"/>
      <c r="HV21" s="52"/>
      <c r="HW21" s="52"/>
      <c r="HX21" s="52"/>
      <c r="HY21" s="52"/>
      <c r="HZ21" s="52"/>
      <c r="IA21" s="52"/>
      <c r="IB21" s="52"/>
      <c r="IC21" s="52"/>
      <c r="ID21" s="52"/>
      <c r="IE21" s="52"/>
      <c r="IF21" s="52"/>
      <c r="IG21" s="52"/>
      <c r="IH21" s="52"/>
      <c r="II21" s="52"/>
      <c r="IJ21" s="52"/>
      <c r="IK21" s="52"/>
      <c r="IL21" s="52"/>
      <c r="IM21" s="52"/>
      <c r="IN21" s="52"/>
      <c r="IO21" s="52"/>
      <c r="IP21" s="52"/>
      <c r="IQ21" s="52"/>
      <c r="IR21" s="52"/>
      <c r="IS21" s="52"/>
      <c r="IT21" s="52"/>
      <c r="IU21" s="52"/>
      <c r="IV21" s="52"/>
      <c r="IW21" s="52"/>
      <c r="IX21" s="52"/>
      <c r="IY21" s="52"/>
      <c r="IZ21" s="52"/>
      <c r="JA21" s="52"/>
      <c r="JB21" s="52"/>
      <c r="JC21" s="52"/>
      <c r="JD21" s="52"/>
      <c r="JE21" s="52"/>
      <c r="JF21" s="52"/>
      <c r="JG21" s="52"/>
      <c r="JH21" s="52"/>
      <c r="JI21" s="52"/>
      <c r="JL21">
        <f>IF($E21="","",IF(INDEX(工数管理!$AJ$3:$AJ$98,$E21)&lt;&gt;"",1,0))</f>
        <v>0</v>
      </c>
      <c r="JM21">
        <f>IF($E21="","",IFERROR(MATCH($A21,祝日!$J$1:$L$1,0),""))</f>
        <v>2</v>
      </c>
    </row>
    <row r="22" spans="1:273" ht="14.25" customHeight="1" x14ac:dyDescent="0.15">
      <c r="A22" s="53" t="str">
        <f>IF($E22="","",IF($JL22=1,INDEX(工数管理!$A$3:$A$98,$E22)&amp;"",IF(INDEX(工数管理!$AK$3:$AK$98,$E22)="","未割当",INDEX(工数管理!$AK$3:$AK$98,$E22))))</f>
        <v>CH02</v>
      </c>
      <c r="B22" s="54" t="str">
        <f>IF($E22="","",IF($JL22=1,"",INDEX(工数管理!$A$3:$A$98,$E22)&amp;""))</f>
        <v>chMobSaiyanA</v>
      </c>
      <c r="C22" s="53" t="str">
        <f>IF($E22="","",IF($JL22=1,"",INDEX(工数管理!$B$3:$B$98,$E22)&amp;""))</f>
        <v>high</v>
      </c>
      <c r="D22" s="53" t="str">
        <f>IF($E22="","",INDEX(工数管理!$H$3:$H$98,$E22)&amp;"")</f>
        <v>FIX</v>
      </c>
      <c r="E22">
        <f>IFERROR(MATCH(SMALL(工数管理!$BP$3:$BP$98,ROW()-3),工数管理!$BP$3:$BP$98,0),"")</f>
        <v>41</v>
      </c>
      <c r="F22">
        <f>IF($E22="","",IF(INDEX(工数管理!$K$3:$K$98,$E22)="","",INDEX(工数管理!$K$3:$K$98,$E22)))</f>
        <v>46218</v>
      </c>
      <c r="G22">
        <f>IF($E22="","",IF(INDEX(工数管理!$L$3:$L$98,$E22)="","",INDEX(工数管理!$L$3:$L$98,$E22)))</f>
        <v>46227</v>
      </c>
      <c r="H22" t="str">
        <f>IF($E22="","",IF(INDEX(工数管理!$M$3:$M$98,$E22)="","",INDEX(工数管理!$M$3:$M$98,$E22)))</f>
        <v/>
      </c>
      <c r="I22" t="str">
        <f>IF($E22="","",IF(INDEX(工数管理!$N$3:$N$98,$E22)="","",INDEX(工数管理!$N$3:$N$98,$E22)))</f>
        <v/>
      </c>
      <c r="J22" t="str">
        <f>IF($E22="","",IF(INDEX(工数管理!$O$3:$O$98,$E22)="","",INDEX(工数管理!$O$3:$O$98,$E22)))</f>
        <v/>
      </c>
      <c r="K22" t="str">
        <f>IF($E22="","",IF(INDEX(工数管理!$P$3:$P$98,$E22)="","",INDEX(工数管理!$P$3:$P$98,$E22)))</f>
        <v/>
      </c>
      <c r="L22" t="str">
        <f>IF($E22="","",IF(INDEX(工数管理!$Q$3:$Q$98,$E22)="","",INDEX(工数管理!$Q$3:$Q$98,$E22)))</f>
        <v/>
      </c>
      <c r="M22" t="str">
        <f>IF($E22="","",IF(INDEX(工数管理!$R$3:$R$98,$E22)="","",INDEX(工数管理!$R$3:$R$98,$E22)))</f>
        <v/>
      </c>
      <c r="N22" t="str">
        <f>IF($E22="","",IF(INDEX(工数管理!$S$3:$S$98,$E22)="","",INDEX(工数管理!$S$3:$S$98,$E22)))</f>
        <v/>
      </c>
      <c r="O22" t="str">
        <f>IF($E22="","",IF(INDEX(工数管理!$T$3:$T$98,$E22)="","",INDEX(工数管理!$T$3:$T$98,$E22)))</f>
        <v/>
      </c>
      <c r="P22" t="str">
        <f>IF($E22="","",IF(INDEX(工数管理!$U$3:$U$98,$E22)="","",INDEX(工数管理!$U$3:$U$98,$E22)))</f>
        <v/>
      </c>
      <c r="Q22" t="str">
        <f>IF($E22="","",IF(INDEX(工数管理!$V$3:$V$98,$E22)="","",INDEX(工数管理!$V$3:$V$98,$E22)))</f>
        <v/>
      </c>
      <c r="R22" t="str">
        <f>IF($E22="","",IF(INDEX(工数管理!$W$3:$W$98,$E22)="","",INDEX(工数管理!$W$3:$W$98,$E22)))</f>
        <v/>
      </c>
      <c r="S22" t="str">
        <f>IF($E22="","",IF(INDEX(工数管理!$X$3:$X$98,$E22)="","",INDEX(工数管理!$X$3:$X$98,$E22)))</f>
        <v/>
      </c>
      <c r="T22" t="str">
        <f>IF($E22="","",IF(INDEX(工数管理!$Y$3:$Y$98,$E22)="","",INDEX(工数管理!$Y$3:$Y$98,$E22)))</f>
        <v/>
      </c>
      <c r="U22" t="str">
        <f>IF($E22="","",IF(INDEX(工数管理!$Z$3:$Z$98,$E22)="","",INDEX(工数管理!$Z$3:$Z$98,$E22)))</f>
        <v/>
      </c>
      <c r="V22" t="str">
        <f>IF($E22="","",IF(INDEX(工数管理!$AA$3:$AA$98,$E22)="","",INDEX(工数管理!$AA$3:$AA$98,$E22)))</f>
        <v/>
      </c>
      <c r="W22" t="str">
        <f>IF($E22="","",IF(INDEX(工数管理!$AB$3:$AB$98,$E22)="","",INDEX(工数管理!$AB$3:$AB$98,$E22)))</f>
        <v/>
      </c>
      <c r="X22" t="str">
        <f>IF($E22="","",IF(INDEX(工数管理!$AC$3:$AC$98,$E22)="","",INDEX(工数管理!$AC$3:$AC$98,$E22)))</f>
        <v/>
      </c>
      <c r="Y22" t="str">
        <f>IF($E22="","",IF(INDEX(工数管理!$AD$3:$AD$98,$E22)="","",INDEX(工数管理!$AD$3:$AD$98,$E22)))</f>
        <v/>
      </c>
      <c r="Z22" t="str">
        <f>IF($E22="","",IF(INDEX(工数管理!$AE$3:$AE$98,$E22)="","",INDEX(工数管理!$AE$3:$AE$98,$E22)))</f>
        <v/>
      </c>
      <c r="AA22" t="str">
        <f>IF($E22="","",IF(INDEX(工数管理!$AF$3:$AF$98,$E22)="","",INDEX(工数管理!$AF$3:$AF$98,$E22)))</f>
        <v/>
      </c>
      <c r="AB22" t="str">
        <f>IF($E22="","",IF(INDEX(工数管理!$AG$3:$AG$98,$E22)="","",INDEX(工数管理!$AG$3:$AG$98,$E22)))</f>
        <v/>
      </c>
      <c r="AC22" t="str">
        <f>IF($E22="","",IF(INDEX(工数管理!$AH$3:$AH$98,$E22)="","",INDEX(工数管理!$AH$3:$AH$98,$E22)))</f>
        <v/>
      </c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2"/>
      <c r="FB22" s="52"/>
      <c r="FC22" s="52"/>
      <c r="FD22" s="52"/>
      <c r="FE22" s="52"/>
      <c r="FF22" s="52"/>
      <c r="FG22" s="52"/>
      <c r="FH22" s="52"/>
      <c r="FI22" s="52"/>
      <c r="FJ22" s="52"/>
      <c r="FK22" s="52"/>
      <c r="FL22" s="52"/>
      <c r="FM22" s="52"/>
      <c r="FN22" s="52"/>
      <c r="FO22" s="52"/>
      <c r="FP22" s="52"/>
      <c r="FQ22" s="52"/>
      <c r="FR22" s="52"/>
      <c r="FS22" s="52"/>
      <c r="FT22" s="52"/>
      <c r="FU22" s="52"/>
      <c r="FV22" s="52"/>
      <c r="FW22" s="52"/>
      <c r="FX22" s="52"/>
      <c r="FY22" s="52"/>
      <c r="FZ22" s="52"/>
      <c r="GA22" s="52"/>
      <c r="GB22" s="52"/>
      <c r="GC22" s="52"/>
      <c r="GD22" s="52"/>
      <c r="GE22" s="52"/>
      <c r="GF22" s="52"/>
      <c r="GG22" s="52"/>
      <c r="GH22" s="52"/>
      <c r="GI22" s="52"/>
      <c r="GJ22" s="52"/>
      <c r="GK22" s="52"/>
      <c r="GL22" s="52"/>
      <c r="GM22" s="52"/>
      <c r="GN22" s="52"/>
      <c r="GO22" s="52"/>
      <c r="GP22" s="52"/>
      <c r="GQ22" s="52"/>
      <c r="GR22" s="52"/>
      <c r="GS22" s="52"/>
      <c r="GT22" s="52"/>
      <c r="GU22" s="52"/>
      <c r="GV22" s="52"/>
      <c r="GW22" s="52"/>
      <c r="GX22" s="52"/>
      <c r="GY22" s="52"/>
      <c r="GZ22" s="52"/>
      <c r="HA22" s="52"/>
      <c r="HB22" s="52"/>
      <c r="HC22" s="52"/>
      <c r="HD22" s="52"/>
      <c r="HE22" s="52"/>
      <c r="HF22" s="52"/>
      <c r="HG22" s="52"/>
      <c r="HH22" s="52"/>
      <c r="HI22" s="52"/>
      <c r="HJ22" s="52"/>
      <c r="HK22" s="52"/>
      <c r="HL22" s="52"/>
      <c r="HM22" s="52"/>
      <c r="HN22" s="52"/>
      <c r="HO22" s="52"/>
      <c r="HP22" s="52"/>
      <c r="HQ22" s="52"/>
      <c r="HR22" s="52"/>
      <c r="HS22" s="52"/>
      <c r="HT22" s="52"/>
      <c r="HU22" s="52"/>
      <c r="HV22" s="52"/>
      <c r="HW22" s="52"/>
      <c r="HX22" s="52"/>
      <c r="HY22" s="52"/>
      <c r="HZ22" s="52"/>
      <c r="IA22" s="52"/>
      <c r="IB22" s="52"/>
      <c r="IC22" s="52"/>
      <c r="ID22" s="52"/>
      <c r="IE22" s="52"/>
      <c r="IF22" s="52"/>
      <c r="IG22" s="52"/>
      <c r="IH22" s="52"/>
      <c r="II22" s="52"/>
      <c r="IJ22" s="52"/>
      <c r="IK22" s="52"/>
      <c r="IL22" s="52"/>
      <c r="IM22" s="52"/>
      <c r="IN22" s="52"/>
      <c r="IO22" s="52"/>
      <c r="IP22" s="52"/>
      <c r="IQ22" s="52"/>
      <c r="IR22" s="52"/>
      <c r="IS22" s="52"/>
      <c r="IT22" s="52"/>
      <c r="IU22" s="52"/>
      <c r="IV22" s="52"/>
      <c r="IW22" s="52"/>
      <c r="IX22" s="52"/>
      <c r="IY22" s="52"/>
      <c r="IZ22" s="52"/>
      <c r="JA22" s="52"/>
      <c r="JB22" s="52"/>
      <c r="JC22" s="52"/>
      <c r="JD22" s="52"/>
      <c r="JE22" s="52"/>
      <c r="JF22" s="52"/>
      <c r="JG22" s="52"/>
      <c r="JH22" s="52"/>
      <c r="JI22" s="52"/>
      <c r="JL22">
        <f>IF($E22="","",IF(INDEX(工数管理!$AJ$3:$AJ$98,$E22)&lt;&gt;"",1,0))</f>
        <v>0</v>
      </c>
      <c r="JM22">
        <f>IF($E22="","",IFERROR(MATCH($A22,祝日!$J$1:$L$1,0),""))</f>
        <v>2</v>
      </c>
    </row>
    <row r="23" spans="1:273" ht="14.25" customHeight="1" x14ac:dyDescent="0.15">
      <c r="A23" s="53" t="str">
        <f>IF($E23="","",IF($JL23=1,INDEX(工数管理!$A$3:$A$98,$E23)&amp;"",IF(INDEX(工数管理!$AK$3:$AK$98,$E23)="","未割当",INDEX(工数管理!$AK$3:$AK$98,$E23))))</f>
        <v>CH02</v>
      </c>
      <c r="B23" s="54" t="str">
        <f>IF($E23="","",IF($JL23=1,"",INDEX(工数管理!$A$3:$A$98,$E23)&amp;""))</f>
        <v>chMobSaiyanA</v>
      </c>
      <c r="C23" s="53" t="str">
        <f>IF($E23="","",IF($JL23=1,"",INDEX(工数管理!$B$3:$B$98,$E23)&amp;""))</f>
        <v>fac</v>
      </c>
      <c r="D23" s="53" t="str">
        <f>IF($E23="","",INDEX(工数管理!$H$3:$H$98,$E23)&amp;"")</f>
        <v>FIX</v>
      </c>
      <c r="E23">
        <f>IFERROR(MATCH(SMALL(工数管理!$BP$3:$BP$98,ROW()-3),工数管理!$BP$3:$BP$98,0),"")</f>
        <v>42</v>
      </c>
      <c r="F23">
        <f>IF($E23="","",IF(INDEX(工数管理!$K$3:$K$98,$E23)="","",INDEX(工数管理!$K$3:$K$98,$E23)))</f>
        <v>46230</v>
      </c>
      <c r="G23">
        <f>IF($E23="","",IF(INDEX(工数管理!$L$3:$L$98,$E23)="","",INDEX(工数管理!$L$3:$L$98,$E23)))</f>
        <v>46234</v>
      </c>
      <c r="H23" t="str">
        <f>IF($E23="","",IF(INDEX(工数管理!$M$3:$M$98,$E23)="","",INDEX(工数管理!$M$3:$M$98,$E23)))</f>
        <v/>
      </c>
      <c r="I23" t="str">
        <f>IF($E23="","",IF(INDEX(工数管理!$N$3:$N$98,$E23)="","",INDEX(工数管理!$N$3:$N$98,$E23)))</f>
        <v/>
      </c>
      <c r="J23" t="str">
        <f>IF($E23="","",IF(INDEX(工数管理!$O$3:$O$98,$E23)="","",INDEX(工数管理!$O$3:$O$98,$E23)))</f>
        <v/>
      </c>
      <c r="K23" t="str">
        <f>IF($E23="","",IF(INDEX(工数管理!$P$3:$P$98,$E23)="","",INDEX(工数管理!$P$3:$P$98,$E23)))</f>
        <v/>
      </c>
      <c r="L23" t="str">
        <f>IF($E23="","",IF(INDEX(工数管理!$Q$3:$Q$98,$E23)="","",INDEX(工数管理!$Q$3:$Q$98,$E23)))</f>
        <v/>
      </c>
      <c r="M23" t="str">
        <f>IF($E23="","",IF(INDEX(工数管理!$R$3:$R$98,$E23)="","",INDEX(工数管理!$R$3:$R$98,$E23)))</f>
        <v/>
      </c>
      <c r="N23" t="str">
        <f>IF($E23="","",IF(INDEX(工数管理!$S$3:$S$98,$E23)="","",INDEX(工数管理!$S$3:$S$98,$E23)))</f>
        <v/>
      </c>
      <c r="O23" t="str">
        <f>IF($E23="","",IF(INDEX(工数管理!$T$3:$T$98,$E23)="","",INDEX(工数管理!$T$3:$T$98,$E23)))</f>
        <v/>
      </c>
      <c r="P23" t="str">
        <f>IF($E23="","",IF(INDEX(工数管理!$U$3:$U$98,$E23)="","",INDEX(工数管理!$U$3:$U$98,$E23)))</f>
        <v/>
      </c>
      <c r="Q23" t="str">
        <f>IF($E23="","",IF(INDEX(工数管理!$V$3:$V$98,$E23)="","",INDEX(工数管理!$V$3:$V$98,$E23)))</f>
        <v/>
      </c>
      <c r="R23" t="str">
        <f>IF($E23="","",IF(INDEX(工数管理!$W$3:$W$98,$E23)="","",INDEX(工数管理!$W$3:$W$98,$E23)))</f>
        <v/>
      </c>
      <c r="S23" t="str">
        <f>IF($E23="","",IF(INDEX(工数管理!$X$3:$X$98,$E23)="","",INDEX(工数管理!$X$3:$X$98,$E23)))</f>
        <v/>
      </c>
      <c r="T23" t="str">
        <f>IF($E23="","",IF(INDEX(工数管理!$Y$3:$Y$98,$E23)="","",INDEX(工数管理!$Y$3:$Y$98,$E23)))</f>
        <v/>
      </c>
      <c r="U23" t="str">
        <f>IF($E23="","",IF(INDEX(工数管理!$Z$3:$Z$98,$E23)="","",INDEX(工数管理!$Z$3:$Z$98,$E23)))</f>
        <v/>
      </c>
      <c r="V23" t="str">
        <f>IF($E23="","",IF(INDEX(工数管理!$AA$3:$AA$98,$E23)="","",INDEX(工数管理!$AA$3:$AA$98,$E23)))</f>
        <v/>
      </c>
      <c r="W23" t="str">
        <f>IF($E23="","",IF(INDEX(工数管理!$AB$3:$AB$98,$E23)="","",INDEX(工数管理!$AB$3:$AB$98,$E23)))</f>
        <v/>
      </c>
      <c r="X23" t="str">
        <f>IF($E23="","",IF(INDEX(工数管理!$AC$3:$AC$98,$E23)="","",INDEX(工数管理!$AC$3:$AC$98,$E23)))</f>
        <v/>
      </c>
      <c r="Y23" t="str">
        <f>IF($E23="","",IF(INDEX(工数管理!$AD$3:$AD$98,$E23)="","",INDEX(工数管理!$AD$3:$AD$98,$E23)))</f>
        <v/>
      </c>
      <c r="Z23" t="str">
        <f>IF($E23="","",IF(INDEX(工数管理!$AE$3:$AE$98,$E23)="","",INDEX(工数管理!$AE$3:$AE$98,$E23)))</f>
        <v/>
      </c>
      <c r="AA23" t="str">
        <f>IF($E23="","",IF(INDEX(工数管理!$AF$3:$AF$98,$E23)="","",INDEX(工数管理!$AF$3:$AF$98,$E23)))</f>
        <v/>
      </c>
      <c r="AB23" t="str">
        <f>IF($E23="","",IF(INDEX(工数管理!$AG$3:$AG$98,$E23)="","",INDEX(工数管理!$AG$3:$AG$98,$E23)))</f>
        <v/>
      </c>
      <c r="AC23" t="str">
        <f>IF($E23="","",IF(INDEX(工数管理!$AH$3:$AH$98,$E23)="","",INDEX(工数管理!$AH$3:$AH$98,$E23)))</f>
        <v/>
      </c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52"/>
      <c r="GZ23" s="52"/>
      <c r="HA23" s="52"/>
      <c r="HB23" s="52"/>
      <c r="HC23" s="52"/>
      <c r="HD23" s="52"/>
      <c r="HE23" s="52"/>
      <c r="HF23" s="52"/>
      <c r="HG23" s="52"/>
      <c r="HH23" s="52"/>
      <c r="HI23" s="52"/>
      <c r="HJ23" s="52"/>
      <c r="HK23" s="52"/>
      <c r="HL23" s="52"/>
      <c r="HM23" s="52"/>
      <c r="HN23" s="52"/>
      <c r="HO23" s="52"/>
      <c r="HP23" s="52"/>
      <c r="HQ23" s="52"/>
      <c r="HR23" s="52"/>
      <c r="HS23" s="52"/>
      <c r="HT23" s="52"/>
      <c r="HU23" s="52"/>
      <c r="HV23" s="52"/>
      <c r="HW23" s="52"/>
      <c r="HX23" s="52"/>
      <c r="HY23" s="52"/>
      <c r="HZ23" s="52"/>
      <c r="IA23" s="52"/>
      <c r="IB23" s="52"/>
      <c r="IC23" s="52"/>
      <c r="ID23" s="52"/>
      <c r="IE23" s="52"/>
      <c r="IF23" s="52"/>
      <c r="IG23" s="52"/>
      <c r="IH23" s="52"/>
      <c r="II23" s="52"/>
      <c r="IJ23" s="52"/>
      <c r="IK23" s="52"/>
      <c r="IL23" s="52"/>
      <c r="IM23" s="52"/>
      <c r="IN23" s="52"/>
      <c r="IO23" s="52"/>
      <c r="IP23" s="52"/>
      <c r="IQ23" s="52"/>
      <c r="IR23" s="52"/>
      <c r="IS23" s="52"/>
      <c r="IT23" s="52"/>
      <c r="IU23" s="52"/>
      <c r="IV23" s="52"/>
      <c r="IW23" s="52"/>
      <c r="IX23" s="52"/>
      <c r="IY23" s="52"/>
      <c r="IZ23" s="52"/>
      <c r="JA23" s="52"/>
      <c r="JB23" s="52"/>
      <c r="JC23" s="52"/>
      <c r="JD23" s="52"/>
      <c r="JE23" s="52"/>
      <c r="JF23" s="52"/>
      <c r="JG23" s="52"/>
      <c r="JH23" s="52"/>
      <c r="JI23" s="52"/>
      <c r="JL23">
        <f>IF($E23="","",IF(INDEX(工数管理!$AJ$3:$AJ$98,$E23)&lt;&gt;"",1,0))</f>
        <v>0</v>
      </c>
      <c r="JM23">
        <f>IF($E23="","",IFERROR(MATCH($A23,祝日!$J$1:$L$1,0),""))</f>
        <v>2</v>
      </c>
    </row>
    <row r="24" spans="1:273" ht="14.25" customHeight="1" x14ac:dyDescent="0.15">
      <c r="A24" s="53" t="str">
        <f>IF($E24="","",IF($JL24=1,INDEX(工数管理!$A$3:$A$98,$E24)&amp;"",IF(INDEX(工数管理!$AK$3:$AK$98,$E24)="","未割当",INDEX(工数管理!$AK$3:$AK$98,$E24))))</f>
        <v>CH03</v>
      </c>
      <c r="B24" s="54" t="str">
        <f>IF($E24="","",IF($JL24=1,"",INDEX(工数管理!$A$3:$A$98,$E24)&amp;""))</f>
        <v/>
      </c>
      <c r="C24" s="53" t="str">
        <f>IF($E24="","",IF($JL24=1,"",INDEX(工数管理!$B$3:$B$98,$E24)&amp;""))</f>
        <v/>
      </c>
      <c r="D24" s="53" t="str">
        <f ca="1">IF($E24="","",INDEX(工数管理!$H$3:$H$98,$E24)&amp;"")</f>
        <v>作業中</v>
      </c>
      <c r="E24">
        <f>IFERROR(MATCH(SMALL(工数管理!$BP$3:$BP$98,ROW()-3),工数管理!$BP$3:$BP$98,0),"")</f>
        <v>43</v>
      </c>
      <c r="F24" t="str">
        <f>IF($E24="","",IF(INDEX(工数管理!$K$3:$K$98,$E24)="","",INDEX(工数管理!$K$3:$K$98,$E24)))</f>
        <v/>
      </c>
      <c r="G24" t="str">
        <f>IF($E24="","",IF(INDEX(工数管理!$L$3:$L$98,$E24)="","",INDEX(工数管理!$L$3:$L$98,$E24)))</f>
        <v/>
      </c>
      <c r="H24" t="str">
        <f>IF($E24="","",IF(INDEX(工数管理!$M$3:$M$98,$E24)="","",INDEX(工数管理!$M$3:$M$98,$E24)))</f>
        <v/>
      </c>
      <c r="I24" t="str">
        <f>IF($E24="","",IF(INDEX(工数管理!$N$3:$N$98,$E24)="","",INDEX(工数管理!$N$3:$N$98,$E24)))</f>
        <v/>
      </c>
      <c r="J24" t="str">
        <f>IF($E24="","",IF(INDEX(工数管理!$O$3:$O$98,$E24)="","",INDEX(工数管理!$O$3:$O$98,$E24)))</f>
        <v/>
      </c>
      <c r="K24" t="str">
        <f>IF($E24="","",IF(INDEX(工数管理!$P$3:$P$98,$E24)="","",INDEX(工数管理!$P$3:$P$98,$E24)))</f>
        <v/>
      </c>
      <c r="L24" t="str">
        <f>IF($E24="","",IF(INDEX(工数管理!$Q$3:$Q$98,$E24)="","",INDEX(工数管理!$Q$3:$Q$98,$E24)))</f>
        <v/>
      </c>
      <c r="M24" t="str">
        <f>IF($E24="","",IF(INDEX(工数管理!$R$3:$R$98,$E24)="","",INDEX(工数管理!$R$3:$R$98,$E24)))</f>
        <v/>
      </c>
      <c r="N24" t="str">
        <f>IF($E24="","",IF(INDEX(工数管理!$S$3:$S$98,$E24)="","",INDEX(工数管理!$S$3:$S$98,$E24)))</f>
        <v/>
      </c>
      <c r="O24" t="str">
        <f>IF($E24="","",IF(INDEX(工数管理!$T$3:$T$98,$E24)="","",INDEX(工数管理!$T$3:$T$98,$E24)))</f>
        <v/>
      </c>
      <c r="P24" t="str">
        <f>IF($E24="","",IF(INDEX(工数管理!$U$3:$U$98,$E24)="","",INDEX(工数管理!$U$3:$U$98,$E24)))</f>
        <v/>
      </c>
      <c r="Q24" t="str">
        <f>IF($E24="","",IF(INDEX(工数管理!$V$3:$V$98,$E24)="","",INDEX(工数管理!$V$3:$V$98,$E24)))</f>
        <v/>
      </c>
      <c r="R24" t="str">
        <f>IF($E24="","",IF(INDEX(工数管理!$W$3:$W$98,$E24)="","",INDEX(工数管理!$W$3:$W$98,$E24)))</f>
        <v/>
      </c>
      <c r="S24" t="str">
        <f>IF($E24="","",IF(INDEX(工数管理!$X$3:$X$98,$E24)="","",INDEX(工数管理!$X$3:$X$98,$E24)))</f>
        <v/>
      </c>
      <c r="T24" t="str">
        <f>IF($E24="","",IF(INDEX(工数管理!$Y$3:$Y$98,$E24)="","",INDEX(工数管理!$Y$3:$Y$98,$E24)))</f>
        <v/>
      </c>
      <c r="U24" t="str">
        <f>IF($E24="","",IF(INDEX(工数管理!$Z$3:$Z$98,$E24)="","",INDEX(工数管理!$Z$3:$Z$98,$E24)))</f>
        <v/>
      </c>
      <c r="V24" t="str">
        <f>IF($E24="","",IF(INDEX(工数管理!$AA$3:$AA$98,$E24)="","",INDEX(工数管理!$AA$3:$AA$98,$E24)))</f>
        <v/>
      </c>
      <c r="W24" t="str">
        <f>IF($E24="","",IF(INDEX(工数管理!$AB$3:$AB$98,$E24)="","",INDEX(工数管理!$AB$3:$AB$98,$E24)))</f>
        <v/>
      </c>
      <c r="X24" t="str">
        <f>IF($E24="","",IF(INDEX(工数管理!$AC$3:$AC$98,$E24)="","",INDEX(工数管理!$AC$3:$AC$98,$E24)))</f>
        <v/>
      </c>
      <c r="Y24" t="str">
        <f>IF($E24="","",IF(INDEX(工数管理!$AD$3:$AD$98,$E24)="","",INDEX(工数管理!$AD$3:$AD$98,$E24)))</f>
        <v/>
      </c>
      <c r="Z24" t="str">
        <f>IF($E24="","",IF(INDEX(工数管理!$AE$3:$AE$98,$E24)="","",INDEX(工数管理!$AE$3:$AE$98,$E24)))</f>
        <v/>
      </c>
      <c r="AA24" t="str">
        <f>IF($E24="","",IF(INDEX(工数管理!$AF$3:$AF$98,$E24)="","",INDEX(工数管理!$AF$3:$AF$98,$E24)))</f>
        <v/>
      </c>
      <c r="AB24" t="str">
        <f>IF($E24="","",IF(INDEX(工数管理!$AG$3:$AG$98,$E24)="","",INDEX(工数管理!$AG$3:$AG$98,$E24)))</f>
        <v/>
      </c>
      <c r="AC24" t="str">
        <f>IF($E24="","",IF(INDEX(工数管理!$AH$3:$AH$98,$E24)="","",INDEX(工数管理!$AH$3:$AH$98,$E24)))</f>
        <v/>
      </c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  <c r="FE24" s="52"/>
      <c r="FF24" s="52"/>
      <c r="FG24" s="52"/>
      <c r="FH24" s="52"/>
      <c r="FI24" s="52"/>
      <c r="FJ24" s="52"/>
      <c r="FK24" s="52"/>
      <c r="FL24" s="52"/>
      <c r="FM24" s="52"/>
      <c r="FN24" s="52"/>
      <c r="FO24" s="52"/>
      <c r="FP24" s="52"/>
      <c r="FQ24" s="52"/>
      <c r="FR24" s="52"/>
      <c r="FS24" s="52"/>
      <c r="FT24" s="52"/>
      <c r="FU24" s="52"/>
      <c r="FV24" s="52"/>
      <c r="FW24" s="52"/>
      <c r="FX24" s="52"/>
      <c r="FY24" s="52"/>
      <c r="FZ24" s="52"/>
      <c r="GA24" s="52"/>
      <c r="GB24" s="52"/>
      <c r="GC24" s="52"/>
      <c r="GD24" s="52"/>
      <c r="GE24" s="52"/>
      <c r="GF24" s="52"/>
      <c r="GG24" s="52"/>
      <c r="GH24" s="52"/>
      <c r="GI24" s="52"/>
      <c r="GJ24" s="52"/>
      <c r="GK24" s="52"/>
      <c r="GL24" s="52"/>
      <c r="GM24" s="52"/>
      <c r="GN24" s="52"/>
      <c r="GO24" s="52"/>
      <c r="GP24" s="52"/>
      <c r="GQ24" s="52"/>
      <c r="GR24" s="52"/>
      <c r="GS24" s="52"/>
      <c r="GT24" s="52"/>
      <c r="GU24" s="52"/>
      <c r="GV24" s="52"/>
      <c r="GW24" s="52"/>
      <c r="GX24" s="52"/>
      <c r="GY24" s="52"/>
      <c r="GZ24" s="52"/>
      <c r="HA24" s="52"/>
      <c r="HB24" s="52"/>
      <c r="HC24" s="52"/>
      <c r="HD24" s="52"/>
      <c r="HE24" s="52"/>
      <c r="HF24" s="52"/>
      <c r="HG24" s="52"/>
      <c r="HH24" s="52"/>
      <c r="HI24" s="52"/>
      <c r="HJ24" s="52"/>
      <c r="HK24" s="52"/>
      <c r="HL24" s="52"/>
      <c r="HM24" s="52"/>
      <c r="HN24" s="52"/>
      <c r="HO24" s="52"/>
      <c r="HP24" s="52"/>
      <c r="HQ24" s="52"/>
      <c r="HR24" s="52"/>
      <c r="HS24" s="52"/>
      <c r="HT24" s="52"/>
      <c r="HU24" s="52"/>
      <c r="HV24" s="52"/>
      <c r="HW24" s="52"/>
      <c r="HX24" s="52"/>
      <c r="HY24" s="52"/>
      <c r="HZ24" s="52"/>
      <c r="IA24" s="52"/>
      <c r="IB24" s="52"/>
      <c r="IC24" s="52"/>
      <c r="ID24" s="52"/>
      <c r="IE24" s="52"/>
      <c r="IF24" s="52"/>
      <c r="IG24" s="52"/>
      <c r="IH24" s="52"/>
      <c r="II24" s="52"/>
      <c r="IJ24" s="52"/>
      <c r="IK24" s="52"/>
      <c r="IL24" s="52"/>
      <c r="IM24" s="52"/>
      <c r="IN24" s="52"/>
      <c r="IO24" s="52"/>
      <c r="IP24" s="52"/>
      <c r="IQ24" s="52"/>
      <c r="IR24" s="52"/>
      <c r="IS24" s="52"/>
      <c r="IT24" s="52"/>
      <c r="IU24" s="52"/>
      <c r="IV24" s="52"/>
      <c r="IW24" s="52"/>
      <c r="IX24" s="52"/>
      <c r="IY24" s="52"/>
      <c r="IZ24" s="52"/>
      <c r="JA24" s="52"/>
      <c r="JB24" s="52"/>
      <c r="JC24" s="52"/>
      <c r="JD24" s="52"/>
      <c r="JE24" s="52"/>
      <c r="JF24" s="52"/>
      <c r="JG24" s="52"/>
      <c r="JH24" s="52"/>
      <c r="JI24" s="52"/>
      <c r="JL24">
        <f>IF($E24="","",IF(INDEX(工数管理!$AJ$3:$AJ$98,$E24)&lt;&gt;"",1,0))</f>
        <v>1</v>
      </c>
      <c r="JM24">
        <f>IF($E24="","",IFERROR(MATCH($A24,祝日!$J$1:$L$1,0),""))</f>
        <v>3</v>
      </c>
    </row>
    <row r="25" spans="1:273" ht="14.25" customHeight="1" x14ac:dyDescent="0.15">
      <c r="A25" s="53" t="str">
        <f>IF($E25="","",IF($JL25=1,INDEX(工数管理!$A$3:$A$98,$E25)&amp;"",IF(INDEX(工数管理!$AK$3:$AK$98,$E25)="","未割当",INDEX(工数管理!$AK$3:$AK$98,$E25))))</f>
        <v>CH03</v>
      </c>
      <c r="B25" s="54" t="str">
        <f>IF($E25="","",IF($JL25=1,"",INDEX(工数管理!$A$3:$A$98,$E25)&amp;""))</f>
        <v>chMobSaiyanD</v>
      </c>
      <c r="C25" s="53" t="str">
        <f>IF($E25="","",IF($JL25=1,"",INDEX(工数管理!$B$3:$B$98,$E25)&amp;""))</f>
        <v>low</v>
      </c>
      <c r="D25" s="53" t="str">
        <f>IF($E25="","",INDEX(工数管理!$H$3:$H$98,$E25)&amp;"")</f>
        <v>FIX</v>
      </c>
      <c r="E25">
        <f>IFERROR(MATCH(SMALL(工数管理!$BP$3:$BP$98,ROW()-3),工数管理!$BP$3:$BP$98,0),"")</f>
        <v>53</v>
      </c>
      <c r="F25">
        <f>IF($E25="","",IF(INDEX(工数管理!$K$3:$K$98,$E25)="","",INDEX(工数管理!$K$3:$K$98,$E25)))</f>
        <v>46279</v>
      </c>
      <c r="G25">
        <f>IF($E25="","",IF(INDEX(工数管理!$L$3:$L$98,$E25)="","",INDEX(工数管理!$L$3:$L$98,$E25)))</f>
        <v>46282</v>
      </c>
      <c r="H25">
        <f>IF($E25="","",IF(INDEX(工数管理!$M$3:$M$98,$E25)="","",INDEX(工数管理!$M$3:$M$98,$E25)))</f>
        <v>46290</v>
      </c>
      <c r="I25">
        <f>IF($E25="","",IF(INDEX(工数管理!$N$3:$N$98,$E25)="","",INDEX(工数管理!$N$3:$N$98,$E25)))</f>
        <v>46295</v>
      </c>
      <c r="J25" t="str">
        <f>IF($E25="","",IF(INDEX(工数管理!$O$3:$O$98,$E25)="","",INDEX(工数管理!$O$3:$O$98,$E25)))</f>
        <v/>
      </c>
      <c r="K25" t="str">
        <f>IF($E25="","",IF(INDEX(工数管理!$P$3:$P$98,$E25)="","",INDEX(工数管理!$P$3:$P$98,$E25)))</f>
        <v/>
      </c>
      <c r="L25" t="str">
        <f>IF($E25="","",IF(INDEX(工数管理!$Q$3:$Q$98,$E25)="","",INDEX(工数管理!$Q$3:$Q$98,$E25)))</f>
        <v/>
      </c>
      <c r="M25" t="str">
        <f>IF($E25="","",IF(INDEX(工数管理!$R$3:$R$98,$E25)="","",INDEX(工数管理!$R$3:$R$98,$E25)))</f>
        <v/>
      </c>
      <c r="N25" t="str">
        <f>IF($E25="","",IF(INDEX(工数管理!$S$3:$S$98,$E25)="","",INDEX(工数管理!$S$3:$S$98,$E25)))</f>
        <v/>
      </c>
      <c r="O25" t="str">
        <f>IF($E25="","",IF(INDEX(工数管理!$T$3:$T$98,$E25)="","",INDEX(工数管理!$T$3:$T$98,$E25)))</f>
        <v/>
      </c>
      <c r="P25" t="str">
        <f>IF($E25="","",IF(INDEX(工数管理!$U$3:$U$98,$E25)="","",INDEX(工数管理!$U$3:$U$98,$E25)))</f>
        <v/>
      </c>
      <c r="Q25" t="str">
        <f>IF($E25="","",IF(INDEX(工数管理!$V$3:$V$98,$E25)="","",INDEX(工数管理!$V$3:$V$98,$E25)))</f>
        <v/>
      </c>
      <c r="R25" t="str">
        <f>IF($E25="","",IF(INDEX(工数管理!$W$3:$W$98,$E25)="","",INDEX(工数管理!$W$3:$W$98,$E25)))</f>
        <v/>
      </c>
      <c r="S25" t="str">
        <f>IF($E25="","",IF(INDEX(工数管理!$X$3:$X$98,$E25)="","",INDEX(工数管理!$X$3:$X$98,$E25)))</f>
        <v/>
      </c>
      <c r="T25" t="str">
        <f>IF($E25="","",IF(INDEX(工数管理!$Y$3:$Y$98,$E25)="","",INDEX(工数管理!$Y$3:$Y$98,$E25)))</f>
        <v/>
      </c>
      <c r="U25" t="str">
        <f>IF($E25="","",IF(INDEX(工数管理!$Z$3:$Z$98,$E25)="","",INDEX(工数管理!$Z$3:$Z$98,$E25)))</f>
        <v/>
      </c>
      <c r="V25" t="str">
        <f>IF($E25="","",IF(INDEX(工数管理!$AA$3:$AA$98,$E25)="","",INDEX(工数管理!$AA$3:$AA$98,$E25)))</f>
        <v/>
      </c>
      <c r="W25" t="str">
        <f>IF($E25="","",IF(INDEX(工数管理!$AB$3:$AB$98,$E25)="","",INDEX(工数管理!$AB$3:$AB$98,$E25)))</f>
        <v/>
      </c>
      <c r="X25" t="str">
        <f>IF($E25="","",IF(INDEX(工数管理!$AC$3:$AC$98,$E25)="","",INDEX(工数管理!$AC$3:$AC$98,$E25)))</f>
        <v/>
      </c>
      <c r="Y25" t="str">
        <f>IF($E25="","",IF(INDEX(工数管理!$AD$3:$AD$98,$E25)="","",INDEX(工数管理!$AD$3:$AD$98,$E25)))</f>
        <v/>
      </c>
      <c r="Z25" t="str">
        <f>IF($E25="","",IF(INDEX(工数管理!$AE$3:$AE$98,$E25)="","",INDEX(工数管理!$AE$3:$AE$98,$E25)))</f>
        <v/>
      </c>
      <c r="AA25" t="str">
        <f>IF($E25="","",IF(INDEX(工数管理!$AF$3:$AF$98,$E25)="","",INDEX(工数管理!$AF$3:$AF$98,$E25)))</f>
        <v/>
      </c>
      <c r="AB25" t="str">
        <f>IF($E25="","",IF(INDEX(工数管理!$AG$3:$AG$98,$E25)="","",INDEX(工数管理!$AG$3:$AG$98,$E25)))</f>
        <v/>
      </c>
      <c r="AC25" t="str">
        <f>IF($E25="","",IF(INDEX(工数管理!$AH$3:$AH$98,$E25)="","",INDEX(工数管理!$AH$3:$AH$98,$E25)))</f>
        <v/>
      </c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  <c r="FB25" s="52"/>
      <c r="FC25" s="52"/>
      <c r="FD25" s="52"/>
      <c r="FE25" s="52"/>
      <c r="FF25" s="52"/>
      <c r="FG25" s="52"/>
      <c r="FH25" s="52"/>
      <c r="FI25" s="52"/>
      <c r="FJ25" s="52"/>
      <c r="FK25" s="52"/>
      <c r="FL25" s="52"/>
      <c r="FM25" s="52"/>
      <c r="FN25" s="52"/>
      <c r="FO25" s="52"/>
      <c r="FP25" s="52"/>
      <c r="FQ25" s="52"/>
      <c r="FR25" s="52"/>
      <c r="FS25" s="52"/>
      <c r="FT25" s="52"/>
      <c r="FU25" s="52"/>
      <c r="FV25" s="52"/>
      <c r="FW25" s="52"/>
      <c r="FX25" s="52"/>
      <c r="FY25" s="52"/>
      <c r="FZ25" s="52"/>
      <c r="GA25" s="52"/>
      <c r="GB25" s="52"/>
      <c r="GC25" s="52"/>
      <c r="GD25" s="52"/>
      <c r="GE25" s="52"/>
      <c r="GF25" s="52"/>
      <c r="GG25" s="52"/>
      <c r="GH25" s="52"/>
      <c r="GI25" s="52"/>
      <c r="GJ25" s="52"/>
      <c r="GK25" s="52"/>
      <c r="GL25" s="52"/>
      <c r="GM25" s="52"/>
      <c r="GN25" s="52"/>
      <c r="GO25" s="52"/>
      <c r="GP25" s="52"/>
      <c r="GQ25" s="52"/>
      <c r="GR25" s="52"/>
      <c r="GS25" s="52"/>
      <c r="GT25" s="52"/>
      <c r="GU25" s="52"/>
      <c r="GV25" s="52"/>
      <c r="GW25" s="52"/>
      <c r="GX25" s="52"/>
      <c r="GY25" s="52"/>
      <c r="GZ25" s="52"/>
      <c r="HA25" s="52"/>
      <c r="HB25" s="52"/>
      <c r="HC25" s="52"/>
      <c r="HD25" s="52"/>
      <c r="HE25" s="52"/>
      <c r="HF25" s="52"/>
      <c r="HG25" s="52"/>
      <c r="HH25" s="52"/>
      <c r="HI25" s="52"/>
      <c r="HJ25" s="52"/>
      <c r="HK25" s="52"/>
      <c r="HL25" s="52"/>
      <c r="HM25" s="52"/>
      <c r="HN25" s="52"/>
      <c r="HO25" s="52"/>
      <c r="HP25" s="52"/>
      <c r="HQ25" s="52"/>
      <c r="HR25" s="52"/>
      <c r="HS25" s="52"/>
      <c r="HT25" s="52"/>
      <c r="HU25" s="52"/>
      <c r="HV25" s="52"/>
      <c r="HW25" s="52"/>
      <c r="HX25" s="52"/>
      <c r="HY25" s="52"/>
      <c r="HZ25" s="52"/>
      <c r="IA25" s="52"/>
      <c r="IB25" s="52"/>
      <c r="IC25" s="52"/>
      <c r="ID25" s="52"/>
      <c r="IE25" s="52"/>
      <c r="IF25" s="52"/>
      <c r="IG25" s="52"/>
      <c r="IH25" s="52"/>
      <c r="II25" s="52"/>
      <c r="IJ25" s="52"/>
      <c r="IK25" s="52"/>
      <c r="IL25" s="52"/>
      <c r="IM25" s="52"/>
      <c r="IN25" s="52"/>
      <c r="IO25" s="52"/>
      <c r="IP25" s="52"/>
      <c r="IQ25" s="52"/>
      <c r="IR25" s="52"/>
      <c r="IS25" s="52"/>
      <c r="IT25" s="52"/>
      <c r="IU25" s="52"/>
      <c r="IV25" s="52"/>
      <c r="IW25" s="52"/>
      <c r="IX25" s="52"/>
      <c r="IY25" s="52"/>
      <c r="IZ25" s="52"/>
      <c r="JA25" s="52"/>
      <c r="JB25" s="52"/>
      <c r="JC25" s="52"/>
      <c r="JD25" s="52"/>
      <c r="JE25" s="52"/>
      <c r="JF25" s="52"/>
      <c r="JG25" s="52"/>
      <c r="JH25" s="52"/>
      <c r="JI25" s="52"/>
      <c r="JL25">
        <f>IF($E25="","",IF(INDEX(工数管理!$AJ$3:$AJ$98,$E25)&lt;&gt;"",1,0))</f>
        <v>0</v>
      </c>
      <c r="JM25">
        <f>IF($E25="","",IFERROR(MATCH($A25,祝日!$J$1:$L$1,0),""))</f>
        <v>3</v>
      </c>
    </row>
    <row r="26" spans="1:273" ht="14.25" customHeight="1" x14ac:dyDescent="0.15">
      <c r="A26" s="53" t="str">
        <f>IF($E26="","",IF($JL26=1,INDEX(工数管理!$A$3:$A$98,$E26)&amp;"",IF(INDEX(工数管理!$AK$3:$AK$98,$E26)="","未割当",INDEX(工数管理!$AK$3:$AK$98,$E26))))</f>
        <v>CH03</v>
      </c>
      <c r="B26" s="54" t="str">
        <f>IF($E26="","",IF($JL26=1,"",INDEX(工数管理!$A$3:$A$98,$E26)&amp;""))</f>
        <v>chMobSaiyanD</v>
      </c>
      <c r="C26" s="53" t="str">
        <f>IF($E26="","",IF($JL26=1,"",INDEX(工数管理!$B$3:$B$98,$E26)&amp;""))</f>
        <v>high</v>
      </c>
      <c r="D26" s="53" t="str">
        <f>IF($E26="","",INDEX(工数管理!$H$3:$H$98,$E26)&amp;"")</f>
        <v>中断</v>
      </c>
      <c r="E26">
        <f>IFERROR(MATCH(SMALL(工数管理!$BP$3:$BP$98,ROW()-3),工数管理!$BP$3:$BP$98,0),"")</f>
        <v>54</v>
      </c>
      <c r="F26">
        <f>IF($E26="","",IF(INDEX(工数管理!$K$3:$K$98,$E26)="","",INDEX(工数管理!$K$3:$K$98,$E26)))</f>
        <v>46296</v>
      </c>
      <c r="G26">
        <f>IF($E26="","",IF(INDEX(工数管理!$L$3:$L$98,$E26)="","",INDEX(工数管理!$L$3:$L$98,$E26)))</f>
        <v>46299</v>
      </c>
      <c r="H26" t="str">
        <f>IF($E26="","",IF(INDEX(工数管理!$M$3:$M$98,$E26)="","",INDEX(工数管理!$M$3:$M$98,$E26)))</f>
        <v/>
      </c>
      <c r="I26" t="str">
        <f>IF($E26="","",IF(INDEX(工数管理!$N$3:$N$98,$E26)="","",INDEX(工数管理!$N$3:$N$98,$E26)))</f>
        <v/>
      </c>
      <c r="J26" t="str">
        <f>IF($E26="","",IF(INDEX(工数管理!$O$3:$O$98,$E26)="","",INDEX(工数管理!$O$3:$O$98,$E26)))</f>
        <v/>
      </c>
      <c r="K26" t="str">
        <f>IF($E26="","",IF(INDEX(工数管理!$P$3:$P$98,$E26)="","",INDEX(工数管理!$P$3:$P$98,$E26)))</f>
        <v/>
      </c>
      <c r="L26" t="str">
        <f>IF($E26="","",IF(INDEX(工数管理!$Q$3:$Q$98,$E26)="","",INDEX(工数管理!$Q$3:$Q$98,$E26)))</f>
        <v/>
      </c>
      <c r="M26" t="str">
        <f>IF($E26="","",IF(INDEX(工数管理!$R$3:$R$98,$E26)="","",INDEX(工数管理!$R$3:$R$98,$E26)))</f>
        <v/>
      </c>
      <c r="N26" t="str">
        <f>IF($E26="","",IF(INDEX(工数管理!$S$3:$S$98,$E26)="","",INDEX(工数管理!$S$3:$S$98,$E26)))</f>
        <v/>
      </c>
      <c r="O26" t="str">
        <f>IF($E26="","",IF(INDEX(工数管理!$T$3:$T$98,$E26)="","",INDEX(工数管理!$T$3:$T$98,$E26)))</f>
        <v/>
      </c>
      <c r="P26" t="str">
        <f>IF($E26="","",IF(INDEX(工数管理!$U$3:$U$98,$E26)="","",INDEX(工数管理!$U$3:$U$98,$E26)))</f>
        <v/>
      </c>
      <c r="Q26" t="str">
        <f>IF($E26="","",IF(INDEX(工数管理!$V$3:$V$98,$E26)="","",INDEX(工数管理!$V$3:$V$98,$E26)))</f>
        <v/>
      </c>
      <c r="R26" t="str">
        <f>IF($E26="","",IF(INDEX(工数管理!$W$3:$W$98,$E26)="","",INDEX(工数管理!$W$3:$W$98,$E26)))</f>
        <v/>
      </c>
      <c r="S26" t="str">
        <f>IF($E26="","",IF(INDEX(工数管理!$X$3:$X$98,$E26)="","",INDEX(工数管理!$X$3:$X$98,$E26)))</f>
        <v/>
      </c>
      <c r="T26" t="str">
        <f>IF($E26="","",IF(INDEX(工数管理!$Y$3:$Y$98,$E26)="","",INDEX(工数管理!$Y$3:$Y$98,$E26)))</f>
        <v/>
      </c>
      <c r="U26" t="str">
        <f>IF($E26="","",IF(INDEX(工数管理!$Z$3:$Z$98,$E26)="","",INDEX(工数管理!$Z$3:$Z$98,$E26)))</f>
        <v/>
      </c>
      <c r="V26" t="str">
        <f>IF($E26="","",IF(INDEX(工数管理!$AA$3:$AA$98,$E26)="","",INDEX(工数管理!$AA$3:$AA$98,$E26)))</f>
        <v/>
      </c>
      <c r="W26" t="str">
        <f>IF($E26="","",IF(INDEX(工数管理!$AB$3:$AB$98,$E26)="","",INDEX(工数管理!$AB$3:$AB$98,$E26)))</f>
        <v/>
      </c>
      <c r="X26" t="str">
        <f>IF($E26="","",IF(INDEX(工数管理!$AC$3:$AC$98,$E26)="","",INDEX(工数管理!$AC$3:$AC$98,$E26)))</f>
        <v/>
      </c>
      <c r="Y26" t="str">
        <f>IF($E26="","",IF(INDEX(工数管理!$AD$3:$AD$98,$E26)="","",INDEX(工数管理!$AD$3:$AD$98,$E26)))</f>
        <v/>
      </c>
      <c r="Z26" t="str">
        <f>IF($E26="","",IF(INDEX(工数管理!$AE$3:$AE$98,$E26)="","",INDEX(工数管理!$AE$3:$AE$98,$E26)))</f>
        <v/>
      </c>
      <c r="AA26" t="str">
        <f>IF($E26="","",IF(INDEX(工数管理!$AF$3:$AF$98,$E26)="","",INDEX(工数管理!$AF$3:$AF$98,$E26)))</f>
        <v/>
      </c>
      <c r="AB26" t="str">
        <f>IF($E26="","",IF(INDEX(工数管理!$AG$3:$AG$98,$E26)="","",INDEX(工数管理!$AG$3:$AG$98,$E26)))</f>
        <v/>
      </c>
      <c r="AC26" t="str">
        <f>IF($E26="","",IF(INDEX(工数管理!$AH$3:$AH$98,$E26)="","",INDEX(工数管理!$AH$3:$AH$98,$E26)))</f>
        <v/>
      </c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  <c r="FB26" s="52"/>
      <c r="FC26" s="52"/>
      <c r="FD26" s="52"/>
      <c r="FE26" s="52"/>
      <c r="FF26" s="52"/>
      <c r="FG26" s="52"/>
      <c r="FH26" s="52"/>
      <c r="FI26" s="52"/>
      <c r="FJ26" s="52"/>
      <c r="FK26" s="52"/>
      <c r="FL26" s="52"/>
      <c r="FM26" s="52"/>
      <c r="FN26" s="52"/>
      <c r="FO26" s="52"/>
      <c r="FP26" s="52"/>
      <c r="FQ26" s="52"/>
      <c r="FR26" s="52"/>
      <c r="FS26" s="52"/>
      <c r="FT26" s="52"/>
      <c r="FU26" s="52"/>
      <c r="FV26" s="52"/>
      <c r="FW26" s="52"/>
      <c r="FX26" s="52"/>
      <c r="FY26" s="52"/>
      <c r="FZ26" s="52"/>
      <c r="GA26" s="52"/>
      <c r="GB26" s="52"/>
      <c r="GC26" s="52"/>
      <c r="GD26" s="52"/>
      <c r="GE26" s="52"/>
      <c r="GF26" s="52"/>
      <c r="GG26" s="52"/>
      <c r="GH26" s="52"/>
      <c r="GI26" s="52"/>
      <c r="GJ26" s="52"/>
      <c r="GK26" s="52"/>
      <c r="GL26" s="52"/>
      <c r="GM26" s="52"/>
      <c r="GN26" s="52"/>
      <c r="GO26" s="52"/>
      <c r="GP26" s="52"/>
      <c r="GQ26" s="52"/>
      <c r="GR26" s="52"/>
      <c r="GS26" s="52"/>
      <c r="GT26" s="52"/>
      <c r="GU26" s="52"/>
      <c r="GV26" s="52"/>
      <c r="GW26" s="52"/>
      <c r="GX26" s="52"/>
      <c r="GY26" s="52"/>
      <c r="GZ26" s="52"/>
      <c r="HA26" s="52"/>
      <c r="HB26" s="52"/>
      <c r="HC26" s="52"/>
      <c r="HD26" s="52"/>
      <c r="HE26" s="52"/>
      <c r="HF26" s="52"/>
      <c r="HG26" s="52"/>
      <c r="HH26" s="52"/>
      <c r="HI26" s="52"/>
      <c r="HJ26" s="52"/>
      <c r="HK26" s="52"/>
      <c r="HL26" s="52"/>
      <c r="HM26" s="52"/>
      <c r="HN26" s="52"/>
      <c r="HO26" s="52"/>
      <c r="HP26" s="52"/>
      <c r="HQ26" s="52"/>
      <c r="HR26" s="52"/>
      <c r="HS26" s="52"/>
      <c r="HT26" s="52"/>
      <c r="HU26" s="52"/>
      <c r="HV26" s="52"/>
      <c r="HW26" s="52"/>
      <c r="HX26" s="52"/>
      <c r="HY26" s="52"/>
      <c r="HZ26" s="52"/>
      <c r="IA26" s="52"/>
      <c r="IB26" s="52"/>
      <c r="IC26" s="52"/>
      <c r="ID26" s="52"/>
      <c r="IE26" s="52"/>
      <c r="IF26" s="52"/>
      <c r="IG26" s="52"/>
      <c r="IH26" s="52"/>
      <c r="II26" s="52"/>
      <c r="IJ26" s="52"/>
      <c r="IK26" s="52"/>
      <c r="IL26" s="52"/>
      <c r="IM26" s="52"/>
      <c r="IN26" s="52"/>
      <c r="IO26" s="52"/>
      <c r="IP26" s="52"/>
      <c r="IQ26" s="52"/>
      <c r="IR26" s="52"/>
      <c r="IS26" s="52"/>
      <c r="IT26" s="52"/>
      <c r="IU26" s="52"/>
      <c r="IV26" s="52"/>
      <c r="IW26" s="52"/>
      <c r="IX26" s="52"/>
      <c r="IY26" s="52"/>
      <c r="IZ26" s="52"/>
      <c r="JA26" s="52"/>
      <c r="JB26" s="52"/>
      <c r="JC26" s="52"/>
      <c r="JD26" s="52"/>
      <c r="JE26" s="52"/>
      <c r="JF26" s="52"/>
      <c r="JG26" s="52"/>
      <c r="JH26" s="52"/>
      <c r="JI26" s="52"/>
      <c r="JL26">
        <f>IF($E26="","",IF(INDEX(工数管理!$AJ$3:$AJ$98,$E26)&lt;&gt;"",1,0))</f>
        <v>0</v>
      </c>
      <c r="JM26">
        <f>IF($E26="","",IFERROR(MATCH($A26,祝日!$J$1:$L$1,0),""))</f>
        <v>3</v>
      </c>
    </row>
    <row r="27" spans="1:273" ht="14.25" customHeight="1" x14ac:dyDescent="0.15">
      <c r="A27" s="53" t="str">
        <f>IF($E27="","",IF($JL27=1,INDEX(工数管理!$A$3:$A$98,$E27)&amp;"",IF(INDEX(工数管理!$AK$3:$AK$98,$E27)="","未割当",INDEX(工数管理!$AK$3:$AK$98,$E27))))</f>
        <v>CH03</v>
      </c>
      <c r="B27" s="54" t="str">
        <f>IF($E27="","",IF($JL27=1,"",INDEX(工数管理!$A$3:$A$98,$E27)&amp;""))</f>
        <v>chMobSaiyanF</v>
      </c>
      <c r="C27" s="53" t="str">
        <f>IF($E27="","",IF($JL27=1,"",INDEX(工数管理!$B$3:$B$98,$E27)&amp;""))</f>
        <v>low</v>
      </c>
      <c r="D27" s="53" t="str">
        <f>IF($E27="","",INDEX(工数管理!$H$3:$H$98,$E27)&amp;"")</f>
        <v>FIX</v>
      </c>
      <c r="E27">
        <f>IFERROR(MATCH(SMALL(工数管理!$BP$3:$BP$98,ROW()-3),工数管理!$BP$3:$BP$98,0),"")</f>
        <v>57</v>
      </c>
      <c r="F27">
        <f>IF($E27="","",IF(INDEX(工数管理!$K$3:$K$98,$E27)="","",INDEX(工数管理!$K$3:$K$98,$E27)))</f>
        <v>46260</v>
      </c>
      <c r="G27">
        <f>IF($E27="","",IF(INDEX(工数管理!$L$3:$L$98,$E27)="","",INDEX(工数管理!$L$3:$L$98,$E27)))</f>
        <v>46267</v>
      </c>
      <c r="H27" t="str">
        <f>IF($E27="","",IF(INDEX(工数管理!$M$3:$M$98,$E27)="","",INDEX(工数管理!$M$3:$M$98,$E27)))</f>
        <v/>
      </c>
      <c r="I27" t="str">
        <f>IF($E27="","",IF(INDEX(工数管理!$N$3:$N$98,$E27)="","",INDEX(工数管理!$N$3:$N$98,$E27)))</f>
        <v/>
      </c>
      <c r="J27" t="str">
        <f>IF($E27="","",IF(INDEX(工数管理!$O$3:$O$98,$E27)="","",INDEX(工数管理!$O$3:$O$98,$E27)))</f>
        <v/>
      </c>
      <c r="K27" t="str">
        <f>IF($E27="","",IF(INDEX(工数管理!$P$3:$P$98,$E27)="","",INDEX(工数管理!$P$3:$P$98,$E27)))</f>
        <v/>
      </c>
      <c r="L27" t="str">
        <f>IF($E27="","",IF(INDEX(工数管理!$Q$3:$Q$98,$E27)="","",INDEX(工数管理!$Q$3:$Q$98,$E27)))</f>
        <v/>
      </c>
      <c r="M27" t="str">
        <f>IF($E27="","",IF(INDEX(工数管理!$R$3:$R$98,$E27)="","",INDEX(工数管理!$R$3:$R$98,$E27)))</f>
        <v/>
      </c>
      <c r="N27" t="str">
        <f>IF($E27="","",IF(INDEX(工数管理!$S$3:$S$98,$E27)="","",INDEX(工数管理!$S$3:$S$98,$E27)))</f>
        <v/>
      </c>
      <c r="O27" t="str">
        <f>IF($E27="","",IF(INDEX(工数管理!$T$3:$T$98,$E27)="","",INDEX(工数管理!$T$3:$T$98,$E27)))</f>
        <v/>
      </c>
      <c r="P27" t="str">
        <f>IF($E27="","",IF(INDEX(工数管理!$U$3:$U$98,$E27)="","",INDEX(工数管理!$U$3:$U$98,$E27)))</f>
        <v/>
      </c>
      <c r="Q27" t="str">
        <f>IF($E27="","",IF(INDEX(工数管理!$V$3:$V$98,$E27)="","",INDEX(工数管理!$V$3:$V$98,$E27)))</f>
        <v/>
      </c>
      <c r="R27" t="str">
        <f>IF($E27="","",IF(INDEX(工数管理!$W$3:$W$98,$E27)="","",INDEX(工数管理!$W$3:$W$98,$E27)))</f>
        <v/>
      </c>
      <c r="S27" t="str">
        <f>IF($E27="","",IF(INDEX(工数管理!$X$3:$X$98,$E27)="","",INDEX(工数管理!$X$3:$X$98,$E27)))</f>
        <v/>
      </c>
      <c r="T27" t="str">
        <f>IF($E27="","",IF(INDEX(工数管理!$Y$3:$Y$98,$E27)="","",INDEX(工数管理!$Y$3:$Y$98,$E27)))</f>
        <v/>
      </c>
      <c r="U27" t="str">
        <f>IF($E27="","",IF(INDEX(工数管理!$Z$3:$Z$98,$E27)="","",INDEX(工数管理!$Z$3:$Z$98,$E27)))</f>
        <v/>
      </c>
      <c r="V27" t="str">
        <f>IF($E27="","",IF(INDEX(工数管理!$AA$3:$AA$98,$E27)="","",INDEX(工数管理!$AA$3:$AA$98,$E27)))</f>
        <v/>
      </c>
      <c r="W27" t="str">
        <f>IF($E27="","",IF(INDEX(工数管理!$AB$3:$AB$98,$E27)="","",INDEX(工数管理!$AB$3:$AB$98,$E27)))</f>
        <v/>
      </c>
      <c r="X27" t="str">
        <f>IF($E27="","",IF(INDEX(工数管理!$AC$3:$AC$98,$E27)="","",INDEX(工数管理!$AC$3:$AC$98,$E27)))</f>
        <v/>
      </c>
      <c r="Y27" t="str">
        <f>IF($E27="","",IF(INDEX(工数管理!$AD$3:$AD$98,$E27)="","",INDEX(工数管理!$AD$3:$AD$98,$E27)))</f>
        <v/>
      </c>
      <c r="Z27" t="str">
        <f>IF($E27="","",IF(INDEX(工数管理!$AE$3:$AE$98,$E27)="","",INDEX(工数管理!$AE$3:$AE$98,$E27)))</f>
        <v/>
      </c>
      <c r="AA27" t="str">
        <f>IF($E27="","",IF(INDEX(工数管理!$AF$3:$AF$98,$E27)="","",INDEX(工数管理!$AF$3:$AF$98,$E27)))</f>
        <v/>
      </c>
      <c r="AB27" t="str">
        <f>IF($E27="","",IF(INDEX(工数管理!$AG$3:$AG$98,$E27)="","",INDEX(工数管理!$AG$3:$AG$98,$E27)))</f>
        <v/>
      </c>
      <c r="AC27" t="str">
        <f>IF($E27="","",IF(INDEX(工数管理!$AH$3:$AH$98,$E27)="","",INDEX(工数管理!$AH$3:$AH$98,$E27)))</f>
        <v/>
      </c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52"/>
      <c r="EY27" s="52"/>
      <c r="EZ27" s="52"/>
      <c r="FA27" s="52"/>
      <c r="FB27" s="52"/>
      <c r="FC27" s="52"/>
      <c r="FD27" s="52"/>
      <c r="FE27" s="52"/>
      <c r="FF27" s="52"/>
      <c r="FG27" s="52"/>
      <c r="FH27" s="52"/>
      <c r="FI27" s="52"/>
      <c r="FJ27" s="52"/>
      <c r="FK27" s="52"/>
      <c r="FL27" s="52"/>
      <c r="FM27" s="52"/>
      <c r="FN27" s="52"/>
      <c r="FO27" s="52"/>
      <c r="FP27" s="52"/>
      <c r="FQ27" s="52"/>
      <c r="FR27" s="52"/>
      <c r="FS27" s="52"/>
      <c r="FT27" s="52"/>
      <c r="FU27" s="52"/>
      <c r="FV27" s="52"/>
      <c r="FW27" s="52"/>
      <c r="FX27" s="52"/>
      <c r="FY27" s="52"/>
      <c r="FZ27" s="52"/>
      <c r="GA27" s="52"/>
      <c r="GB27" s="52"/>
      <c r="GC27" s="52"/>
      <c r="GD27" s="52"/>
      <c r="GE27" s="52"/>
      <c r="GF27" s="52"/>
      <c r="GG27" s="52"/>
      <c r="GH27" s="52"/>
      <c r="GI27" s="52"/>
      <c r="GJ27" s="52"/>
      <c r="GK27" s="52"/>
      <c r="GL27" s="52"/>
      <c r="GM27" s="52"/>
      <c r="GN27" s="52"/>
      <c r="GO27" s="52"/>
      <c r="GP27" s="52"/>
      <c r="GQ27" s="52"/>
      <c r="GR27" s="52"/>
      <c r="GS27" s="52"/>
      <c r="GT27" s="52"/>
      <c r="GU27" s="52"/>
      <c r="GV27" s="52"/>
      <c r="GW27" s="52"/>
      <c r="GX27" s="52"/>
      <c r="GY27" s="52"/>
      <c r="GZ27" s="52"/>
      <c r="HA27" s="52"/>
      <c r="HB27" s="52"/>
      <c r="HC27" s="52"/>
      <c r="HD27" s="52"/>
      <c r="HE27" s="52"/>
      <c r="HF27" s="52"/>
      <c r="HG27" s="52"/>
      <c r="HH27" s="52"/>
      <c r="HI27" s="52"/>
      <c r="HJ27" s="52"/>
      <c r="HK27" s="52"/>
      <c r="HL27" s="52"/>
      <c r="HM27" s="52"/>
      <c r="HN27" s="52"/>
      <c r="HO27" s="52"/>
      <c r="HP27" s="52"/>
      <c r="HQ27" s="52"/>
      <c r="HR27" s="52"/>
      <c r="HS27" s="52"/>
      <c r="HT27" s="52"/>
      <c r="HU27" s="52"/>
      <c r="HV27" s="52"/>
      <c r="HW27" s="52"/>
      <c r="HX27" s="52"/>
      <c r="HY27" s="52"/>
      <c r="HZ27" s="52"/>
      <c r="IA27" s="52"/>
      <c r="IB27" s="52"/>
      <c r="IC27" s="52"/>
      <c r="ID27" s="52"/>
      <c r="IE27" s="52"/>
      <c r="IF27" s="52"/>
      <c r="IG27" s="52"/>
      <c r="IH27" s="52"/>
      <c r="II27" s="52"/>
      <c r="IJ27" s="52"/>
      <c r="IK27" s="52"/>
      <c r="IL27" s="52"/>
      <c r="IM27" s="52"/>
      <c r="IN27" s="52"/>
      <c r="IO27" s="52"/>
      <c r="IP27" s="52"/>
      <c r="IQ27" s="52"/>
      <c r="IR27" s="52"/>
      <c r="IS27" s="52"/>
      <c r="IT27" s="52"/>
      <c r="IU27" s="52"/>
      <c r="IV27" s="52"/>
      <c r="IW27" s="52"/>
      <c r="IX27" s="52"/>
      <c r="IY27" s="52"/>
      <c r="IZ27" s="52"/>
      <c r="JA27" s="52"/>
      <c r="JB27" s="52"/>
      <c r="JC27" s="52"/>
      <c r="JD27" s="52"/>
      <c r="JE27" s="52"/>
      <c r="JF27" s="52"/>
      <c r="JG27" s="52"/>
      <c r="JH27" s="52"/>
      <c r="JI27" s="52"/>
      <c r="JL27">
        <f>IF($E27="","",IF(INDEX(工数管理!$AJ$3:$AJ$98,$E27)&lt;&gt;"",1,0))</f>
        <v>0</v>
      </c>
      <c r="JM27">
        <f>IF($E27="","",IFERROR(MATCH($A27,祝日!$J$1:$L$1,0),""))</f>
        <v>3</v>
      </c>
    </row>
    <row r="28" spans="1:273" ht="14.25" customHeight="1" x14ac:dyDescent="0.15">
      <c r="A28" s="53" t="str">
        <f>IF($E28="","",IF($JL28=1,INDEX(工数管理!$A$3:$A$98,$E28)&amp;"",IF(INDEX(工数管理!$AK$3:$AK$98,$E28)="","未割当",INDEX(工数管理!$AK$3:$AK$98,$E28))))</f>
        <v>CH03</v>
      </c>
      <c r="B28" s="54" t="str">
        <f>IF($E28="","",IF($JL28=1,"",INDEX(工数管理!$A$3:$A$98,$E28)&amp;""))</f>
        <v>chMobSaiyanF</v>
      </c>
      <c r="C28" s="53" t="str">
        <f>IF($E28="","",IF($JL28=1,"",INDEX(工数管理!$B$3:$B$98,$E28)&amp;""))</f>
        <v>high</v>
      </c>
      <c r="D28" s="53" t="str">
        <f>IF($E28="","",INDEX(工数管理!$H$3:$H$98,$E28)&amp;"")</f>
        <v>FIX</v>
      </c>
      <c r="E28">
        <f>IFERROR(MATCH(SMALL(工数管理!$BP$3:$BP$98,ROW()-3),工数管理!$BP$3:$BP$98,0),"")</f>
        <v>58</v>
      </c>
      <c r="F28">
        <f>IF($E28="","",IF(INDEX(工数管理!$K$3:$K$98,$E28)="","",INDEX(工数管理!$K$3:$K$98,$E28)))</f>
        <v>46268</v>
      </c>
      <c r="G28">
        <f>IF($E28="","",IF(INDEX(工数管理!$L$3:$L$98,$E28)="","",INDEX(工数管理!$L$3:$L$98,$E28)))</f>
        <v>46271</v>
      </c>
      <c r="H28">
        <f>IF($E28="","",IF(INDEX(工数管理!$M$3:$M$98,$E28)="","",INDEX(工数管理!$M$3:$M$98,$E28)))</f>
        <v>46276</v>
      </c>
      <c r="I28">
        <f>IF($E28="","",IF(INDEX(工数管理!$N$3:$N$98,$E28)="","",INDEX(工数管理!$N$3:$N$98,$E28)))</f>
        <v>46276</v>
      </c>
      <c r="J28">
        <f>IF($E28="","",IF(INDEX(工数管理!$O$3:$O$98,$E28)="","",INDEX(工数管理!$O$3:$O$98,$E28)))</f>
        <v>46283</v>
      </c>
      <c r="K28">
        <f>IF($E28="","",IF(INDEX(工数管理!$P$3:$P$98,$E28)="","",INDEX(工数管理!$P$3:$P$98,$E28)))</f>
        <v>46289</v>
      </c>
      <c r="L28" t="str">
        <f>IF($E28="","",IF(INDEX(工数管理!$Q$3:$Q$98,$E28)="","",INDEX(工数管理!$Q$3:$Q$98,$E28)))</f>
        <v/>
      </c>
      <c r="M28" t="str">
        <f>IF($E28="","",IF(INDEX(工数管理!$R$3:$R$98,$E28)="","",INDEX(工数管理!$R$3:$R$98,$E28)))</f>
        <v/>
      </c>
      <c r="N28" t="str">
        <f>IF($E28="","",IF(INDEX(工数管理!$S$3:$S$98,$E28)="","",INDEX(工数管理!$S$3:$S$98,$E28)))</f>
        <v/>
      </c>
      <c r="O28" t="str">
        <f>IF($E28="","",IF(INDEX(工数管理!$T$3:$T$98,$E28)="","",INDEX(工数管理!$T$3:$T$98,$E28)))</f>
        <v/>
      </c>
      <c r="P28" t="str">
        <f>IF($E28="","",IF(INDEX(工数管理!$U$3:$U$98,$E28)="","",INDEX(工数管理!$U$3:$U$98,$E28)))</f>
        <v/>
      </c>
      <c r="Q28" t="str">
        <f>IF($E28="","",IF(INDEX(工数管理!$V$3:$V$98,$E28)="","",INDEX(工数管理!$V$3:$V$98,$E28)))</f>
        <v/>
      </c>
      <c r="R28" t="str">
        <f>IF($E28="","",IF(INDEX(工数管理!$W$3:$W$98,$E28)="","",INDEX(工数管理!$W$3:$W$98,$E28)))</f>
        <v/>
      </c>
      <c r="S28" t="str">
        <f>IF($E28="","",IF(INDEX(工数管理!$X$3:$X$98,$E28)="","",INDEX(工数管理!$X$3:$X$98,$E28)))</f>
        <v/>
      </c>
      <c r="T28" t="str">
        <f>IF($E28="","",IF(INDEX(工数管理!$Y$3:$Y$98,$E28)="","",INDEX(工数管理!$Y$3:$Y$98,$E28)))</f>
        <v/>
      </c>
      <c r="U28" t="str">
        <f>IF($E28="","",IF(INDEX(工数管理!$Z$3:$Z$98,$E28)="","",INDEX(工数管理!$Z$3:$Z$98,$E28)))</f>
        <v/>
      </c>
      <c r="V28" t="str">
        <f>IF($E28="","",IF(INDEX(工数管理!$AA$3:$AA$98,$E28)="","",INDEX(工数管理!$AA$3:$AA$98,$E28)))</f>
        <v/>
      </c>
      <c r="W28" t="str">
        <f>IF($E28="","",IF(INDEX(工数管理!$AB$3:$AB$98,$E28)="","",INDEX(工数管理!$AB$3:$AB$98,$E28)))</f>
        <v/>
      </c>
      <c r="X28" t="str">
        <f>IF($E28="","",IF(INDEX(工数管理!$AC$3:$AC$98,$E28)="","",INDEX(工数管理!$AC$3:$AC$98,$E28)))</f>
        <v/>
      </c>
      <c r="Y28" t="str">
        <f>IF($E28="","",IF(INDEX(工数管理!$AD$3:$AD$98,$E28)="","",INDEX(工数管理!$AD$3:$AD$98,$E28)))</f>
        <v/>
      </c>
      <c r="Z28" t="str">
        <f>IF($E28="","",IF(INDEX(工数管理!$AE$3:$AE$98,$E28)="","",INDEX(工数管理!$AE$3:$AE$98,$E28)))</f>
        <v/>
      </c>
      <c r="AA28" t="str">
        <f>IF($E28="","",IF(INDEX(工数管理!$AF$3:$AF$98,$E28)="","",INDEX(工数管理!$AF$3:$AF$98,$E28)))</f>
        <v/>
      </c>
      <c r="AB28" t="str">
        <f>IF($E28="","",IF(INDEX(工数管理!$AG$3:$AG$98,$E28)="","",INDEX(工数管理!$AG$3:$AG$98,$E28)))</f>
        <v/>
      </c>
      <c r="AC28" t="str">
        <f>IF($E28="","",IF(INDEX(工数管理!$AH$3:$AH$98,$E28)="","",INDEX(工数管理!$AH$3:$AH$98,$E28)))</f>
        <v/>
      </c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  <c r="EN28" s="52"/>
      <c r="EO28" s="52"/>
      <c r="EP28" s="52"/>
      <c r="EQ28" s="52"/>
      <c r="ER28" s="52"/>
      <c r="ES28" s="52"/>
      <c r="ET28" s="52"/>
      <c r="EU28" s="52"/>
      <c r="EV28" s="52"/>
      <c r="EW28" s="52"/>
      <c r="EX28" s="52"/>
      <c r="EY28" s="52"/>
      <c r="EZ28" s="52"/>
      <c r="FA28" s="52"/>
      <c r="FB28" s="52"/>
      <c r="FC28" s="52"/>
      <c r="FD28" s="52"/>
      <c r="FE28" s="52"/>
      <c r="FF28" s="52"/>
      <c r="FG28" s="52"/>
      <c r="FH28" s="52"/>
      <c r="FI28" s="52"/>
      <c r="FJ28" s="52"/>
      <c r="FK28" s="52"/>
      <c r="FL28" s="52"/>
      <c r="FM28" s="52"/>
      <c r="FN28" s="52"/>
      <c r="FO28" s="52"/>
      <c r="FP28" s="52"/>
      <c r="FQ28" s="52"/>
      <c r="FR28" s="52"/>
      <c r="FS28" s="52"/>
      <c r="FT28" s="52"/>
      <c r="FU28" s="52"/>
      <c r="FV28" s="52"/>
      <c r="FW28" s="52"/>
      <c r="FX28" s="52"/>
      <c r="FY28" s="52"/>
      <c r="FZ28" s="52"/>
      <c r="GA28" s="52"/>
      <c r="GB28" s="52"/>
      <c r="GC28" s="52"/>
      <c r="GD28" s="52"/>
      <c r="GE28" s="52"/>
      <c r="GF28" s="52"/>
      <c r="GG28" s="52"/>
      <c r="GH28" s="52"/>
      <c r="GI28" s="52"/>
      <c r="GJ28" s="52"/>
      <c r="GK28" s="52"/>
      <c r="GL28" s="52"/>
      <c r="GM28" s="52"/>
      <c r="GN28" s="52"/>
      <c r="GO28" s="52"/>
      <c r="GP28" s="52"/>
      <c r="GQ28" s="52"/>
      <c r="GR28" s="52"/>
      <c r="GS28" s="52"/>
      <c r="GT28" s="52"/>
      <c r="GU28" s="52"/>
      <c r="GV28" s="52"/>
      <c r="GW28" s="52"/>
      <c r="GX28" s="52"/>
      <c r="GY28" s="52"/>
      <c r="GZ28" s="52"/>
      <c r="HA28" s="52"/>
      <c r="HB28" s="52"/>
      <c r="HC28" s="52"/>
      <c r="HD28" s="52"/>
      <c r="HE28" s="52"/>
      <c r="HF28" s="52"/>
      <c r="HG28" s="52"/>
      <c r="HH28" s="52"/>
      <c r="HI28" s="52"/>
      <c r="HJ28" s="52"/>
      <c r="HK28" s="52"/>
      <c r="HL28" s="52"/>
      <c r="HM28" s="52"/>
      <c r="HN28" s="52"/>
      <c r="HO28" s="52"/>
      <c r="HP28" s="52"/>
      <c r="HQ28" s="52"/>
      <c r="HR28" s="52"/>
      <c r="HS28" s="52"/>
      <c r="HT28" s="52"/>
      <c r="HU28" s="52"/>
      <c r="HV28" s="52"/>
      <c r="HW28" s="52"/>
      <c r="HX28" s="52"/>
      <c r="HY28" s="52"/>
      <c r="HZ28" s="52"/>
      <c r="IA28" s="52"/>
      <c r="IB28" s="52"/>
      <c r="IC28" s="52"/>
      <c r="ID28" s="52"/>
      <c r="IE28" s="52"/>
      <c r="IF28" s="52"/>
      <c r="IG28" s="52"/>
      <c r="IH28" s="52"/>
      <c r="II28" s="52"/>
      <c r="IJ28" s="52"/>
      <c r="IK28" s="52"/>
      <c r="IL28" s="52"/>
      <c r="IM28" s="52"/>
      <c r="IN28" s="52"/>
      <c r="IO28" s="52"/>
      <c r="IP28" s="52"/>
      <c r="IQ28" s="52"/>
      <c r="IR28" s="52"/>
      <c r="IS28" s="52"/>
      <c r="IT28" s="52"/>
      <c r="IU28" s="52"/>
      <c r="IV28" s="52"/>
      <c r="IW28" s="52"/>
      <c r="IX28" s="52"/>
      <c r="IY28" s="52"/>
      <c r="IZ28" s="52"/>
      <c r="JA28" s="52"/>
      <c r="JB28" s="52"/>
      <c r="JC28" s="52"/>
      <c r="JD28" s="52"/>
      <c r="JE28" s="52"/>
      <c r="JF28" s="52"/>
      <c r="JG28" s="52"/>
      <c r="JH28" s="52"/>
      <c r="JI28" s="52"/>
      <c r="JL28">
        <f>IF($E28="","",IF(INDEX(工数管理!$AJ$3:$AJ$98,$E28)&lt;&gt;"",1,0))</f>
        <v>0</v>
      </c>
      <c r="JM28">
        <f>IF($E28="","",IFERROR(MATCH($A28,祝日!$J$1:$L$1,0),""))</f>
        <v>3</v>
      </c>
    </row>
    <row r="29" spans="1:273" ht="14.25" customHeight="1" x14ac:dyDescent="0.15">
      <c r="A29" s="53" t="str">
        <f>IF($E29="","",IF($JL29=1,INDEX(工数管理!$A$3:$A$98,$E29)&amp;"",IF(INDEX(工数管理!$AK$3:$AK$98,$E29)="","未割当",INDEX(工数管理!$AK$3:$AK$98,$E29))))</f>
        <v>CH03</v>
      </c>
      <c r="B29" s="54" t="str">
        <f>IF($E29="","",IF($JL29=1,"",INDEX(工数管理!$A$3:$A$98,$E29)&amp;""))</f>
        <v>chMobSaiyanF</v>
      </c>
      <c r="C29" s="53" t="str">
        <f>IF($E29="","",IF($JL29=1,"",INDEX(工数管理!$B$3:$B$98,$E29)&amp;""))</f>
        <v>fac</v>
      </c>
      <c r="D29" s="53" t="str">
        <f>IF($E29="","",INDEX(工数管理!$H$3:$H$98,$E29)&amp;"")</f>
        <v>作業中</v>
      </c>
      <c r="E29">
        <f>IFERROR(MATCH(SMALL(工数管理!$BP$3:$BP$98,ROW()-3),工数管理!$BP$3:$BP$98,0),"")</f>
        <v>59</v>
      </c>
      <c r="F29">
        <f>IF($E29="","",IF(INDEX(工数管理!$K$3:$K$98,$E29)="","",INDEX(工数管理!$K$3:$K$98,$E29)))</f>
        <v>46300</v>
      </c>
      <c r="G29" t="str">
        <f>IF($E29="","",IF(INDEX(工数管理!$L$3:$L$98,$E29)="","",INDEX(工数管理!$L$3:$L$98,$E29)))</f>
        <v/>
      </c>
      <c r="H29" t="str">
        <f>IF($E29="","",IF(INDEX(工数管理!$M$3:$M$98,$E29)="","",INDEX(工数管理!$M$3:$M$98,$E29)))</f>
        <v/>
      </c>
      <c r="I29" t="str">
        <f>IF($E29="","",IF(INDEX(工数管理!$N$3:$N$98,$E29)="","",INDEX(工数管理!$N$3:$N$98,$E29)))</f>
        <v/>
      </c>
      <c r="J29" t="str">
        <f>IF($E29="","",IF(INDEX(工数管理!$O$3:$O$98,$E29)="","",INDEX(工数管理!$O$3:$O$98,$E29)))</f>
        <v/>
      </c>
      <c r="K29" t="str">
        <f>IF($E29="","",IF(INDEX(工数管理!$P$3:$P$98,$E29)="","",INDEX(工数管理!$P$3:$P$98,$E29)))</f>
        <v/>
      </c>
      <c r="L29" t="str">
        <f>IF($E29="","",IF(INDEX(工数管理!$Q$3:$Q$98,$E29)="","",INDEX(工数管理!$Q$3:$Q$98,$E29)))</f>
        <v/>
      </c>
      <c r="M29" t="str">
        <f>IF($E29="","",IF(INDEX(工数管理!$R$3:$R$98,$E29)="","",INDEX(工数管理!$R$3:$R$98,$E29)))</f>
        <v/>
      </c>
      <c r="N29" t="str">
        <f>IF($E29="","",IF(INDEX(工数管理!$S$3:$S$98,$E29)="","",INDEX(工数管理!$S$3:$S$98,$E29)))</f>
        <v/>
      </c>
      <c r="O29" t="str">
        <f>IF($E29="","",IF(INDEX(工数管理!$T$3:$T$98,$E29)="","",INDEX(工数管理!$T$3:$T$98,$E29)))</f>
        <v/>
      </c>
      <c r="P29" t="str">
        <f>IF($E29="","",IF(INDEX(工数管理!$U$3:$U$98,$E29)="","",INDEX(工数管理!$U$3:$U$98,$E29)))</f>
        <v/>
      </c>
      <c r="Q29" t="str">
        <f>IF($E29="","",IF(INDEX(工数管理!$V$3:$V$98,$E29)="","",INDEX(工数管理!$V$3:$V$98,$E29)))</f>
        <v/>
      </c>
      <c r="R29" t="str">
        <f>IF($E29="","",IF(INDEX(工数管理!$W$3:$W$98,$E29)="","",INDEX(工数管理!$W$3:$W$98,$E29)))</f>
        <v/>
      </c>
      <c r="S29" t="str">
        <f>IF($E29="","",IF(INDEX(工数管理!$X$3:$X$98,$E29)="","",INDEX(工数管理!$X$3:$X$98,$E29)))</f>
        <v/>
      </c>
      <c r="T29" t="str">
        <f>IF($E29="","",IF(INDEX(工数管理!$Y$3:$Y$98,$E29)="","",INDEX(工数管理!$Y$3:$Y$98,$E29)))</f>
        <v/>
      </c>
      <c r="U29" t="str">
        <f>IF($E29="","",IF(INDEX(工数管理!$Z$3:$Z$98,$E29)="","",INDEX(工数管理!$Z$3:$Z$98,$E29)))</f>
        <v/>
      </c>
      <c r="V29" t="str">
        <f>IF($E29="","",IF(INDEX(工数管理!$AA$3:$AA$98,$E29)="","",INDEX(工数管理!$AA$3:$AA$98,$E29)))</f>
        <v/>
      </c>
      <c r="W29" t="str">
        <f>IF($E29="","",IF(INDEX(工数管理!$AB$3:$AB$98,$E29)="","",INDEX(工数管理!$AB$3:$AB$98,$E29)))</f>
        <v/>
      </c>
      <c r="X29" t="str">
        <f>IF($E29="","",IF(INDEX(工数管理!$AC$3:$AC$98,$E29)="","",INDEX(工数管理!$AC$3:$AC$98,$E29)))</f>
        <v/>
      </c>
      <c r="Y29" t="str">
        <f>IF($E29="","",IF(INDEX(工数管理!$AD$3:$AD$98,$E29)="","",INDEX(工数管理!$AD$3:$AD$98,$E29)))</f>
        <v/>
      </c>
      <c r="Z29" t="str">
        <f>IF($E29="","",IF(INDEX(工数管理!$AE$3:$AE$98,$E29)="","",INDEX(工数管理!$AE$3:$AE$98,$E29)))</f>
        <v/>
      </c>
      <c r="AA29" t="str">
        <f>IF($E29="","",IF(INDEX(工数管理!$AF$3:$AF$98,$E29)="","",INDEX(工数管理!$AF$3:$AF$98,$E29)))</f>
        <v/>
      </c>
      <c r="AB29" t="str">
        <f>IF($E29="","",IF(INDEX(工数管理!$AG$3:$AG$98,$E29)="","",INDEX(工数管理!$AG$3:$AG$98,$E29)))</f>
        <v/>
      </c>
      <c r="AC29" t="str">
        <f>IF($E29="","",IF(INDEX(工数管理!$AH$3:$AH$98,$E29)="","",INDEX(工数管理!$AH$3:$AH$98,$E29)))</f>
        <v/>
      </c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2"/>
      <c r="FB29" s="52"/>
      <c r="FC29" s="52"/>
      <c r="FD29" s="52"/>
      <c r="FE29" s="52"/>
      <c r="FF29" s="52"/>
      <c r="FG29" s="52"/>
      <c r="FH29" s="52"/>
      <c r="FI29" s="52"/>
      <c r="FJ29" s="52"/>
      <c r="FK29" s="52"/>
      <c r="FL29" s="52"/>
      <c r="FM29" s="52"/>
      <c r="FN29" s="52"/>
      <c r="FO29" s="52"/>
      <c r="FP29" s="52"/>
      <c r="FQ29" s="52"/>
      <c r="FR29" s="52"/>
      <c r="FS29" s="52"/>
      <c r="FT29" s="52"/>
      <c r="FU29" s="52"/>
      <c r="FV29" s="52"/>
      <c r="FW29" s="52"/>
      <c r="FX29" s="52"/>
      <c r="FY29" s="52"/>
      <c r="FZ29" s="52"/>
      <c r="GA29" s="52"/>
      <c r="GB29" s="52"/>
      <c r="GC29" s="52"/>
      <c r="GD29" s="52"/>
      <c r="GE29" s="52"/>
      <c r="GF29" s="52"/>
      <c r="GG29" s="52"/>
      <c r="GH29" s="52"/>
      <c r="GI29" s="52"/>
      <c r="GJ29" s="52"/>
      <c r="GK29" s="52"/>
      <c r="GL29" s="52"/>
      <c r="GM29" s="52"/>
      <c r="GN29" s="52"/>
      <c r="GO29" s="52"/>
      <c r="GP29" s="52"/>
      <c r="GQ29" s="52"/>
      <c r="GR29" s="52"/>
      <c r="GS29" s="52"/>
      <c r="GT29" s="52"/>
      <c r="GU29" s="52"/>
      <c r="GV29" s="52"/>
      <c r="GW29" s="52"/>
      <c r="GX29" s="52"/>
      <c r="GY29" s="52"/>
      <c r="GZ29" s="52"/>
      <c r="HA29" s="52"/>
      <c r="HB29" s="52"/>
      <c r="HC29" s="52"/>
      <c r="HD29" s="52"/>
      <c r="HE29" s="52"/>
      <c r="HF29" s="52"/>
      <c r="HG29" s="52"/>
      <c r="HH29" s="52"/>
      <c r="HI29" s="52"/>
      <c r="HJ29" s="52"/>
      <c r="HK29" s="52"/>
      <c r="HL29" s="52"/>
      <c r="HM29" s="52"/>
      <c r="HN29" s="52"/>
      <c r="HO29" s="52"/>
      <c r="HP29" s="52"/>
      <c r="HQ29" s="52"/>
      <c r="HR29" s="52"/>
      <c r="HS29" s="52"/>
      <c r="HT29" s="52"/>
      <c r="HU29" s="52"/>
      <c r="HV29" s="52"/>
      <c r="HW29" s="52"/>
      <c r="HX29" s="52"/>
      <c r="HY29" s="52"/>
      <c r="HZ29" s="52"/>
      <c r="IA29" s="52"/>
      <c r="IB29" s="52"/>
      <c r="IC29" s="52"/>
      <c r="ID29" s="52"/>
      <c r="IE29" s="52"/>
      <c r="IF29" s="52"/>
      <c r="IG29" s="52"/>
      <c r="IH29" s="52"/>
      <c r="II29" s="52"/>
      <c r="IJ29" s="52"/>
      <c r="IK29" s="52"/>
      <c r="IL29" s="52"/>
      <c r="IM29" s="52"/>
      <c r="IN29" s="52"/>
      <c r="IO29" s="52"/>
      <c r="IP29" s="52"/>
      <c r="IQ29" s="52"/>
      <c r="IR29" s="52"/>
      <c r="IS29" s="52"/>
      <c r="IT29" s="52"/>
      <c r="IU29" s="52"/>
      <c r="IV29" s="52"/>
      <c r="IW29" s="52"/>
      <c r="IX29" s="52"/>
      <c r="IY29" s="52"/>
      <c r="IZ29" s="52"/>
      <c r="JA29" s="52"/>
      <c r="JB29" s="52"/>
      <c r="JC29" s="52"/>
      <c r="JD29" s="52"/>
      <c r="JE29" s="52"/>
      <c r="JF29" s="52"/>
      <c r="JG29" s="52"/>
      <c r="JH29" s="52"/>
      <c r="JI29" s="52"/>
      <c r="JL29">
        <f>IF($E29="","",IF(INDEX(工数管理!$AJ$3:$AJ$98,$E29)&lt;&gt;"",1,0))</f>
        <v>0</v>
      </c>
      <c r="JM29">
        <f>IF($E29="","",IFERROR(MATCH($A29,祝日!$J$1:$L$1,0),""))</f>
        <v>3</v>
      </c>
    </row>
    <row r="30" spans="1:273" ht="14.25" customHeight="1" x14ac:dyDescent="0.15">
      <c r="A30" s="53" t="str">
        <f>IF($E30="","",IF($JL30=1,INDEX(工数管理!$A$3:$A$98,$E30)&amp;"",IF(INDEX(工数管理!$AK$3:$AK$98,$E30)="","未割当",INDEX(工数管理!$AK$3:$AK$98,$E30))))</f>
        <v>CH03</v>
      </c>
      <c r="B30" s="54" t="str">
        <f>IF($E30="","",IF($JL30=1,"",INDEX(工数管理!$A$3:$A$98,$E30)&amp;""))</f>
        <v>chMobSaiyanB</v>
      </c>
      <c r="C30" s="53" t="str">
        <f>IF($E30="","",IF($JL30=1,"",INDEX(工数管理!$B$3:$B$98,$E30)&amp;""))</f>
        <v>low</v>
      </c>
      <c r="D30" s="53" t="str">
        <f>IF($E30="","",INDEX(工数管理!$H$3:$H$98,$E30)&amp;"")</f>
        <v>FIX</v>
      </c>
      <c r="E30">
        <f>IFERROR(MATCH(SMALL(工数管理!$BP$3:$BP$98,ROW()-3),工数管理!$BP$3:$BP$98,0),"")</f>
        <v>61</v>
      </c>
      <c r="F30">
        <f>IF($E30="","",IF(INDEX(工数管理!$K$3:$K$98,$E30)="","",INDEX(工数管理!$K$3:$K$98,$E30)))</f>
        <v>46237</v>
      </c>
      <c r="G30">
        <f>IF($E30="","",IF(INDEX(工数管理!$L$3:$L$98,$E30)="","",INDEX(工数管理!$L$3:$L$98,$E30)))</f>
        <v>46252</v>
      </c>
      <c r="H30" t="str">
        <f>IF($E30="","",IF(INDEX(工数管理!$M$3:$M$98,$E30)="","",INDEX(工数管理!$M$3:$M$98,$E30)))</f>
        <v/>
      </c>
      <c r="I30" t="str">
        <f>IF($E30="","",IF(INDEX(工数管理!$N$3:$N$98,$E30)="","",INDEX(工数管理!$N$3:$N$98,$E30)))</f>
        <v/>
      </c>
      <c r="J30" t="str">
        <f>IF($E30="","",IF(INDEX(工数管理!$O$3:$O$98,$E30)="","",INDEX(工数管理!$O$3:$O$98,$E30)))</f>
        <v/>
      </c>
      <c r="K30" t="str">
        <f>IF($E30="","",IF(INDEX(工数管理!$P$3:$P$98,$E30)="","",INDEX(工数管理!$P$3:$P$98,$E30)))</f>
        <v/>
      </c>
      <c r="L30" t="str">
        <f>IF($E30="","",IF(INDEX(工数管理!$Q$3:$Q$98,$E30)="","",INDEX(工数管理!$Q$3:$Q$98,$E30)))</f>
        <v/>
      </c>
      <c r="M30" t="str">
        <f>IF($E30="","",IF(INDEX(工数管理!$R$3:$R$98,$E30)="","",INDEX(工数管理!$R$3:$R$98,$E30)))</f>
        <v/>
      </c>
      <c r="N30" t="str">
        <f>IF($E30="","",IF(INDEX(工数管理!$S$3:$S$98,$E30)="","",INDEX(工数管理!$S$3:$S$98,$E30)))</f>
        <v/>
      </c>
      <c r="O30" t="str">
        <f>IF($E30="","",IF(INDEX(工数管理!$T$3:$T$98,$E30)="","",INDEX(工数管理!$T$3:$T$98,$E30)))</f>
        <v/>
      </c>
      <c r="P30" t="str">
        <f>IF($E30="","",IF(INDEX(工数管理!$U$3:$U$98,$E30)="","",INDEX(工数管理!$U$3:$U$98,$E30)))</f>
        <v/>
      </c>
      <c r="Q30" t="str">
        <f>IF($E30="","",IF(INDEX(工数管理!$V$3:$V$98,$E30)="","",INDEX(工数管理!$V$3:$V$98,$E30)))</f>
        <v/>
      </c>
      <c r="R30" t="str">
        <f>IF($E30="","",IF(INDEX(工数管理!$W$3:$W$98,$E30)="","",INDEX(工数管理!$W$3:$W$98,$E30)))</f>
        <v/>
      </c>
      <c r="S30" t="str">
        <f>IF($E30="","",IF(INDEX(工数管理!$X$3:$X$98,$E30)="","",INDEX(工数管理!$X$3:$X$98,$E30)))</f>
        <v/>
      </c>
      <c r="T30" t="str">
        <f>IF($E30="","",IF(INDEX(工数管理!$Y$3:$Y$98,$E30)="","",INDEX(工数管理!$Y$3:$Y$98,$E30)))</f>
        <v/>
      </c>
      <c r="U30" t="str">
        <f>IF($E30="","",IF(INDEX(工数管理!$Z$3:$Z$98,$E30)="","",INDEX(工数管理!$Z$3:$Z$98,$E30)))</f>
        <v/>
      </c>
      <c r="V30" t="str">
        <f>IF($E30="","",IF(INDEX(工数管理!$AA$3:$AA$98,$E30)="","",INDEX(工数管理!$AA$3:$AA$98,$E30)))</f>
        <v/>
      </c>
      <c r="W30" t="str">
        <f>IF($E30="","",IF(INDEX(工数管理!$AB$3:$AB$98,$E30)="","",INDEX(工数管理!$AB$3:$AB$98,$E30)))</f>
        <v/>
      </c>
      <c r="X30" t="str">
        <f>IF($E30="","",IF(INDEX(工数管理!$AC$3:$AC$98,$E30)="","",INDEX(工数管理!$AC$3:$AC$98,$E30)))</f>
        <v/>
      </c>
      <c r="Y30" t="str">
        <f>IF($E30="","",IF(INDEX(工数管理!$AD$3:$AD$98,$E30)="","",INDEX(工数管理!$AD$3:$AD$98,$E30)))</f>
        <v/>
      </c>
      <c r="Z30" t="str">
        <f>IF($E30="","",IF(INDEX(工数管理!$AE$3:$AE$98,$E30)="","",INDEX(工数管理!$AE$3:$AE$98,$E30)))</f>
        <v/>
      </c>
      <c r="AA30" t="str">
        <f>IF($E30="","",IF(INDEX(工数管理!$AF$3:$AF$98,$E30)="","",INDEX(工数管理!$AF$3:$AF$98,$E30)))</f>
        <v/>
      </c>
      <c r="AB30" t="str">
        <f>IF($E30="","",IF(INDEX(工数管理!$AG$3:$AG$98,$E30)="","",INDEX(工数管理!$AG$3:$AG$98,$E30)))</f>
        <v/>
      </c>
      <c r="AC30" t="str">
        <f>IF($E30="","",IF(INDEX(工数管理!$AH$3:$AH$98,$E30)="","",INDEX(工数管理!$AH$3:$AH$98,$E30)))</f>
        <v/>
      </c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2"/>
      <c r="FB30" s="52"/>
      <c r="FC30" s="52"/>
      <c r="FD30" s="52"/>
      <c r="FE30" s="52"/>
      <c r="FF30" s="52"/>
      <c r="FG30" s="52"/>
      <c r="FH30" s="52"/>
      <c r="FI30" s="52"/>
      <c r="FJ30" s="52"/>
      <c r="FK30" s="52"/>
      <c r="FL30" s="52"/>
      <c r="FM30" s="52"/>
      <c r="FN30" s="52"/>
      <c r="FO30" s="52"/>
      <c r="FP30" s="52"/>
      <c r="FQ30" s="52"/>
      <c r="FR30" s="52"/>
      <c r="FS30" s="52"/>
      <c r="FT30" s="52"/>
      <c r="FU30" s="52"/>
      <c r="FV30" s="52"/>
      <c r="FW30" s="52"/>
      <c r="FX30" s="52"/>
      <c r="FY30" s="52"/>
      <c r="FZ30" s="52"/>
      <c r="GA30" s="52"/>
      <c r="GB30" s="52"/>
      <c r="GC30" s="52"/>
      <c r="GD30" s="52"/>
      <c r="GE30" s="52"/>
      <c r="GF30" s="52"/>
      <c r="GG30" s="52"/>
      <c r="GH30" s="52"/>
      <c r="GI30" s="52"/>
      <c r="GJ30" s="52"/>
      <c r="GK30" s="52"/>
      <c r="GL30" s="52"/>
      <c r="GM30" s="52"/>
      <c r="GN30" s="52"/>
      <c r="GO30" s="52"/>
      <c r="GP30" s="52"/>
      <c r="GQ30" s="52"/>
      <c r="GR30" s="52"/>
      <c r="GS30" s="52"/>
      <c r="GT30" s="52"/>
      <c r="GU30" s="52"/>
      <c r="GV30" s="52"/>
      <c r="GW30" s="52"/>
      <c r="GX30" s="52"/>
      <c r="GY30" s="52"/>
      <c r="GZ30" s="52"/>
      <c r="HA30" s="52"/>
      <c r="HB30" s="52"/>
      <c r="HC30" s="52"/>
      <c r="HD30" s="52"/>
      <c r="HE30" s="52"/>
      <c r="HF30" s="52"/>
      <c r="HG30" s="52"/>
      <c r="HH30" s="52"/>
      <c r="HI30" s="52"/>
      <c r="HJ30" s="52"/>
      <c r="HK30" s="52"/>
      <c r="HL30" s="52"/>
      <c r="HM30" s="52"/>
      <c r="HN30" s="52"/>
      <c r="HO30" s="52"/>
      <c r="HP30" s="52"/>
      <c r="HQ30" s="52"/>
      <c r="HR30" s="52"/>
      <c r="HS30" s="52"/>
      <c r="HT30" s="52"/>
      <c r="HU30" s="52"/>
      <c r="HV30" s="52"/>
      <c r="HW30" s="52"/>
      <c r="HX30" s="52"/>
      <c r="HY30" s="52"/>
      <c r="HZ30" s="52"/>
      <c r="IA30" s="52"/>
      <c r="IB30" s="52"/>
      <c r="IC30" s="52"/>
      <c r="ID30" s="52"/>
      <c r="IE30" s="52"/>
      <c r="IF30" s="52"/>
      <c r="IG30" s="52"/>
      <c r="IH30" s="52"/>
      <c r="II30" s="52"/>
      <c r="IJ30" s="52"/>
      <c r="IK30" s="52"/>
      <c r="IL30" s="52"/>
      <c r="IM30" s="52"/>
      <c r="IN30" s="52"/>
      <c r="IO30" s="52"/>
      <c r="IP30" s="52"/>
      <c r="IQ30" s="52"/>
      <c r="IR30" s="52"/>
      <c r="IS30" s="52"/>
      <c r="IT30" s="52"/>
      <c r="IU30" s="52"/>
      <c r="IV30" s="52"/>
      <c r="IW30" s="52"/>
      <c r="IX30" s="52"/>
      <c r="IY30" s="52"/>
      <c r="IZ30" s="52"/>
      <c r="JA30" s="52"/>
      <c r="JB30" s="52"/>
      <c r="JC30" s="52"/>
      <c r="JD30" s="52"/>
      <c r="JE30" s="52"/>
      <c r="JF30" s="52"/>
      <c r="JG30" s="52"/>
      <c r="JH30" s="52"/>
      <c r="JI30" s="52"/>
      <c r="JL30">
        <f>IF($E30="","",IF(INDEX(工数管理!$AJ$3:$AJ$98,$E30)&lt;&gt;"",1,0))</f>
        <v>0</v>
      </c>
      <c r="JM30">
        <f>IF($E30="","",IFERROR(MATCH($A30,祝日!$J$1:$L$1,0),""))</f>
        <v>3</v>
      </c>
    </row>
    <row r="31" spans="1:273" ht="14.25" customHeight="1" x14ac:dyDescent="0.15">
      <c r="A31" s="53" t="str">
        <f>IF($E31="","",IF($JL31=1,INDEX(工数管理!$A$3:$A$98,$E31)&amp;"",IF(INDEX(工数管理!$AK$3:$AK$98,$E31)="","未割当",INDEX(工数管理!$AK$3:$AK$98,$E31))))</f>
        <v>CH03</v>
      </c>
      <c r="B31" s="54" t="str">
        <f>IF($E31="","",IF($JL31=1,"",INDEX(工数管理!$A$3:$A$98,$E31)&amp;""))</f>
        <v>chMobSaiyanB</v>
      </c>
      <c r="C31" s="53" t="str">
        <f>IF($E31="","",IF($JL31=1,"",INDEX(工数管理!$B$3:$B$98,$E31)&amp;""))</f>
        <v>high</v>
      </c>
      <c r="D31" s="53" t="str">
        <f>IF($E31="","",INDEX(工数管理!$H$3:$H$98,$E31)&amp;"")</f>
        <v>FIX</v>
      </c>
      <c r="E31">
        <f>IFERROR(MATCH(SMALL(工数管理!$BP$3:$BP$98,ROW()-3),工数管理!$BP$3:$BP$98,0),"")</f>
        <v>62</v>
      </c>
      <c r="F31">
        <f>IF($E31="","",IF(INDEX(工数管理!$K$3:$K$98,$E31)="","",INDEX(工数管理!$K$3:$K$98,$E31)))</f>
        <v>46253</v>
      </c>
      <c r="G31">
        <f>IF($E31="","",IF(INDEX(工数管理!$L$3:$L$98,$E31)="","",INDEX(工数管理!$L$3:$L$98,$E31)))</f>
        <v>46259</v>
      </c>
      <c r="H31" t="str">
        <f>IF($E31="","",IF(INDEX(工数管理!$M$3:$M$98,$E31)="","",INDEX(工数管理!$M$3:$M$98,$E31)))</f>
        <v/>
      </c>
      <c r="I31" t="str">
        <f>IF($E31="","",IF(INDEX(工数管理!$N$3:$N$98,$E31)="","",INDEX(工数管理!$N$3:$N$98,$E31)))</f>
        <v/>
      </c>
      <c r="J31" t="str">
        <f>IF($E31="","",IF(INDEX(工数管理!$O$3:$O$98,$E31)="","",INDEX(工数管理!$O$3:$O$98,$E31)))</f>
        <v/>
      </c>
      <c r="K31" t="str">
        <f>IF($E31="","",IF(INDEX(工数管理!$P$3:$P$98,$E31)="","",INDEX(工数管理!$P$3:$P$98,$E31)))</f>
        <v/>
      </c>
      <c r="L31" t="str">
        <f>IF($E31="","",IF(INDEX(工数管理!$Q$3:$Q$98,$E31)="","",INDEX(工数管理!$Q$3:$Q$98,$E31)))</f>
        <v/>
      </c>
      <c r="M31" t="str">
        <f>IF($E31="","",IF(INDEX(工数管理!$R$3:$R$98,$E31)="","",INDEX(工数管理!$R$3:$R$98,$E31)))</f>
        <v/>
      </c>
      <c r="N31" t="str">
        <f>IF($E31="","",IF(INDEX(工数管理!$S$3:$S$98,$E31)="","",INDEX(工数管理!$S$3:$S$98,$E31)))</f>
        <v/>
      </c>
      <c r="O31" t="str">
        <f>IF($E31="","",IF(INDEX(工数管理!$T$3:$T$98,$E31)="","",INDEX(工数管理!$T$3:$T$98,$E31)))</f>
        <v/>
      </c>
      <c r="P31" t="str">
        <f>IF($E31="","",IF(INDEX(工数管理!$U$3:$U$98,$E31)="","",INDEX(工数管理!$U$3:$U$98,$E31)))</f>
        <v/>
      </c>
      <c r="Q31" t="str">
        <f>IF($E31="","",IF(INDEX(工数管理!$V$3:$V$98,$E31)="","",INDEX(工数管理!$V$3:$V$98,$E31)))</f>
        <v/>
      </c>
      <c r="R31" t="str">
        <f>IF($E31="","",IF(INDEX(工数管理!$W$3:$W$98,$E31)="","",INDEX(工数管理!$W$3:$W$98,$E31)))</f>
        <v/>
      </c>
      <c r="S31" t="str">
        <f>IF($E31="","",IF(INDEX(工数管理!$X$3:$X$98,$E31)="","",INDEX(工数管理!$X$3:$X$98,$E31)))</f>
        <v/>
      </c>
      <c r="T31" t="str">
        <f>IF($E31="","",IF(INDEX(工数管理!$Y$3:$Y$98,$E31)="","",INDEX(工数管理!$Y$3:$Y$98,$E31)))</f>
        <v/>
      </c>
      <c r="U31" t="str">
        <f>IF($E31="","",IF(INDEX(工数管理!$Z$3:$Z$98,$E31)="","",INDEX(工数管理!$Z$3:$Z$98,$E31)))</f>
        <v/>
      </c>
      <c r="V31" t="str">
        <f>IF($E31="","",IF(INDEX(工数管理!$AA$3:$AA$98,$E31)="","",INDEX(工数管理!$AA$3:$AA$98,$E31)))</f>
        <v/>
      </c>
      <c r="W31" t="str">
        <f>IF($E31="","",IF(INDEX(工数管理!$AB$3:$AB$98,$E31)="","",INDEX(工数管理!$AB$3:$AB$98,$E31)))</f>
        <v/>
      </c>
      <c r="X31" t="str">
        <f>IF($E31="","",IF(INDEX(工数管理!$AC$3:$AC$98,$E31)="","",INDEX(工数管理!$AC$3:$AC$98,$E31)))</f>
        <v/>
      </c>
      <c r="Y31" t="str">
        <f>IF($E31="","",IF(INDEX(工数管理!$AD$3:$AD$98,$E31)="","",INDEX(工数管理!$AD$3:$AD$98,$E31)))</f>
        <v/>
      </c>
      <c r="Z31" t="str">
        <f>IF($E31="","",IF(INDEX(工数管理!$AE$3:$AE$98,$E31)="","",INDEX(工数管理!$AE$3:$AE$98,$E31)))</f>
        <v/>
      </c>
      <c r="AA31" t="str">
        <f>IF($E31="","",IF(INDEX(工数管理!$AF$3:$AF$98,$E31)="","",INDEX(工数管理!$AF$3:$AF$98,$E31)))</f>
        <v/>
      </c>
      <c r="AB31" t="str">
        <f>IF($E31="","",IF(INDEX(工数管理!$AG$3:$AG$98,$E31)="","",INDEX(工数管理!$AG$3:$AG$98,$E31)))</f>
        <v/>
      </c>
      <c r="AC31" t="str">
        <f>IF($E31="","",IF(INDEX(工数管理!$AH$3:$AH$98,$E31)="","",INDEX(工数管理!$AH$3:$AH$98,$E31)))</f>
        <v/>
      </c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52"/>
      <c r="EY31" s="52"/>
      <c r="EZ31" s="52"/>
      <c r="FA31" s="52"/>
      <c r="FB31" s="52"/>
      <c r="FC31" s="52"/>
      <c r="FD31" s="52"/>
      <c r="FE31" s="52"/>
      <c r="FF31" s="52"/>
      <c r="FG31" s="52"/>
      <c r="FH31" s="52"/>
      <c r="FI31" s="52"/>
      <c r="FJ31" s="52"/>
      <c r="FK31" s="52"/>
      <c r="FL31" s="52"/>
      <c r="FM31" s="52"/>
      <c r="FN31" s="52"/>
      <c r="FO31" s="52"/>
      <c r="FP31" s="52"/>
      <c r="FQ31" s="52"/>
      <c r="FR31" s="52"/>
      <c r="FS31" s="52"/>
      <c r="FT31" s="52"/>
      <c r="FU31" s="52"/>
      <c r="FV31" s="52"/>
      <c r="FW31" s="52"/>
      <c r="FX31" s="52"/>
      <c r="FY31" s="52"/>
      <c r="FZ31" s="52"/>
      <c r="GA31" s="52"/>
      <c r="GB31" s="52"/>
      <c r="GC31" s="52"/>
      <c r="GD31" s="52"/>
      <c r="GE31" s="52"/>
      <c r="GF31" s="52"/>
      <c r="GG31" s="52"/>
      <c r="GH31" s="52"/>
      <c r="GI31" s="52"/>
      <c r="GJ31" s="52"/>
      <c r="GK31" s="52"/>
      <c r="GL31" s="52"/>
      <c r="GM31" s="52"/>
      <c r="GN31" s="52"/>
      <c r="GO31" s="52"/>
      <c r="GP31" s="52"/>
      <c r="GQ31" s="52"/>
      <c r="GR31" s="52"/>
      <c r="GS31" s="52"/>
      <c r="GT31" s="52"/>
      <c r="GU31" s="52"/>
      <c r="GV31" s="52"/>
      <c r="GW31" s="52"/>
      <c r="GX31" s="52"/>
      <c r="GY31" s="52"/>
      <c r="GZ31" s="52"/>
      <c r="HA31" s="52"/>
      <c r="HB31" s="52"/>
      <c r="HC31" s="52"/>
      <c r="HD31" s="52"/>
      <c r="HE31" s="52"/>
      <c r="HF31" s="52"/>
      <c r="HG31" s="52"/>
      <c r="HH31" s="52"/>
      <c r="HI31" s="52"/>
      <c r="HJ31" s="52"/>
      <c r="HK31" s="52"/>
      <c r="HL31" s="52"/>
      <c r="HM31" s="52"/>
      <c r="HN31" s="52"/>
      <c r="HO31" s="52"/>
      <c r="HP31" s="52"/>
      <c r="HQ31" s="52"/>
      <c r="HR31" s="52"/>
      <c r="HS31" s="52"/>
      <c r="HT31" s="52"/>
      <c r="HU31" s="52"/>
      <c r="HV31" s="52"/>
      <c r="HW31" s="52"/>
      <c r="HX31" s="52"/>
      <c r="HY31" s="52"/>
      <c r="HZ31" s="52"/>
      <c r="IA31" s="52"/>
      <c r="IB31" s="52"/>
      <c r="IC31" s="52"/>
      <c r="ID31" s="52"/>
      <c r="IE31" s="52"/>
      <c r="IF31" s="52"/>
      <c r="IG31" s="52"/>
      <c r="IH31" s="52"/>
      <c r="II31" s="52"/>
      <c r="IJ31" s="52"/>
      <c r="IK31" s="52"/>
      <c r="IL31" s="52"/>
      <c r="IM31" s="52"/>
      <c r="IN31" s="52"/>
      <c r="IO31" s="52"/>
      <c r="IP31" s="52"/>
      <c r="IQ31" s="52"/>
      <c r="IR31" s="52"/>
      <c r="IS31" s="52"/>
      <c r="IT31" s="52"/>
      <c r="IU31" s="52"/>
      <c r="IV31" s="52"/>
      <c r="IW31" s="52"/>
      <c r="IX31" s="52"/>
      <c r="IY31" s="52"/>
      <c r="IZ31" s="52"/>
      <c r="JA31" s="52"/>
      <c r="JB31" s="52"/>
      <c r="JC31" s="52"/>
      <c r="JD31" s="52"/>
      <c r="JE31" s="52"/>
      <c r="JF31" s="52"/>
      <c r="JG31" s="52"/>
      <c r="JH31" s="52"/>
      <c r="JI31" s="52"/>
      <c r="JL31">
        <f>IF($E31="","",IF(INDEX(工数管理!$AJ$3:$AJ$98,$E31)&lt;&gt;"",1,0))</f>
        <v>0</v>
      </c>
      <c r="JM31">
        <f>IF($E31="","",IFERROR(MATCH($A31,祝日!$J$1:$L$1,0),""))</f>
        <v>3</v>
      </c>
    </row>
    <row r="32" spans="1:273" ht="14.25" customHeight="1" x14ac:dyDescent="0.15">
      <c r="A32" s="53" t="str">
        <f>IF($E32="","",IF($JL32=1,INDEX(工数管理!$A$3:$A$98,$E32)&amp;"",IF(INDEX(工数管理!$AK$3:$AK$98,$E32)="","未割当",INDEX(工数管理!$AK$3:$AK$98,$E32))))</f>
        <v>CH03</v>
      </c>
      <c r="B32" s="54" t="str">
        <f>IF($E32="","",IF($JL32=1,"",INDEX(工数管理!$A$3:$A$98,$E32)&amp;""))</f>
        <v>chMobSaiyanB</v>
      </c>
      <c r="C32" s="53" t="str">
        <f>IF($E32="","",IF($JL32=1,"",INDEX(工数管理!$B$3:$B$98,$E32)&amp;""))</f>
        <v>fac</v>
      </c>
      <c r="D32" s="53" t="str">
        <f>IF($E32="","",INDEX(工数管理!$H$3:$H$98,$E32)&amp;"")</f>
        <v>FIX</v>
      </c>
      <c r="E32">
        <f>IFERROR(MATCH(SMALL(工数管理!$BP$3:$BP$98,ROW()-3),工数管理!$BP$3:$BP$98,0),"")</f>
        <v>63</v>
      </c>
      <c r="F32">
        <f>IF($E32="","",IF(INDEX(工数管理!$K$3:$K$98,$E32)="","",INDEX(工数管理!$K$3:$K$98,$E32)))</f>
        <v>46272</v>
      </c>
      <c r="G32">
        <f>IF($E32="","",IF(INDEX(工数管理!$L$3:$L$98,$E32)="","",INDEX(工数管理!$L$3:$L$98,$E32)))</f>
        <v>46275</v>
      </c>
      <c r="H32" t="str">
        <f>IF($E32="","",IF(INDEX(工数管理!$M$3:$M$98,$E32)="","",INDEX(工数管理!$M$3:$M$98,$E32)))</f>
        <v/>
      </c>
      <c r="I32" t="str">
        <f>IF($E32="","",IF(INDEX(工数管理!$N$3:$N$98,$E32)="","",INDEX(工数管理!$N$3:$N$98,$E32)))</f>
        <v/>
      </c>
      <c r="J32" t="str">
        <f>IF($E32="","",IF(INDEX(工数管理!$O$3:$O$98,$E32)="","",INDEX(工数管理!$O$3:$O$98,$E32)))</f>
        <v/>
      </c>
      <c r="K32" t="str">
        <f>IF($E32="","",IF(INDEX(工数管理!$P$3:$P$98,$E32)="","",INDEX(工数管理!$P$3:$P$98,$E32)))</f>
        <v/>
      </c>
      <c r="L32" t="str">
        <f>IF($E32="","",IF(INDEX(工数管理!$Q$3:$Q$98,$E32)="","",INDEX(工数管理!$Q$3:$Q$98,$E32)))</f>
        <v/>
      </c>
      <c r="M32" t="str">
        <f>IF($E32="","",IF(INDEX(工数管理!$R$3:$R$98,$E32)="","",INDEX(工数管理!$R$3:$R$98,$E32)))</f>
        <v/>
      </c>
      <c r="N32" t="str">
        <f>IF($E32="","",IF(INDEX(工数管理!$S$3:$S$98,$E32)="","",INDEX(工数管理!$S$3:$S$98,$E32)))</f>
        <v/>
      </c>
      <c r="O32" t="str">
        <f>IF($E32="","",IF(INDEX(工数管理!$T$3:$T$98,$E32)="","",INDEX(工数管理!$T$3:$T$98,$E32)))</f>
        <v/>
      </c>
      <c r="P32" t="str">
        <f>IF($E32="","",IF(INDEX(工数管理!$U$3:$U$98,$E32)="","",INDEX(工数管理!$U$3:$U$98,$E32)))</f>
        <v/>
      </c>
      <c r="Q32" t="str">
        <f>IF($E32="","",IF(INDEX(工数管理!$V$3:$V$98,$E32)="","",INDEX(工数管理!$V$3:$V$98,$E32)))</f>
        <v/>
      </c>
      <c r="R32" t="str">
        <f>IF($E32="","",IF(INDEX(工数管理!$W$3:$W$98,$E32)="","",INDEX(工数管理!$W$3:$W$98,$E32)))</f>
        <v/>
      </c>
      <c r="S32" t="str">
        <f>IF($E32="","",IF(INDEX(工数管理!$X$3:$X$98,$E32)="","",INDEX(工数管理!$X$3:$X$98,$E32)))</f>
        <v/>
      </c>
      <c r="T32" t="str">
        <f>IF($E32="","",IF(INDEX(工数管理!$Y$3:$Y$98,$E32)="","",INDEX(工数管理!$Y$3:$Y$98,$E32)))</f>
        <v/>
      </c>
      <c r="U32" t="str">
        <f>IF($E32="","",IF(INDEX(工数管理!$Z$3:$Z$98,$E32)="","",INDEX(工数管理!$Z$3:$Z$98,$E32)))</f>
        <v/>
      </c>
      <c r="V32" t="str">
        <f>IF($E32="","",IF(INDEX(工数管理!$AA$3:$AA$98,$E32)="","",INDEX(工数管理!$AA$3:$AA$98,$E32)))</f>
        <v/>
      </c>
      <c r="W32" t="str">
        <f>IF($E32="","",IF(INDEX(工数管理!$AB$3:$AB$98,$E32)="","",INDEX(工数管理!$AB$3:$AB$98,$E32)))</f>
        <v/>
      </c>
      <c r="X32" t="str">
        <f>IF($E32="","",IF(INDEX(工数管理!$AC$3:$AC$98,$E32)="","",INDEX(工数管理!$AC$3:$AC$98,$E32)))</f>
        <v/>
      </c>
      <c r="Y32" t="str">
        <f>IF($E32="","",IF(INDEX(工数管理!$AD$3:$AD$98,$E32)="","",INDEX(工数管理!$AD$3:$AD$98,$E32)))</f>
        <v/>
      </c>
      <c r="Z32" t="str">
        <f>IF($E32="","",IF(INDEX(工数管理!$AE$3:$AE$98,$E32)="","",INDEX(工数管理!$AE$3:$AE$98,$E32)))</f>
        <v/>
      </c>
      <c r="AA32" t="str">
        <f>IF($E32="","",IF(INDEX(工数管理!$AF$3:$AF$98,$E32)="","",INDEX(工数管理!$AF$3:$AF$98,$E32)))</f>
        <v/>
      </c>
      <c r="AB32" t="str">
        <f>IF($E32="","",IF(INDEX(工数管理!$AG$3:$AG$98,$E32)="","",INDEX(工数管理!$AG$3:$AG$98,$E32)))</f>
        <v/>
      </c>
      <c r="AC32" t="str">
        <f>IF($E32="","",IF(INDEX(工数管理!$AH$3:$AH$98,$E32)="","",INDEX(工数管理!$AH$3:$AH$98,$E32)))</f>
        <v/>
      </c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2"/>
      <c r="FB32" s="52"/>
      <c r="FC32" s="52"/>
      <c r="FD32" s="52"/>
      <c r="FE32" s="52"/>
      <c r="FF32" s="52"/>
      <c r="FG32" s="52"/>
      <c r="FH32" s="52"/>
      <c r="FI32" s="52"/>
      <c r="FJ32" s="52"/>
      <c r="FK32" s="52"/>
      <c r="FL32" s="52"/>
      <c r="FM32" s="52"/>
      <c r="FN32" s="52"/>
      <c r="FO32" s="52"/>
      <c r="FP32" s="52"/>
      <c r="FQ32" s="52"/>
      <c r="FR32" s="52"/>
      <c r="FS32" s="52"/>
      <c r="FT32" s="52"/>
      <c r="FU32" s="52"/>
      <c r="FV32" s="52"/>
      <c r="FW32" s="52"/>
      <c r="FX32" s="52"/>
      <c r="FY32" s="52"/>
      <c r="FZ32" s="52"/>
      <c r="GA32" s="52"/>
      <c r="GB32" s="52"/>
      <c r="GC32" s="52"/>
      <c r="GD32" s="52"/>
      <c r="GE32" s="52"/>
      <c r="GF32" s="52"/>
      <c r="GG32" s="52"/>
      <c r="GH32" s="52"/>
      <c r="GI32" s="52"/>
      <c r="GJ32" s="52"/>
      <c r="GK32" s="52"/>
      <c r="GL32" s="52"/>
      <c r="GM32" s="52"/>
      <c r="GN32" s="52"/>
      <c r="GO32" s="52"/>
      <c r="GP32" s="52"/>
      <c r="GQ32" s="52"/>
      <c r="GR32" s="52"/>
      <c r="GS32" s="52"/>
      <c r="GT32" s="52"/>
      <c r="GU32" s="52"/>
      <c r="GV32" s="52"/>
      <c r="GW32" s="52"/>
      <c r="GX32" s="52"/>
      <c r="GY32" s="52"/>
      <c r="GZ32" s="52"/>
      <c r="HA32" s="52"/>
      <c r="HB32" s="52"/>
      <c r="HC32" s="52"/>
      <c r="HD32" s="52"/>
      <c r="HE32" s="52"/>
      <c r="HF32" s="52"/>
      <c r="HG32" s="52"/>
      <c r="HH32" s="52"/>
      <c r="HI32" s="52"/>
      <c r="HJ32" s="52"/>
      <c r="HK32" s="52"/>
      <c r="HL32" s="52"/>
      <c r="HM32" s="52"/>
      <c r="HN32" s="52"/>
      <c r="HO32" s="52"/>
      <c r="HP32" s="52"/>
      <c r="HQ32" s="52"/>
      <c r="HR32" s="52"/>
      <c r="HS32" s="52"/>
      <c r="HT32" s="52"/>
      <c r="HU32" s="52"/>
      <c r="HV32" s="52"/>
      <c r="HW32" s="52"/>
      <c r="HX32" s="52"/>
      <c r="HY32" s="52"/>
      <c r="HZ32" s="52"/>
      <c r="IA32" s="52"/>
      <c r="IB32" s="52"/>
      <c r="IC32" s="52"/>
      <c r="ID32" s="52"/>
      <c r="IE32" s="52"/>
      <c r="IF32" s="52"/>
      <c r="IG32" s="52"/>
      <c r="IH32" s="52"/>
      <c r="II32" s="52"/>
      <c r="IJ32" s="52"/>
      <c r="IK32" s="52"/>
      <c r="IL32" s="52"/>
      <c r="IM32" s="52"/>
      <c r="IN32" s="52"/>
      <c r="IO32" s="52"/>
      <c r="IP32" s="52"/>
      <c r="IQ32" s="52"/>
      <c r="IR32" s="52"/>
      <c r="IS32" s="52"/>
      <c r="IT32" s="52"/>
      <c r="IU32" s="52"/>
      <c r="IV32" s="52"/>
      <c r="IW32" s="52"/>
      <c r="IX32" s="52"/>
      <c r="IY32" s="52"/>
      <c r="IZ32" s="52"/>
      <c r="JA32" s="52"/>
      <c r="JB32" s="52"/>
      <c r="JC32" s="52"/>
      <c r="JD32" s="52"/>
      <c r="JE32" s="52"/>
      <c r="JF32" s="52"/>
      <c r="JG32" s="52"/>
      <c r="JH32" s="52"/>
      <c r="JI32" s="52"/>
      <c r="JL32">
        <f>IF($E32="","",IF(INDEX(工数管理!$AJ$3:$AJ$98,$E32)&lt;&gt;"",1,0))</f>
        <v>0</v>
      </c>
      <c r="JM32">
        <f>IF($E32="","",IFERROR(MATCH($A32,祝日!$J$1:$L$1,0),""))</f>
        <v>3</v>
      </c>
    </row>
    <row r="33" spans="1:273" ht="14.25" customHeight="1" x14ac:dyDescent="0.15">
      <c r="A33" s="53" t="str">
        <f>IF($E33="","",IF($JL33=1,INDEX(工数管理!$A$3:$A$98,$E33)&amp;"",IF(INDEX(工数管理!$AK$3:$AK$98,$E33)="","未割当",INDEX(工数管理!$AK$3:$AK$98,$E33))))</f>
        <v>CH03</v>
      </c>
      <c r="B33" s="54" t="str">
        <f>IF($E33="","",IF($JL33=1,"",INDEX(工数管理!$A$3:$A$98,$E33)&amp;""))</f>
        <v>chMobSaiyanE</v>
      </c>
      <c r="C33" s="53" t="str">
        <f>IF($E33="","",IF($JL33=1,"",INDEX(工数管理!$B$3:$B$98,$E33)&amp;""))</f>
        <v>low</v>
      </c>
      <c r="D33" s="53" t="str">
        <f>IF($E33="","",INDEX(工数管理!$H$3:$H$98,$E33)&amp;"")</f>
        <v>FIX</v>
      </c>
      <c r="E33">
        <f>IFERROR(MATCH(SMALL(工数管理!$BP$3:$BP$98,ROW()-3),工数管理!$BP$3:$BP$98,0),"")</f>
        <v>65</v>
      </c>
      <c r="F33">
        <f>IF($E33="","",IF(INDEX(工数管理!$K$3:$K$98,$E33)="","",INDEX(工数管理!$K$3:$K$98,$E33)))</f>
        <v>46204</v>
      </c>
      <c r="G33">
        <f>IF($E33="","",IF(INDEX(工数管理!$L$3:$L$98,$E33)="","",INDEX(工数管理!$L$3:$L$98,$E33)))</f>
        <v>46217</v>
      </c>
      <c r="H33" t="str">
        <f>IF($E33="","",IF(INDEX(工数管理!$M$3:$M$98,$E33)="","",INDEX(工数管理!$M$3:$M$98,$E33)))</f>
        <v/>
      </c>
      <c r="I33" t="str">
        <f>IF($E33="","",IF(INDEX(工数管理!$N$3:$N$98,$E33)="","",INDEX(工数管理!$N$3:$N$98,$E33)))</f>
        <v/>
      </c>
      <c r="J33" t="str">
        <f>IF($E33="","",IF(INDEX(工数管理!$O$3:$O$98,$E33)="","",INDEX(工数管理!$O$3:$O$98,$E33)))</f>
        <v/>
      </c>
      <c r="K33" t="str">
        <f>IF($E33="","",IF(INDEX(工数管理!$P$3:$P$98,$E33)="","",INDEX(工数管理!$P$3:$P$98,$E33)))</f>
        <v/>
      </c>
      <c r="L33" t="str">
        <f>IF($E33="","",IF(INDEX(工数管理!$Q$3:$Q$98,$E33)="","",INDEX(工数管理!$Q$3:$Q$98,$E33)))</f>
        <v/>
      </c>
      <c r="M33" t="str">
        <f>IF($E33="","",IF(INDEX(工数管理!$R$3:$R$98,$E33)="","",INDEX(工数管理!$R$3:$R$98,$E33)))</f>
        <v/>
      </c>
      <c r="N33" t="str">
        <f>IF($E33="","",IF(INDEX(工数管理!$S$3:$S$98,$E33)="","",INDEX(工数管理!$S$3:$S$98,$E33)))</f>
        <v/>
      </c>
      <c r="O33" t="str">
        <f>IF($E33="","",IF(INDEX(工数管理!$T$3:$T$98,$E33)="","",INDEX(工数管理!$T$3:$T$98,$E33)))</f>
        <v/>
      </c>
      <c r="P33" t="str">
        <f>IF($E33="","",IF(INDEX(工数管理!$U$3:$U$98,$E33)="","",INDEX(工数管理!$U$3:$U$98,$E33)))</f>
        <v/>
      </c>
      <c r="Q33" t="str">
        <f>IF($E33="","",IF(INDEX(工数管理!$V$3:$V$98,$E33)="","",INDEX(工数管理!$V$3:$V$98,$E33)))</f>
        <v/>
      </c>
      <c r="R33" t="str">
        <f>IF($E33="","",IF(INDEX(工数管理!$W$3:$W$98,$E33)="","",INDEX(工数管理!$W$3:$W$98,$E33)))</f>
        <v/>
      </c>
      <c r="S33" t="str">
        <f>IF($E33="","",IF(INDEX(工数管理!$X$3:$X$98,$E33)="","",INDEX(工数管理!$X$3:$X$98,$E33)))</f>
        <v/>
      </c>
      <c r="T33" t="str">
        <f>IF($E33="","",IF(INDEX(工数管理!$Y$3:$Y$98,$E33)="","",INDEX(工数管理!$Y$3:$Y$98,$E33)))</f>
        <v/>
      </c>
      <c r="U33" t="str">
        <f>IF($E33="","",IF(INDEX(工数管理!$Z$3:$Z$98,$E33)="","",INDEX(工数管理!$Z$3:$Z$98,$E33)))</f>
        <v/>
      </c>
      <c r="V33" t="str">
        <f>IF($E33="","",IF(INDEX(工数管理!$AA$3:$AA$98,$E33)="","",INDEX(工数管理!$AA$3:$AA$98,$E33)))</f>
        <v/>
      </c>
      <c r="W33" t="str">
        <f>IF($E33="","",IF(INDEX(工数管理!$AB$3:$AB$98,$E33)="","",INDEX(工数管理!$AB$3:$AB$98,$E33)))</f>
        <v/>
      </c>
      <c r="X33" t="str">
        <f>IF($E33="","",IF(INDEX(工数管理!$AC$3:$AC$98,$E33)="","",INDEX(工数管理!$AC$3:$AC$98,$E33)))</f>
        <v/>
      </c>
      <c r="Y33" t="str">
        <f>IF($E33="","",IF(INDEX(工数管理!$AD$3:$AD$98,$E33)="","",INDEX(工数管理!$AD$3:$AD$98,$E33)))</f>
        <v/>
      </c>
      <c r="Z33" t="str">
        <f>IF($E33="","",IF(INDEX(工数管理!$AE$3:$AE$98,$E33)="","",INDEX(工数管理!$AE$3:$AE$98,$E33)))</f>
        <v/>
      </c>
      <c r="AA33" t="str">
        <f>IF($E33="","",IF(INDEX(工数管理!$AF$3:$AF$98,$E33)="","",INDEX(工数管理!$AF$3:$AF$98,$E33)))</f>
        <v/>
      </c>
      <c r="AB33" t="str">
        <f>IF($E33="","",IF(INDEX(工数管理!$AG$3:$AG$98,$E33)="","",INDEX(工数管理!$AG$3:$AG$98,$E33)))</f>
        <v/>
      </c>
      <c r="AC33" t="str">
        <f>IF($E33="","",IF(INDEX(工数管理!$AH$3:$AH$98,$E33)="","",INDEX(工数管理!$AH$3:$AH$98,$E33)))</f>
        <v/>
      </c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52"/>
      <c r="EY33" s="52"/>
      <c r="EZ33" s="52"/>
      <c r="FA33" s="52"/>
      <c r="FB33" s="52"/>
      <c r="FC33" s="52"/>
      <c r="FD33" s="52"/>
      <c r="FE33" s="52"/>
      <c r="FF33" s="52"/>
      <c r="FG33" s="52"/>
      <c r="FH33" s="52"/>
      <c r="FI33" s="52"/>
      <c r="FJ33" s="52"/>
      <c r="FK33" s="52"/>
      <c r="FL33" s="52"/>
      <c r="FM33" s="52"/>
      <c r="FN33" s="52"/>
      <c r="FO33" s="52"/>
      <c r="FP33" s="52"/>
      <c r="FQ33" s="52"/>
      <c r="FR33" s="52"/>
      <c r="FS33" s="52"/>
      <c r="FT33" s="52"/>
      <c r="FU33" s="52"/>
      <c r="FV33" s="52"/>
      <c r="FW33" s="52"/>
      <c r="FX33" s="52"/>
      <c r="FY33" s="52"/>
      <c r="FZ33" s="52"/>
      <c r="GA33" s="52"/>
      <c r="GB33" s="52"/>
      <c r="GC33" s="52"/>
      <c r="GD33" s="52"/>
      <c r="GE33" s="52"/>
      <c r="GF33" s="52"/>
      <c r="GG33" s="52"/>
      <c r="GH33" s="52"/>
      <c r="GI33" s="52"/>
      <c r="GJ33" s="52"/>
      <c r="GK33" s="52"/>
      <c r="GL33" s="52"/>
      <c r="GM33" s="52"/>
      <c r="GN33" s="52"/>
      <c r="GO33" s="52"/>
      <c r="GP33" s="52"/>
      <c r="GQ33" s="52"/>
      <c r="GR33" s="52"/>
      <c r="GS33" s="52"/>
      <c r="GT33" s="52"/>
      <c r="GU33" s="52"/>
      <c r="GV33" s="52"/>
      <c r="GW33" s="52"/>
      <c r="GX33" s="52"/>
      <c r="GY33" s="52"/>
      <c r="GZ33" s="52"/>
      <c r="HA33" s="52"/>
      <c r="HB33" s="52"/>
      <c r="HC33" s="52"/>
      <c r="HD33" s="52"/>
      <c r="HE33" s="52"/>
      <c r="HF33" s="52"/>
      <c r="HG33" s="52"/>
      <c r="HH33" s="52"/>
      <c r="HI33" s="52"/>
      <c r="HJ33" s="52"/>
      <c r="HK33" s="52"/>
      <c r="HL33" s="52"/>
      <c r="HM33" s="52"/>
      <c r="HN33" s="52"/>
      <c r="HO33" s="52"/>
      <c r="HP33" s="52"/>
      <c r="HQ33" s="52"/>
      <c r="HR33" s="52"/>
      <c r="HS33" s="52"/>
      <c r="HT33" s="52"/>
      <c r="HU33" s="52"/>
      <c r="HV33" s="52"/>
      <c r="HW33" s="52"/>
      <c r="HX33" s="52"/>
      <c r="HY33" s="52"/>
      <c r="HZ33" s="52"/>
      <c r="IA33" s="52"/>
      <c r="IB33" s="52"/>
      <c r="IC33" s="52"/>
      <c r="ID33" s="52"/>
      <c r="IE33" s="52"/>
      <c r="IF33" s="52"/>
      <c r="IG33" s="52"/>
      <c r="IH33" s="52"/>
      <c r="II33" s="52"/>
      <c r="IJ33" s="52"/>
      <c r="IK33" s="52"/>
      <c r="IL33" s="52"/>
      <c r="IM33" s="52"/>
      <c r="IN33" s="52"/>
      <c r="IO33" s="52"/>
      <c r="IP33" s="52"/>
      <c r="IQ33" s="52"/>
      <c r="IR33" s="52"/>
      <c r="IS33" s="52"/>
      <c r="IT33" s="52"/>
      <c r="IU33" s="52"/>
      <c r="IV33" s="52"/>
      <c r="IW33" s="52"/>
      <c r="IX33" s="52"/>
      <c r="IY33" s="52"/>
      <c r="IZ33" s="52"/>
      <c r="JA33" s="52"/>
      <c r="JB33" s="52"/>
      <c r="JC33" s="52"/>
      <c r="JD33" s="52"/>
      <c r="JE33" s="52"/>
      <c r="JF33" s="52"/>
      <c r="JG33" s="52"/>
      <c r="JH33" s="52"/>
      <c r="JI33" s="52"/>
      <c r="JL33">
        <f>IF($E33="","",IF(INDEX(工数管理!$AJ$3:$AJ$98,$E33)&lt;&gt;"",1,0))</f>
        <v>0</v>
      </c>
      <c r="JM33">
        <f>IF($E33="","",IFERROR(MATCH($A33,祝日!$J$1:$L$1,0),""))</f>
        <v>3</v>
      </c>
    </row>
    <row r="34" spans="1:273" ht="14.25" customHeight="1" x14ac:dyDescent="0.15">
      <c r="A34" s="53" t="str">
        <f>IF($E34="","",IF($JL34=1,INDEX(工数管理!$A$3:$A$98,$E34)&amp;"",IF(INDEX(工数管理!$AK$3:$AK$98,$E34)="","未割当",INDEX(工数管理!$AK$3:$AK$98,$E34))))</f>
        <v>CH03</v>
      </c>
      <c r="B34" s="54" t="str">
        <f>IF($E34="","",IF($JL34=1,"",INDEX(工数管理!$A$3:$A$98,$E34)&amp;""))</f>
        <v>chMobSaiyanE</v>
      </c>
      <c r="C34" s="53" t="str">
        <f>IF($E34="","",IF($JL34=1,"",INDEX(工数管理!$B$3:$B$98,$E34)&amp;""))</f>
        <v>high</v>
      </c>
      <c r="D34" s="53" t="str">
        <f>IF($E34="","",INDEX(工数管理!$H$3:$H$98,$E34)&amp;"")</f>
        <v>FIX</v>
      </c>
      <c r="E34">
        <f>IFERROR(MATCH(SMALL(工数管理!$BP$3:$BP$98,ROW()-3),工数管理!$BP$3:$BP$98,0),"")</f>
        <v>66</v>
      </c>
      <c r="F34">
        <f>IF($E34="","",IF(INDEX(工数管理!$K$3:$K$98,$E34)="","",INDEX(工数管理!$K$3:$K$98,$E34)))</f>
        <v>46218</v>
      </c>
      <c r="G34">
        <f>IF($E34="","",IF(INDEX(工数管理!$L$3:$L$98,$E34)="","",INDEX(工数管理!$L$3:$L$98,$E34)))</f>
        <v>46227</v>
      </c>
      <c r="H34" t="str">
        <f>IF($E34="","",IF(INDEX(工数管理!$M$3:$M$98,$E34)="","",INDEX(工数管理!$M$3:$M$98,$E34)))</f>
        <v/>
      </c>
      <c r="I34" t="str">
        <f>IF($E34="","",IF(INDEX(工数管理!$N$3:$N$98,$E34)="","",INDEX(工数管理!$N$3:$N$98,$E34)))</f>
        <v/>
      </c>
      <c r="J34" t="str">
        <f>IF($E34="","",IF(INDEX(工数管理!$O$3:$O$98,$E34)="","",INDEX(工数管理!$O$3:$O$98,$E34)))</f>
        <v/>
      </c>
      <c r="K34" t="str">
        <f>IF($E34="","",IF(INDEX(工数管理!$P$3:$P$98,$E34)="","",INDEX(工数管理!$P$3:$P$98,$E34)))</f>
        <v/>
      </c>
      <c r="L34" t="str">
        <f>IF($E34="","",IF(INDEX(工数管理!$Q$3:$Q$98,$E34)="","",INDEX(工数管理!$Q$3:$Q$98,$E34)))</f>
        <v/>
      </c>
      <c r="M34" t="str">
        <f>IF($E34="","",IF(INDEX(工数管理!$R$3:$R$98,$E34)="","",INDEX(工数管理!$R$3:$R$98,$E34)))</f>
        <v/>
      </c>
      <c r="N34" t="str">
        <f>IF($E34="","",IF(INDEX(工数管理!$S$3:$S$98,$E34)="","",INDEX(工数管理!$S$3:$S$98,$E34)))</f>
        <v/>
      </c>
      <c r="O34" t="str">
        <f>IF($E34="","",IF(INDEX(工数管理!$T$3:$T$98,$E34)="","",INDEX(工数管理!$T$3:$T$98,$E34)))</f>
        <v/>
      </c>
      <c r="P34" t="str">
        <f>IF($E34="","",IF(INDEX(工数管理!$U$3:$U$98,$E34)="","",INDEX(工数管理!$U$3:$U$98,$E34)))</f>
        <v/>
      </c>
      <c r="Q34" t="str">
        <f>IF($E34="","",IF(INDEX(工数管理!$V$3:$V$98,$E34)="","",INDEX(工数管理!$V$3:$V$98,$E34)))</f>
        <v/>
      </c>
      <c r="R34" t="str">
        <f>IF($E34="","",IF(INDEX(工数管理!$W$3:$W$98,$E34)="","",INDEX(工数管理!$W$3:$W$98,$E34)))</f>
        <v/>
      </c>
      <c r="S34" t="str">
        <f>IF($E34="","",IF(INDEX(工数管理!$X$3:$X$98,$E34)="","",INDEX(工数管理!$X$3:$X$98,$E34)))</f>
        <v/>
      </c>
      <c r="T34" t="str">
        <f>IF($E34="","",IF(INDEX(工数管理!$Y$3:$Y$98,$E34)="","",INDEX(工数管理!$Y$3:$Y$98,$E34)))</f>
        <v/>
      </c>
      <c r="U34" t="str">
        <f>IF($E34="","",IF(INDEX(工数管理!$Z$3:$Z$98,$E34)="","",INDEX(工数管理!$Z$3:$Z$98,$E34)))</f>
        <v/>
      </c>
      <c r="V34" t="str">
        <f>IF($E34="","",IF(INDEX(工数管理!$AA$3:$AA$98,$E34)="","",INDEX(工数管理!$AA$3:$AA$98,$E34)))</f>
        <v/>
      </c>
      <c r="W34" t="str">
        <f>IF($E34="","",IF(INDEX(工数管理!$AB$3:$AB$98,$E34)="","",INDEX(工数管理!$AB$3:$AB$98,$E34)))</f>
        <v/>
      </c>
      <c r="X34" t="str">
        <f>IF($E34="","",IF(INDEX(工数管理!$AC$3:$AC$98,$E34)="","",INDEX(工数管理!$AC$3:$AC$98,$E34)))</f>
        <v/>
      </c>
      <c r="Y34" t="str">
        <f>IF($E34="","",IF(INDEX(工数管理!$AD$3:$AD$98,$E34)="","",INDEX(工数管理!$AD$3:$AD$98,$E34)))</f>
        <v/>
      </c>
      <c r="Z34" t="str">
        <f>IF($E34="","",IF(INDEX(工数管理!$AE$3:$AE$98,$E34)="","",INDEX(工数管理!$AE$3:$AE$98,$E34)))</f>
        <v/>
      </c>
      <c r="AA34" t="str">
        <f>IF($E34="","",IF(INDEX(工数管理!$AF$3:$AF$98,$E34)="","",INDEX(工数管理!$AF$3:$AF$98,$E34)))</f>
        <v/>
      </c>
      <c r="AB34" t="str">
        <f>IF($E34="","",IF(INDEX(工数管理!$AG$3:$AG$98,$E34)="","",INDEX(工数管理!$AG$3:$AG$98,$E34)))</f>
        <v/>
      </c>
      <c r="AC34" t="str">
        <f>IF($E34="","",IF(INDEX(工数管理!$AH$3:$AH$98,$E34)="","",INDEX(工数管理!$AH$3:$AH$98,$E34)))</f>
        <v/>
      </c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  <c r="EM34" s="52"/>
      <c r="EN34" s="52"/>
      <c r="EO34" s="52"/>
      <c r="EP34" s="52"/>
      <c r="EQ34" s="52"/>
      <c r="ER34" s="52"/>
      <c r="ES34" s="52"/>
      <c r="ET34" s="52"/>
      <c r="EU34" s="52"/>
      <c r="EV34" s="52"/>
      <c r="EW34" s="52"/>
      <c r="EX34" s="52"/>
      <c r="EY34" s="52"/>
      <c r="EZ34" s="52"/>
      <c r="FA34" s="52"/>
      <c r="FB34" s="52"/>
      <c r="FC34" s="52"/>
      <c r="FD34" s="52"/>
      <c r="FE34" s="52"/>
      <c r="FF34" s="52"/>
      <c r="FG34" s="52"/>
      <c r="FH34" s="52"/>
      <c r="FI34" s="52"/>
      <c r="FJ34" s="52"/>
      <c r="FK34" s="52"/>
      <c r="FL34" s="52"/>
      <c r="FM34" s="52"/>
      <c r="FN34" s="52"/>
      <c r="FO34" s="52"/>
      <c r="FP34" s="52"/>
      <c r="FQ34" s="52"/>
      <c r="FR34" s="52"/>
      <c r="FS34" s="52"/>
      <c r="FT34" s="52"/>
      <c r="FU34" s="52"/>
      <c r="FV34" s="52"/>
      <c r="FW34" s="52"/>
      <c r="FX34" s="52"/>
      <c r="FY34" s="52"/>
      <c r="FZ34" s="52"/>
      <c r="GA34" s="52"/>
      <c r="GB34" s="52"/>
      <c r="GC34" s="52"/>
      <c r="GD34" s="52"/>
      <c r="GE34" s="52"/>
      <c r="GF34" s="52"/>
      <c r="GG34" s="52"/>
      <c r="GH34" s="52"/>
      <c r="GI34" s="52"/>
      <c r="GJ34" s="52"/>
      <c r="GK34" s="52"/>
      <c r="GL34" s="52"/>
      <c r="GM34" s="52"/>
      <c r="GN34" s="52"/>
      <c r="GO34" s="52"/>
      <c r="GP34" s="52"/>
      <c r="GQ34" s="52"/>
      <c r="GR34" s="52"/>
      <c r="GS34" s="52"/>
      <c r="GT34" s="52"/>
      <c r="GU34" s="52"/>
      <c r="GV34" s="52"/>
      <c r="GW34" s="52"/>
      <c r="GX34" s="52"/>
      <c r="GY34" s="52"/>
      <c r="GZ34" s="52"/>
      <c r="HA34" s="52"/>
      <c r="HB34" s="52"/>
      <c r="HC34" s="52"/>
      <c r="HD34" s="52"/>
      <c r="HE34" s="52"/>
      <c r="HF34" s="52"/>
      <c r="HG34" s="52"/>
      <c r="HH34" s="52"/>
      <c r="HI34" s="52"/>
      <c r="HJ34" s="52"/>
      <c r="HK34" s="52"/>
      <c r="HL34" s="52"/>
      <c r="HM34" s="52"/>
      <c r="HN34" s="52"/>
      <c r="HO34" s="52"/>
      <c r="HP34" s="52"/>
      <c r="HQ34" s="52"/>
      <c r="HR34" s="52"/>
      <c r="HS34" s="52"/>
      <c r="HT34" s="52"/>
      <c r="HU34" s="52"/>
      <c r="HV34" s="52"/>
      <c r="HW34" s="52"/>
      <c r="HX34" s="52"/>
      <c r="HY34" s="52"/>
      <c r="HZ34" s="52"/>
      <c r="IA34" s="52"/>
      <c r="IB34" s="52"/>
      <c r="IC34" s="52"/>
      <c r="ID34" s="52"/>
      <c r="IE34" s="52"/>
      <c r="IF34" s="52"/>
      <c r="IG34" s="52"/>
      <c r="IH34" s="52"/>
      <c r="II34" s="52"/>
      <c r="IJ34" s="52"/>
      <c r="IK34" s="52"/>
      <c r="IL34" s="52"/>
      <c r="IM34" s="52"/>
      <c r="IN34" s="52"/>
      <c r="IO34" s="52"/>
      <c r="IP34" s="52"/>
      <c r="IQ34" s="52"/>
      <c r="IR34" s="52"/>
      <c r="IS34" s="52"/>
      <c r="IT34" s="52"/>
      <c r="IU34" s="52"/>
      <c r="IV34" s="52"/>
      <c r="IW34" s="52"/>
      <c r="IX34" s="52"/>
      <c r="IY34" s="52"/>
      <c r="IZ34" s="52"/>
      <c r="JA34" s="52"/>
      <c r="JB34" s="52"/>
      <c r="JC34" s="52"/>
      <c r="JD34" s="52"/>
      <c r="JE34" s="52"/>
      <c r="JF34" s="52"/>
      <c r="JG34" s="52"/>
      <c r="JH34" s="52"/>
      <c r="JI34" s="52"/>
      <c r="JL34">
        <f>IF($E34="","",IF(INDEX(工数管理!$AJ$3:$AJ$98,$E34)&lt;&gt;"",1,0))</f>
        <v>0</v>
      </c>
      <c r="JM34">
        <f>IF($E34="","",IFERROR(MATCH($A34,祝日!$J$1:$L$1,0),""))</f>
        <v>3</v>
      </c>
    </row>
    <row r="35" spans="1:273" ht="14.25" customHeight="1" x14ac:dyDescent="0.15">
      <c r="A35" s="50" t="str">
        <f>IF($E35="","",IF($JL35=1,INDEX(工数管理!$A$3:$A$98,$E35)&amp;"",IF(INDEX(工数管理!$AK$3:$AK$98,$E35)="","未割当",INDEX(工数管理!$AK$3:$AK$98,$E35))))</f>
        <v>CH03</v>
      </c>
      <c r="B35" s="51" t="str">
        <f>IF($E35="","",IF($JL35=1,"",INDEX(工数管理!$A$3:$A$98,$E35)&amp;""))</f>
        <v>chMobSaiyanE</v>
      </c>
      <c r="C35" s="50" t="str">
        <f>IF($E35="","",IF($JL35=1,"",INDEX(工数管理!$B$3:$B$98,$E35)&amp;""))</f>
        <v>fac</v>
      </c>
      <c r="D35" s="50" t="str">
        <f>IF($E35="","",INDEX(工数管理!$H$3:$H$98,$E35)&amp;"")</f>
        <v>FIX</v>
      </c>
      <c r="E35">
        <f>IFERROR(MATCH(SMALL(工数管理!$BP$3:$BP$98,ROW()-3),工数管理!$BP$3:$BP$98,0),"")</f>
        <v>67</v>
      </c>
      <c r="F35">
        <f>IF($E35="","",IF(INDEX(工数管理!$K$3:$K$98,$E35)="","",INDEX(工数管理!$K$3:$K$98,$E35)))</f>
        <v>46230</v>
      </c>
      <c r="G35">
        <f>IF($E35="","",IF(INDEX(工数管理!$L$3:$L$98,$E35)="","",INDEX(工数管理!$L$3:$L$98,$E35)))</f>
        <v>46234</v>
      </c>
      <c r="H35" t="str">
        <f>IF($E35="","",IF(INDEX(工数管理!$M$3:$M$98,$E35)="","",INDEX(工数管理!$M$3:$M$98,$E35)))</f>
        <v/>
      </c>
      <c r="I35" t="str">
        <f>IF($E35="","",IF(INDEX(工数管理!$N$3:$N$98,$E35)="","",INDEX(工数管理!$N$3:$N$98,$E35)))</f>
        <v/>
      </c>
      <c r="J35" t="str">
        <f>IF($E35="","",IF(INDEX(工数管理!$O$3:$O$98,$E35)="","",INDEX(工数管理!$O$3:$O$98,$E35)))</f>
        <v/>
      </c>
      <c r="K35" t="str">
        <f>IF($E35="","",IF(INDEX(工数管理!$P$3:$P$98,$E35)="","",INDEX(工数管理!$P$3:$P$98,$E35)))</f>
        <v/>
      </c>
      <c r="L35" t="str">
        <f>IF($E35="","",IF(INDEX(工数管理!$Q$3:$Q$98,$E35)="","",INDEX(工数管理!$Q$3:$Q$98,$E35)))</f>
        <v/>
      </c>
      <c r="M35" t="str">
        <f>IF($E35="","",IF(INDEX(工数管理!$R$3:$R$98,$E35)="","",INDEX(工数管理!$R$3:$R$98,$E35)))</f>
        <v/>
      </c>
      <c r="N35" t="str">
        <f>IF($E35="","",IF(INDEX(工数管理!$S$3:$S$98,$E35)="","",INDEX(工数管理!$S$3:$S$98,$E35)))</f>
        <v/>
      </c>
      <c r="O35" t="str">
        <f>IF($E35="","",IF(INDEX(工数管理!$T$3:$T$98,$E35)="","",INDEX(工数管理!$T$3:$T$98,$E35)))</f>
        <v/>
      </c>
      <c r="P35" t="str">
        <f>IF($E35="","",IF(INDEX(工数管理!$U$3:$U$98,$E35)="","",INDEX(工数管理!$U$3:$U$98,$E35)))</f>
        <v/>
      </c>
      <c r="Q35" t="str">
        <f>IF($E35="","",IF(INDEX(工数管理!$V$3:$V$98,$E35)="","",INDEX(工数管理!$V$3:$V$98,$E35)))</f>
        <v/>
      </c>
      <c r="R35" t="str">
        <f>IF($E35="","",IF(INDEX(工数管理!$W$3:$W$98,$E35)="","",INDEX(工数管理!$W$3:$W$98,$E35)))</f>
        <v/>
      </c>
      <c r="S35" t="str">
        <f>IF($E35="","",IF(INDEX(工数管理!$X$3:$X$98,$E35)="","",INDEX(工数管理!$X$3:$X$98,$E35)))</f>
        <v/>
      </c>
      <c r="T35" t="str">
        <f>IF($E35="","",IF(INDEX(工数管理!$Y$3:$Y$98,$E35)="","",INDEX(工数管理!$Y$3:$Y$98,$E35)))</f>
        <v/>
      </c>
      <c r="U35" t="str">
        <f>IF($E35="","",IF(INDEX(工数管理!$Z$3:$Z$98,$E35)="","",INDEX(工数管理!$Z$3:$Z$98,$E35)))</f>
        <v/>
      </c>
      <c r="V35" t="str">
        <f>IF($E35="","",IF(INDEX(工数管理!$AA$3:$AA$98,$E35)="","",INDEX(工数管理!$AA$3:$AA$98,$E35)))</f>
        <v/>
      </c>
      <c r="W35" t="str">
        <f>IF($E35="","",IF(INDEX(工数管理!$AB$3:$AB$98,$E35)="","",INDEX(工数管理!$AB$3:$AB$98,$E35)))</f>
        <v/>
      </c>
      <c r="X35" t="str">
        <f>IF($E35="","",IF(INDEX(工数管理!$AC$3:$AC$98,$E35)="","",INDEX(工数管理!$AC$3:$AC$98,$E35)))</f>
        <v/>
      </c>
      <c r="Y35" t="str">
        <f>IF($E35="","",IF(INDEX(工数管理!$AD$3:$AD$98,$E35)="","",INDEX(工数管理!$AD$3:$AD$98,$E35)))</f>
        <v/>
      </c>
      <c r="Z35" t="str">
        <f>IF($E35="","",IF(INDEX(工数管理!$AE$3:$AE$98,$E35)="","",INDEX(工数管理!$AE$3:$AE$98,$E35)))</f>
        <v/>
      </c>
      <c r="AA35" t="str">
        <f>IF($E35="","",IF(INDEX(工数管理!$AF$3:$AF$98,$E35)="","",INDEX(工数管理!$AF$3:$AF$98,$E35)))</f>
        <v/>
      </c>
      <c r="AB35" t="str">
        <f>IF($E35="","",IF(INDEX(工数管理!$AG$3:$AG$98,$E35)="","",INDEX(工数管理!$AG$3:$AG$98,$E35)))</f>
        <v/>
      </c>
      <c r="AC35" t="str">
        <f>IF($E35="","",IF(INDEX(工数管理!$AH$3:$AH$98,$E35)="","",INDEX(工数管理!$AH$3:$AH$98,$E35)))</f>
        <v/>
      </c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  <c r="EY35" s="52"/>
      <c r="EZ35" s="52"/>
      <c r="FA35" s="52"/>
      <c r="FB35" s="52"/>
      <c r="FC35" s="52"/>
      <c r="FD35" s="52"/>
      <c r="FE35" s="52"/>
      <c r="FF35" s="52"/>
      <c r="FG35" s="52"/>
      <c r="FH35" s="52"/>
      <c r="FI35" s="52"/>
      <c r="FJ35" s="52"/>
      <c r="FK35" s="52"/>
      <c r="FL35" s="52"/>
      <c r="FM35" s="52"/>
      <c r="FN35" s="52"/>
      <c r="FO35" s="52"/>
      <c r="FP35" s="52"/>
      <c r="FQ35" s="52"/>
      <c r="FR35" s="52"/>
      <c r="FS35" s="52"/>
      <c r="FT35" s="52"/>
      <c r="FU35" s="52"/>
      <c r="FV35" s="52"/>
      <c r="FW35" s="52"/>
      <c r="FX35" s="52"/>
      <c r="FY35" s="52"/>
      <c r="FZ35" s="52"/>
      <c r="GA35" s="52"/>
      <c r="GB35" s="52"/>
      <c r="GC35" s="52"/>
      <c r="GD35" s="52"/>
      <c r="GE35" s="52"/>
      <c r="GF35" s="52"/>
      <c r="GG35" s="52"/>
      <c r="GH35" s="52"/>
      <c r="GI35" s="52"/>
      <c r="GJ35" s="52"/>
      <c r="GK35" s="52"/>
      <c r="GL35" s="52"/>
      <c r="GM35" s="52"/>
      <c r="GN35" s="52"/>
      <c r="GO35" s="52"/>
      <c r="GP35" s="52"/>
      <c r="GQ35" s="52"/>
      <c r="GR35" s="52"/>
      <c r="GS35" s="52"/>
      <c r="GT35" s="52"/>
      <c r="GU35" s="52"/>
      <c r="GV35" s="52"/>
      <c r="GW35" s="52"/>
      <c r="GX35" s="52"/>
      <c r="GY35" s="52"/>
      <c r="GZ35" s="52"/>
      <c r="HA35" s="52"/>
      <c r="HB35" s="52"/>
      <c r="HC35" s="52"/>
      <c r="HD35" s="52"/>
      <c r="HE35" s="52"/>
      <c r="HF35" s="52"/>
      <c r="HG35" s="52"/>
      <c r="HH35" s="52"/>
      <c r="HI35" s="52"/>
      <c r="HJ35" s="52"/>
      <c r="HK35" s="52"/>
      <c r="HL35" s="52"/>
      <c r="HM35" s="52"/>
      <c r="HN35" s="52"/>
      <c r="HO35" s="52"/>
      <c r="HP35" s="52"/>
      <c r="HQ35" s="52"/>
      <c r="HR35" s="52"/>
      <c r="HS35" s="52"/>
      <c r="HT35" s="52"/>
      <c r="HU35" s="52"/>
      <c r="HV35" s="52"/>
      <c r="HW35" s="52"/>
      <c r="HX35" s="52"/>
      <c r="HY35" s="52"/>
      <c r="HZ35" s="52"/>
      <c r="IA35" s="52"/>
      <c r="IB35" s="52"/>
      <c r="IC35" s="52"/>
      <c r="ID35" s="52"/>
      <c r="IE35" s="52"/>
      <c r="IF35" s="52"/>
      <c r="IG35" s="52"/>
      <c r="IH35" s="52"/>
      <c r="II35" s="52"/>
      <c r="IJ35" s="52"/>
      <c r="IK35" s="52"/>
      <c r="IL35" s="52"/>
      <c r="IM35" s="52"/>
      <c r="IN35" s="52"/>
      <c r="IO35" s="52"/>
      <c r="IP35" s="52"/>
      <c r="IQ35" s="52"/>
      <c r="IR35" s="52"/>
      <c r="IS35" s="52"/>
      <c r="IT35" s="52"/>
      <c r="IU35" s="52"/>
      <c r="IV35" s="52"/>
      <c r="IW35" s="52"/>
      <c r="IX35" s="52"/>
      <c r="IY35" s="52"/>
      <c r="IZ35" s="52"/>
      <c r="JA35" s="52"/>
      <c r="JB35" s="52"/>
      <c r="JC35" s="52"/>
      <c r="JD35" s="52"/>
      <c r="JE35" s="52"/>
      <c r="JF35" s="52"/>
      <c r="JG35" s="52"/>
      <c r="JH35" s="52"/>
      <c r="JI35" s="52"/>
      <c r="JL35">
        <f>IF($E35="","",IF(INDEX(工数管理!$AJ$3:$AJ$98,$E35)&lt;&gt;"",1,0))</f>
        <v>0</v>
      </c>
      <c r="JM35">
        <f>IF($E35="","",IFERROR(MATCH($A35,祝日!$J$1:$L$1,0),""))</f>
        <v>3</v>
      </c>
    </row>
    <row r="36" spans="1:273" ht="14.25" customHeight="1" x14ac:dyDescent="0.15">
      <c r="A36" s="50" t="str">
        <f>IF($E36="","",IF($JL36=1,INDEX(工数管理!$A$3:$A$98,$E36)&amp;"",IF(INDEX(工数管理!$AK$3:$AK$98,$E36)="","未割当",INDEX(工数管理!$AK$3:$AK$98,$E36))))</f>
        <v/>
      </c>
      <c r="B36" s="51" t="str">
        <f>IF($E36="","",IF($JL36=1,"",INDEX(工数管理!$A$3:$A$98,$E36)&amp;""))</f>
        <v/>
      </c>
      <c r="C36" s="50" t="str">
        <f>IF($E36="","",IF($JL36=1,"",INDEX(工数管理!$B$3:$B$98,$E36)&amp;""))</f>
        <v/>
      </c>
      <c r="D36" s="50" t="str">
        <f>IF($E36="","",INDEX(工数管理!$H$3:$H$98,$E36)&amp;"")</f>
        <v/>
      </c>
      <c r="E36" t="str">
        <f>IFERROR(MATCH(SMALL(工数管理!$BP$3:$BP$98,ROW()-3),工数管理!$BP$3:$BP$98,0),"")</f>
        <v/>
      </c>
      <c r="F36" t="str">
        <f>IF($E36="","",IF(INDEX(工数管理!$K$3:$K$98,$E36)="","",INDEX(工数管理!$K$3:$K$98,$E36)))</f>
        <v/>
      </c>
      <c r="G36" t="str">
        <f>IF($E36="","",IF(INDEX(工数管理!$L$3:$L$98,$E36)="","",INDEX(工数管理!$L$3:$L$98,$E36)))</f>
        <v/>
      </c>
      <c r="H36" t="str">
        <f>IF($E36="","",IF(INDEX(工数管理!$M$3:$M$98,$E36)="","",INDEX(工数管理!$M$3:$M$98,$E36)))</f>
        <v/>
      </c>
      <c r="I36" t="str">
        <f>IF($E36="","",IF(INDEX(工数管理!$N$3:$N$98,$E36)="","",INDEX(工数管理!$N$3:$N$98,$E36)))</f>
        <v/>
      </c>
      <c r="J36" t="str">
        <f>IF($E36="","",IF(INDEX(工数管理!$O$3:$O$98,$E36)="","",INDEX(工数管理!$O$3:$O$98,$E36)))</f>
        <v/>
      </c>
      <c r="K36" t="str">
        <f>IF($E36="","",IF(INDEX(工数管理!$P$3:$P$98,$E36)="","",INDEX(工数管理!$P$3:$P$98,$E36)))</f>
        <v/>
      </c>
      <c r="L36" t="str">
        <f>IF($E36="","",IF(INDEX(工数管理!$Q$3:$Q$98,$E36)="","",INDEX(工数管理!$Q$3:$Q$98,$E36)))</f>
        <v/>
      </c>
      <c r="M36" t="str">
        <f>IF($E36="","",IF(INDEX(工数管理!$R$3:$R$98,$E36)="","",INDEX(工数管理!$R$3:$R$98,$E36)))</f>
        <v/>
      </c>
      <c r="N36" t="str">
        <f>IF($E36="","",IF(INDEX(工数管理!$S$3:$S$98,$E36)="","",INDEX(工数管理!$S$3:$S$98,$E36)))</f>
        <v/>
      </c>
      <c r="O36" t="str">
        <f>IF($E36="","",IF(INDEX(工数管理!$T$3:$T$98,$E36)="","",INDEX(工数管理!$T$3:$T$98,$E36)))</f>
        <v/>
      </c>
      <c r="P36" t="str">
        <f>IF($E36="","",IF(INDEX(工数管理!$U$3:$U$98,$E36)="","",INDEX(工数管理!$U$3:$U$98,$E36)))</f>
        <v/>
      </c>
      <c r="Q36" t="str">
        <f>IF($E36="","",IF(INDEX(工数管理!$V$3:$V$98,$E36)="","",INDEX(工数管理!$V$3:$V$98,$E36)))</f>
        <v/>
      </c>
      <c r="R36" t="str">
        <f>IF($E36="","",IF(INDEX(工数管理!$W$3:$W$98,$E36)="","",INDEX(工数管理!$W$3:$W$98,$E36)))</f>
        <v/>
      </c>
      <c r="S36" t="str">
        <f>IF($E36="","",IF(INDEX(工数管理!$X$3:$X$98,$E36)="","",INDEX(工数管理!$X$3:$X$98,$E36)))</f>
        <v/>
      </c>
      <c r="T36" t="str">
        <f>IF($E36="","",IF(INDEX(工数管理!$Y$3:$Y$98,$E36)="","",INDEX(工数管理!$Y$3:$Y$98,$E36)))</f>
        <v/>
      </c>
      <c r="U36" t="str">
        <f>IF($E36="","",IF(INDEX(工数管理!$Z$3:$Z$98,$E36)="","",INDEX(工数管理!$Z$3:$Z$98,$E36)))</f>
        <v/>
      </c>
      <c r="V36" t="str">
        <f>IF($E36="","",IF(INDEX(工数管理!$AA$3:$AA$98,$E36)="","",INDEX(工数管理!$AA$3:$AA$98,$E36)))</f>
        <v/>
      </c>
      <c r="W36" t="str">
        <f>IF($E36="","",IF(INDEX(工数管理!$AB$3:$AB$98,$E36)="","",INDEX(工数管理!$AB$3:$AB$98,$E36)))</f>
        <v/>
      </c>
      <c r="X36" t="str">
        <f>IF($E36="","",IF(INDEX(工数管理!$AC$3:$AC$98,$E36)="","",INDEX(工数管理!$AC$3:$AC$98,$E36)))</f>
        <v/>
      </c>
      <c r="Y36" t="str">
        <f>IF($E36="","",IF(INDEX(工数管理!$AD$3:$AD$98,$E36)="","",INDEX(工数管理!$AD$3:$AD$98,$E36)))</f>
        <v/>
      </c>
      <c r="Z36" t="str">
        <f>IF($E36="","",IF(INDEX(工数管理!$AE$3:$AE$98,$E36)="","",INDEX(工数管理!$AE$3:$AE$98,$E36)))</f>
        <v/>
      </c>
      <c r="AA36" t="str">
        <f>IF($E36="","",IF(INDEX(工数管理!$AF$3:$AF$98,$E36)="","",INDEX(工数管理!$AF$3:$AF$98,$E36)))</f>
        <v/>
      </c>
      <c r="AB36" t="str">
        <f>IF($E36="","",IF(INDEX(工数管理!$AG$3:$AG$98,$E36)="","",INDEX(工数管理!$AG$3:$AG$98,$E36)))</f>
        <v/>
      </c>
      <c r="AC36" t="str">
        <f>IF($E36="","",IF(INDEX(工数管理!$AH$3:$AH$98,$E36)="","",INDEX(工数管理!$AH$3:$AH$98,$E36)))</f>
        <v/>
      </c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  <c r="EY36" s="52"/>
      <c r="EZ36" s="52"/>
      <c r="FA36" s="52"/>
      <c r="FB36" s="52"/>
      <c r="FC36" s="52"/>
      <c r="FD36" s="52"/>
      <c r="FE36" s="52"/>
      <c r="FF36" s="52"/>
      <c r="FG36" s="52"/>
      <c r="FH36" s="52"/>
      <c r="FI36" s="52"/>
      <c r="FJ36" s="52"/>
      <c r="FK36" s="52"/>
      <c r="FL36" s="52"/>
      <c r="FM36" s="52"/>
      <c r="FN36" s="52"/>
      <c r="FO36" s="52"/>
      <c r="FP36" s="52"/>
      <c r="FQ36" s="52"/>
      <c r="FR36" s="52"/>
      <c r="FS36" s="52"/>
      <c r="FT36" s="52"/>
      <c r="FU36" s="52"/>
      <c r="FV36" s="52"/>
      <c r="FW36" s="52"/>
      <c r="FX36" s="52"/>
      <c r="FY36" s="52"/>
      <c r="FZ36" s="52"/>
      <c r="GA36" s="52"/>
      <c r="GB36" s="52"/>
      <c r="GC36" s="52"/>
      <c r="GD36" s="52"/>
      <c r="GE36" s="52"/>
      <c r="GF36" s="52"/>
      <c r="GG36" s="52"/>
      <c r="GH36" s="52"/>
      <c r="GI36" s="52"/>
      <c r="GJ36" s="52"/>
      <c r="GK36" s="52"/>
      <c r="GL36" s="52"/>
      <c r="GM36" s="52"/>
      <c r="GN36" s="52"/>
      <c r="GO36" s="52"/>
      <c r="GP36" s="52"/>
      <c r="GQ36" s="52"/>
      <c r="GR36" s="52"/>
      <c r="GS36" s="52"/>
      <c r="GT36" s="52"/>
      <c r="GU36" s="52"/>
      <c r="GV36" s="52"/>
      <c r="GW36" s="52"/>
      <c r="GX36" s="52"/>
      <c r="GY36" s="52"/>
      <c r="GZ36" s="52"/>
      <c r="HA36" s="52"/>
      <c r="HB36" s="52"/>
      <c r="HC36" s="52"/>
      <c r="HD36" s="52"/>
      <c r="HE36" s="52"/>
      <c r="HF36" s="52"/>
      <c r="HG36" s="52"/>
      <c r="HH36" s="52"/>
      <c r="HI36" s="52"/>
      <c r="HJ36" s="52"/>
      <c r="HK36" s="52"/>
      <c r="HL36" s="52"/>
      <c r="HM36" s="52"/>
      <c r="HN36" s="52"/>
      <c r="HO36" s="52"/>
      <c r="HP36" s="52"/>
      <c r="HQ36" s="52"/>
      <c r="HR36" s="52"/>
      <c r="HS36" s="52"/>
      <c r="HT36" s="52"/>
      <c r="HU36" s="52"/>
      <c r="HV36" s="52"/>
      <c r="HW36" s="52"/>
      <c r="HX36" s="52"/>
      <c r="HY36" s="52"/>
      <c r="HZ36" s="52"/>
      <c r="IA36" s="52"/>
      <c r="IB36" s="52"/>
      <c r="IC36" s="52"/>
      <c r="ID36" s="52"/>
      <c r="IE36" s="52"/>
      <c r="IF36" s="52"/>
      <c r="IG36" s="52"/>
      <c r="IH36" s="52"/>
      <c r="II36" s="52"/>
      <c r="IJ36" s="52"/>
      <c r="IK36" s="52"/>
      <c r="IL36" s="52"/>
      <c r="IM36" s="52"/>
      <c r="IN36" s="52"/>
      <c r="IO36" s="52"/>
      <c r="IP36" s="52"/>
      <c r="IQ36" s="52"/>
      <c r="IR36" s="52"/>
      <c r="IS36" s="52"/>
      <c r="IT36" s="52"/>
      <c r="IU36" s="52"/>
      <c r="IV36" s="52"/>
      <c r="IW36" s="52"/>
      <c r="IX36" s="52"/>
      <c r="IY36" s="52"/>
      <c r="IZ36" s="52"/>
      <c r="JA36" s="52"/>
      <c r="JB36" s="52"/>
      <c r="JC36" s="52"/>
      <c r="JD36" s="52"/>
      <c r="JE36" s="52"/>
      <c r="JF36" s="52"/>
      <c r="JG36" s="52"/>
      <c r="JH36" s="52"/>
      <c r="JI36" s="52"/>
      <c r="JL36" t="str">
        <f>IF($E36="","",IF(INDEX(工数管理!$AJ$3:$AJ$98,$E36)&lt;&gt;"",1,0))</f>
        <v/>
      </c>
      <c r="JM36" t="str">
        <f>IF($E36="","",IFERROR(MATCH($A36,祝日!$J$1:$L$1,0),""))</f>
        <v/>
      </c>
    </row>
    <row r="37" spans="1:273" ht="14.25" customHeight="1" x14ac:dyDescent="0.15">
      <c r="A37" s="50" t="str">
        <f>IF($E37="","",IF($JL37=1,INDEX(工数管理!$A$3:$A$98,$E37)&amp;"",IF(INDEX(工数管理!$AK$3:$AK$98,$E37)="","未割当",INDEX(工数管理!$AK$3:$AK$98,$E37))))</f>
        <v/>
      </c>
      <c r="B37" s="51" t="str">
        <f>IF($E37="","",IF($JL37=1,"",INDEX(工数管理!$A$3:$A$98,$E37)&amp;""))</f>
        <v/>
      </c>
      <c r="C37" s="50" t="str">
        <f>IF($E37="","",IF($JL37=1,"",INDEX(工数管理!$B$3:$B$98,$E37)&amp;""))</f>
        <v/>
      </c>
      <c r="D37" s="50" t="str">
        <f>IF($E37="","",INDEX(工数管理!$H$3:$H$98,$E37)&amp;"")</f>
        <v/>
      </c>
      <c r="E37" t="str">
        <f>IFERROR(MATCH(SMALL(工数管理!$BP$3:$BP$98,ROW()-3),工数管理!$BP$3:$BP$98,0),"")</f>
        <v/>
      </c>
      <c r="F37" t="str">
        <f>IF($E37="","",IF(INDEX(工数管理!$K$3:$K$98,$E37)="","",INDEX(工数管理!$K$3:$K$98,$E37)))</f>
        <v/>
      </c>
      <c r="G37" t="str">
        <f>IF($E37="","",IF(INDEX(工数管理!$L$3:$L$98,$E37)="","",INDEX(工数管理!$L$3:$L$98,$E37)))</f>
        <v/>
      </c>
      <c r="H37" t="str">
        <f>IF($E37="","",IF(INDEX(工数管理!$M$3:$M$98,$E37)="","",INDEX(工数管理!$M$3:$M$98,$E37)))</f>
        <v/>
      </c>
      <c r="I37" t="str">
        <f>IF($E37="","",IF(INDEX(工数管理!$N$3:$N$98,$E37)="","",INDEX(工数管理!$N$3:$N$98,$E37)))</f>
        <v/>
      </c>
      <c r="J37" t="str">
        <f>IF($E37="","",IF(INDEX(工数管理!$O$3:$O$98,$E37)="","",INDEX(工数管理!$O$3:$O$98,$E37)))</f>
        <v/>
      </c>
      <c r="K37" t="str">
        <f>IF($E37="","",IF(INDEX(工数管理!$P$3:$P$98,$E37)="","",INDEX(工数管理!$P$3:$P$98,$E37)))</f>
        <v/>
      </c>
      <c r="L37" t="str">
        <f>IF($E37="","",IF(INDEX(工数管理!$Q$3:$Q$98,$E37)="","",INDEX(工数管理!$Q$3:$Q$98,$E37)))</f>
        <v/>
      </c>
      <c r="M37" t="str">
        <f>IF($E37="","",IF(INDEX(工数管理!$R$3:$R$98,$E37)="","",INDEX(工数管理!$R$3:$R$98,$E37)))</f>
        <v/>
      </c>
      <c r="N37" t="str">
        <f>IF($E37="","",IF(INDEX(工数管理!$S$3:$S$98,$E37)="","",INDEX(工数管理!$S$3:$S$98,$E37)))</f>
        <v/>
      </c>
      <c r="O37" t="str">
        <f>IF($E37="","",IF(INDEX(工数管理!$T$3:$T$98,$E37)="","",INDEX(工数管理!$T$3:$T$98,$E37)))</f>
        <v/>
      </c>
      <c r="P37" t="str">
        <f>IF($E37="","",IF(INDEX(工数管理!$U$3:$U$98,$E37)="","",INDEX(工数管理!$U$3:$U$98,$E37)))</f>
        <v/>
      </c>
      <c r="Q37" t="str">
        <f>IF($E37="","",IF(INDEX(工数管理!$V$3:$V$98,$E37)="","",INDEX(工数管理!$V$3:$V$98,$E37)))</f>
        <v/>
      </c>
      <c r="R37" t="str">
        <f>IF($E37="","",IF(INDEX(工数管理!$W$3:$W$98,$E37)="","",INDEX(工数管理!$W$3:$W$98,$E37)))</f>
        <v/>
      </c>
      <c r="S37" t="str">
        <f>IF($E37="","",IF(INDEX(工数管理!$X$3:$X$98,$E37)="","",INDEX(工数管理!$X$3:$X$98,$E37)))</f>
        <v/>
      </c>
      <c r="T37" t="str">
        <f>IF($E37="","",IF(INDEX(工数管理!$Y$3:$Y$98,$E37)="","",INDEX(工数管理!$Y$3:$Y$98,$E37)))</f>
        <v/>
      </c>
      <c r="U37" t="str">
        <f>IF($E37="","",IF(INDEX(工数管理!$Z$3:$Z$98,$E37)="","",INDEX(工数管理!$Z$3:$Z$98,$E37)))</f>
        <v/>
      </c>
      <c r="V37" t="str">
        <f>IF($E37="","",IF(INDEX(工数管理!$AA$3:$AA$98,$E37)="","",INDEX(工数管理!$AA$3:$AA$98,$E37)))</f>
        <v/>
      </c>
      <c r="W37" t="str">
        <f>IF($E37="","",IF(INDEX(工数管理!$AB$3:$AB$98,$E37)="","",INDEX(工数管理!$AB$3:$AB$98,$E37)))</f>
        <v/>
      </c>
      <c r="X37" t="str">
        <f>IF($E37="","",IF(INDEX(工数管理!$AC$3:$AC$98,$E37)="","",INDEX(工数管理!$AC$3:$AC$98,$E37)))</f>
        <v/>
      </c>
      <c r="Y37" t="str">
        <f>IF($E37="","",IF(INDEX(工数管理!$AD$3:$AD$98,$E37)="","",INDEX(工数管理!$AD$3:$AD$98,$E37)))</f>
        <v/>
      </c>
      <c r="Z37" t="str">
        <f>IF($E37="","",IF(INDEX(工数管理!$AE$3:$AE$98,$E37)="","",INDEX(工数管理!$AE$3:$AE$98,$E37)))</f>
        <v/>
      </c>
      <c r="AA37" t="str">
        <f>IF($E37="","",IF(INDEX(工数管理!$AF$3:$AF$98,$E37)="","",INDEX(工数管理!$AF$3:$AF$98,$E37)))</f>
        <v/>
      </c>
      <c r="AB37" t="str">
        <f>IF($E37="","",IF(INDEX(工数管理!$AG$3:$AG$98,$E37)="","",INDEX(工数管理!$AG$3:$AG$98,$E37)))</f>
        <v/>
      </c>
      <c r="AC37" t="str">
        <f>IF($E37="","",IF(INDEX(工数管理!$AH$3:$AH$98,$E37)="","",INDEX(工数管理!$AH$3:$AH$98,$E37)))</f>
        <v/>
      </c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52"/>
      <c r="EY37" s="52"/>
      <c r="EZ37" s="52"/>
      <c r="FA37" s="52"/>
      <c r="FB37" s="52"/>
      <c r="FC37" s="52"/>
      <c r="FD37" s="52"/>
      <c r="FE37" s="52"/>
      <c r="FF37" s="52"/>
      <c r="FG37" s="52"/>
      <c r="FH37" s="52"/>
      <c r="FI37" s="52"/>
      <c r="FJ37" s="52"/>
      <c r="FK37" s="52"/>
      <c r="FL37" s="52"/>
      <c r="FM37" s="52"/>
      <c r="FN37" s="52"/>
      <c r="FO37" s="52"/>
      <c r="FP37" s="52"/>
      <c r="FQ37" s="52"/>
      <c r="FR37" s="52"/>
      <c r="FS37" s="52"/>
      <c r="FT37" s="52"/>
      <c r="FU37" s="52"/>
      <c r="FV37" s="52"/>
      <c r="FW37" s="52"/>
      <c r="FX37" s="52"/>
      <c r="FY37" s="52"/>
      <c r="FZ37" s="52"/>
      <c r="GA37" s="52"/>
      <c r="GB37" s="52"/>
      <c r="GC37" s="52"/>
      <c r="GD37" s="52"/>
      <c r="GE37" s="52"/>
      <c r="GF37" s="52"/>
      <c r="GG37" s="52"/>
      <c r="GH37" s="52"/>
      <c r="GI37" s="52"/>
      <c r="GJ37" s="52"/>
      <c r="GK37" s="52"/>
      <c r="GL37" s="52"/>
      <c r="GM37" s="52"/>
      <c r="GN37" s="52"/>
      <c r="GO37" s="52"/>
      <c r="GP37" s="52"/>
      <c r="GQ37" s="52"/>
      <c r="GR37" s="52"/>
      <c r="GS37" s="52"/>
      <c r="GT37" s="52"/>
      <c r="GU37" s="52"/>
      <c r="GV37" s="52"/>
      <c r="GW37" s="52"/>
      <c r="GX37" s="52"/>
      <c r="GY37" s="52"/>
      <c r="GZ37" s="52"/>
      <c r="HA37" s="52"/>
      <c r="HB37" s="52"/>
      <c r="HC37" s="52"/>
      <c r="HD37" s="52"/>
      <c r="HE37" s="52"/>
      <c r="HF37" s="52"/>
      <c r="HG37" s="52"/>
      <c r="HH37" s="52"/>
      <c r="HI37" s="52"/>
      <c r="HJ37" s="52"/>
      <c r="HK37" s="52"/>
      <c r="HL37" s="52"/>
      <c r="HM37" s="52"/>
      <c r="HN37" s="52"/>
      <c r="HO37" s="52"/>
      <c r="HP37" s="52"/>
      <c r="HQ37" s="52"/>
      <c r="HR37" s="52"/>
      <c r="HS37" s="52"/>
      <c r="HT37" s="52"/>
      <c r="HU37" s="52"/>
      <c r="HV37" s="52"/>
      <c r="HW37" s="52"/>
      <c r="HX37" s="52"/>
      <c r="HY37" s="52"/>
      <c r="HZ37" s="52"/>
      <c r="IA37" s="52"/>
      <c r="IB37" s="52"/>
      <c r="IC37" s="52"/>
      <c r="ID37" s="52"/>
      <c r="IE37" s="52"/>
      <c r="IF37" s="52"/>
      <c r="IG37" s="52"/>
      <c r="IH37" s="52"/>
      <c r="II37" s="52"/>
      <c r="IJ37" s="52"/>
      <c r="IK37" s="52"/>
      <c r="IL37" s="52"/>
      <c r="IM37" s="52"/>
      <c r="IN37" s="52"/>
      <c r="IO37" s="52"/>
      <c r="IP37" s="52"/>
      <c r="IQ37" s="52"/>
      <c r="IR37" s="52"/>
      <c r="IS37" s="52"/>
      <c r="IT37" s="52"/>
      <c r="IU37" s="52"/>
      <c r="IV37" s="52"/>
      <c r="IW37" s="52"/>
      <c r="IX37" s="52"/>
      <c r="IY37" s="52"/>
      <c r="IZ37" s="52"/>
      <c r="JA37" s="52"/>
      <c r="JB37" s="52"/>
      <c r="JC37" s="52"/>
      <c r="JD37" s="52"/>
      <c r="JE37" s="52"/>
      <c r="JF37" s="52"/>
      <c r="JG37" s="52"/>
      <c r="JH37" s="52"/>
      <c r="JI37" s="52"/>
      <c r="JL37" t="str">
        <f>IF($E37="","",IF(INDEX(工数管理!$AJ$3:$AJ$98,$E37)&lt;&gt;"",1,0))</f>
        <v/>
      </c>
      <c r="JM37" t="str">
        <f>IF($E37="","",IFERROR(MATCH($A37,祝日!$J$1:$L$1,0),""))</f>
        <v/>
      </c>
    </row>
    <row r="38" spans="1:273" ht="14.25" customHeight="1" x14ac:dyDescent="0.15">
      <c r="A38" s="50" t="str">
        <f>IF($E38="","",IF($JL38=1,INDEX(工数管理!$A$3:$A$98,$E38)&amp;"",IF(INDEX(工数管理!$AK$3:$AK$98,$E38)="","未割当",INDEX(工数管理!$AK$3:$AK$98,$E38))))</f>
        <v/>
      </c>
      <c r="B38" s="51" t="str">
        <f>IF($E38="","",IF($JL38=1,"",INDEX(工数管理!$A$3:$A$98,$E38)&amp;""))</f>
        <v/>
      </c>
      <c r="C38" s="50" t="str">
        <f>IF($E38="","",IF($JL38=1,"",INDEX(工数管理!$B$3:$B$98,$E38)&amp;""))</f>
        <v/>
      </c>
      <c r="D38" s="50" t="str">
        <f>IF($E38="","",INDEX(工数管理!$H$3:$H$98,$E38)&amp;"")</f>
        <v/>
      </c>
      <c r="E38" t="str">
        <f>IFERROR(MATCH(SMALL(工数管理!$BP$3:$BP$98,ROW()-3),工数管理!$BP$3:$BP$98,0),"")</f>
        <v/>
      </c>
      <c r="F38" t="str">
        <f>IF($E38="","",IF(INDEX(工数管理!$K$3:$K$98,$E38)="","",INDEX(工数管理!$K$3:$K$98,$E38)))</f>
        <v/>
      </c>
      <c r="G38" t="str">
        <f>IF($E38="","",IF(INDEX(工数管理!$L$3:$L$98,$E38)="","",INDEX(工数管理!$L$3:$L$98,$E38)))</f>
        <v/>
      </c>
      <c r="H38" t="str">
        <f>IF($E38="","",IF(INDEX(工数管理!$M$3:$M$98,$E38)="","",INDEX(工数管理!$M$3:$M$98,$E38)))</f>
        <v/>
      </c>
      <c r="I38" t="str">
        <f>IF($E38="","",IF(INDEX(工数管理!$N$3:$N$98,$E38)="","",INDEX(工数管理!$N$3:$N$98,$E38)))</f>
        <v/>
      </c>
      <c r="J38" t="str">
        <f>IF($E38="","",IF(INDEX(工数管理!$O$3:$O$98,$E38)="","",INDEX(工数管理!$O$3:$O$98,$E38)))</f>
        <v/>
      </c>
      <c r="K38" t="str">
        <f>IF($E38="","",IF(INDEX(工数管理!$P$3:$P$98,$E38)="","",INDEX(工数管理!$P$3:$P$98,$E38)))</f>
        <v/>
      </c>
      <c r="L38" t="str">
        <f>IF($E38="","",IF(INDEX(工数管理!$Q$3:$Q$98,$E38)="","",INDEX(工数管理!$Q$3:$Q$98,$E38)))</f>
        <v/>
      </c>
      <c r="M38" t="str">
        <f>IF($E38="","",IF(INDEX(工数管理!$R$3:$R$98,$E38)="","",INDEX(工数管理!$R$3:$R$98,$E38)))</f>
        <v/>
      </c>
      <c r="N38" t="str">
        <f>IF($E38="","",IF(INDEX(工数管理!$S$3:$S$98,$E38)="","",INDEX(工数管理!$S$3:$S$98,$E38)))</f>
        <v/>
      </c>
      <c r="O38" t="str">
        <f>IF($E38="","",IF(INDEX(工数管理!$T$3:$T$98,$E38)="","",INDEX(工数管理!$T$3:$T$98,$E38)))</f>
        <v/>
      </c>
      <c r="P38" t="str">
        <f>IF($E38="","",IF(INDEX(工数管理!$U$3:$U$98,$E38)="","",INDEX(工数管理!$U$3:$U$98,$E38)))</f>
        <v/>
      </c>
      <c r="Q38" t="str">
        <f>IF($E38="","",IF(INDEX(工数管理!$V$3:$V$98,$E38)="","",INDEX(工数管理!$V$3:$V$98,$E38)))</f>
        <v/>
      </c>
      <c r="R38" t="str">
        <f>IF($E38="","",IF(INDEX(工数管理!$W$3:$W$98,$E38)="","",INDEX(工数管理!$W$3:$W$98,$E38)))</f>
        <v/>
      </c>
      <c r="S38" t="str">
        <f>IF($E38="","",IF(INDEX(工数管理!$X$3:$X$98,$E38)="","",INDEX(工数管理!$X$3:$X$98,$E38)))</f>
        <v/>
      </c>
      <c r="T38" t="str">
        <f>IF($E38="","",IF(INDEX(工数管理!$Y$3:$Y$98,$E38)="","",INDEX(工数管理!$Y$3:$Y$98,$E38)))</f>
        <v/>
      </c>
      <c r="U38" t="str">
        <f>IF($E38="","",IF(INDEX(工数管理!$Z$3:$Z$98,$E38)="","",INDEX(工数管理!$Z$3:$Z$98,$E38)))</f>
        <v/>
      </c>
      <c r="V38" t="str">
        <f>IF($E38="","",IF(INDEX(工数管理!$AA$3:$AA$98,$E38)="","",INDEX(工数管理!$AA$3:$AA$98,$E38)))</f>
        <v/>
      </c>
      <c r="W38" t="str">
        <f>IF($E38="","",IF(INDEX(工数管理!$AB$3:$AB$98,$E38)="","",INDEX(工数管理!$AB$3:$AB$98,$E38)))</f>
        <v/>
      </c>
      <c r="X38" t="str">
        <f>IF($E38="","",IF(INDEX(工数管理!$AC$3:$AC$98,$E38)="","",INDEX(工数管理!$AC$3:$AC$98,$E38)))</f>
        <v/>
      </c>
      <c r="Y38" t="str">
        <f>IF($E38="","",IF(INDEX(工数管理!$AD$3:$AD$98,$E38)="","",INDEX(工数管理!$AD$3:$AD$98,$E38)))</f>
        <v/>
      </c>
      <c r="Z38" t="str">
        <f>IF($E38="","",IF(INDEX(工数管理!$AE$3:$AE$98,$E38)="","",INDEX(工数管理!$AE$3:$AE$98,$E38)))</f>
        <v/>
      </c>
      <c r="AA38" t="str">
        <f>IF($E38="","",IF(INDEX(工数管理!$AF$3:$AF$98,$E38)="","",INDEX(工数管理!$AF$3:$AF$98,$E38)))</f>
        <v/>
      </c>
      <c r="AB38" t="str">
        <f>IF($E38="","",IF(INDEX(工数管理!$AG$3:$AG$98,$E38)="","",INDEX(工数管理!$AG$3:$AG$98,$E38)))</f>
        <v/>
      </c>
      <c r="AC38" t="str">
        <f>IF($E38="","",IF(INDEX(工数管理!$AH$3:$AH$98,$E38)="","",INDEX(工数管理!$AH$3:$AH$98,$E38)))</f>
        <v/>
      </c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  <c r="FB38" s="52"/>
      <c r="FC38" s="52"/>
      <c r="FD38" s="52"/>
      <c r="FE38" s="52"/>
      <c r="FF38" s="52"/>
      <c r="FG38" s="52"/>
      <c r="FH38" s="52"/>
      <c r="FI38" s="52"/>
      <c r="FJ38" s="52"/>
      <c r="FK38" s="52"/>
      <c r="FL38" s="52"/>
      <c r="FM38" s="52"/>
      <c r="FN38" s="52"/>
      <c r="FO38" s="52"/>
      <c r="FP38" s="52"/>
      <c r="FQ38" s="52"/>
      <c r="FR38" s="52"/>
      <c r="FS38" s="52"/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  <c r="GG38" s="52"/>
      <c r="GH38" s="52"/>
      <c r="GI38" s="52"/>
      <c r="GJ38" s="52"/>
      <c r="GK38" s="52"/>
      <c r="GL38" s="52"/>
      <c r="GM38" s="52"/>
      <c r="GN38" s="52"/>
      <c r="GO38" s="52"/>
      <c r="GP38" s="52"/>
      <c r="GQ38" s="52"/>
      <c r="GR38" s="52"/>
      <c r="GS38" s="52"/>
      <c r="GT38" s="52"/>
      <c r="GU38" s="52"/>
      <c r="GV38" s="52"/>
      <c r="GW38" s="52"/>
      <c r="GX38" s="52"/>
      <c r="GY38" s="52"/>
      <c r="GZ38" s="52"/>
      <c r="HA38" s="52"/>
      <c r="HB38" s="52"/>
      <c r="HC38" s="52"/>
      <c r="HD38" s="52"/>
      <c r="HE38" s="52"/>
      <c r="HF38" s="52"/>
      <c r="HG38" s="52"/>
      <c r="HH38" s="52"/>
      <c r="HI38" s="52"/>
      <c r="HJ38" s="52"/>
      <c r="HK38" s="52"/>
      <c r="HL38" s="52"/>
      <c r="HM38" s="52"/>
      <c r="HN38" s="52"/>
      <c r="HO38" s="52"/>
      <c r="HP38" s="52"/>
      <c r="HQ38" s="52"/>
      <c r="HR38" s="52"/>
      <c r="HS38" s="52"/>
      <c r="HT38" s="52"/>
      <c r="HU38" s="52"/>
      <c r="HV38" s="52"/>
      <c r="HW38" s="52"/>
      <c r="HX38" s="52"/>
      <c r="HY38" s="52"/>
      <c r="HZ38" s="52"/>
      <c r="IA38" s="52"/>
      <c r="IB38" s="52"/>
      <c r="IC38" s="52"/>
      <c r="ID38" s="52"/>
      <c r="IE38" s="52"/>
      <c r="IF38" s="52"/>
      <c r="IG38" s="52"/>
      <c r="IH38" s="52"/>
      <c r="II38" s="52"/>
      <c r="IJ38" s="52"/>
      <c r="IK38" s="52"/>
      <c r="IL38" s="52"/>
      <c r="IM38" s="52"/>
      <c r="IN38" s="52"/>
      <c r="IO38" s="52"/>
      <c r="IP38" s="52"/>
      <c r="IQ38" s="52"/>
      <c r="IR38" s="52"/>
      <c r="IS38" s="52"/>
      <c r="IT38" s="52"/>
      <c r="IU38" s="52"/>
      <c r="IV38" s="52"/>
      <c r="IW38" s="52"/>
      <c r="IX38" s="52"/>
      <c r="IY38" s="52"/>
      <c r="IZ38" s="52"/>
      <c r="JA38" s="52"/>
      <c r="JB38" s="52"/>
      <c r="JC38" s="52"/>
      <c r="JD38" s="52"/>
      <c r="JE38" s="52"/>
      <c r="JF38" s="52"/>
      <c r="JG38" s="52"/>
      <c r="JH38" s="52"/>
      <c r="JI38" s="52"/>
      <c r="JL38" t="str">
        <f>IF($E38="","",IF(INDEX(工数管理!$AJ$3:$AJ$98,$E38)&lt;&gt;"",1,0))</f>
        <v/>
      </c>
      <c r="JM38" t="str">
        <f>IF($E38="","",IFERROR(MATCH($A38,祝日!$J$1:$L$1,0),""))</f>
        <v/>
      </c>
    </row>
    <row r="39" spans="1:273" ht="14.25" customHeight="1" x14ac:dyDescent="0.15">
      <c r="A39" s="50" t="str">
        <f>IF($E39="","",IF($JL39=1,INDEX(工数管理!$A$3:$A$98,$E39)&amp;"",IF(INDEX(工数管理!$AK$3:$AK$98,$E39)="","未割当",INDEX(工数管理!$AK$3:$AK$98,$E39))))</f>
        <v/>
      </c>
      <c r="B39" s="51" t="str">
        <f>IF($E39="","",IF($JL39=1,"",INDEX(工数管理!$A$3:$A$98,$E39)&amp;""))</f>
        <v/>
      </c>
      <c r="C39" s="50" t="str">
        <f>IF($E39="","",IF($JL39=1,"",INDEX(工数管理!$B$3:$B$98,$E39)&amp;""))</f>
        <v/>
      </c>
      <c r="D39" s="50" t="str">
        <f>IF($E39="","",INDEX(工数管理!$H$3:$H$98,$E39)&amp;"")</f>
        <v/>
      </c>
      <c r="E39" t="str">
        <f>IFERROR(MATCH(SMALL(工数管理!$BP$3:$BP$98,ROW()-3),工数管理!$BP$3:$BP$98,0),"")</f>
        <v/>
      </c>
      <c r="F39" t="str">
        <f>IF($E39="","",IF(INDEX(工数管理!$K$3:$K$98,$E39)="","",INDEX(工数管理!$K$3:$K$98,$E39)))</f>
        <v/>
      </c>
      <c r="G39" t="str">
        <f>IF($E39="","",IF(INDEX(工数管理!$L$3:$L$98,$E39)="","",INDEX(工数管理!$L$3:$L$98,$E39)))</f>
        <v/>
      </c>
      <c r="H39" t="str">
        <f>IF($E39="","",IF(INDEX(工数管理!$M$3:$M$98,$E39)="","",INDEX(工数管理!$M$3:$M$98,$E39)))</f>
        <v/>
      </c>
      <c r="I39" t="str">
        <f>IF($E39="","",IF(INDEX(工数管理!$N$3:$N$98,$E39)="","",INDEX(工数管理!$N$3:$N$98,$E39)))</f>
        <v/>
      </c>
      <c r="J39" t="str">
        <f>IF($E39="","",IF(INDEX(工数管理!$O$3:$O$98,$E39)="","",INDEX(工数管理!$O$3:$O$98,$E39)))</f>
        <v/>
      </c>
      <c r="K39" t="str">
        <f>IF($E39="","",IF(INDEX(工数管理!$P$3:$P$98,$E39)="","",INDEX(工数管理!$P$3:$P$98,$E39)))</f>
        <v/>
      </c>
      <c r="L39" t="str">
        <f>IF($E39="","",IF(INDEX(工数管理!$Q$3:$Q$98,$E39)="","",INDEX(工数管理!$Q$3:$Q$98,$E39)))</f>
        <v/>
      </c>
      <c r="M39" t="str">
        <f>IF($E39="","",IF(INDEX(工数管理!$R$3:$R$98,$E39)="","",INDEX(工数管理!$R$3:$R$98,$E39)))</f>
        <v/>
      </c>
      <c r="N39" t="str">
        <f>IF($E39="","",IF(INDEX(工数管理!$S$3:$S$98,$E39)="","",INDEX(工数管理!$S$3:$S$98,$E39)))</f>
        <v/>
      </c>
      <c r="O39" t="str">
        <f>IF($E39="","",IF(INDEX(工数管理!$T$3:$T$98,$E39)="","",INDEX(工数管理!$T$3:$T$98,$E39)))</f>
        <v/>
      </c>
      <c r="P39" t="str">
        <f>IF($E39="","",IF(INDEX(工数管理!$U$3:$U$98,$E39)="","",INDEX(工数管理!$U$3:$U$98,$E39)))</f>
        <v/>
      </c>
      <c r="Q39" t="str">
        <f>IF($E39="","",IF(INDEX(工数管理!$V$3:$V$98,$E39)="","",INDEX(工数管理!$V$3:$V$98,$E39)))</f>
        <v/>
      </c>
      <c r="R39" t="str">
        <f>IF($E39="","",IF(INDEX(工数管理!$W$3:$W$98,$E39)="","",INDEX(工数管理!$W$3:$W$98,$E39)))</f>
        <v/>
      </c>
      <c r="S39" t="str">
        <f>IF($E39="","",IF(INDEX(工数管理!$X$3:$X$98,$E39)="","",INDEX(工数管理!$X$3:$X$98,$E39)))</f>
        <v/>
      </c>
      <c r="T39" t="str">
        <f>IF($E39="","",IF(INDEX(工数管理!$Y$3:$Y$98,$E39)="","",INDEX(工数管理!$Y$3:$Y$98,$E39)))</f>
        <v/>
      </c>
      <c r="U39" t="str">
        <f>IF($E39="","",IF(INDEX(工数管理!$Z$3:$Z$98,$E39)="","",INDEX(工数管理!$Z$3:$Z$98,$E39)))</f>
        <v/>
      </c>
      <c r="V39" t="str">
        <f>IF($E39="","",IF(INDEX(工数管理!$AA$3:$AA$98,$E39)="","",INDEX(工数管理!$AA$3:$AA$98,$E39)))</f>
        <v/>
      </c>
      <c r="W39" t="str">
        <f>IF($E39="","",IF(INDEX(工数管理!$AB$3:$AB$98,$E39)="","",INDEX(工数管理!$AB$3:$AB$98,$E39)))</f>
        <v/>
      </c>
      <c r="X39" t="str">
        <f>IF($E39="","",IF(INDEX(工数管理!$AC$3:$AC$98,$E39)="","",INDEX(工数管理!$AC$3:$AC$98,$E39)))</f>
        <v/>
      </c>
      <c r="Y39" t="str">
        <f>IF($E39="","",IF(INDEX(工数管理!$AD$3:$AD$98,$E39)="","",INDEX(工数管理!$AD$3:$AD$98,$E39)))</f>
        <v/>
      </c>
      <c r="Z39" t="str">
        <f>IF($E39="","",IF(INDEX(工数管理!$AE$3:$AE$98,$E39)="","",INDEX(工数管理!$AE$3:$AE$98,$E39)))</f>
        <v/>
      </c>
      <c r="AA39" t="str">
        <f>IF($E39="","",IF(INDEX(工数管理!$AF$3:$AF$98,$E39)="","",INDEX(工数管理!$AF$3:$AF$98,$E39)))</f>
        <v/>
      </c>
      <c r="AB39" t="str">
        <f>IF($E39="","",IF(INDEX(工数管理!$AG$3:$AG$98,$E39)="","",INDEX(工数管理!$AG$3:$AG$98,$E39)))</f>
        <v/>
      </c>
      <c r="AC39" t="str">
        <f>IF($E39="","",IF(INDEX(工数管理!$AH$3:$AH$98,$E39)="","",INDEX(工数管理!$AH$3:$AH$98,$E39)))</f>
        <v/>
      </c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52"/>
      <c r="EY39" s="52"/>
      <c r="EZ39" s="52"/>
      <c r="FA39" s="52"/>
      <c r="FB39" s="52"/>
      <c r="FC39" s="52"/>
      <c r="FD39" s="52"/>
      <c r="FE39" s="52"/>
      <c r="FF39" s="52"/>
      <c r="FG39" s="52"/>
      <c r="FH39" s="52"/>
      <c r="FI39" s="52"/>
      <c r="FJ39" s="52"/>
      <c r="FK39" s="52"/>
      <c r="FL39" s="52"/>
      <c r="FM39" s="52"/>
      <c r="FN39" s="52"/>
      <c r="FO39" s="52"/>
      <c r="FP39" s="52"/>
      <c r="FQ39" s="52"/>
      <c r="FR39" s="52"/>
      <c r="FS39" s="52"/>
      <c r="FT39" s="52"/>
      <c r="FU39" s="52"/>
      <c r="FV39" s="52"/>
      <c r="FW39" s="52"/>
      <c r="FX39" s="52"/>
      <c r="FY39" s="52"/>
      <c r="FZ39" s="52"/>
      <c r="GA39" s="52"/>
      <c r="GB39" s="52"/>
      <c r="GC39" s="52"/>
      <c r="GD39" s="52"/>
      <c r="GE39" s="52"/>
      <c r="GF39" s="52"/>
      <c r="GG39" s="52"/>
      <c r="GH39" s="52"/>
      <c r="GI39" s="52"/>
      <c r="GJ39" s="52"/>
      <c r="GK39" s="52"/>
      <c r="GL39" s="52"/>
      <c r="GM39" s="52"/>
      <c r="GN39" s="52"/>
      <c r="GO39" s="52"/>
      <c r="GP39" s="52"/>
      <c r="GQ39" s="52"/>
      <c r="GR39" s="52"/>
      <c r="GS39" s="52"/>
      <c r="GT39" s="52"/>
      <c r="GU39" s="52"/>
      <c r="GV39" s="52"/>
      <c r="GW39" s="52"/>
      <c r="GX39" s="52"/>
      <c r="GY39" s="52"/>
      <c r="GZ39" s="52"/>
      <c r="HA39" s="52"/>
      <c r="HB39" s="52"/>
      <c r="HC39" s="52"/>
      <c r="HD39" s="52"/>
      <c r="HE39" s="52"/>
      <c r="HF39" s="52"/>
      <c r="HG39" s="52"/>
      <c r="HH39" s="52"/>
      <c r="HI39" s="52"/>
      <c r="HJ39" s="52"/>
      <c r="HK39" s="52"/>
      <c r="HL39" s="52"/>
      <c r="HM39" s="52"/>
      <c r="HN39" s="52"/>
      <c r="HO39" s="52"/>
      <c r="HP39" s="52"/>
      <c r="HQ39" s="52"/>
      <c r="HR39" s="52"/>
      <c r="HS39" s="52"/>
      <c r="HT39" s="52"/>
      <c r="HU39" s="52"/>
      <c r="HV39" s="52"/>
      <c r="HW39" s="52"/>
      <c r="HX39" s="52"/>
      <c r="HY39" s="52"/>
      <c r="HZ39" s="52"/>
      <c r="IA39" s="52"/>
      <c r="IB39" s="52"/>
      <c r="IC39" s="52"/>
      <c r="ID39" s="52"/>
      <c r="IE39" s="52"/>
      <c r="IF39" s="52"/>
      <c r="IG39" s="52"/>
      <c r="IH39" s="52"/>
      <c r="II39" s="52"/>
      <c r="IJ39" s="52"/>
      <c r="IK39" s="52"/>
      <c r="IL39" s="52"/>
      <c r="IM39" s="52"/>
      <c r="IN39" s="52"/>
      <c r="IO39" s="52"/>
      <c r="IP39" s="52"/>
      <c r="IQ39" s="52"/>
      <c r="IR39" s="52"/>
      <c r="IS39" s="52"/>
      <c r="IT39" s="52"/>
      <c r="IU39" s="52"/>
      <c r="IV39" s="52"/>
      <c r="IW39" s="52"/>
      <c r="IX39" s="52"/>
      <c r="IY39" s="52"/>
      <c r="IZ39" s="52"/>
      <c r="JA39" s="52"/>
      <c r="JB39" s="52"/>
      <c r="JC39" s="52"/>
      <c r="JD39" s="52"/>
      <c r="JE39" s="52"/>
      <c r="JF39" s="52"/>
      <c r="JG39" s="52"/>
      <c r="JH39" s="52"/>
      <c r="JI39" s="52"/>
      <c r="JL39" t="str">
        <f>IF($E39="","",IF(INDEX(工数管理!$AJ$3:$AJ$98,$E39)&lt;&gt;"",1,0))</f>
        <v/>
      </c>
      <c r="JM39" t="str">
        <f>IF($E39="","",IFERROR(MATCH($A39,祝日!$J$1:$L$1,0),""))</f>
        <v/>
      </c>
    </row>
    <row r="40" spans="1:273" ht="14.25" customHeight="1" x14ac:dyDescent="0.15">
      <c r="A40" s="50" t="str">
        <f>IF($E40="","",IF($JL40=1,INDEX(工数管理!$A$3:$A$98,$E40)&amp;"",IF(INDEX(工数管理!$AK$3:$AK$98,$E40)="","未割当",INDEX(工数管理!$AK$3:$AK$98,$E40))))</f>
        <v/>
      </c>
      <c r="B40" s="51" t="str">
        <f>IF($E40="","",IF($JL40=1,"",INDEX(工数管理!$A$3:$A$98,$E40)&amp;""))</f>
        <v/>
      </c>
      <c r="C40" s="50" t="str">
        <f>IF($E40="","",IF($JL40=1,"",INDEX(工数管理!$B$3:$B$98,$E40)&amp;""))</f>
        <v/>
      </c>
      <c r="D40" s="50" t="str">
        <f>IF($E40="","",INDEX(工数管理!$H$3:$H$98,$E40)&amp;"")</f>
        <v/>
      </c>
      <c r="E40" t="str">
        <f>IFERROR(MATCH(SMALL(工数管理!$BP$3:$BP$98,ROW()-3),工数管理!$BP$3:$BP$98,0),"")</f>
        <v/>
      </c>
      <c r="F40" t="str">
        <f>IF($E40="","",IF(INDEX(工数管理!$K$3:$K$98,$E40)="","",INDEX(工数管理!$K$3:$K$98,$E40)))</f>
        <v/>
      </c>
      <c r="G40" t="str">
        <f>IF($E40="","",IF(INDEX(工数管理!$L$3:$L$98,$E40)="","",INDEX(工数管理!$L$3:$L$98,$E40)))</f>
        <v/>
      </c>
      <c r="H40" t="str">
        <f>IF($E40="","",IF(INDEX(工数管理!$M$3:$M$98,$E40)="","",INDEX(工数管理!$M$3:$M$98,$E40)))</f>
        <v/>
      </c>
      <c r="I40" t="str">
        <f>IF($E40="","",IF(INDEX(工数管理!$N$3:$N$98,$E40)="","",INDEX(工数管理!$N$3:$N$98,$E40)))</f>
        <v/>
      </c>
      <c r="J40" t="str">
        <f>IF($E40="","",IF(INDEX(工数管理!$O$3:$O$98,$E40)="","",INDEX(工数管理!$O$3:$O$98,$E40)))</f>
        <v/>
      </c>
      <c r="K40" t="str">
        <f>IF($E40="","",IF(INDEX(工数管理!$P$3:$P$98,$E40)="","",INDEX(工数管理!$P$3:$P$98,$E40)))</f>
        <v/>
      </c>
      <c r="L40" t="str">
        <f>IF($E40="","",IF(INDEX(工数管理!$Q$3:$Q$98,$E40)="","",INDEX(工数管理!$Q$3:$Q$98,$E40)))</f>
        <v/>
      </c>
      <c r="M40" t="str">
        <f>IF($E40="","",IF(INDEX(工数管理!$R$3:$R$98,$E40)="","",INDEX(工数管理!$R$3:$R$98,$E40)))</f>
        <v/>
      </c>
      <c r="N40" t="str">
        <f>IF($E40="","",IF(INDEX(工数管理!$S$3:$S$98,$E40)="","",INDEX(工数管理!$S$3:$S$98,$E40)))</f>
        <v/>
      </c>
      <c r="O40" t="str">
        <f>IF($E40="","",IF(INDEX(工数管理!$T$3:$T$98,$E40)="","",INDEX(工数管理!$T$3:$T$98,$E40)))</f>
        <v/>
      </c>
      <c r="P40" t="str">
        <f>IF($E40="","",IF(INDEX(工数管理!$U$3:$U$98,$E40)="","",INDEX(工数管理!$U$3:$U$98,$E40)))</f>
        <v/>
      </c>
      <c r="Q40" t="str">
        <f>IF($E40="","",IF(INDEX(工数管理!$V$3:$V$98,$E40)="","",INDEX(工数管理!$V$3:$V$98,$E40)))</f>
        <v/>
      </c>
      <c r="R40" t="str">
        <f>IF($E40="","",IF(INDEX(工数管理!$W$3:$W$98,$E40)="","",INDEX(工数管理!$W$3:$W$98,$E40)))</f>
        <v/>
      </c>
      <c r="S40" t="str">
        <f>IF($E40="","",IF(INDEX(工数管理!$X$3:$X$98,$E40)="","",INDEX(工数管理!$X$3:$X$98,$E40)))</f>
        <v/>
      </c>
      <c r="T40" t="str">
        <f>IF($E40="","",IF(INDEX(工数管理!$Y$3:$Y$98,$E40)="","",INDEX(工数管理!$Y$3:$Y$98,$E40)))</f>
        <v/>
      </c>
      <c r="U40" t="str">
        <f>IF($E40="","",IF(INDEX(工数管理!$Z$3:$Z$98,$E40)="","",INDEX(工数管理!$Z$3:$Z$98,$E40)))</f>
        <v/>
      </c>
      <c r="V40" t="str">
        <f>IF($E40="","",IF(INDEX(工数管理!$AA$3:$AA$98,$E40)="","",INDEX(工数管理!$AA$3:$AA$98,$E40)))</f>
        <v/>
      </c>
      <c r="W40" t="str">
        <f>IF($E40="","",IF(INDEX(工数管理!$AB$3:$AB$98,$E40)="","",INDEX(工数管理!$AB$3:$AB$98,$E40)))</f>
        <v/>
      </c>
      <c r="X40" t="str">
        <f>IF($E40="","",IF(INDEX(工数管理!$AC$3:$AC$98,$E40)="","",INDEX(工数管理!$AC$3:$AC$98,$E40)))</f>
        <v/>
      </c>
      <c r="Y40" t="str">
        <f>IF($E40="","",IF(INDEX(工数管理!$AD$3:$AD$98,$E40)="","",INDEX(工数管理!$AD$3:$AD$98,$E40)))</f>
        <v/>
      </c>
      <c r="Z40" t="str">
        <f>IF($E40="","",IF(INDEX(工数管理!$AE$3:$AE$98,$E40)="","",INDEX(工数管理!$AE$3:$AE$98,$E40)))</f>
        <v/>
      </c>
      <c r="AA40" t="str">
        <f>IF($E40="","",IF(INDEX(工数管理!$AF$3:$AF$98,$E40)="","",INDEX(工数管理!$AF$3:$AF$98,$E40)))</f>
        <v/>
      </c>
      <c r="AB40" t="str">
        <f>IF($E40="","",IF(INDEX(工数管理!$AG$3:$AG$98,$E40)="","",INDEX(工数管理!$AG$3:$AG$98,$E40)))</f>
        <v/>
      </c>
      <c r="AC40" t="str">
        <f>IF($E40="","",IF(INDEX(工数管理!$AH$3:$AH$98,$E40)="","",INDEX(工数管理!$AH$3:$AH$98,$E40)))</f>
        <v/>
      </c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  <c r="FB40" s="52"/>
      <c r="FC40" s="52"/>
      <c r="FD40" s="52"/>
      <c r="FE40" s="52"/>
      <c r="FF40" s="52"/>
      <c r="FG40" s="52"/>
      <c r="FH40" s="52"/>
      <c r="FI40" s="52"/>
      <c r="FJ40" s="52"/>
      <c r="FK40" s="52"/>
      <c r="FL40" s="52"/>
      <c r="FM40" s="52"/>
      <c r="FN40" s="52"/>
      <c r="FO40" s="52"/>
      <c r="FP40" s="52"/>
      <c r="FQ40" s="52"/>
      <c r="FR40" s="52"/>
      <c r="FS40" s="52"/>
      <c r="FT40" s="52"/>
      <c r="FU40" s="52"/>
      <c r="FV40" s="52"/>
      <c r="FW40" s="52"/>
      <c r="FX40" s="52"/>
      <c r="FY40" s="52"/>
      <c r="FZ40" s="52"/>
      <c r="GA40" s="52"/>
      <c r="GB40" s="52"/>
      <c r="GC40" s="52"/>
      <c r="GD40" s="52"/>
      <c r="GE40" s="52"/>
      <c r="GF40" s="52"/>
      <c r="GG40" s="52"/>
      <c r="GH40" s="52"/>
      <c r="GI40" s="52"/>
      <c r="GJ40" s="52"/>
      <c r="GK40" s="52"/>
      <c r="GL40" s="52"/>
      <c r="GM40" s="52"/>
      <c r="GN40" s="52"/>
      <c r="GO40" s="52"/>
      <c r="GP40" s="52"/>
      <c r="GQ40" s="52"/>
      <c r="GR40" s="52"/>
      <c r="GS40" s="52"/>
      <c r="GT40" s="52"/>
      <c r="GU40" s="52"/>
      <c r="GV40" s="52"/>
      <c r="GW40" s="52"/>
      <c r="GX40" s="52"/>
      <c r="GY40" s="52"/>
      <c r="GZ40" s="52"/>
      <c r="HA40" s="52"/>
      <c r="HB40" s="52"/>
      <c r="HC40" s="52"/>
      <c r="HD40" s="52"/>
      <c r="HE40" s="52"/>
      <c r="HF40" s="52"/>
      <c r="HG40" s="52"/>
      <c r="HH40" s="52"/>
      <c r="HI40" s="52"/>
      <c r="HJ40" s="52"/>
      <c r="HK40" s="52"/>
      <c r="HL40" s="52"/>
      <c r="HM40" s="52"/>
      <c r="HN40" s="52"/>
      <c r="HO40" s="52"/>
      <c r="HP40" s="52"/>
      <c r="HQ40" s="52"/>
      <c r="HR40" s="52"/>
      <c r="HS40" s="52"/>
      <c r="HT40" s="52"/>
      <c r="HU40" s="52"/>
      <c r="HV40" s="52"/>
      <c r="HW40" s="52"/>
      <c r="HX40" s="52"/>
      <c r="HY40" s="52"/>
      <c r="HZ40" s="52"/>
      <c r="IA40" s="52"/>
      <c r="IB40" s="52"/>
      <c r="IC40" s="52"/>
      <c r="ID40" s="52"/>
      <c r="IE40" s="52"/>
      <c r="IF40" s="52"/>
      <c r="IG40" s="52"/>
      <c r="IH40" s="52"/>
      <c r="II40" s="52"/>
      <c r="IJ40" s="52"/>
      <c r="IK40" s="52"/>
      <c r="IL40" s="52"/>
      <c r="IM40" s="52"/>
      <c r="IN40" s="52"/>
      <c r="IO40" s="52"/>
      <c r="IP40" s="52"/>
      <c r="IQ40" s="52"/>
      <c r="IR40" s="52"/>
      <c r="IS40" s="52"/>
      <c r="IT40" s="52"/>
      <c r="IU40" s="52"/>
      <c r="IV40" s="52"/>
      <c r="IW40" s="52"/>
      <c r="IX40" s="52"/>
      <c r="IY40" s="52"/>
      <c r="IZ40" s="52"/>
      <c r="JA40" s="52"/>
      <c r="JB40" s="52"/>
      <c r="JC40" s="52"/>
      <c r="JD40" s="52"/>
      <c r="JE40" s="52"/>
      <c r="JF40" s="52"/>
      <c r="JG40" s="52"/>
      <c r="JH40" s="52"/>
      <c r="JI40" s="52"/>
      <c r="JL40" t="str">
        <f>IF($E40="","",IF(INDEX(工数管理!$AJ$3:$AJ$98,$E40)&lt;&gt;"",1,0))</f>
        <v/>
      </c>
      <c r="JM40" t="str">
        <f>IF($E40="","",IFERROR(MATCH($A40,祝日!$J$1:$L$1,0),""))</f>
        <v/>
      </c>
    </row>
    <row r="41" spans="1:273" ht="14.25" customHeight="1" x14ac:dyDescent="0.15">
      <c r="A41" s="50" t="str">
        <f>IF($E41="","",IF($JL41=1,INDEX(工数管理!$A$3:$A$98,$E41)&amp;"",IF(INDEX(工数管理!$AK$3:$AK$98,$E41)="","未割当",INDEX(工数管理!$AK$3:$AK$98,$E41))))</f>
        <v/>
      </c>
      <c r="B41" s="51" t="str">
        <f>IF($E41="","",IF($JL41=1,"",INDEX(工数管理!$A$3:$A$98,$E41)&amp;""))</f>
        <v/>
      </c>
      <c r="C41" s="50" t="str">
        <f>IF($E41="","",IF($JL41=1,"",INDEX(工数管理!$B$3:$B$98,$E41)&amp;""))</f>
        <v/>
      </c>
      <c r="D41" s="50" t="str">
        <f>IF($E41="","",INDEX(工数管理!$H$3:$H$98,$E41)&amp;"")</f>
        <v/>
      </c>
      <c r="E41" t="str">
        <f>IFERROR(MATCH(SMALL(工数管理!$BP$3:$BP$98,ROW()-3),工数管理!$BP$3:$BP$98,0),"")</f>
        <v/>
      </c>
      <c r="F41" t="str">
        <f>IF($E41="","",IF(INDEX(工数管理!$K$3:$K$98,$E41)="","",INDEX(工数管理!$K$3:$K$98,$E41)))</f>
        <v/>
      </c>
      <c r="G41" t="str">
        <f>IF($E41="","",IF(INDEX(工数管理!$L$3:$L$98,$E41)="","",INDEX(工数管理!$L$3:$L$98,$E41)))</f>
        <v/>
      </c>
      <c r="H41" t="str">
        <f>IF($E41="","",IF(INDEX(工数管理!$M$3:$M$98,$E41)="","",INDEX(工数管理!$M$3:$M$98,$E41)))</f>
        <v/>
      </c>
      <c r="I41" t="str">
        <f>IF($E41="","",IF(INDEX(工数管理!$N$3:$N$98,$E41)="","",INDEX(工数管理!$N$3:$N$98,$E41)))</f>
        <v/>
      </c>
      <c r="J41" t="str">
        <f>IF($E41="","",IF(INDEX(工数管理!$O$3:$O$98,$E41)="","",INDEX(工数管理!$O$3:$O$98,$E41)))</f>
        <v/>
      </c>
      <c r="K41" t="str">
        <f>IF($E41="","",IF(INDEX(工数管理!$P$3:$P$98,$E41)="","",INDEX(工数管理!$P$3:$P$98,$E41)))</f>
        <v/>
      </c>
      <c r="L41" t="str">
        <f>IF($E41="","",IF(INDEX(工数管理!$Q$3:$Q$98,$E41)="","",INDEX(工数管理!$Q$3:$Q$98,$E41)))</f>
        <v/>
      </c>
      <c r="M41" t="str">
        <f>IF($E41="","",IF(INDEX(工数管理!$R$3:$R$98,$E41)="","",INDEX(工数管理!$R$3:$R$98,$E41)))</f>
        <v/>
      </c>
      <c r="N41" t="str">
        <f>IF($E41="","",IF(INDEX(工数管理!$S$3:$S$98,$E41)="","",INDEX(工数管理!$S$3:$S$98,$E41)))</f>
        <v/>
      </c>
      <c r="O41" t="str">
        <f>IF($E41="","",IF(INDEX(工数管理!$T$3:$T$98,$E41)="","",INDEX(工数管理!$T$3:$T$98,$E41)))</f>
        <v/>
      </c>
      <c r="P41" t="str">
        <f>IF($E41="","",IF(INDEX(工数管理!$U$3:$U$98,$E41)="","",INDEX(工数管理!$U$3:$U$98,$E41)))</f>
        <v/>
      </c>
      <c r="Q41" t="str">
        <f>IF($E41="","",IF(INDEX(工数管理!$V$3:$V$98,$E41)="","",INDEX(工数管理!$V$3:$V$98,$E41)))</f>
        <v/>
      </c>
      <c r="R41" t="str">
        <f>IF($E41="","",IF(INDEX(工数管理!$W$3:$W$98,$E41)="","",INDEX(工数管理!$W$3:$W$98,$E41)))</f>
        <v/>
      </c>
      <c r="S41" t="str">
        <f>IF($E41="","",IF(INDEX(工数管理!$X$3:$X$98,$E41)="","",INDEX(工数管理!$X$3:$X$98,$E41)))</f>
        <v/>
      </c>
      <c r="T41" t="str">
        <f>IF($E41="","",IF(INDEX(工数管理!$Y$3:$Y$98,$E41)="","",INDEX(工数管理!$Y$3:$Y$98,$E41)))</f>
        <v/>
      </c>
      <c r="U41" t="str">
        <f>IF($E41="","",IF(INDEX(工数管理!$Z$3:$Z$98,$E41)="","",INDEX(工数管理!$Z$3:$Z$98,$E41)))</f>
        <v/>
      </c>
      <c r="V41" t="str">
        <f>IF($E41="","",IF(INDEX(工数管理!$AA$3:$AA$98,$E41)="","",INDEX(工数管理!$AA$3:$AA$98,$E41)))</f>
        <v/>
      </c>
      <c r="W41" t="str">
        <f>IF($E41="","",IF(INDEX(工数管理!$AB$3:$AB$98,$E41)="","",INDEX(工数管理!$AB$3:$AB$98,$E41)))</f>
        <v/>
      </c>
      <c r="X41" t="str">
        <f>IF($E41="","",IF(INDEX(工数管理!$AC$3:$AC$98,$E41)="","",INDEX(工数管理!$AC$3:$AC$98,$E41)))</f>
        <v/>
      </c>
      <c r="Y41" t="str">
        <f>IF($E41="","",IF(INDEX(工数管理!$AD$3:$AD$98,$E41)="","",INDEX(工数管理!$AD$3:$AD$98,$E41)))</f>
        <v/>
      </c>
      <c r="Z41" t="str">
        <f>IF($E41="","",IF(INDEX(工数管理!$AE$3:$AE$98,$E41)="","",INDEX(工数管理!$AE$3:$AE$98,$E41)))</f>
        <v/>
      </c>
      <c r="AA41" t="str">
        <f>IF($E41="","",IF(INDEX(工数管理!$AF$3:$AF$98,$E41)="","",INDEX(工数管理!$AF$3:$AF$98,$E41)))</f>
        <v/>
      </c>
      <c r="AB41" t="str">
        <f>IF($E41="","",IF(INDEX(工数管理!$AG$3:$AG$98,$E41)="","",INDEX(工数管理!$AG$3:$AG$98,$E41)))</f>
        <v/>
      </c>
      <c r="AC41" t="str">
        <f>IF($E41="","",IF(INDEX(工数管理!$AH$3:$AH$98,$E41)="","",INDEX(工数管理!$AH$3:$AH$98,$E41)))</f>
        <v/>
      </c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2"/>
      <c r="FF41" s="52"/>
      <c r="FG41" s="52"/>
      <c r="FH41" s="52"/>
      <c r="FI41" s="52"/>
      <c r="FJ41" s="52"/>
      <c r="FK41" s="52"/>
      <c r="FL41" s="52"/>
      <c r="FM41" s="52"/>
      <c r="FN41" s="52"/>
      <c r="FO41" s="52"/>
      <c r="FP41" s="52"/>
      <c r="FQ41" s="52"/>
      <c r="FR41" s="52"/>
      <c r="FS41" s="52"/>
      <c r="FT41" s="52"/>
      <c r="FU41" s="52"/>
      <c r="FV41" s="52"/>
      <c r="FW41" s="52"/>
      <c r="FX41" s="52"/>
      <c r="FY41" s="52"/>
      <c r="FZ41" s="52"/>
      <c r="GA41" s="52"/>
      <c r="GB41" s="52"/>
      <c r="GC41" s="52"/>
      <c r="GD41" s="52"/>
      <c r="GE41" s="52"/>
      <c r="GF41" s="52"/>
      <c r="GG41" s="52"/>
      <c r="GH41" s="52"/>
      <c r="GI41" s="52"/>
      <c r="GJ41" s="52"/>
      <c r="GK41" s="52"/>
      <c r="GL41" s="52"/>
      <c r="GM41" s="52"/>
      <c r="GN41" s="52"/>
      <c r="GO41" s="52"/>
      <c r="GP41" s="52"/>
      <c r="GQ41" s="52"/>
      <c r="GR41" s="52"/>
      <c r="GS41" s="52"/>
      <c r="GT41" s="52"/>
      <c r="GU41" s="52"/>
      <c r="GV41" s="52"/>
      <c r="GW41" s="52"/>
      <c r="GX41" s="52"/>
      <c r="GY41" s="52"/>
      <c r="GZ41" s="52"/>
      <c r="HA41" s="52"/>
      <c r="HB41" s="52"/>
      <c r="HC41" s="52"/>
      <c r="HD41" s="52"/>
      <c r="HE41" s="52"/>
      <c r="HF41" s="52"/>
      <c r="HG41" s="52"/>
      <c r="HH41" s="52"/>
      <c r="HI41" s="52"/>
      <c r="HJ41" s="52"/>
      <c r="HK41" s="52"/>
      <c r="HL41" s="52"/>
      <c r="HM41" s="52"/>
      <c r="HN41" s="52"/>
      <c r="HO41" s="52"/>
      <c r="HP41" s="52"/>
      <c r="HQ41" s="52"/>
      <c r="HR41" s="52"/>
      <c r="HS41" s="52"/>
      <c r="HT41" s="52"/>
      <c r="HU41" s="52"/>
      <c r="HV41" s="52"/>
      <c r="HW41" s="52"/>
      <c r="HX41" s="52"/>
      <c r="HY41" s="52"/>
      <c r="HZ41" s="52"/>
      <c r="IA41" s="52"/>
      <c r="IB41" s="52"/>
      <c r="IC41" s="52"/>
      <c r="ID41" s="52"/>
      <c r="IE41" s="52"/>
      <c r="IF41" s="52"/>
      <c r="IG41" s="52"/>
      <c r="IH41" s="52"/>
      <c r="II41" s="52"/>
      <c r="IJ41" s="52"/>
      <c r="IK41" s="52"/>
      <c r="IL41" s="52"/>
      <c r="IM41" s="52"/>
      <c r="IN41" s="52"/>
      <c r="IO41" s="52"/>
      <c r="IP41" s="52"/>
      <c r="IQ41" s="52"/>
      <c r="IR41" s="52"/>
      <c r="IS41" s="52"/>
      <c r="IT41" s="52"/>
      <c r="IU41" s="52"/>
      <c r="IV41" s="52"/>
      <c r="IW41" s="52"/>
      <c r="IX41" s="52"/>
      <c r="IY41" s="52"/>
      <c r="IZ41" s="52"/>
      <c r="JA41" s="52"/>
      <c r="JB41" s="52"/>
      <c r="JC41" s="52"/>
      <c r="JD41" s="52"/>
      <c r="JE41" s="52"/>
      <c r="JF41" s="52"/>
      <c r="JG41" s="52"/>
      <c r="JH41" s="52"/>
      <c r="JI41" s="52"/>
      <c r="JL41" t="str">
        <f>IF($E41="","",IF(INDEX(工数管理!$AJ$3:$AJ$98,$E41)&lt;&gt;"",1,0))</f>
        <v/>
      </c>
      <c r="JM41" t="str">
        <f>IF($E41="","",IFERROR(MATCH($A41,祝日!$J$1:$L$1,0),""))</f>
        <v/>
      </c>
    </row>
    <row r="42" spans="1:273" ht="14.25" customHeight="1" x14ac:dyDescent="0.15">
      <c r="A42" s="50" t="str">
        <f>IF($E42="","",IF($JL42=1,INDEX(工数管理!$A$3:$A$98,$E42)&amp;"",IF(INDEX(工数管理!$AK$3:$AK$98,$E42)="","未割当",INDEX(工数管理!$AK$3:$AK$98,$E42))))</f>
        <v/>
      </c>
      <c r="B42" s="51" t="str">
        <f>IF($E42="","",IF($JL42=1,"",INDEX(工数管理!$A$3:$A$98,$E42)&amp;""))</f>
        <v/>
      </c>
      <c r="C42" s="50" t="str">
        <f>IF($E42="","",IF($JL42=1,"",INDEX(工数管理!$B$3:$B$98,$E42)&amp;""))</f>
        <v/>
      </c>
      <c r="D42" s="50" t="str">
        <f>IF($E42="","",INDEX(工数管理!$H$3:$H$98,$E42)&amp;"")</f>
        <v/>
      </c>
      <c r="E42" t="str">
        <f>IFERROR(MATCH(SMALL(工数管理!$BP$3:$BP$98,ROW()-3),工数管理!$BP$3:$BP$98,0),"")</f>
        <v/>
      </c>
      <c r="F42" t="str">
        <f>IF($E42="","",IF(INDEX(工数管理!$K$3:$K$98,$E42)="","",INDEX(工数管理!$K$3:$K$98,$E42)))</f>
        <v/>
      </c>
      <c r="G42" t="str">
        <f>IF($E42="","",IF(INDEX(工数管理!$L$3:$L$98,$E42)="","",INDEX(工数管理!$L$3:$L$98,$E42)))</f>
        <v/>
      </c>
      <c r="H42" t="str">
        <f>IF($E42="","",IF(INDEX(工数管理!$M$3:$M$98,$E42)="","",INDEX(工数管理!$M$3:$M$98,$E42)))</f>
        <v/>
      </c>
      <c r="I42" t="str">
        <f>IF($E42="","",IF(INDEX(工数管理!$N$3:$N$98,$E42)="","",INDEX(工数管理!$N$3:$N$98,$E42)))</f>
        <v/>
      </c>
      <c r="J42" t="str">
        <f>IF($E42="","",IF(INDEX(工数管理!$O$3:$O$98,$E42)="","",INDEX(工数管理!$O$3:$O$98,$E42)))</f>
        <v/>
      </c>
      <c r="K42" t="str">
        <f>IF($E42="","",IF(INDEX(工数管理!$P$3:$P$98,$E42)="","",INDEX(工数管理!$P$3:$P$98,$E42)))</f>
        <v/>
      </c>
      <c r="L42" t="str">
        <f>IF($E42="","",IF(INDEX(工数管理!$Q$3:$Q$98,$E42)="","",INDEX(工数管理!$Q$3:$Q$98,$E42)))</f>
        <v/>
      </c>
      <c r="M42" t="str">
        <f>IF($E42="","",IF(INDEX(工数管理!$R$3:$R$98,$E42)="","",INDEX(工数管理!$R$3:$R$98,$E42)))</f>
        <v/>
      </c>
      <c r="N42" t="str">
        <f>IF($E42="","",IF(INDEX(工数管理!$S$3:$S$98,$E42)="","",INDEX(工数管理!$S$3:$S$98,$E42)))</f>
        <v/>
      </c>
      <c r="O42" t="str">
        <f>IF($E42="","",IF(INDEX(工数管理!$T$3:$T$98,$E42)="","",INDEX(工数管理!$T$3:$T$98,$E42)))</f>
        <v/>
      </c>
      <c r="P42" t="str">
        <f>IF($E42="","",IF(INDEX(工数管理!$U$3:$U$98,$E42)="","",INDEX(工数管理!$U$3:$U$98,$E42)))</f>
        <v/>
      </c>
      <c r="Q42" t="str">
        <f>IF($E42="","",IF(INDEX(工数管理!$V$3:$V$98,$E42)="","",INDEX(工数管理!$V$3:$V$98,$E42)))</f>
        <v/>
      </c>
      <c r="R42" t="str">
        <f>IF($E42="","",IF(INDEX(工数管理!$W$3:$W$98,$E42)="","",INDEX(工数管理!$W$3:$W$98,$E42)))</f>
        <v/>
      </c>
      <c r="S42" t="str">
        <f>IF($E42="","",IF(INDEX(工数管理!$X$3:$X$98,$E42)="","",INDEX(工数管理!$X$3:$X$98,$E42)))</f>
        <v/>
      </c>
      <c r="T42" t="str">
        <f>IF($E42="","",IF(INDEX(工数管理!$Y$3:$Y$98,$E42)="","",INDEX(工数管理!$Y$3:$Y$98,$E42)))</f>
        <v/>
      </c>
      <c r="U42" t="str">
        <f>IF($E42="","",IF(INDEX(工数管理!$Z$3:$Z$98,$E42)="","",INDEX(工数管理!$Z$3:$Z$98,$E42)))</f>
        <v/>
      </c>
      <c r="V42" t="str">
        <f>IF($E42="","",IF(INDEX(工数管理!$AA$3:$AA$98,$E42)="","",INDEX(工数管理!$AA$3:$AA$98,$E42)))</f>
        <v/>
      </c>
      <c r="W42" t="str">
        <f>IF($E42="","",IF(INDEX(工数管理!$AB$3:$AB$98,$E42)="","",INDEX(工数管理!$AB$3:$AB$98,$E42)))</f>
        <v/>
      </c>
      <c r="X42" t="str">
        <f>IF($E42="","",IF(INDEX(工数管理!$AC$3:$AC$98,$E42)="","",INDEX(工数管理!$AC$3:$AC$98,$E42)))</f>
        <v/>
      </c>
      <c r="Y42" t="str">
        <f>IF($E42="","",IF(INDEX(工数管理!$AD$3:$AD$98,$E42)="","",INDEX(工数管理!$AD$3:$AD$98,$E42)))</f>
        <v/>
      </c>
      <c r="Z42" t="str">
        <f>IF($E42="","",IF(INDEX(工数管理!$AE$3:$AE$98,$E42)="","",INDEX(工数管理!$AE$3:$AE$98,$E42)))</f>
        <v/>
      </c>
      <c r="AA42" t="str">
        <f>IF($E42="","",IF(INDEX(工数管理!$AF$3:$AF$98,$E42)="","",INDEX(工数管理!$AF$3:$AF$98,$E42)))</f>
        <v/>
      </c>
      <c r="AB42" t="str">
        <f>IF($E42="","",IF(INDEX(工数管理!$AG$3:$AG$98,$E42)="","",INDEX(工数管理!$AG$3:$AG$98,$E42)))</f>
        <v/>
      </c>
      <c r="AC42" t="str">
        <f>IF($E42="","",IF(INDEX(工数管理!$AH$3:$AH$98,$E42)="","",INDEX(工数管理!$AH$3:$AH$98,$E42)))</f>
        <v/>
      </c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2"/>
      <c r="FB42" s="52"/>
      <c r="FC42" s="52"/>
      <c r="FD42" s="52"/>
      <c r="FE42" s="52"/>
      <c r="FF42" s="52"/>
      <c r="FG42" s="52"/>
      <c r="FH42" s="52"/>
      <c r="FI42" s="52"/>
      <c r="FJ42" s="52"/>
      <c r="FK42" s="52"/>
      <c r="FL42" s="52"/>
      <c r="FM42" s="52"/>
      <c r="FN42" s="52"/>
      <c r="FO42" s="52"/>
      <c r="FP42" s="52"/>
      <c r="FQ42" s="52"/>
      <c r="FR42" s="52"/>
      <c r="FS42" s="52"/>
      <c r="FT42" s="52"/>
      <c r="FU42" s="52"/>
      <c r="FV42" s="52"/>
      <c r="FW42" s="52"/>
      <c r="FX42" s="52"/>
      <c r="FY42" s="52"/>
      <c r="FZ42" s="52"/>
      <c r="GA42" s="52"/>
      <c r="GB42" s="52"/>
      <c r="GC42" s="52"/>
      <c r="GD42" s="52"/>
      <c r="GE42" s="52"/>
      <c r="GF42" s="52"/>
      <c r="GG42" s="52"/>
      <c r="GH42" s="52"/>
      <c r="GI42" s="52"/>
      <c r="GJ42" s="52"/>
      <c r="GK42" s="52"/>
      <c r="GL42" s="52"/>
      <c r="GM42" s="52"/>
      <c r="GN42" s="52"/>
      <c r="GO42" s="52"/>
      <c r="GP42" s="52"/>
      <c r="GQ42" s="52"/>
      <c r="GR42" s="52"/>
      <c r="GS42" s="52"/>
      <c r="GT42" s="52"/>
      <c r="GU42" s="52"/>
      <c r="GV42" s="52"/>
      <c r="GW42" s="52"/>
      <c r="GX42" s="52"/>
      <c r="GY42" s="52"/>
      <c r="GZ42" s="52"/>
      <c r="HA42" s="52"/>
      <c r="HB42" s="52"/>
      <c r="HC42" s="52"/>
      <c r="HD42" s="52"/>
      <c r="HE42" s="52"/>
      <c r="HF42" s="52"/>
      <c r="HG42" s="52"/>
      <c r="HH42" s="52"/>
      <c r="HI42" s="52"/>
      <c r="HJ42" s="52"/>
      <c r="HK42" s="52"/>
      <c r="HL42" s="52"/>
      <c r="HM42" s="52"/>
      <c r="HN42" s="52"/>
      <c r="HO42" s="52"/>
      <c r="HP42" s="52"/>
      <c r="HQ42" s="52"/>
      <c r="HR42" s="52"/>
      <c r="HS42" s="52"/>
      <c r="HT42" s="52"/>
      <c r="HU42" s="52"/>
      <c r="HV42" s="52"/>
      <c r="HW42" s="52"/>
      <c r="HX42" s="52"/>
      <c r="HY42" s="52"/>
      <c r="HZ42" s="52"/>
      <c r="IA42" s="52"/>
      <c r="IB42" s="52"/>
      <c r="IC42" s="52"/>
      <c r="ID42" s="52"/>
      <c r="IE42" s="52"/>
      <c r="IF42" s="52"/>
      <c r="IG42" s="52"/>
      <c r="IH42" s="52"/>
      <c r="II42" s="52"/>
      <c r="IJ42" s="52"/>
      <c r="IK42" s="52"/>
      <c r="IL42" s="52"/>
      <c r="IM42" s="52"/>
      <c r="IN42" s="52"/>
      <c r="IO42" s="52"/>
      <c r="IP42" s="52"/>
      <c r="IQ42" s="52"/>
      <c r="IR42" s="52"/>
      <c r="IS42" s="52"/>
      <c r="IT42" s="52"/>
      <c r="IU42" s="52"/>
      <c r="IV42" s="52"/>
      <c r="IW42" s="52"/>
      <c r="IX42" s="52"/>
      <c r="IY42" s="52"/>
      <c r="IZ42" s="52"/>
      <c r="JA42" s="52"/>
      <c r="JB42" s="52"/>
      <c r="JC42" s="52"/>
      <c r="JD42" s="52"/>
      <c r="JE42" s="52"/>
      <c r="JF42" s="52"/>
      <c r="JG42" s="52"/>
      <c r="JH42" s="52"/>
      <c r="JI42" s="52"/>
      <c r="JL42" t="str">
        <f>IF($E42="","",IF(INDEX(工数管理!$AJ$3:$AJ$98,$E42)&lt;&gt;"",1,0))</f>
        <v/>
      </c>
      <c r="JM42" t="str">
        <f>IF($E42="","",IFERROR(MATCH($A42,祝日!$J$1:$L$1,0),""))</f>
        <v/>
      </c>
    </row>
    <row r="43" spans="1:273" ht="14.25" customHeight="1" x14ac:dyDescent="0.15">
      <c r="A43" s="50" t="str">
        <f>IF($E43="","",IF($JL43=1,INDEX(工数管理!$A$3:$A$98,$E43)&amp;"",IF(INDEX(工数管理!$AK$3:$AK$98,$E43)="","未割当",INDEX(工数管理!$AK$3:$AK$98,$E43))))</f>
        <v/>
      </c>
      <c r="B43" s="51" t="str">
        <f>IF($E43="","",IF($JL43=1,"",INDEX(工数管理!$A$3:$A$98,$E43)&amp;""))</f>
        <v/>
      </c>
      <c r="C43" s="50" t="str">
        <f>IF($E43="","",IF($JL43=1,"",INDEX(工数管理!$B$3:$B$98,$E43)&amp;""))</f>
        <v/>
      </c>
      <c r="D43" s="50" t="str">
        <f>IF($E43="","",INDEX(工数管理!$H$3:$H$98,$E43)&amp;"")</f>
        <v/>
      </c>
      <c r="E43" t="str">
        <f>IFERROR(MATCH(SMALL(工数管理!$BP$3:$BP$98,ROW()-3),工数管理!$BP$3:$BP$98,0),"")</f>
        <v/>
      </c>
      <c r="F43" t="str">
        <f>IF($E43="","",IF(INDEX(工数管理!$K$3:$K$98,$E43)="","",INDEX(工数管理!$K$3:$K$98,$E43)))</f>
        <v/>
      </c>
      <c r="G43" t="str">
        <f>IF($E43="","",IF(INDEX(工数管理!$L$3:$L$98,$E43)="","",INDEX(工数管理!$L$3:$L$98,$E43)))</f>
        <v/>
      </c>
      <c r="H43" t="str">
        <f>IF($E43="","",IF(INDEX(工数管理!$M$3:$M$98,$E43)="","",INDEX(工数管理!$M$3:$M$98,$E43)))</f>
        <v/>
      </c>
      <c r="I43" t="str">
        <f>IF($E43="","",IF(INDEX(工数管理!$N$3:$N$98,$E43)="","",INDEX(工数管理!$N$3:$N$98,$E43)))</f>
        <v/>
      </c>
      <c r="J43" t="str">
        <f>IF($E43="","",IF(INDEX(工数管理!$O$3:$O$98,$E43)="","",INDEX(工数管理!$O$3:$O$98,$E43)))</f>
        <v/>
      </c>
      <c r="K43" t="str">
        <f>IF($E43="","",IF(INDEX(工数管理!$P$3:$P$98,$E43)="","",INDEX(工数管理!$P$3:$P$98,$E43)))</f>
        <v/>
      </c>
      <c r="L43" t="str">
        <f>IF($E43="","",IF(INDEX(工数管理!$Q$3:$Q$98,$E43)="","",INDEX(工数管理!$Q$3:$Q$98,$E43)))</f>
        <v/>
      </c>
      <c r="M43" t="str">
        <f>IF($E43="","",IF(INDEX(工数管理!$R$3:$R$98,$E43)="","",INDEX(工数管理!$R$3:$R$98,$E43)))</f>
        <v/>
      </c>
      <c r="N43" t="str">
        <f>IF($E43="","",IF(INDEX(工数管理!$S$3:$S$98,$E43)="","",INDEX(工数管理!$S$3:$S$98,$E43)))</f>
        <v/>
      </c>
      <c r="O43" t="str">
        <f>IF($E43="","",IF(INDEX(工数管理!$T$3:$T$98,$E43)="","",INDEX(工数管理!$T$3:$T$98,$E43)))</f>
        <v/>
      </c>
      <c r="P43" t="str">
        <f>IF($E43="","",IF(INDEX(工数管理!$U$3:$U$98,$E43)="","",INDEX(工数管理!$U$3:$U$98,$E43)))</f>
        <v/>
      </c>
      <c r="Q43" t="str">
        <f>IF($E43="","",IF(INDEX(工数管理!$V$3:$V$98,$E43)="","",INDEX(工数管理!$V$3:$V$98,$E43)))</f>
        <v/>
      </c>
      <c r="R43" t="str">
        <f>IF($E43="","",IF(INDEX(工数管理!$W$3:$W$98,$E43)="","",INDEX(工数管理!$W$3:$W$98,$E43)))</f>
        <v/>
      </c>
      <c r="S43" t="str">
        <f>IF($E43="","",IF(INDEX(工数管理!$X$3:$X$98,$E43)="","",INDEX(工数管理!$X$3:$X$98,$E43)))</f>
        <v/>
      </c>
      <c r="T43" t="str">
        <f>IF($E43="","",IF(INDEX(工数管理!$Y$3:$Y$98,$E43)="","",INDEX(工数管理!$Y$3:$Y$98,$E43)))</f>
        <v/>
      </c>
      <c r="U43" t="str">
        <f>IF($E43="","",IF(INDEX(工数管理!$Z$3:$Z$98,$E43)="","",INDEX(工数管理!$Z$3:$Z$98,$E43)))</f>
        <v/>
      </c>
      <c r="V43" t="str">
        <f>IF($E43="","",IF(INDEX(工数管理!$AA$3:$AA$98,$E43)="","",INDEX(工数管理!$AA$3:$AA$98,$E43)))</f>
        <v/>
      </c>
      <c r="W43" t="str">
        <f>IF($E43="","",IF(INDEX(工数管理!$AB$3:$AB$98,$E43)="","",INDEX(工数管理!$AB$3:$AB$98,$E43)))</f>
        <v/>
      </c>
      <c r="X43" t="str">
        <f>IF($E43="","",IF(INDEX(工数管理!$AC$3:$AC$98,$E43)="","",INDEX(工数管理!$AC$3:$AC$98,$E43)))</f>
        <v/>
      </c>
      <c r="Y43" t="str">
        <f>IF($E43="","",IF(INDEX(工数管理!$AD$3:$AD$98,$E43)="","",INDEX(工数管理!$AD$3:$AD$98,$E43)))</f>
        <v/>
      </c>
      <c r="Z43" t="str">
        <f>IF($E43="","",IF(INDEX(工数管理!$AE$3:$AE$98,$E43)="","",INDEX(工数管理!$AE$3:$AE$98,$E43)))</f>
        <v/>
      </c>
      <c r="AA43" t="str">
        <f>IF($E43="","",IF(INDEX(工数管理!$AF$3:$AF$98,$E43)="","",INDEX(工数管理!$AF$3:$AF$98,$E43)))</f>
        <v/>
      </c>
      <c r="AB43" t="str">
        <f>IF($E43="","",IF(INDEX(工数管理!$AG$3:$AG$98,$E43)="","",INDEX(工数管理!$AG$3:$AG$98,$E43)))</f>
        <v/>
      </c>
      <c r="AC43" t="str">
        <f>IF($E43="","",IF(INDEX(工数管理!$AH$3:$AH$98,$E43)="","",INDEX(工数管理!$AH$3:$AH$98,$E43)))</f>
        <v/>
      </c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  <c r="EY43" s="52"/>
      <c r="EZ43" s="52"/>
      <c r="FA43" s="52"/>
      <c r="FB43" s="52"/>
      <c r="FC43" s="52"/>
      <c r="FD43" s="52"/>
      <c r="FE43" s="52"/>
      <c r="FF43" s="52"/>
      <c r="FG43" s="52"/>
      <c r="FH43" s="52"/>
      <c r="FI43" s="52"/>
      <c r="FJ43" s="52"/>
      <c r="FK43" s="52"/>
      <c r="FL43" s="52"/>
      <c r="FM43" s="52"/>
      <c r="FN43" s="52"/>
      <c r="FO43" s="52"/>
      <c r="FP43" s="52"/>
      <c r="FQ43" s="52"/>
      <c r="FR43" s="52"/>
      <c r="FS43" s="52"/>
      <c r="FT43" s="52"/>
      <c r="FU43" s="52"/>
      <c r="FV43" s="52"/>
      <c r="FW43" s="52"/>
      <c r="FX43" s="52"/>
      <c r="FY43" s="52"/>
      <c r="FZ43" s="52"/>
      <c r="GA43" s="52"/>
      <c r="GB43" s="52"/>
      <c r="GC43" s="52"/>
      <c r="GD43" s="52"/>
      <c r="GE43" s="52"/>
      <c r="GF43" s="52"/>
      <c r="GG43" s="52"/>
      <c r="GH43" s="52"/>
      <c r="GI43" s="52"/>
      <c r="GJ43" s="52"/>
      <c r="GK43" s="52"/>
      <c r="GL43" s="52"/>
      <c r="GM43" s="52"/>
      <c r="GN43" s="52"/>
      <c r="GO43" s="52"/>
      <c r="GP43" s="52"/>
      <c r="GQ43" s="52"/>
      <c r="GR43" s="52"/>
      <c r="GS43" s="52"/>
      <c r="GT43" s="52"/>
      <c r="GU43" s="52"/>
      <c r="GV43" s="52"/>
      <c r="GW43" s="52"/>
      <c r="GX43" s="52"/>
      <c r="GY43" s="52"/>
      <c r="GZ43" s="52"/>
      <c r="HA43" s="52"/>
      <c r="HB43" s="52"/>
      <c r="HC43" s="52"/>
      <c r="HD43" s="52"/>
      <c r="HE43" s="52"/>
      <c r="HF43" s="52"/>
      <c r="HG43" s="52"/>
      <c r="HH43" s="52"/>
      <c r="HI43" s="52"/>
      <c r="HJ43" s="52"/>
      <c r="HK43" s="52"/>
      <c r="HL43" s="52"/>
      <c r="HM43" s="52"/>
      <c r="HN43" s="52"/>
      <c r="HO43" s="52"/>
      <c r="HP43" s="52"/>
      <c r="HQ43" s="52"/>
      <c r="HR43" s="52"/>
      <c r="HS43" s="52"/>
      <c r="HT43" s="52"/>
      <c r="HU43" s="52"/>
      <c r="HV43" s="52"/>
      <c r="HW43" s="52"/>
      <c r="HX43" s="52"/>
      <c r="HY43" s="52"/>
      <c r="HZ43" s="52"/>
      <c r="IA43" s="52"/>
      <c r="IB43" s="52"/>
      <c r="IC43" s="52"/>
      <c r="ID43" s="52"/>
      <c r="IE43" s="52"/>
      <c r="IF43" s="52"/>
      <c r="IG43" s="52"/>
      <c r="IH43" s="52"/>
      <c r="II43" s="52"/>
      <c r="IJ43" s="52"/>
      <c r="IK43" s="52"/>
      <c r="IL43" s="52"/>
      <c r="IM43" s="52"/>
      <c r="IN43" s="52"/>
      <c r="IO43" s="52"/>
      <c r="IP43" s="52"/>
      <c r="IQ43" s="52"/>
      <c r="IR43" s="52"/>
      <c r="IS43" s="52"/>
      <c r="IT43" s="52"/>
      <c r="IU43" s="52"/>
      <c r="IV43" s="52"/>
      <c r="IW43" s="52"/>
      <c r="IX43" s="52"/>
      <c r="IY43" s="52"/>
      <c r="IZ43" s="52"/>
      <c r="JA43" s="52"/>
      <c r="JB43" s="52"/>
      <c r="JC43" s="52"/>
      <c r="JD43" s="52"/>
      <c r="JE43" s="52"/>
      <c r="JF43" s="52"/>
      <c r="JG43" s="52"/>
      <c r="JH43" s="52"/>
      <c r="JI43" s="52"/>
      <c r="JL43" t="str">
        <f>IF($E43="","",IF(INDEX(工数管理!$AJ$3:$AJ$98,$E43)&lt;&gt;"",1,0))</f>
        <v/>
      </c>
      <c r="JM43" t="str">
        <f>IF($E43="","",IFERROR(MATCH($A43,祝日!$J$1:$L$1,0),""))</f>
        <v/>
      </c>
    </row>
    <row r="44" spans="1:273" ht="14.25" customHeight="1" x14ac:dyDescent="0.15">
      <c r="A44" s="50" t="str">
        <f>IF($E44="","",IF($JL44=1,INDEX(工数管理!$A$3:$A$98,$E44)&amp;"",IF(INDEX(工数管理!$AK$3:$AK$98,$E44)="","未割当",INDEX(工数管理!$AK$3:$AK$98,$E44))))</f>
        <v/>
      </c>
      <c r="B44" s="51" t="str">
        <f>IF($E44="","",IF($JL44=1,"",INDEX(工数管理!$A$3:$A$98,$E44)&amp;""))</f>
        <v/>
      </c>
      <c r="C44" s="50" t="str">
        <f>IF($E44="","",IF($JL44=1,"",INDEX(工数管理!$B$3:$B$98,$E44)&amp;""))</f>
        <v/>
      </c>
      <c r="D44" s="50" t="str">
        <f>IF($E44="","",INDEX(工数管理!$H$3:$H$98,$E44)&amp;"")</f>
        <v/>
      </c>
      <c r="E44" t="str">
        <f>IFERROR(MATCH(SMALL(工数管理!$BP$3:$BP$98,ROW()-3),工数管理!$BP$3:$BP$98,0),"")</f>
        <v/>
      </c>
      <c r="F44" t="str">
        <f>IF($E44="","",IF(INDEX(工数管理!$K$3:$K$98,$E44)="","",INDEX(工数管理!$K$3:$K$98,$E44)))</f>
        <v/>
      </c>
      <c r="G44" t="str">
        <f>IF($E44="","",IF(INDEX(工数管理!$L$3:$L$98,$E44)="","",INDEX(工数管理!$L$3:$L$98,$E44)))</f>
        <v/>
      </c>
      <c r="H44" t="str">
        <f>IF($E44="","",IF(INDEX(工数管理!$M$3:$M$98,$E44)="","",INDEX(工数管理!$M$3:$M$98,$E44)))</f>
        <v/>
      </c>
      <c r="I44" t="str">
        <f>IF($E44="","",IF(INDEX(工数管理!$N$3:$N$98,$E44)="","",INDEX(工数管理!$N$3:$N$98,$E44)))</f>
        <v/>
      </c>
      <c r="J44" t="str">
        <f>IF($E44="","",IF(INDEX(工数管理!$O$3:$O$98,$E44)="","",INDEX(工数管理!$O$3:$O$98,$E44)))</f>
        <v/>
      </c>
      <c r="K44" t="str">
        <f>IF($E44="","",IF(INDEX(工数管理!$P$3:$P$98,$E44)="","",INDEX(工数管理!$P$3:$P$98,$E44)))</f>
        <v/>
      </c>
      <c r="L44" t="str">
        <f>IF($E44="","",IF(INDEX(工数管理!$Q$3:$Q$98,$E44)="","",INDEX(工数管理!$Q$3:$Q$98,$E44)))</f>
        <v/>
      </c>
      <c r="M44" t="str">
        <f>IF($E44="","",IF(INDEX(工数管理!$R$3:$R$98,$E44)="","",INDEX(工数管理!$R$3:$R$98,$E44)))</f>
        <v/>
      </c>
      <c r="N44" t="str">
        <f>IF($E44="","",IF(INDEX(工数管理!$S$3:$S$98,$E44)="","",INDEX(工数管理!$S$3:$S$98,$E44)))</f>
        <v/>
      </c>
      <c r="O44" t="str">
        <f>IF($E44="","",IF(INDEX(工数管理!$T$3:$T$98,$E44)="","",INDEX(工数管理!$T$3:$T$98,$E44)))</f>
        <v/>
      </c>
      <c r="P44" t="str">
        <f>IF($E44="","",IF(INDEX(工数管理!$U$3:$U$98,$E44)="","",INDEX(工数管理!$U$3:$U$98,$E44)))</f>
        <v/>
      </c>
      <c r="Q44" t="str">
        <f>IF($E44="","",IF(INDEX(工数管理!$V$3:$V$98,$E44)="","",INDEX(工数管理!$V$3:$V$98,$E44)))</f>
        <v/>
      </c>
      <c r="R44" t="str">
        <f>IF($E44="","",IF(INDEX(工数管理!$W$3:$W$98,$E44)="","",INDEX(工数管理!$W$3:$W$98,$E44)))</f>
        <v/>
      </c>
      <c r="S44" t="str">
        <f>IF($E44="","",IF(INDEX(工数管理!$X$3:$X$98,$E44)="","",INDEX(工数管理!$X$3:$X$98,$E44)))</f>
        <v/>
      </c>
      <c r="T44" t="str">
        <f>IF($E44="","",IF(INDEX(工数管理!$Y$3:$Y$98,$E44)="","",INDEX(工数管理!$Y$3:$Y$98,$E44)))</f>
        <v/>
      </c>
      <c r="U44" t="str">
        <f>IF($E44="","",IF(INDEX(工数管理!$Z$3:$Z$98,$E44)="","",INDEX(工数管理!$Z$3:$Z$98,$E44)))</f>
        <v/>
      </c>
      <c r="V44" t="str">
        <f>IF($E44="","",IF(INDEX(工数管理!$AA$3:$AA$98,$E44)="","",INDEX(工数管理!$AA$3:$AA$98,$E44)))</f>
        <v/>
      </c>
      <c r="W44" t="str">
        <f>IF($E44="","",IF(INDEX(工数管理!$AB$3:$AB$98,$E44)="","",INDEX(工数管理!$AB$3:$AB$98,$E44)))</f>
        <v/>
      </c>
      <c r="X44" t="str">
        <f>IF($E44="","",IF(INDEX(工数管理!$AC$3:$AC$98,$E44)="","",INDEX(工数管理!$AC$3:$AC$98,$E44)))</f>
        <v/>
      </c>
      <c r="Y44" t="str">
        <f>IF($E44="","",IF(INDEX(工数管理!$AD$3:$AD$98,$E44)="","",INDEX(工数管理!$AD$3:$AD$98,$E44)))</f>
        <v/>
      </c>
      <c r="Z44" t="str">
        <f>IF($E44="","",IF(INDEX(工数管理!$AE$3:$AE$98,$E44)="","",INDEX(工数管理!$AE$3:$AE$98,$E44)))</f>
        <v/>
      </c>
      <c r="AA44" t="str">
        <f>IF($E44="","",IF(INDEX(工数管理!$AF$3:$AF$98,$E44)="","",INDEX(工数管理!$AF$3:$AF$98,$E44)))</f>
        <v/>
      </c>
      <c r="AB44" t="str">
        <f>IF($E44="","",IF(INDEX(工数管理!$AG$3:$AG$98,$E44)="","",INDEX(工数管理!$AG$3:$AG$98,$E44)))</f>
        <v/>
      </c>
      <c r="AC44" t="str">
        <f>IF($E44="","",IF(INDEX(工数管理!$AH$3:$AH$98,$E44)="","",INDEX(工数管理!$AH$3:$AH$98,$E44)))</f>
        <v/>
      </c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2"/>
      <c r="FE44" s="52"/>
      <c r="FF44" s="52"/>
      <c r="FG44" s="52"/>
      <c r="FH44" s="52"/>
      <c r="FI44" s="52"/>
      <c r="FJ44" s="52"/>
      <c r="FK44" s="52"/>
      <c r="FL44" s="52"/>
      <c r="FM44" s="52"/>
      <c r="FN44" s="52"/>
      <c r="FO44" s="52"/>
      <c r="FP44" s="52"/>
      <c r="FQ44" s="52"/>
      <c r="FR44" s="52"/>
      <c r="FS44" s="52"/>
      <c r="FT44" s="52"/>
      <c r="FU44" s="52"/>
      <c r="FV44" s="52"/>
      <c r="FW44" s="52"/>
      <c r="FX44" s="52"/>
      <c r="FY44" s="52"/>
      <c r="FZ44" s="52"/>
      <c r="GA44" s="52"/>
      <c r="GB44" s="52"/>
      <c r="GC44" s="52"/>
      <c r="GD44" s="52"/>
      <c r="GE44" s="52"/>
      <c r="GF44" s="52"/>
      <c r="GG44" s="52"/>
      <c r="GH44" s="52"/>
      <c r="GI44" s="52"/>
      <c r="GJ44" s="52"/>
      <c r="GK44" s="52"/>
      <c r="GL44" s="52"/>
      <c r="GM44" s="52"/>
      <c r="GN44" s="52"/>
      <c r="GO44" s="52"/>
      <c r="GP44" s="52"/>
      <c r="GQ44" s="52"/>
      <c r="GR44" s="52"/>
      <c r="GS44" s="52"/>
      <c r="GT44" s="52"/>
      <c r="GU44" s="52"/>
      <c r="GV44" s="52"/>
      <c r="GW44" s="52"/>
      <c r="GX44" s="52"/>
      <c r="GY44" s="52"/>
      <c r="GZ44" s="52"/>
      <c r="HA44" s="52"/>
      <c r="HB44" s="52"/>
      <c r="HC44" s="52"/>
      <c r="HD44" s="52"/>
      <c r="HE44" s="52"/>
      <c r="HF44" s="52"/>
      <c r="HG44" s="52"/>
      <c r="HH44" s="52"/>
      <c r="HI44" s="52"/>
      <c r="HJ44" s="52"/>
      <c r="HK44" s="52"/>
      <c r="HL44" s="52"/>
      <c r="HM44" s="52"/>
      <c r="HN44" s="52"/>
      <c r="HO44" s="52"/>
      <c r="HP44" s="52"/>
      <c r="HQ44" s="52"/>
      <c r="HR44" s="52"/>
      <c r="HS44" s="52"/>
      <c r="HT44" s="52"/>
      <c r="HU44" s="52"/>
      <c r="HV44" s="52"/>
      <c r="HW44" s="52"/>
      <c r="HX44" s="52"/>
      <c r="HY44" s="52"/>
      <c r="HZ44" s="52"/>
      <c r="IA44" s="52"/>
      <c r="IB44" s="52"/>
      <c r="IC44" s="52"/>
      <c r="ID44" s="52"/>
      <c r="IE44" s="52"/>
      <c r="IF44" s="52"/>
      <c r="IG44" s="52"/>
      <c r="IH44" s="52"/>
      <c r="II44" s="52"/>
      <c r="IJ44" s="52"/>
      <c r="IK44" s="52"/>
      <c r="IL44" s="52"/>
      <c r="IM44" s="52"/>
      <c r="IN44" s="52"/>
      <c r="IO44" s="52"/>
      <c r="IP44" s="52"/>
      <c r="IQ44" s="52"/>
      <c r="IR44" s="52"/>
      <c r="IS44" s="52"/>
      <c r="IT44" s="52"/>
      <c r="IU44" s="52"/>
      <c r="IV44" s="52"/>
      <c r="IW44" s="52"/>
      <c r="IX44" s="52"/>
      <c r="IY44" s="52"/>
      <c r="IZ44" s="52"/>
      <c r="JA44" s="52"/>
      <c r="JB44" s="52"/>
      <c r="JC44" s="52"/>
      <c r="JD44" s="52"/>
      <c r="JE44" s="52"/>
      <c r="JF44" s="52"/>
      <c r="JG44" s="52"/>
      <c r="JH44" s="52"/>
      <c r="JI44" s="52"/>
      <c r="JL44" t="str">
        <f>IF($E44="","",IF(INDEX(工数管理!$AJ$3:$AJ$98,$E44)&lt;&gt;"",1,0))</f>
        <v/>
      </c>
      <c r="JM44" t="str">
        <f>IF($E44="","",IFERROR(MATCH($A44,祝日!$J$1:$L$1,0),""))</f>
        <v/>
      </c>
    </row>
    <row r="45" spans="1:273" ht="14.25" customHeight="1" x14ac:dyDescent="0.15">
      <c r="A45" s="50" t="str">
        <f>IF($E45="","",IF($JL45=1,INDEX(工数管理!$A$3:$A$98,$E45)&amp;"",IF(INDEX(工数管理!$AK$3:$AK$98,$E45)="","未割当",INDEX(工数管理!$AK$3:$AK$98,$E45))))</f>
        <v/>
      </c>
      <c r="B45" s="51" t="str">
        <f>IF($E45="","",IF($JL45=1,"",INDEX(工数管理!$A$3:$A$98,$E45)&amp;""))</f>
        <v/>
      </c>
      <c r="C45" s="50" t="str">
        <f>IF($E45="","",IF($JL45=1,"",INDEX(工数管理!$B$3:$B$98,$E45)&amp;""))</f>
        <v/>
      </c>
      <c r="D45" s="50" t="str">
        <f>IF($E45="","",INDEX(工数管理!$H$3:$H$98,$E45)&amp;"")</f>
        <v/>
      </c>
      <c r="E45" t="str">
        <f>IFERROR(MATCH(SMALL(工数管理!$BP$3:$BP$98,ROW()-3),工数管理!$BP$3:$BP$98,0),"")</f>
        <v/>
      </c>
      <c r="F45" t="str">
        <f>IF($E45="","",IF(INDEX(工数管理!$K$3:$K$98,$E45)="","",INDEX(工数管理!$K$3:$K$98,$E45)))</f>
        <v/>
      </c>
      <c r="G45" t="str">
        <f>IF($E45="","",IF(INDEX(工数管理!$L$3:$L$98,$E45)="","",INDEX(工数管理!$L$3:$L$98,$E45)))</f>
        <v/>
      </c>
      <c r="H45" t="str">
        <f>IF($E45="","",IF(INDEX(工数管理!$M$3:$M$98,$E45)="","",INDEX(工数管理!$M$3:$M$98,$E45)))</f>
        <v/>
      </c>
      <c r="I45" t="str">
        <f>IF($E45="","",IF(INDEX(工数管理!$N$3:$N$98,$E45)="","",INDEX(工数管理!$N$3:$N$98,$E45)))</f>
        <v/>
      </c>
      <c r="J45" t="str">
        <f>IF($E45="","",IF(INDEX(工数管理!$O$3:$O$98,$E45)="","",INDEX(工数管理!$O$3:$O$98,$E45)))</f>
        <v/>
      </c>
      <c r="K45" t="str">
        <f>IF($E45="","",IF(INDEX(工数管理!$P$3:$P$98,$E45)="","",INDEX(工数管理!$P$3:$P$98,$E45)))</f>
        <v/>
      </c>
      <c r="L45" t="str">
        <f>IF($E45="","",IF(INDEX(工数管理!$Q$3:$Q$98,$E45)="","",INDEX(工数管理!$Q$3:$Q$98,$E45)))</f>
        <v/>
      </c>
      <c r="M45" t="str">
        <f>IF($E45="","",IF(INDEX(工数管理!$R$3:$R$98,$E45)="","",INDEX(工数管理!$R$3:$R$98,$E45)))</f>
        <v/>
      </c>
      <c r="N45" t="str">
        <f>IF($E45="","",IF(INDEX(工数管理!$S$3:$S$98,$E45)="","",INDEX(工数管理!$S$3:$S$98,$E45)))</f>
        <v/>
      </c>
      <c r="O45" t="str">
        <f>IF($E45="","",IF(INDEX(工数管理!$T$3:$T$98,$E45)="","",INDEX(工数管理!$T$3:$T$98,$E45)))</f>
        <v/>
      </c>
      <c r="P45" t="str">
        <f>IF($E45="","",IF(INDEX(工数管理!$U$3:$U$98,$E45)="","",INDEX(工数管理!$U$3:$U$98,$E45)))</f>
        <v/>
      </c>
      <c r="Q45" t="str">
        <f>IF($E45="","",IF(INDEX(工数管理!$V$3:$V$98,$E45)="","",INDEX(工数管理!$V$3:$V$98,$E45)))</f>
        <v/>
      </c>
      <c r="R45" t="str">
        <f>IF($E45="","",IF(INDEX(工数管理!$W$3:$W$98,$E45)="","",INDEX(工数管理!$W$3:$W$98,$E45)))</f>
        <v/>
      </c>
      <c r="S45" t="str">
        <f>IF($E45="","",IF(INDEX(工数管理!$X$3:$X$98,$E45)="","",INDEX(工数管理!$X$3:$X$98,$E45)))</f>
        <v/>
      </c>
      <c r="T45" t="str">
        <f>IF($E45="","",IF(INDEX(工数管理!$Y$3:$Y$98,$E45)="","",INDEX(工数管理!$Y$3:$Y$98,$E45)))</f>
        <v/>
      </c>
      <c r="U45" t="str">
        <f>IF($E45="","",IF(INDEX(工数管理!$Z$3:$Z$98,$E45)="","",INDEX(工数管理!$Z$3:$Z$98,$E45)))</f>
        <v/>
      </c>
      <c r="V45" t="str">
        <f>IF($E45="","",IF(INDEX(工数管理!$AA$3:$AA$98,$E45)="","",INDEX(工数管理!$AA$3:$AA$98,$E45)))</f>
        <v/>
      </c>
      <c r="W45" t="str">
        <f>IF($E45="","",IF(INDEX(工数管理!$AB$3:$AB$98,$E45)="","",INDEX(工数管理!$AB$3:$AB$98,$E45)))</f>
        <v/>
      </c>
      <c r="X45" t="str">
        <f>IF($E45="","",IF(INDEX(工数管理!$AC$3:$AC$98,$E45)="","",INDEX(工数管理!$AC$3:$AC$98,$E45)))</f>
        <v/>
      </c>
      <c r="Y45" t="str">
        <f>IF($E45="","",IF(INDEX(工数管理!$AD$3:$AD$98,$E45)="","",INDEX(工数管理!$AD$3:$AD$98,$E45)))</f>
        <v/>
      </c>
      <c r="Z45" t="str">
        <f>IF($E45="","",IF(INDEX(工数管理!$AE$3:$AE$98,$E45)="","",INDEX(工数管理!$AE$3:$AE$98,$E45)))</f>
        <v/>
      </c>
      <c r="AA45" t="str">
        <f>IF($E45="","",IF(INDEX(工数管理!$AF$3:$AF$98,$E45)="","",INDEX(工数管理!$AF$3:$AF$98,$E45)))</f>
        <v/>
      </c>
      <c r="AB45" t="str">
        <f>IF($E45="","",IF(INDEX(工数管理!$AG$3:$AG$98,$E45)="","",INDEX(工数管理!$AG$3:$AG$98,$E45)))</f>
        <v/>
      </c>
      <c r="AC45" t="str">
        <f>IF($E45="","",IF(INDEX(工数管理!$AH$3:$AH$98,$E45)="","",INDEX(工数管理!$AH$3:$AH$98,$E45)))</f>
        <v/>
      </c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2"/>
      <c r="ES45" s="52"/>
      <c r="ET45" s="52"/>
      <c r="EU45" s="52"/>
      <c r="EV45" s="52"/>
      <c r="EW45" s="52"/>
      <c r="EX45" s="52"/>
      <c r="EY45" s="52"/>
      <c r="EZ45" s="52"/>
      <c r="FA45" s="52"/>
      <c r="FB45" s="52"/>
      <c r="FC45" s="52"/>
      <c r="FD45" s="52"/>
      <c r="FE45" s="52"/>
      <c r="FF45" s="52"/>
      <c r="FG45" s="52"/>
      <c r="FH45" s="52"/>
      <c r="FI45" s="52"/>
      <c r="FJ45" s="52"/>
      <c r="FK45" s="52"/>
      <c r="FL45" s="52"/>
      <c r="FM45" s="52"/>
      <c r="FN45" s="52"/>
      <c r="FO45" s="52"/>
      <c r="FP45" s="52"/>
      <c r="FQ45" s="52"/>
      <c r="FR45" s="52"/>
      <c r="FS45" s="52"/>
      <c r="FT45" s="52"/>
      <c r="FU45" s="52"/>
      <c r="FV45" s="52"/>
      <c r="FW45" s="52"/>
      <c r="FX45" s="52"/>
      <c r="FY45" s="52"/>
      <c r="FZ45" s="52"/>
      <c r="GA45" s="52"/>
      <c r="GB45" s="52"/>
      <c r="GC45" s="52"/>
      <c r="GD45" s="52"/>
      <c r="GE45" s="52"/>
      <c r="GF45" s="52"/>
      <c r="GG45" s="52"/>
      <c r="GH45" s="52"/>
      <c r="GI45" s="52"/>
      <c r="GJ45" s="52"/>
      <c r="GK45" s="52"/>
      <c r="GL45" s="52"/>
      <c r="GM45" s="52"/>
      <c r="GN45" s="52"/>
      <c r="GO45" s="52"/>
      <c r="GP45" s="52"/>
      <c r="GQ45" s="52"/>
      <c r="GR45" s="52"/>
      <c r="GS45" s="52"/>
      <c r="GT45" s="52"/>
      <c r="GU45" s="52"/>
      <c r="GV45" s="52"/>
      <c r="GW45" s="52"/>
      <c r="GX45" s="52"/>
      <c r="GY45" s="52"/>
      <c r="GZ45" s="52"/>
      <c r="HA45" s="52"/>
      <c r="HB45" s="52"/>
      <c r="HC45" s="52"/>
      <c r="HD45" s="52"/>
      <c r="HE45" s="52"/>
      <c r="HF45" s="52"/>
      <c r="HG45" s="52"/>
      <c r="HH45" s="52"/>
      <c r="HI45" s="52"/>
      <c r="HJ45" s="52"/>
      <c r="HK45" s="52"/>
      <c r="HL45" s="52"/>
      <c r="HM45" s="52"/>
      <c r="HN45" s="52"/>
      <c r="HO45" s="52"/>
      <c r="HP45" s="52"/>
      <c r="HQ45" s="52"/>
      <c r="HR45" s="52"/>
      <c r="HS45" s="52"/>
      <c r="HT45" s="52"/>
      <c r="HU45" s="52"/>
      <c r="HV45" s="52"/>
      <c r="HW45" s="52"/>
      <c r="HX45" s="52"/>
      <c r="HY45" s="52"/>
      <c r="HZ45" s="52"/>
      <c r="IA45" s="52"/>
      <c r="IB45" s="52"/>
      <c r="IC45" s="52"/>
      <c r="ID45" s="52"/>
      <c r="IE45" s="52"/>
      <c r="IF45" s="52"/>
      <c r="IG45" s="52"/>
      <c r="IH45" s="52"/>
      <c r="II45" s="52"/>
      <c r="IJ45" s="52"/>
      <c r="IK45" s="52"/>
      <c r="IL45" s="52"/>
      <c r="IM45" s="52"/>
      <c r="IN45" s="52"/>
      <c r="IO45" s="52"/>
      <c r="IP45" s="52"/>
      <c r="IQ45" s="52"/>
      <c r="IR45" s="52"/>
      <c r="IS45" s="52"/>
      <c r="IT45" s="52"/>
      <c r="IU45" s="52"/>
      <c r="IV45" s="52"/>
      <c r="IW45" s="52"/>
      <c r="IX45" s="52"/>
      <c r="IY45" s="52"/>
      <c r="IZ45" s="52"/>
      <c r="JA45" s="52"/>
      <c r="JB45" s="52"/>
      <c r="JC45" s="52"/>
      <c r="JD45" s="52"/>
      <c r="JE45" s="52"/>
      <c r="JF45" s="52"/>
      <c r="JG45" s="52"/>
      <c r="JH45" s="52"/>
      <c r="JI45" s="52"/>
      <c r="JL45" t="str">
        <f>IF($E45="","",IF(INDEX(工数管理!$AJ$3:$AJ$98,$E45)&lt;&gt;"",1,0))</f>
        <v/>
      </c>
      <c r="JM45" t="str">
        <f>IF($E45="","",IFERROR(MATCH($A45,祝日!$J$1:$L$1,0),""))</f>
        <v/>
      </c>
    </row>
    <row r="46" spans="1:273" ht="14.25" customHeight="1" x14ac:dyDescent="0.15">
      <c r="A46" s="50" t="str">
        <f>IF($E46="","",IF($JL46=1,INDEX(工数管理!$A$3:$A$98,$E46)&amp;"",IF(INDEX(工数管理!$AK$3:$AK$98,$E46)="","未割当",INDEX(工数管理!$AK$3:$AK$98,$E46))))</f>
        <v/>
      </c>
      <c r="B46" s="51" t="str">
        <f>IF($E46="","",IF($JL46=1,"",INDEX(工数管理!$A$3:$A$98,$E46)&amp;""))</f>
        <v/>
      </c>
      <c r="C46" s="50" t="str">
        <f>IF($E46="","",IF($JL46=1,"",INDEX(工数管理!$B$3:$B$98,$E46)&amp;""))</f>
        <v/>
      </c>
      <c r="D46" s="50" t="str">
        <f>IF($E46="","",INDEX(工数管理!$H$3:$H$98,$E46)&amp;"")</f>
        <v/>
      </c>
      <c r="E46" t="str">
        <f>IFERROR(MATCH(SMALL(工数管理!$BP$3:$BP$98,ROW()-3),工数管理!$BP$3:$BP$98,0),"")</f>
        <v/>
      </c>
      <c r="F46" t="str">
        <f>IF($E46="","",IF(INDEX(工数管理!$K$3:$K$98,$E46)="","",INDEX(工数管理!$K$3:$K$98,$E46)))</f>
        <v/>
      </c>
      <c r="G46" t="str">
        <f>IF($E46="","",IF(INDEX(工数管理!$L$3:$L$98,$E46)="","",INDEX(工数管理!$L$3:$L$98,$E46)))</f>
        <v/>
      </c>
      <c r="H46" t="str">
        <f>IF($E46="","",IF(INDEX(工数管理!$M$3:$M$98,$E46)="","",INDEX(工数管理!$M$3:$M$98,$E46)))</f>
        <v/>
      </c>
      <c r="I46" t="str">
        <f>IF($E46="","",IF(INDEX(工数管理!$N$3:$N$98,$E46)="","",INDEX(工数管理!$N$3:$N$98,$E46)))</f>
        <v/>
      </c>
      <c r="J46" t="str">
        <f>IF($E46="","",IF(INDEX(工数管理!$O$3:$O$98,$E46)="","",INDEX(工数管理!$O$3:$O$98,$E46)))</f>
        <v/>
      </c>
      <c r="K46" t="str">
        <f>IF($E46="","",IF(INDEX(工数管理!$P$3:$P$98,$E46)="","",INDEX(工数管理!$P$3:$P$98,$E46)))</f>
        <v/>
      </c>
      <c r="L46" t="str">
        <f>IF($E46="","",IF(INDEX(工数管理!$Q$3:$Q$98,$E46)="","",INDEX(工数管理!$Q$3:$Q$98,$E46)))</f>
        <v/>
      </c>
      <c r="M46" t="str">
        <f>IF($E46="","",IF(INDEX(工数管理!$R$3:$R$98,$E46)="","",INDEX(工数管理!$R$3:$R$98,$E46)))</f>
        <v/>
      </c>
      <c r="N46" t="str">
        <f>IF($E46="","",IF(INDEX(工数管理!$S$3:$S$98,$E46)="","",INDEX(工数管理!$S$3:$S$98,$E46)))</f>
        <v/>
      </c>
      <c r="O46" t="str">
        <f>IF($E46="","",IF(INDEX(工数管理!$T$3:$T$98,$E46)="","",INDEX(工数管理!$T$3:$T$98,$E46)))</f>
        <v/>
      </c>
      <c r="P46" t="str">
        <f>IF($E46="","",IF(INDEX(工数管理!$U$3:$U$98,$E46)="","",INDEX(工数管理!$U$3:$U$98,$E46)))</f>
        <v/>
      </c>
      <c r="Q46" t="str">
        <f>IF($E46="","",IF(INDEX(工数管理!$V$3:$V$98,$E46)="","",INDEX(工数管理!$V$3:$V$98,$E46)))</f>
        <v/>
      </c>
      <c r="R46" t="str">
        <f>IF($E46="","",IF(INDEX(工数管理!$W$3:$W$98,$E46)="","",INDEX(工数管理!$W$3:$W$98,$E46)))</f>
        <v/>
      </c>
      <c r="S46" t="str">
        <f>IF($E46="","",IF(INDEX(工数管理!$X$3:$X$98,$E46)="","",INDEX(工数管理!$X$3:$X$98,$E46)))</f>
        <v/>
      </c>
      <c r="T46" t="str">
        <f>IF($E46="","",IF(INDEX(工数管理!$Y$3:$Y$98,$E46)="","",INDEX(工数管理!$Y$3:$Y$98,$E46)))</f>
        <v/>
      </c>
      <c r="U46" t="str">
        <f>IF($E46="","",IF(INDEX(工数管理!$Z$3:$Z$98,$E46)="","",INDEX(工数管理!$Z$3:$Z$98,$E46)))</f>
        <v/>
      </c>
      <c r="V46" t="str">
        <f>IF($E46="","",IF(INDEX(工数管理!$AA$3:$AA$98,$E46)="","",INDEX(工数管理!$AA$3:$AA$98,$E46)))</f>
        <v/>
      </c>
      <c r="W46" t="str">
        <f>IF($E46="","",IF(INDEX(工数管理!$AB$3:$AB$98,$E46)="","",INDEX(工数管理!$AB$3:$AB$98,$E46)))</f>
        <v/>
      </c>
      <c r="X46" t="str">
        <f>IF($E46="","",IF(INDEX(工数管理!$AC$3:$AC$98,$E46)="","",INDEX(工数管理!$AC$3:$AC$98,$E46)))</f>
        <v/>
      </c>
      <c r="Y46" t="str">
        <f>IF($E46="","",IF(INDEX(工数管理!$AD$3:$AD$98,$E46)="","",INDEX(工数管理!$AD$3:$AD$98,$E46)))</f>
        <v/>
      </c>
      <c r="Z46" t="str">
        <f>IF($E46="","",IF(INDEX(工数管理!$AE$3:$AE$98,$E46)="","",INDEX(工数管理!$AE$3:$AE$98,$E46)))</f>
        <v/>
      </c>
      <c r="AA46" t="str">
        <f>IF($E46="","",IF(INDEX(工数管理!$AF$3:$AF$98,$E46)="","",INDEX(工数管理!$AF$3:$AF$98,$E46)))</f>
        <v/>
      </c>
      <c r="AB46" t="str">
        <f>IF($E46="","",IF(INDEX(工数管理!$AG$3:$AG$98,$E46)="","",INDEX(工数管理!$AG$3:$AG$98,$E46)))</f>
        <v/>
      </c>
      <c r="AC46" t="str">
        <f>IF($E46="","",IF(INDEX(工数管理!$AH$3:$AH$98,$E46)="","",INDEX(工数管理!$AH$3:$AH$98,$E46)))</f>
        <v/>
      </c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2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  <c r="DL46" s="52"/>
      <c r="DM46" s="52"/>
      <c r="DN46" s="52"/>
      <c r="DO46" s="52"/>
      <c r="DP46" s="52"/>
      <c r="DQ46" s="52"/>
      <c r="DR46" s="52"/>
      <c r="DS46" s="52"/>
      <c r="DT46" s="52"/>
      <c r="DU46" s="52"/>
      <c r="DV46" s="52"/>
      <c r="DW46" s="52"/>
      <c r="DX46" s="52"/>
      <c r="DY46" s="52"/>
      <c r="DZ46" s="52"/>
      <c r="EA46" s="52"/>
      <c r="EB46" s="52"/>
      <c r="EC46" s="52"/>
      <c r="ED46" s="52"/>
      <c r="EE46" s="52"/>
      <c r="EF46" s="52"/>
      <c r="EG46" s="52"/>
      <c r="EH46" s="52"/>
      <c r="EI46" s="52"/>
      <c r="EJ46" s="52"/>
      <c r="EK46" s="52"/>
      <c r="EL46" s="52"/>
      <c r="EM46" s="52"/>
      <c r="EN46" s="52"/>
      <c r="EO46" s="52"/>
      <c r="EP46" s="52"/>
      <c r="EQ46" s="52"/>
      <c r="ER46" s="52"/>
      <c r="ES46" s="52"/>
      <c r="ET46" s="52"/>
      <c r="EU46" s="52"/>
      <c r="EV46" s="52"/>
      <c r="EW46" s="52"/>
      <c r="EX46" s="52"/>
      <c r="EY46" s="52"/>
      <c r="EZ46" s="52"/>
      <c r="FA46" s="52"/>
      <c r="FB46" s="52"/>
      <c r="FC46" s="52"/>
      <c r="FD46" s="52"/>
      <c r="FE46" s="52"/>
      <c r="FF46" s="52"/>
      <c r="FG46" s="52"/>
      <c r="FH46" s="52"/>
      <c r="FI46" s="52"/>
      <c r="FJ46" s="52"/>
      <c r="FK46" s="52"/>
      <c r="FL46" s="52"/>
      <c r="FM46" s="52"/>
      <c r="FN46" s="52"/>
      <c r="FO46" s="52"/>
      <c r="FP46" s="52"/>
      <c r="FQ46" s="52"/>
      <c r="FR46" s="52"/>
      <c r="FS46" s="52"/>
      <c r="FT46" s="52"/>
      <c r="FU46" s="52"/>
      <c r="FV46" s="52"/>
      <c r="FW46" s="52"/>
      <c r="FX46" s="52"/>
      <c r="FY46" s="52"/>
      <c r="FZ46" s="52"/>
      <c r="GA46" s="52"/>
      <c r="GB46" s="52"/>
      <c r="GC46" s="52"/>
      <c r="GD46" s="52"/>
      <c r="GE46" s="52"/>
      <c r="GF46" s="52"/>
      <c r="GG46" s="52"/>
      <c r="GH46" s="52"/>
      <c r="GI46" s="52"/>
      <c r="GJ46" s="52"/>
      <c r="GK46" s="52"/>
      <c r="GL46" s="52"/>
      <c r="GM46" s="52"/>
      <c r="GN46" s="52"/>
      <c r="GO46" s="52"/>
      <c r="GP46" s="52"/>
      <c r="GQ46" s="52"/>
      <c r="GR46" s="52"/>
      <c r="GS46" s="52"/>
      <c r="GT46" s="52"/>
      <c r="GU46" s="52"/>
      <c r="GV46" s="52"/>
      <c r="GW46" s="52"/>
      <c r="GX46" s="52"/>
      <c r="GY46" s="52"/>
      <c r="GZ46" s="52"/>
      <c r="HA46" s="52"/>
      <c r="HB46" s="52"/>
      <c r="HC46" s="52"/>
      <c r="HD46" s="52"/>
      <c r="HE46" s="52"/>
      <c r="HF46" s="52"/>
      <c r="HG46" s="52"/>
      <c r="HH46" s="52"/>
      <c r="HI46" s="52"/>
      <c r="HJ46" s="52"/>
      <c r="HK46" s="52"/>
      <c r="HL46" s="52"/>
      <c r="HM46" s="52"/>
      <c r="HN46" s="52"/>
      <c r="HO46" s="52"/>
      <c r="HP46" s="52"/>
      <c r="HQ46" s="52"/>
      <c r="HR46" s="52"/>
      <c r="HS46" s="52"/>
      <c r="HT46" s="52"/>
      <c r="HU46" s="52"/>
      <c r="HV46" s="52"/>
      <c r="HW46" s="52"/>
      <c r="HX46" s="52"/>
      <c r="HY46" s="52"/>
      <c r="HZ46" s="52"/>
      <c r="IA46" s="52"/>
      <c r="IB46" s="52"/>
      <c r="IC46" s="52"/>
      <c r="ID46" s="52"/>
      <c r="IE46" s="52"/>
      <c r="IF46" s="52"/>
      <c r="IG46" s="52"/>
      <c r="IH46" s="52"/>
      <c r="II46" s="52"/>
      <c r="IJ46" s="52"/>
      <c r="IK46" s="52"/>
      <c r="IL46" s="52"/>
      <c r="IM46" s="52"/>
      <c r="IN46" s="52"/>
      <c r="IO46" s="52"/>
      <c r="IP46" s="52"/>
      <c r="IQ46" s="52"/>
      <c r="IR46" s="52"/>
      <c r="IS46" s="52"/>
      <c r="IT46" s="52"/>
      <c r="IU46" s="52"/>
      <c r="IV46" s="52"/>
      <c r="IW46" s="52"/>
      <c r="IX46" s="52"/>
      <c r="IY46" s="52"/>
      <c r="IZ46" s="52"/>
      <c r="JA46" s="52"/>
      <c r="JB46" s="52"/>
      <c r="JC46" s="52"/>
      <c r="JD46" s="52"/>
      <c r="JE46" s="52"/>
      <c r="JF46" s="52"/>
      <c r="JG46" s="52"/>
      <c r="JH46" s="52"/>
      <c r="JI46" s="52"/>
      <c r="JL46" t="str">
        <f>IF($E46="","",IF(INDEX(工数管理!$AJ$3:$AJ$98,$E46)&lt;&gt;"",1,0))</f>
        <v/>
      </c>
      <c r="JM46" t="str">
        <f>IF($E46="","",IFERROR(MATCH($A46,祝日!$J$1:$L$1,0),""))</f>
        <v/>
      </c>
    </row>
    <row r="47" spans="1:273" ht="14.25" customHeight="1" x14ac:dyDescent="0.15">
      <c r="A47" s="50" t="str">
        <f>IF($E47="","",IF($JL47=1,INDEX(工数管理!$A$3:$A$98,$E47)&amp;"",IF(INDEX(工数管理!$AK$3:$AK$98,$E47)="","未割当",INDEX(工数管理!$AK$3:$AK$98,$E47))))</f>
        <v/>
      </c>
      <c r="B47" s="51" t="str">
        <f>IF($E47="","",IF($JL47=1,"",INDEX(工数管理!$A$3:$A$98,$E47)&amp;""))</f>
        <v/>
      </c>
      <c r="C47" s="50" t="str">
        <f>IF($E47="","",IF($JL47=1,"",INDEX(工数管理!$B$3:$B$98,$E47)&amp;""))</f>
        <v/>
      </c>
      <c r="D47" s="50" t="str">
        <f>IF($E47="","",INDEX(工数管理!$H$3:$H$98,$E47)&amp;"")</f>
        <v/>
      </c>
      <c r="E47" t="str">
        <f>IFERROR(MATCH(SMALL(工数管理!$BP$3:$BP$98,ROW()-3),工数管理!$BP$3:$BP$98,0),"")</f>
        <v/>
      </c>
      <c r="F47" t="str">
        <f>IF($E47="","",IF(INDEX(工数管理!$K$3:$K$98,$E47)="","",INDEX(工数管理!$K$3:$K$98,$E47)))</f>
        <v/>
      </c>
      <c r="G47" t="str">
        <f>IF($E47="","",IF(INDEX(工数管理!$L$3:$L$98,$E47)="","",INDEX(工数管理!$L$3:$L$98,$E47)))</f>
        <v/>
      </c>
      <c r="H47" t="str">
        <f>IF($E47="","",IF(INDEX(工数管理!$M$3:$M$98,$E47)="","",INDEX(工数管理!$M$3:$M$98,$E47)))</f>
        <v/>
      </c>
      <c r="I47" t="str">
        <f>IF($E47="","",IF(INDEX(工数管理!$N$3:$N$98,$E47)="","",INDEX(工数管理!$N$3:$N$98,$E47)))</f>
        <v/>
      </c>
      <c r="J47" t="str">
        <f>IF($E47="","",IF(INDEX(工数管理!$O$3:$O$98,$E47)="","",INDEX(工数管理!$O$3:$O$98,$E47)))</f>
        <v/>
      </c>
      <c r="K47" t="str">
        <f>IF($E47="","",IF(INDEX(工数管理!$P$3:$P$98,$E47)="","",INDEX(工数管理!$P$3:$P$98,$E47)))</f>
        <v/>
      </c>
      <c r="L47" t="str">
        <f>IF($E47="","",IF(INDEX(工数管理!$Q$3:$Q$98,$E47)="","",INDEX(工数管理!$Q$3:$Q$98,$E47)))</f>
        <v/>
      </c>
      <c r="M47" t="str">
        <f>IF($E47="","",IF(INDEX(工数管理!$R$3:$R$98,$E47)="","",INDEX(工数管理!$R$3:$R$98,$E47)))</f>
        <v/>
      </c>
      <c r="N47" t="str">
        <f>IF($E47="","",IF(INDEX(工数管理!$S$3:$S$98,$E47)="","",INDEX(工数管理!$S$3:$S$98,$E47)))</f>
        <v/>
      </c>
      <c r="O47" t="str">
        <f>IF($E47="","",IF(INDEX(工数管理!$T$3:$T$98,$E47)="","",INDEX(工数管理!$T$3:$T$98,$E47)))</f>
        <v/>
      </c>
      <c r="P47" t="str">
        <f>IF($E47="","",IF(INDEX(工数管理!$U$3:$U$98,$E47)="","",INDEX(工数管理!$U$3:$U$98,$E47)))</f>
        <v/>
      </c>
      <c r="Q47" t="str">
        <f>IF($E47="","",IF(INDEX(工数管理!$V$3:$V$98,$E47)="","",INDEX(工数管理!$V$3:$V$98,$E47)))</f>
        <v/>
      </c>
      <c r="R47" t="str">
        <f>IF($E47="","",IF(INDEX(工数管理!$W$3:$W$98,$E47)="","",INDEX(工数管理!$W$3:$W$98,$E47)))</f>
        <v/>
      </c>
      <c r="S47" t="str">
        <f>IF($E47="","",IF(INDEX(工数管理!$X$3:$X$98,$E47)="","",INDEX(工数管理!$X$3:$X$98,$E47)))</f>
        <v/>
      </c>
      <c r="T47" t="str">
        <f>IF($E47="","",IF(INDEX(工数管理!$Y$3:$Y$98,$E47)="","",INDEX(工数管理!$Y$3:$Y$98,$E47)))</f>
        <v/>
      </c>
      <c r="U47" t="str">
        <f>IF($E47="","",IF(INDEX(工数管理!$Z$3:$Z$98,$E47)="","",INDEX(工数管理!$Z$3:$Z$98,$E47)))</f>
        <v/>
      </c>
      <c r="V47" t="str">
        <f>IF($E47="","",IF(INDEX(工数管理!$AA$3:$AA$98,$E47)="","",INDEX(工数管理!$AA$3:$AA$98,$E47)))</f>
        <v/>
      </c>
      <c r="W47" t="str">
        <f>IF($E47="","",IF(INDEX(工数管理!$AB$3:$AB$98,$E47)="","",INDEX(工数管理!$AB$3:$AB$98,$E47)))</f>
        <v/>
      </c>
      <c r="X47" t="str">
        <f>IF($E47="","",IF(INDEX(工数管理!$AC$3:$AC$98,$E47)="","",INDEX(工数管理!$AC$3:$AC$98,$E47)))</f>
        <v/>
      </c>
      <c r="Y47" t="str">
        <f>IF($E47="","",IF(INDEX(工数管理!$AD$3:$AD$98,$E47)="","",INDEX(工数管理!$AD$3:$AD$98,$E47)))</f>
        <v/>
      </c>
      <c r="Z47" t="str">
        <f>IF($E47="","",IF(INDEX(工数管理!$AE$3:$AE$98,$E47)="","",INDEX(工数管理!$AE$3:$AE$98,$E47)))</f>
        <v/>
      </c>
      <c r="AA47" t="str">
        <f>IF($E47="","",IF(INDEX(工数管理!$AF$3:$AF$98,$E47)="","",INDEX(工数管理!$AF$3:$AF$98,$E47)))</f>
        <v/>
      </c>
      <c r="AB47" t="str">
        <f>IF($E47="","",IF(INDEX(工数管理!$AG$3:$AG$98,$E47)="","",INDEX(工数管理!$AG$3:$AG$98,$E47)))</f>
        <v/>
      </c>
      <c r="AC47" t="str">
        <f>IF($E47="","",IF(INDEX(工数管理!$AH$3:$AH$98,$E47)="","",INDEX(工数管理!$AH$3:$AH$98,$E47)))</f>
        <v/>
      </c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2"/>
      <c r="DV47" s="52"/>
      <c r="DW47" s="52"/>
      <c r="DX47" s="52"/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52"/>
      <c r="EZ47" s="52"/>
      <c r="FA47" s="52"/>
      <c r="FB47" s="52"/>
      <c r="FC47" s="52"/>
      <c r="FD47" s="52"/>
      <c r="FE47" s="52"/>
      <c r="FF47" s="52"/>
      <c r="FG47" s="52"/>
      <c r="FH47" s="52"/>
      <c r="FI47" s="52"/>
      <c r="FJ47" s="52"/>
      <c r="FK47" s="52"/>
      <c r="FL47" s="52"/>
      <c r="FM47" s="52"/>
      <c r="FN47" s="52"/>
      <c r="FO47" s="52"/>
      <c r="FP47" s="52"/>
      <c r="FQ47" s="52"/>
      <c r="FR47" s="52"/>
      <c r="FS47" s="52"/>
      <c r="FT47" s="52"/>
      <c r="FU47" s="52"/>
      <c r="FV47" s="52"/>
      <c r="FW47" s="52"/>
      <c r="FX47" s="52"/>
      <c r="FY47" s="52"/>
      <c r="FZ47" s="52"/>
      <c r="GA47" s="52"/>
      <c r="GB47" s="52"/>
      <c r="GC47" s="52"/>
      <c r="GD47" s="52"/>
      <c r="GE47" s="52"/>
      <c r="GF47" s="52"/>
      <c r="GG47" s="52"/>
      <c r="GH47" s="52"/>
      <c r="GI47" s="52"/>
      <c r="GJ47" s="52"/>
      <c r="GK47" s="52"/>
      <c r="GL47" s="52"/>
      <c r="GM47" s="52"/>
      <c r="GN47" s="52"/>
      <c r="GO47" s="52"/>
      <c r="GP47" s="52"/>
      <c r="GQ47" s="52"/>
      <c r="GR47" s="52"/>
      <c r="GS47" s="52"/>
      <c r="GT47" s="52"/>
      <c r="GU47" s="52"/>
      <c r="GV47" s="52"/>
      <c r="GW47" s="52"/>
      <c r="GX47" s="52"/>
      <c r="GY47" s="52"/>
      <c r="GZ47" s="52"/>
      <c r="HA47" s="52"/>
      <c r="HB47" s="52"/>
      <c r="HC47" s="52"/>
      <c r="HD47" s="52"/>
      <c r="HE47" s="52"/>
      <c r="HF47" s="52"/>
      <c r="HG47" s="52"/>
      <c r="HH47" s="52"/>
      <c r="HI47" s="52"/>
      <c r="HJ47" s="52"/>
      <c r="HK47" s="52"/>
      <c r="HL47" s="52"/>
      <c r="HM47" s="52"/>
      <c r="HN47" s="52"/>
      <c r="HO47" s="52"/>
      <c r="HP47" s="52"/>
      <c r="HQ47" s="52"/>
      <c r="HR47" s="52"/>
      <c r="HS47" s="52"/>
      <c r="HT47" s="52"/>
      <c r="HU47" s="52"/>
      <c r="HV47" s="52"/>
      <c r="HW47" s="52"/>
      <c r="HX47" s="52"/>
      <c r="HY47" s="52"/>
      <c r="HZ47" s="52"/>
      <c r="IA47" s="52"/>
      <c r="IB47" s="52"/>
      <c r="IC47" s="52"/>
      <c r="ID47" s="52"/>
      <c r="IE47" s="52"/>
      <c r="IF47" s="52"/>
      <c r="IG47" s="52"/>
      <c r="IH47" s="52"/>
      <c r="II47" s="52"/>
      <c r="IJ47" s="52"/>
      <c r="IK47" s="52"/>
      <c r="IL47" s="52"/>
      <c r="IM47" s="52"/>
      <c r="IN47" s="52"/>
      <c r="IO47" s="52"/>
      <c r="IP47" s="52"/>
      <c r="IQ47" s="52"/>
      <c r="IR47" s="52"/>
      <c r="IS47" s="52"/>
      <c r="IT47" s="52"/>
      <c r="IU47" s="52"/>
      <c r="IV47" s="52"/>
      <c r="IW47" s="52"/>
      <c r="IX47" s="52"/>
      <c r="IY47" s="52"/>
      <c r="IZ47" s="52"/>
      <c r="JA47" s="52"/>
      <c r="JB47" s="52"/>
      <c r="JC47" s="52"/>
      <c r="JD47" s="52"/>
      <c r="JE47" s="52"/>
      <c r="JF47" s="52"/>
      <c r="JG47" s="52"/>
      <c r="JH47" s="52"/>
      <c r="JI47" s="52"/>
      <c r="JL47" t="str">
        <f>IF($E47="","",IF(INDEX(工数管理!$AJ$3:$AJ$98,$E47)&lt;&gt;"",1,0))</f>
        <v/>
      </c>
      <c r="JM47" t="str">
        <f>IF($E47="","",IFERROR(MATCH($A47,祝日!$J$1:$L$1,0),""))</f>
        <v/>
      </c>
    </row>
    <row r="48" spans="1:273" ht="14.25" customHeight="1" x14ac:dyDescent="0.15">
      <c r="A48" s="50" t="str">
        <f>IF($E48="","",IF($JL48=1,INDEX(工数管理!$A$3:$A$98,$E48)&amp;"",IF(INDEX(工数管理!$AK$3:$AK$98,$E48)="","未割当",INDEX(工数管理!$AK$3:$AK$98,$E48))))</f>
        <v/>
      </c>
      <c r="B48" s="51" t="str">
        <f>IF($E48="","",IF($JL48=1,"",INDEX(工数管理!$A$3:$A$98,$E48)&amp;""))</f>
        <v/>
      </c>
      <c r="C48" s="50" t="str">
        <f>IF($E48="","",IF($JL48=1,"",INDEX(工数管理!$B$3:$B$98,$E48)&amp;""))</f>
        <v/>
      </c>
      <c r="D48" s="50" t="str">
        <f>IF($E48="","",INDEX(工数管理!$H$3:$H$98,$E48)&amp;"")</f>
        <v/>
      </c>
      <c r="E48" t="str">
        <f>IFERROR(MATCH(SMALL(工数管理!$BP$3:$BP$98,ROW()-3),工数管理!$BP$3:$BP$98,0),"")</f>
        <v/>
      </c>
      <c r="F48" t="str">
        <f>IF($E48="","",IF(INDEX(工数管理!$K$3:$K$98,$E48)="","",INDEX(工数管理!$K$3:$K$98,$E48)))</f>
        <v/>
      </c>
      <c r="G48" t="str">
        <f>IF($E48="","",IF(INDEX(工数管理!$L$3:$L$98,$E48)="","",INDEX(工数管理!$L$3:$L$98,$E48)))</f>
        <v/>
      </c>
      <c r="H48" t="str">
        <f>IF($E48="","",IF(INDEX(工数管理!$M$3:$M$98,$E48)="","",INDEX(工数管理!$M$3:$M$98,$E48)))</f>
        <v/>
      </c>
      <c r="I48" t="str">
        <f>IF($E48="","",IF(INDEX(工数管理!$N$3:$N$98,$E48)="","",INDEX(工数管理!$N$3:$N$98,$E48)))</f>
        <v/>
      </c>
      <c r="J48" t="str">
        <f>IF($E48="","",IF(INDEX(工数管理!$O$3:$O$98,$E48)="","",INDEX(工数管理!$O$3:$O$98,$E48)))</f>
        <v/>
      </c>
      <c r="K48" t="str">
        <f>IF($E48="","",IF(INDEX(工数管理!$P$3:$P$98,$E48)="","",INDEX(工数管理!$P$3:$P$98,$E48)))</f>
        <v/>
      </c>
      <c r="L48" t="str">
        <f>IF($E48="","",IF(INDEX(工数管理!$Q$3:$Q$98,$E48)="","",INDEX(工数管理!$Q$3:$Q$98,$E48)))</f>
        <v/>
      </c>
      <c r="M48" t="str">
        <f>IF($E48="","",IF(INDEX(工数管理!$R$3:$R$98,$E48)="","",INDEX(工数管理!$R$3:$R$98,$E48)))</f>
        <v/>
      </c>
      <c r="N48" t="str">
        <f>IF($E48="","",IF(INDEX(工数管理!$S$3:$S$98,$E48)="","",INDEX(工数管理!$S$3:$S$98,$E48)))</f>
        <v/>
      </c>
      <c r="O48" t="str">
        <f>IF($E48="","",IF(INDEX(工数管理!$T$3:$T$98,$E48)="","",INDEX(工数管理!$T$3:$T$98,$E48)))</f>
        <v/>
      </c>
      <c r="P48" t="str">
        <f>IF($E48="","",IF(INDEX(工数管理!$U$3:$U$98,$E48)="","",INDEX(工数管理!$U$3:$U$98,$E48)))</f>
        <v/>
      </c>
      <c r="Q48" t="str">
        <f>IF($E48="","",IF(INDEX(工数管理!$V$3:$V$98,$E48)="","",INDEX(工数管理!$V$3:$V$98,$E48)))</f>
        <v/>
      </c>
      <c r="R48" t="str">
        <f>IF($E48="","",IF(INDEX(工数管理!$W$3:$W$98,$E48)="","",INDEX(工数管理!$W$3:$W$98,$E48)))</f>
        <v/>
      </c>
      <c r="S48" t="str">
        <f>IF($E48="","",IF(INDEX(工数管理!$X$3:$X$98,$E48)="","",INDEX(工数管理!$X$3:$X$98,$E48)))</f>
        <v/>
      </c>
      <c r="T48" t="str">
        <f>IF($E48="","",IF(INDEX(工数管理!$Y$3:$Y$98,$E48)="","",INDEX(工数管理!$Y$3:$Y$98,$E48)))</f>
        <v/>
      </c>
      <c r="U48" t="str">
        <f>IF($E48="","",IF(INDEX(工数管理!$Z$3:$Z$98,$E48)="","",INDEX(工数管理!$Z$3:$Z$98,$E48)))</f>
        <v/>
      </c>
      <c r="V48" t="str">
        <f>IF($E48="","",IF(INDEX(工数管理!$AA$3:$AA$98,$E48)="","",INDEX(工数管理!$AA$3:$AA$98,$E48)))</f>
        <v/>
      </c>
      <c r="W48" t="str">
        <f>IF($E48="","",IF(INDEX(工数管理!$AB$3:$AB$98,$E48)="","",INDEX(工数管理!$AB$3:$AB$98,$E48)))</f>
        <v/>
      </c>
      <c r="X48" t="str">
        <f>IF($E48="","",IF(INDEX(工数管理!$AC$3:$AC$98,$E48)="","",INDEX(工数管理!$AC$3:$AC$98,$E48)))</f>
        <v/>
      </c>
      <c r="Y48" t="str">
        <f>IF($E48="","",IF(INDEX(工数管理!$AD$3:$AD$98,$E48)="","",INDEX(工数管理!$AD$3:$AD$98,$E48)))</f>
        <v/>
      </c>
      <c r="Z48" t="str">
        <f>IF($E48="","",IF(INDEX(工数管理!$AE$3:$AE$98,$E48)="","",INDEX(工数管理!$AE$3:$AE$98,$E48)))</f>
        <v/>
      </c>
      <c r="AA48" t="str">
        <f>IF($E48="","",IF(INDEX(工数管理!$AF$3:$AF$98,$E48)="","",INDEX(工数管理!$AF$3:$AF$98,$E48)))</f>
        <v/>
      </c>
      <c r="AB48" t="str">
        <f>IF($E48="","",IF(INDEX(工数管理!$AG$3:$AG$98,$E48)="","",INDEX(工数管理!$AG$3:$AG$98,$E48)))</f>
        <v/>
      </c>
      <c r="AC48" t="str">
        <f>IF($E48="","",IF(INDEX(工数管理!$AH$3:$AH$98,$E48)="","",INDEX(工数管理!$AH$3:$AH$98,$E48)))</f>
        <v/>
      </c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52"/>
      <c r="DT48" s="52"/>
      <c r="DU48" s="52"/>
      <c r="DV48" s="52"/>
      <c r="DW48" s="52"/>
      <c r="DX48" s="52"/>
      <c r="DY48" s="52"/>
      <c r="DZ48" s="52"/>
      <c r="EA48" s="52"/>
      <c r="EB48" s="52"/>
      <c r="EC48" s="52"/>
      <c r="ED48" s="52"/>
      <c r="EE48" s="52"/>
      <c r="EF48" s="52"/>
      <c r="EG48" s="52"/>
      <c r="EH48" s="52"/>
      <c r="EI48" s="52"/>
      <c r="EJ48" s="52"/>
      <c r="EK48" s="52"/>
      <c r="EL48" s="52"/>
      <c r="EM48" s="52"/>
      <c r="EN48" s="52"/>
      <c r="EO48" s="52"/>
      <c r="EP48" s="52"/>
      <c r="EQ48" s="52"/>
      <c r="ER48" s="52"/>
      <c r="ES48" s="52"/>
      <c r="ET48" s="52"/>
      <c r="EU48" s="52"/>
      <c r="EV48" s="52"/>
      <c r="EW48" s="52"/>
      <c r="EX48" s="52"/>
      <c r="EY48" s="52"/>
      <c r="EZ48" s="52"/>
      <c r="FA48" s="52"/>
      <c r="FB48" s="52"/>
      <c r="FC48" s="52"/>
      <c r="FD48" s="52"/>
      <c r="FE48" s="52"/>
      <c r="FF48" s="52"/>
      <c r="FG48" s="52"/>
      <c r="FH48" s="52"/>
      <c r="FI48" s="52"/>
      <c r="FJ48" s="52"/>
      <c r="FK48" s="52"/>
      <c r="FL48" s="52"/>
      <c r="FM48" s="52"/>
      <c r="FN48" s="52"/>
      <c r="FO48" s="52"/>
      <c r="FP48" s="52"/>
      <c r="FQ48" s="52"/>
      <c r="FR48" s="52"/>
      <c r="FS48" s="52"/>
      <c r="FT48" s="52"/>
      <c r="FU48" s="52"/>
      <c r="FV48" s="52"/>
      <c r="FW48" s="52"/>
      <c r="FX48" s="52"/>
      <c r="FY48" s="52"/>
      <c r="FZ48" s="52"/>
      <c r="GA48" s="52"/>
      <c r="GB48" s="52"/>
      <c r="GC48" s="52"/>
      <c r="GD48" s="52"/>
      <c r="GE48" s="52"/>
      <c r="GF48" s="52"/>
      <c r="GG48" s="52"/>
      <c r="GH48" s="52"/>
      <c r="GI48" s="52"/>
      <c r="GJ48" s="52"/>
      <c r="GK48" s="52"/>
      <c r="GL48" s="52"/>
      <c r="GM48" s="52"/>
      <c r="GN48" s="52"/>
      <c r="GO48" s="52"/>
      <c r="GP48" s="52"/>
      <c r="GQ48" s="52"/>
      <c r="GR48" s="52"/>
      <c r="GS48" s="52"/>
      <c r="GT48" s="52"/>
      <c r="GU48" s="52"/>
      <c r="GV48" s="52"/>
      <c r="GW48" s="52"/>
      <c r="GX48" s="52"/>
      <c r="GY48" s="52"/>
      <c r="GZ48" s="52"/>
      <c r="HA48" s="52"/>
      <c r="HB48" s="52"/>
      <c r="HC48" s="52"/>
      <c r="HD48" s="52"/>
      <c r="HE48" s="52"/>
      <c r="HF48" s="52"/>
      <c r="HG48" s="52"/>
      <c r="HH48" s="52"/>
      <c r="HI48" s="52"/>
      <c r="HJ48" s="52"/>
      <c r="HK48" s="52"/>
      <c r="HL48" s="52"/>
      <c r="HM48" s="52"/>
      <c r="HN48" s="52"/>
      <c r="HO48" s="52"/>
      <c r="HP48" s="52"/>
      <c r="HQ48" s="52"/>
      <c r="HR48" s="52"/>
      <c r="HS48" s="52"/>
      <c r="HT48" s="52"/>
      <c r="HU48" s="52"/>
      <c r="HV48" s="52"/>
      <c r="HW48" s="52"/>
      <c r="HX48" s="52"/>
      <c r="HY48" s="52"/>
      <c r="HZ48" s="52"/>
      <c r="IA48" s="52"/>
      <c r="IB48" s="52"/>
      <c r="IC48" s="52"/>
      <c r="ID48" s="52"/>
      <c r="IE48" s="52"/>
      <c r="IF48" s="52"/>
      <c r="IG48" s="52"/>
      <c r="IH48" s="52"/>
      <c r="II48" s="52"/>
      <c r="IJ48" s="52"/>
      <c r="IK48" s="52"/>
      <c r="IL48" s="52"/>
      <c r="IM48" s="52"/>
      <c r="IN48" s="52"/>
      <c r="IO48" s="52"/>
      <c r="IP48" s="52"/>
      <c r="IQ48" s="52"/>
      <c r="IR48" s="52"/>
      <c r="IS48" s="52"/>
      <c r="IT48" s="52"/>
      <c r="IU48" s="52"/>
      <c r="IV48" s="52"/>
      <c r="IW48" s="52"/>
      <c r="IX48" s="52"/>
      <c r="IY48" s="52"/>
      <c r="IZ48" s="52"/>
      <c r="JA48" s="52"/>
      <c r="JB48" s="52"/>
      <c r="JC48" s="52"/>
      <c r="JD48" s="52"/>
      <c r="JE48" s="52"/>
      <c r="JF48" s="52"/>
      <c r="JG48" s="52"/>
      <c r="JH48" s="52"/>
      <c r="JI48" s="52"/>
      <c r="JL48" t="str">
        <f>IF($E48="","",IF(INDEX(工数管理!$AJ$3:$AJ$98,$E48)&lt;&gt;"",1,0))</f>
        <v/>
      </c>
      <c r="JM48" t="str">
        <f>IF($E48="","",IFERROR(MATCH($A48,祝日!$J$1:$L$1,0),""))</f>
        <v/>
      </c>
    </row>
    <row r="49" spans="1:273" ht="14.25" customHeight="1" x14ac:dyDescent="0.15">
      <c r="A49" s="50" t="str">
        <f>IF($E49="","",IF($JL49=1,INDEX(工数管理!$A$3:$A$98,$E49)&amp;"",IF(INDEX(工数管理!$AK$3:$AK$98,$E49)="","未割当",INDEX(工数管理!$AK$3:$AK$98,$E49))))</f>
        <v/>
      </c>
      <c r="B49" s="51" t="str">
        <f>IF($E49="","",IF($JL49=1,"",INDEX(工数管理!$A$3:$A$98,$E49)&amp;""))</f>
        <v/>
      </c>
      <c r="C49" s="50" t="str">
        <f>IF($E49="","",IF($JL49=1,"",INDEX(工数管理!$B$3:$B$98,$E49)&amp;""))</f>
        <v/>
      </c>
      <c r="D49" s="50" t="str">
        <f>IF($E49="","",INDEX(工数管理!$H$3:$H$98,$E49)&amp;"")</f>
        <v/>
      </c>
      <c r="E49" t="str">
        <f>IFERROR(MATCH(SMALL(工数管理!$BP$3:$BP$98,ROW()-3),工数管理!$BP$3:$BP$98,0),"")</f>
        <v/>
      </c>
      <c r="F49" t="str">
        <f>IF($E49="","",IF(INDEX(工数管理!$K$3:$K$98,$E49)="","",INDEX(工数管理!$K$3:$K$98,$E49)))</f>
        <v/>
      </c>
      <c r="G49" t="str">
        <f>IF($E49="","",IF(INDEX(工数管理!$L$3:$L$98,$E49)="","",INDEX(工数管理!$L$3:$L$98,$E49)))</f>
        <v/>
      </c>
      <c r="H49" t="str">
        <f>IF($E49="","",IF(INDEX(工数管理!$M$3:$M$98,$E49)="","",INDEX(工数管理!$M$3:$M$98,$E49)))</f>
        <v/>
      </c>
      <c r="I49" t="str">
        <f>IF($E49="","",IF(INDEX(工数管理!$N$3:$N$98,$E49)="","",INDEX(工数管理!$N$3:$N$98,$E49)))</f>
        <v/>
      </c>
      <c r="J49" t="str">
        <f>IF($E49="","",IF(INDEX(工数管理!$O$3:$O$98,$E49)="","",INDEX(工数管理!$O$3:$O$98,$E49)))</f>
        <v/>
      </c>
      <c r="K49" t="str">
        <f>IF($E49="","",IF(INDEX(工数管理!$P$3:$P$98,$E49)="","",INDEX(工数管理!$P$3:$P$98,$E49)))</f>
        <v/>
      </c>
      <c r="L49" t="str">
        <f>IF($E49="","",IF(INDEX(工数管理!$Q$3:$Q$98,$E49)="","",INDEX(工数管理!$Q$3:$Q$98,$E49)))</f>
        <v/>
      </c>
      <c r="M49" t="str">
        <f>IF($E49="","",IF(INDEX(工数管理!$R$3:$R$98,$E49)="","",INDEX(工数管理!$R$3:$R$98,$E49)))</f>
        <v/>
      </c>
      <c r="N49" t="str">
        <f>IF($E49="","",IF(INDEX(工数管理!$S$3:$S$98,$E49)="","",INDEX(工数管理!$S$3:$S$98,$E49)))</f>
        <v/>
      </c>
      <c r="O49" t="str">
        <f>IF($E49="","",IF(INDEX(工数管理!$T$3:$T$98,$E49)="","",INDEX(工数管理!$T$3:$T$98,$E49)))</f>
        <v/>
      </c>
      <c r="P49" t="str">
        <f>IF($E49="","",IF(INDEX(工数管理!$U$3:$U$98,$E49)="","",INDEX(工数管理!$U$3:$U$98,$E49)))</f>
        <v/>
      </c>
      <c r="Q49" t="str">
        <f>IF($E49="","",IF(INDEX(工数管理!$V$3:$V$98,$E49)="","",INDEX(工数管理!$V$3:$V$98,$E49)))</f>
        <v/>
      </c>
      <c r="R49" t="str">
        <f>IF($E49="","",IF(INDEX(工数管理!$W$3:$W$98,$E49)="","",INDEX(工数管理!$W$3:$W$98,$E49)))</f>
        <v/>
      </c>
      <c r="S49" t="str">
        <f>IF($E49="","",IF(INDEX(工数管理!$X$3:$X$98,$E49)="","",INDEX(工数管理!$X$3:$X$98,$E49)))</f>
        <v/>
      </c>
      <c r="T49" t="str">
        <f>IF($E49="","",IF(INDEX(工数管理!$Y$3:$Y$98,$E49)="","",INDEX(工数管理!$Y$3:$Y$98,$E49)))</f>
        <v/>
      </c>
      <c r="U49" t="str">
        <f>IF($E49="","",IF(INDEX(工数管理!$Z$3:$Z$98,$E49)="","",INDEX(工数管理!$Z$3:$Z$98,$E49)))</f>
        <v/>
      </c>
      <c r="V49" t="str">
        <f>IF($E49="","",IF(INDEX(工数管理!$AA$3:$AA$98,$E49)="","",INDEX(工数管理!$AA$3:$AA$98,$E49)))</f>
        <v/>
      </c>
      <c r="W49" t="str">
        <f>IF($E49="","",IF(INDEX(工数管理!$AB$3:$AB$98,$E49)="","",INDEX(工数管理!$AB$3:$AB$98,$E49)))</f>
        <v/>
      </c>
      <c r="X49" t="str">
        <f>IF($E49="","",IF(INDEX(工数管理!$AC$3:$AC$98,$E49)="","",INDEX(工数管理!$AC$3:$AC$98,$E49)))</f>
        <v/>
      </c>
      <c r="Y49" t="str">
        <f>IF($E49="","",IF(INDEX(工数管理!$AD$3:$AD$98,$E49)="","",INDEX(工数管理!$AD$3:$AD$98,$E49)))</f>
        <v/>
      </c>
      <c r="Z49" t="str">
        <f>IF($E49="","",IF(INDEX(工数管理!$AE$3:$AE$98,$E49)="","",INDEX(工数管理!$AE$3:$AE$98,$E49)))</f>
        <v/>
      </c>
      <c r="AA49" t="str">
        <f>IF($E49="","",IF(INDEX(工数管理!$AF$3:$AF$98,$E49)="","",INDEX(工数管理!$AF$3:$AF$98,$E49)))</f>
        <v/>
      </c>
      <c r="AB49" t="str">
        <f>IF($E49="","",IF(INDEX(工数管理!$AG$3:$AG$98,$E49)="","",INDEX(工数管理!$AG$3:$AG$98,$E49)))</f>
        <v/>
      </c>
      <c r="AC49" t="str">
        <f>IF($E49="","",IF(INDEX(工数管理!$AH$3:$AH$98,$E49)="","",INDEX(工数管理!$AH$3:$AH$98,$E49)))</f>
        <v/>
      </c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52"/>
      <c r="ED49" s="52"/>
      <c r="EE49" s="52"/>
      <c r="EF49" s="52"/>
      <c r="EG49" s="52"/>
      <c r="EH49" s="52"/>
      <c r="EI49" s="52"/>
      <c r="EJ49" s="52"/>
      <c r="EK49" s="52"/>
      <c r="EL49" s="52"/>
      <c r="EM49" s="52"/>
      <c r="EN49" s="52"/>
      <c r="EO49" s="52"/>
      <c r="EP49" s="52"/>
      <c r="EQ49" s="52"/>
      <c r="ER49" s="52"/>
      <c r="ES49" s="52"/>
      <c r="ET49" s="52"/>
      <c r="EU49" s="52"/>
      <c r="EV49" s="52"/>
      <c r="EW49" s="52"/>
      <c r="EX49" s="52"/>
      <c r="EY49" s="52"/>
      <c r="EZ49" s="52"/>
      <c r="FA49" s="52"/>
      <c r="FB49" s="52"/>
      <c r="FC49" s="52"/>
      <c r="FD49" s="52"/>
      <c r="FE49" s="52"/>
      <c r="FF49" s="52"/>
      <c r="FG49" s="52"/>
      <c r="FH49" s="52"/>
      <c r="FI49" s="52"/>
      <c r="FJ49" s="52"/>
      <c r="FK49" s="52"/>
      <c r="FL49" s="52"/>
      <c r="FM49" s="52"/>
      <c r="FN49" s="52"/>
      <c r="FO49" s="52"/>
      <c r="FP49" s="52"/>
      <c r="FQ49" s="52"/>
      <c r="FR49" s="52"/>
      <c r="FS49" s="52"/>
      <c r="FT49" s="52"/>
      <c r="FU49" s="52"/>
      <c r="FV49" s="52"/>
      <c r="FW49" s="52"/>
      <c r="FX49" s="52"/>
      <c r="FY49" s="52"/>
      <c r="FZ49" s="52"/>
      <c r="GA49" s="52"/>
      <c r="GB49" s="52"/>
      <c r="GC49" s="52"/>
      <c r="GD49" s="52"/>
      <c r="GE49" s="52"/>
      <c r="GF49" s="52"/>
      <c r="GG49" s="52"/>
      <c r="GH49" s="52"/>
      <c r="GI49" s="52"/>
      <c r="GJ49" s="52"/>
      <c r="GK49" s="52"/>
      <c r="GL49" s="52"/>
      <c r="GM49" s="52"/>
      <c r="GN49" s="52"/>
      <c r="GO49" s="52"/>
      <c r="GP49" s="52"/>
      <c r="GQ49" s="52"/>
      <c r="GR49" s="52"/>
      <c r="GS49" s="52"/>
      <c r="GT49" s="52"/>
      <c r="GU49" s="52"/>
      <c r="GV49" s="52"/>
      <c r="GW49" s="52"/>
      <c r="GX49" s="52"/>
      <c r="GY49" s="52"/>
      <c r="GZ49" s="52"/>
      <c r="HA49" s="52"/>
      <c r="HB49" s="52"/>
      <c r="HC49" s="52"/>
      <c r="HD49" s="52"/>
      <c r="HE49" s="52"/>
      <c r="HF49" s="52"/>
      <c r="HG49" s="52"/>
      <c r="HH49" s="52"/>
      <c r="HI49" s="52"/>
      <c r="HJ49" s="52"/>
      <c r="HK49" s="52"/>
      <c r="HL49" s="52"/>
      <c r="HM49" s="52"/>
      <c r="HN49" s="52"/>
      <c r="HO49" s="52"/>
      <c r="HP49" s="52"/>
      <c r="HQ49" s="52"/>
      <c r="HR49" s="52"/>
      <c r="HS49" s="52"/>
      <c r="HT49" s="52"/>
      <c r="HU49" s="52"/>
      <c r="HV49" s="52"/>
      <c r="HW49" s="52"/>
      <c r="HX49" s="52"/>
      <c r="HY49" s="52"/>
      <c r="HZ49" s="52"/>
      <c r="IA49" s="52"/>
      <c r="IB49" s="52"/>
      <c r="IC49" s="52"/>
      <c r="ID49" s="52"/>
      <c r="IE49" s="52"/>
      <c r="IF49" s="52"/>
      <c r="IG49" s="52"/>
      <c r="IH49" s="52"/>
      <c r="II49" s="52"/>
      <c r="IJ49" s="52"/>
      <c r="IK49" s="52"/>
      <c r="IL49" s="52"/>
      <c r="IM49" s="52"/>
      <c r="IN49" s="52"/>
      <c r="IO49" s="52"/>
      <c r="IP49" s="52"/>
      <c r="IQ49" s="52"/>
      <c r="IR49" s="52"/>
      <c r="IS49" s="52"/>
      <c r="IT49" s="52"/>
      <c r="IU49" s="52"/>
      <c r="IV49" s="52"/>
      <c r="IW49" s="52"/>
      <c r="IX49" s="52"/>
      <c r="IY49" s="52"/>
      <c r="IZ49" s="52"/>
      <c r="JA49" s="52"/>
      <c r="JB49" s="52"/>
      <c r="JC49" s="52"/>
      <c r="JD49" s="52"/>
      <c r="JE49" s="52"/>
      <c r="JF49" s="52"/>
      <c r="JG49" s="52"/>
      <c r="JH49" s="52"/>
      <c r="JI49" s="52"/>
      <c r="JL49" t="str">
        <f>IF($E49="","",IF(INDEX(工数管理!$AJ$3:$AJ$98,$E49)&lt;&gt;"",1,0))</f>
        <v/>
      </c>
      <c r="JM49" t="str">
        <f>IF($E49="","",IFERROR(MATCH($A49,祝日!$J$1:$L$1,0),""))</f>
        <v/>
      </c>
    </row>
    <row r="50" spans="1:273" ht="14.25" customHeight="1" x14ac:dyDescent="0.15">
      <c r="A50" s="50" t="str">
        <f>IF($E50="","",IF($JL50=1,INDEX(工数管理!$A$3:$A$98,$E50)&amp;"",IF(INDEX(工数管理!$AK$3:$AK$98,$E50)="","未割当",INDEX(工数管理!$AK$3:$AK$98,$E50))))</f>
        <v/>
      </c>
      <c r="B50" s="51" t="str">
        <f>IF($E50="","",IF($JL50=1,"",INDEX(工数管理!$A$3:$A$98,$E50)&amp;""))</f>
        <v/>
      </c>
      <c r="C50" s="50" t="str">
        <f>IF($E50="","",IF($JL50=1,"",INDEX(工数管理!$B$3:$B$98,$E50)&amp;""))</f>
        <v/>
      </c>
      <c r="D50" s="50" t="str">
        <f>IF($E50="","",INDEX(工数管理!$H$3:$H$98,$E50)&amp;"")</f>
        <v/>
      </c>
      <c r="E50" t="str">
        <f>IFERROR(MATCH(SMALL(工数管理!$BP$3:$BP$98,ROW()-3),工数管理!$BP$3:$BP$98,0),"")</f>
        <v/>
      </c>
      <c r="F50" t="str">
        <f>IF($E50="","",IF(INDEX(工数管理!$K$3:$K$98,$E50)="","",INDEX(工数管理!$K$3:$K$98,$E50)))</f>
        <v/>
      </c>
      <c r="G50" t="str">
        <f>IF($E50="","",IF(INDEX(工数管理!$L$3:$L$98,$E50)="","",INDEX(工数管理!$L$3:$L$98,$E50)))</f>
        <v/>
      </c>
      <c r="H50" t="str">
        <f>IF($E50="","",IF(INDEX(工数管理!$M$3:$M$98,$E50)="","",INDEX(工数管理!$M$3:$M$98,$E50)))</f>
        <v/>
      </c>
      <c r="I50" t="str">
        <f>IF($E50="","",IF(INDEX(工数管理!$N$3:$N$98,$E50)="","",INDEX(工数管理!$N$3:$N$98,$E50)))</f>
        <v/>
      </c>
      <c r="J50" t="str">
        <f>IF($E50="","",IF(INDEX(工数管理!$O$3:$O$98,$E50)="","",INDEX(工数管理!$O$3:$O$98,$E50)))</f>
        <v/>
      </c>
      <c r="K50" t="str">
        <f>IF($E50="","",IF(INDEX(工数管理!$P$3:$P$98,$E50)="","",INDEX(工数管理!$P$3:$P$98,$E50)))</f>
        <v/>
      </c>
      <c r="L50" t="str">
        <f>IF($E50="","",IF(INDEX(工数管理!$Q$3:$Q$98,$E50)="","",INDEX(工数管理!$Q$3:$Q$98,$E50)))</f>
        <v/>
      </c>
      <c r="M50" t="str">
        <f>IF($E50="","",IF(INDEX(工数管理!$R$3:$R$98,$E50)="","",INDEX(工数管理!$R$3:$R$98,$E50)))</f>
        <v/>
      </c>
      <c r="N50" t="str">
        <f>IF($E50="","",IF(INDEX(工数管理!$S$3:$S$98,$E50)="","",INDEX(工数管理!$S$3:$S$98,$E50)))</f>
        <v/>
      </c>
      <c r="O50" t="str">
        <f>IF($E50="","",IF(INDEX(工数管理!$T$3:$T$98,$E50)="","",INDEX(工数管理!$T$3:$T$98,$E50)))</f>
        <v/>
      </c>
      <c r="P50" t="str">
        <f>IF($E50="","",IF(INDEX(工数管理!$U$3:$U$98,$E50)="","",INDEX(工数管理!$U$3:$U$98,$E50)))</f>
        <v/>
      </c>
      <c r="Q50" t="str">
        <f>IF($E50="","",IF(INDEX(工数管理!$V$3:$V$98,$E50)="","",INDEX(工数管理!$V$3:$V$98,$E50)))</f>
        <v/>
      </c>
      <c r="R50" t="str">
        <f>IF($E50="","",IF(INDEX(工数管理!$W$3:$W$98,$E50)="","",INDEX(工数管理!$W$3:$W$98,$E50)))</f>
        <v/>
      </c>
      <c r="S50" t="str">
        <f>IF($E50="","",IF(INDEX(工数管理!$X$3:$X$98,$E50)="","",INDEX(工数管理!$X$3:$X$98,$E50)))</f>
        <v/>
      </c>
      <c r="T50" t="str">
        <f>IF($E50="","",IF(INDEX(工数管理!$Y$3:$Y$98,$E50)="","",INDEX(工数管理!$Y$3:$Y$98,$E50)))</f>
        <v/>
      </c>
      <c r="U50" t="str">
        <f>IF($E50="","",IF(INDEX(工数管理!$Z$3:$Z$98,$E50)="","",INDEX(工数管理!$Z$3:$Z$98,$E50)))</f>
        <v/>
      </c>
      <c r="V50" t="str">
        <f>IF($E50="","",IF(INDEX(工数管理!$AA$3:$AA$98,$E50)="","",INDEX(工数管理!$AA$3:$AA$98,$E50)))</f>
        <v/>
      </c>
      <c r="W50" t="str">
        <f>IF($E50="","",IF(INDEX(工数管理!$AB$3:$AB$98,$E50)="","",INDEX(工数管理!$AB$3:$AB$98,$E50)))</f>
        <v/>
      </c>
      <c r="X50" t="str">
        <f>IF($E50="","",IF(INDEX(工数管理!$AC$3:$AC$98,$E50)="","",INDEX(工数管理!$AC$3:$AC$98,$E50)))</f>
        <v/>
      </c>
      <c r="Y50" t="str">
        <f>IF($E50="","",IF(INDEX(工数管理!$AD$3:$AD$98,$E50)="","",INDEX(工数管理!$AD$3:$AD$98,$E50)))</f>
        <v/>
      </c>
      <c r="Z50" t="str">
        <f>IF($E50="","",IF(INDEX(工数管理!$AE$3:$AE$98,$E50)="","",INDEX(工数管理!$AE$3:$AE$98,$E50)))</f>
        <v/>
      </c>
      <c r="AA50" t="str">
        <f>IF($E50="","",IF(INDEX(工数管理!$AF$3:$AF$98,$E50)="","",INDEX(工数管理!$AF$3:$AF$98,$E50)))</f>
        <v/>
      </c>
      <c r="AB50" t="str">
        <f>IF($E50="","",IF(INDEX(工数管理!$AG$3:$AG$98,$E50)="","",INDEX(工数管理!$AG$3:$AG$98,$E50)))</f>
        <v/>
      </c>
      <c r="AC50" t="str">
        <f>IF($E50="","",IF(INDEX(工数管理!$AH$3:$AH$98,$E50)="","",INDEX(工数管理!$AH$3:$AH$98,$E50)))</f>
        <v/>
      </c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/>
      <c r="DY50" s="52"/>
      <c r="DZ50" s="52"/>
      <c r="EA50" s="52"/>
      <c r="EB50" s="52"/>
      <c r="EC50" s="52"/>
      <c r="ED50" s="52"/>
      <c r="EE50" s="52"/>
      <c r="EF50" s="52"/>
      <c r="EG50" s="52"/>
      <c r="EH50" s="52"/>
      <c r="EI50" s="52"/>
      <c r="EJ50" s="52"/>
      <c r="EK50" s="52"/>
      <c r="EL50" s="52"/>
      <c r="EM50" s="52"/>
      <c r="EN50" s="52"/>
      <c r="EO50" s="52"/>
      <c r="EP50" s="52"/>
      <c r="EQ50" s="52"/>
      <c r="ER50" s="52"/>
      <c r="ES50" s="52"/>
      <c r="ET50" s="52"/>
      <c r="EU50" s="52"/>
      <c r="EV50" s="52"/>
      <c r="EW50" s="52"/>
      <c r="EX50" s="52"/>
      <c r="EY50" s="52"/>
      <c r="EZ50" s="52"/>
      <c r="FA50" s="52"/>
      <c r="FB50" s="52"/>
      <c r="FC50" s="52"/>
      <c r="FD50" s="52"/>
      <c r="FE50" s="52"/>
      <c r="FF50" s="52"/>
      <c r="FG50" s="52"/>
      <c r="FH50" s="52"/>
      <c r="FI50" s="52"/>
      <c r="FJ50" s="52"/>
      <c r="FK50" s="52"/>
      <c r="FL50" s="52"/>
      <c r="FM50" s="52"/>
      <c r="FN50" s="52"/>
      <c r="FO50" s="52"/>
      <c r="FP50" s="52"/>
      <c r="FQ50" s="52"/>
      <c r="FR50" s="52"/>
      <c r="FS50" s="52"/>
      <c r="FT50" s="52"/>
      <c r="FU50" s="52"/>
      <c r="FV50" s="52"/>
      <c r="FW50" s="52"/>
      <c r="FX50" s="52"/>
      <c r="FY50" s="52"/>
      <c r="FZ50" s="52"/>
      <c r="GA50" s="52"/>
      <c r="GB50" s="52"/>
      <c r="GC50" s="52"/>
      <c r="GD50" s="52"/>
      <c r="GE50" s="52"/>
      <c r="GF50" s="52"/>
      <c r="GG50" s="52"/>
      <c r="GH50" s="52"/>
      <c r="GI50" s="52"/>
      <c r="GJ50" s="52"/>
      <c r="GK50" s="52"/>
      <c r="GL50" s="52"/>
      <c r="GM50" s="52"/>
      <c r="GN50" s="52"/>
      <c r="GO50" s="52"/>
      <c r="GP50" s="52"/>
      <c r="GQ50" s="52"/>
      <c r="GR50" s="52"/>
      <c r="GS50" s="52"/>
      <c r="GT50" s="52"/>
      <c r="GU50" s="52"/>
      <c r="GV50" s="52"/>
      <c r="GW50" s="52"/>
      <c r="GX50" s="52"/>
      <c r="GY50" s="52"/>
      <c r="GZ50" s="52"/>
      <c r="HA50" s="52"/>
      <c r="HB50" s="52"/>
      <c r="HC50" s="52"/>
      <c r="HD50" s="52"/>
      <c r="HE50" s="52"/>
      <c r="HF50" s="52"/>
      <c r="HG50" s="52"/>
      <c r="HH50" s="52"/>
      <c r="HI50" s="52"/>
      <c r="HJ50" s="52"/>
      <c r="HK50" s="52"/>
      <c r="HL50" s="52"/>
      <c r="HM50" s="52"/>
      <c r="HN50" s="52"/>
      <c r="HO50" s="52"/>
      <c r="HP50" s="52"/>
      <c r="HQ50" s="52"/>
      <c r="HR50" s="52"/>
      <c r="HS50" s="52"/>
      <c r="HT50" s="52"/>
      <c r="HU50" s="52"/>
      <c r="HV50" s="52"/>
      <c r="HW50" s="52"/>
      <c r="HX50" s="52"/>
      <c r="HY50" s="52"/>
      <c r="HZ50" s="52"/>
      <c r="IA50" s="52"/>
      <c r="IB50" s="52"/>
      <c r="IC50" s="52"/>
      <c r="ID50" s="52"/>
      <c r="IE50" s="52"/>
      <c r="IF50" s="52"/>
      <c r="IG50" s="52"/>
      <c r="IH50" s="52"/>
      <c r="II50" s="52"/>
      <c r="IJ50" s="52"/>
      <c r="IK50" s="52"/>
      <c r="IL50" s="52"/>
      <c r="IM50" s="52"/>
      <c r="IN50" s="52"/>
      <c r="IO50" s="52"/>
      <c r="IP50" s="52"/>
      <c r="IQ50" s="52"/>
      <c r="IR50" s="52"/>
      <c r="IS50" s="52"/>
      <c r="IT50" s="52"/>
      <c r="IU50" s="52"/>
      <c r="IV50" s="52"/>
      <c r="IW50" s="52"/>
      <c r="IX50" s="52"/>
      <c r="IY50" s="52"/>
      <c r="IZ50" s="52"/>
      <c r="JA50" s="52"/>
      <c r="JB50" s="52"/>
      <c r="JC50" s="52"/>
      <c r="JD50" s="52"/>
      <c r="JE50" s="52"/>
      <c r="JF50" s="52"/>
      <c r="JG50" s="52"/>
      <c r="JH50" s="52"/>
      <c r="JI50" s="52"/>
      <c r="JL50" t="str">
        <f>IF($E50="","",IF(INDEX(工数管理!$AJ$3:$AJ$98,$E50)&lt;&gt;"",1,0))</f>
        <v/>
      </c>
      <c r="JM50" t="str">
        <f>IF($E50="","",IFERROR(MATCH($A50,祝日!$J$1:$L$1,0),""))</f>
        <v/>
      </c>
    </row>
    <row r="51" spans="1:273" ht="14.25" customHeight="1" x14ac:dyDescent="0.15">
      <c r="A51" s="50" t="str">
        <f>IF($E51="","",IF($JL51=1,INDEX(工数管理!$A$3:$A$98,$E51)&amp;"",IF(INDEX(工数管理!$AK$3:$AK$98,$E51)="","未割当",INDEX(工数管理!$AK$3:$AK$98,$E51))))</f>
        <v/>
      </c>
      <c r="B51" s="51" t="str">
        <f>IF($E51="","",IF($JL51=1,"",INDEX(工数管理!$A$3:$A$98,$E51)&amp;""))</f>
        <v/>
      </c>
      <c r="C51" s="50" t="str">
        <f>IF($E51="","",IF($JL51=1,"",INDEX(工数管理!$B$3:$B$98,$E51)&amp;""))</f>
        <v/>
      </c>
      <c r="D51" s="50" t="str">
        <f>IF($E51="","",INDEX(工数管理!$H$3:$H$98,$E51)&amp;"")</f>
        <v/>
      </c>
      <c r="E51" t="str">
        <f>IFERROR(MATCH(SMALL(工数管理!$BP$3:$BP$98,ROW()-3),工数管理!$BP$3:$BP$98,0),"")</f>
        <v/>
      </c>
      <c r="F51" t="str">
        <f>IF($E51="","",IF(INDEX(工数管理!$K$3:$K$98,$E51)="","",INDEX(工数管理!$K$3:$K$98,$E51)))</f>
        <v/>
      </c>
      <c r="G51" t="str">
        <f>IF($E51="","",IF(INDEX(工数管理!$L$3:$L$98,$E51)="","",INDEX(工数管理!$L$3:$L$98,$E51)))</f>
        <v/>
      </c>
      <c r="H51" t="str">
        <f>IF($E51="","",IF(INDEX(工数管理!$M$3:$M$98,$E51)="","",INDEX(工数管理!$M$3:$M$98,$E51)))</f>
        <v/>
      </c>
      <c r="I51" t="str">
        <f>IF($E51="","",IF(INDEX(工数管理!$N$3:$N$98,$E51)="","",INDEX(工数管理!$N$3:$N$98,$E51)))</f>
        <v/>
      </c>
      <c r="J51" t="str">
        <f>IF($E51="","",IF(INDEX(工数管理!$O$3:$O$98,$E51)="","",INDEX(工数管理!$O$3:$O$98,$E51)))</f>
        <v/>
      </c>
      <c r="K51" t="str">
        <f>IF($E51="","",IF(INDEX(工数管理!$P$3:$P$98,$E51)="","",INDEX(工数管理!$P$3:$P$98,$E51)))</f>
        <v/>
      </c>
      <c r="L51" t="str">
        <f>IF($E51="","",IF(INDEX(工数管理!$Q$3:$Q$98,$E51)="","",INDEX(工数管理!$Q$3:$Q$98,$E51)))</f>
        <v/>
      </c>
      <c r="M51" t="str">
        <f>IF($E51="","",IF(INDEX(工数管理!$R$3:$R$98,$E51)="","",INDEX(工数管理!$R$3:$R$98,$E51)))</f>
        <v/>
      </c>
      <c r="N51" t="str">
        <f>IF($E51="","",IF(INDEX(工数管理!$S$3:$S$98,$E51)="","",INDEX(工数管理!$S$3:$S$98,$E51)))</f>
        <v/>
      </c>
      <c r="O51" t="str">
        <f>IF($E51="","",IF(INDEX(工数管理!$T$3:$T$98,$E51)="","",INDEX(工数管理!$T$3:$T$98,$E51)))</f>
        <v/>
      </c>
      <c r="P51" t="str">
        <f>IF($E51="","",IF(INDEX(工数管理!$U$3:$U$98,$E51)="","",INDEX(工数管理!$U$3:$U$98,$E51)))</f>
        <v/>
      </c>
      <c r="Q51" t="str">
        <f>IF($E51="","",IF(INDEX(工数管理!$V$3:$V$98,$E51)="","",INDEX(工数管理!$V$3:$V$98,$E51)))</f>
        <v/>
      </c>
      <c r="R51" t="str">
        <f>IF($E51="","",IF(INDEX(工数管理!$W$3:$W$98,$E51)="","",INDEX(工数管理!$W$3:$W$98,$E51)))</f>
        <v/>
      </c>
      <c r="S51" t="str">
        <f>IF($E51="","",IF(INDEX(工数管理!$X$3:$X$98,$E51)="","",INDEX(工数管理!$X$3:$X$98,$E51)))</f>
        <v/>
      </c>
      <c r="T51" t="str">
        <f>IF($E51="","",IF(INDEX(工数管理!$Y$3:$Y$98,$E51)="","",INDEX(工数管理!$Y$3:$Y$98,$E51)))</f>
        <v/>
      </c>
      <c r="U51" t="str">
        <f>IF($E51="","",IF(INDEX(工数管理!$Z$3:$Z$98,$E51)="","",INDEX(工数管理!$Z$3:$Z$98,$E51)))</f>
        <v/>
      </c>
      <c r="V51" t="str">
        <f>IF($E51="","",IF(INDEX(工数管理!$AA$3:$AA$98,$E51)="","",INDEX(工数管理!$AA$3:$AA$98,$E51)))</f>
        <v/>
      </c>
      <c r="W51" t="str">
        <f>IF($E51="","",IF(INDEX(工数管理!$AB$3:$AB$98,$E51)="","",INDEX(工数管理!$AB$3:$AB$98,$E51)))</f>
        <v/>
      </c>
      <c r="X51" t="str">
        <f>IF($E51="","",IF(INDEX(工数管理!$AC$3:$AC$98,$E51)="","",INDEX(工数管理!$AC$3:$AC$98,$E51)))</f>
        <v/>
      </c>
      <c r="Y51" t="str">
        <f>IF($E51="","",IF(INDEX(工数管理!$AD$3:$AD$98,$E51)="","",INDEX(工数管理!$AD$3:$AD$98,$E51)))</f>
        <v/>
      </c>
      <c r="Z51" t="str">
        <f>IF($E51="","",IF(INDEX(工数管理!$AE$3:$AE$98,$E51)="","",INDEX(工数管理!$AE$3:$AE$98,$E51)))</f>
        <v/>
      </c>
      <c r="AA51" t="str">
        <f>IF($E51="","",IF(INDEX(工数管理!$AF$3:$AF$98,$E51)="","",INDEX(工数管理!$AF$3:$AF$98,$E51)))</f>
        <v/>
      </c>
      <c r="AB51" t="str">
        <f>IF($E51="","",IF(INDEX(工数管理!$AG$3:$AG$98,$E51)="","",INDEX(工数管理!$AG$3:$AG$98,$E51)))</f>
        <v/>
      </c>
      <c r="AC51" t="str">
        <f>IF($E51="","",IF(INDEX(工数管理!$AH$3:$AH$98,$E51)="","",INDEX(工数管理!$AH$3:$AH$98,$E51)))</f>
        <v/>
      </c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2"/>
      <c r="DX51" s="52"/>
      <c r="DY51" s="52"/>
      <c r="DZ51" s="52"/>
      <c r="EA51" s="52"/>
      <c r="EB51" s="52"/>
      <c r="EC51" s="52"/>
      <c r="ED51" s="52"/>
      <c r="EE51" s="52"/>
      <c r="EF51" s="52"/>
      <c r="EG51" s="52"/>
      <c r="EH51" s="52"/>
      <c r="EI51" s="52"/>
      <c r="EJ51" s="52"/>
      <c r="EK51" s="52"/>
      <c r="EL51" s="52"/>
      <c r="EM51" s="52"/>
      <c r="EN51" s="52"/>
      <c r="EO51" s="52"/>
      <c r="EP51" s="52"/>
      <c r="EQ51" s="52"/>
      <c r="ER51" s="52"/>
      <c r="ES51" s="52"/>
      <c r="ET51" s="52"/>
      <c r="EU51" s="52"/>
      <c r="EV51" s="52"/>
      <c r="EW51" s="52"/>
      <c r="EX51" s="52"/>
      <c r="EY51" s="52"/>
      <c r="EZ51" s="52"/>
      <c r="FA51" s="52"/>
      <c r="FB51" s="52"/>
      <c r="FC51" s="52"/>
      <c r="FD51" s="52"/>
      <c r="FE51" s="52"/>
      <c r="FF51" s="52"/>
      <c r="FG51" s="52"/>
      <c r="FH51" s="52"/>
      <c r="FI51" s="52"/>
      <c r="FJ51" s="52"/>
      <c r="FK51" s="52"/>
      <c r="FL51" s="52"/>
      <c r="FM51" s="52"/>
      <c r="FN51" s="52"/>
      <c r="FO51" s="52"/>
      <c r="FP51" s="52"/>
      <c r="FQ51" s="52"/>
      <c r="FR51" s="52"/>
      <c r="FS51" s="52"/>
      <c r="FT51" s="52"/>
      <c r="FU51" s="52"/>
      <c r="FV51" s="52"/>
      <c r="FW51" s="52"/>
      <c r="FX51" s="52"/>
      <c r="FY51" s="52"/>
      <c r="FZ51" s="52"/>
      <c r="GA51" s="52"/>
      <c r="GB51" s="52"/>
      <c r="GC51" s="52"/>
      <c r="GD51" s="52"/>
      <c r="GE51" s="52"/>
      <c r="GF51" s="52"/>
      <c r="GG51" s="52"/>
      <c r="GH51" s="52"/>
      <c r="GI51" s="52"/>
      <c r="GJ51" s="52"/>
      <c r="GK51" s="52"/>
      <c r="GL51" s="52"/>
      <c r="GM51" s="52"/>
      <c r="GN51" s="52"/>
      <c r="GO51" s="52"/>
      <c r="GP51" s="52"/>
      <c r="GQ51" s="52"/>
      <c r="GR51" s="52"/>
      <c r="GS51" s="52"/>
      <c r="GT51" s="52"/>
      <c r="GU51" s="52"/>
      <c r="GV51" s="52"/>
      <c r="GW51" s="52"/>
      <c r="GX51" s="52"/>
      <c r="GY51" s="52"/>
      <c r="GZ51" s="52"/>
      <c r="HA51" s="52"/>
      <c r="HB51" s="52"/>
      <c r="HC51" s="52"/>
      <c r="HD51" s="52"/>
      <c r="HE51" s="52"/>
      <c r="HF51" s="52"/>
      <c r="HG51" s="52"/>
      <c r="HH51" s="52"/>
      <c r="HI51" s="52"/>
      <c r="HJ51" s="52"/>
      <c r="HK51" s="52"/>
      <c r="HL51" s="52"/>
      <c r="HM51" s="52"/>
      <c r="HN51" s="52"/>
      <c r="HO51" s="52"/>
      <c r="HP51" s="52"/>
      <c r="HQ51" s="52"/>
      <c r="HR51" s="52"/>
      <c r="HS51" s="52"/>
      <c r="HT51" s="52"/>
      <c r="HU51" s="52"/>
      <c r="HV51" s="52"/>
      <c r="HW51" s="52"/>
      <c r="HX51" s="52"/>
      <c r="HY51" s="52"/>
      <c r="HZ51" s="52"/>
      <c r="IA51" s="52"/>
      <c r="IB51" s="52"/>
      <c r="IC51" s="52"/>
      <c r="ID51" s="52"/>
      <c r="IE51" s="52"/>
      <c r="IF51" s="52"/>
      <c r="IG51" s="52"/>
      <c r="IH51" s="52"/>
      <c r="II51" s="52"/>
      <c r="IJ51" s="52"/>
      <c r="IK51" s="52"/>
      <c r="IL51" s="52"/>
      <c r="IM51" s="52"/>
      <c r="IN51" s="52"/>
      <c r="IO51" s="52"/>
      <c r="IP51" s="52"/>
      <c r="IQ51" s="52"/>
      <c r="IR51" s="52"/>
      <c r="IS51" s="52"/>
      <c r="IT51" s="52"/>
      <c r="IU51" s="52"/>
      <c r="IV51" s="52"/>
      <c r="IW51" s="52"/>
      <c r="IX51" s="52"/>
      <c r="IY51" s="52"/>
      <c r="IZ51" s="52"/>
      <c r="JA51" s="52"/>
      <c r="JB51" s="52"/>
      <c r="JC51" s="52"/>
      <c r="JD51" s="52"/>
      <c r="JE51" s="52"/>
      <c r="JF51" s="52"/>
      <c r="JG51" s="52"/>
      <c r="JH51" s="52"/>
      <c r="JI51" s="52"/>
      <c r="JL51" t="str">
        <f>IF($E51="","",IF(INDEX(工数管理!$AJ$3:$AJ$98,$E51)&lt;&gt;"",1,0))</f>
        <v/>
      </c>
      <c r="JM51" t="str">
        <f>IF($E51="","",IFERROR(MATCH($A51,祝日!$J$1:$L$1,0),""))</f>
        <v/>
      </c>
    </row>
    <row r="52" spans="1:273" ht="14.25" customHeight="1" x14ac:dyDescent="0.15">
      <c r="A52" s="50" t="str">
        <f>IF($E52="","",IF($JL52=1,INDEX(工数管理!$A$3:$A$98,$E52)&amp;"",IF(INDEX(工数管理!$AK$3:$AK$98,$E52)="","未割当",INDEX(工数管理!$AK$3:$AK$98,$E52))))</f>
        <v/>
      </c>
      <c r="B52" s="51" t="str">
        <f>IF($E52="","",IF($JL52=1,"",INDEX(工数管理!$A$3:$A$98,$E52)&amp;""))</f>
        <v/>
      </c>
      <c r="C52" s="50" t="str">
        <f>IF($E52="","",IF($JL52=1,"",INDEX(工数管理!$B$3:$B$98,$E52)&amp;""))</f>
        <v/>
      </c>
      <c r="D52" s="50" t="str">
        <f>IF($E52="","",INDEX(工数管理!$H$3:$H$98,$E52)&amp;"")</f>
        <v/>
      </c>
      <c r="E52" t="str">
        <f>IFERROR(MATCH(SMALL(工数管理!$BP$3:$BP$98,ROW()-3),工数管理!$BP$3:$BP$98,0),"")</f>
        <v/>
      </c>
      <c r="F52" t="str">
        <f>IF($E52="","",IF(INDEX(工数管理!$K$3:$K$98,$E52)="","",INDEX(工数管理!$K$3:$K$98,$E52)))</f>
        <v/>
      </c>
      <c r="G52" t="str">
        <f>IF($E52="","",IF(INDEX(工数管理!$L$3:$L$98,$E52)="","",INDEX(工数管理!$L$3:$L$98,$E52)))</f>
        <v/>
      </c>
      <c r="H52" t="str">
        <f>IF($E52="","",IF(INDEX(工数管理!$M$3:$M$98,$E52)="","",INDEX(工数管理!$M$3:$M$98,$E52)))</f>
        <v/>
      </c>
      <c r="I52" t="str">
        <f>IF($E52="","",IF(INDEX(工数管理!$N$3:$N$98,$E52)="","",INDEX(工数管理!$N$3:$N$98,$E52)))</f>
        <v/>
      </c>
      <c r="J52" t="str">
        <f>IF($E52="","",IF(INDEX(工数管理!$O$3:$O$98,$E52)="","",INDEX(工数管理!$O$3:$O$98,$E52)))</f>
        <v/>
      </c>
      <c r="K52" t="str">
        <f>IF($E52="","",IF(INDEX(工数管理!$P$3:$P$98,$E52)="","",INDEX(工数管理!$P$3:$P$98,$E52)))</f>
        <v/>
      </c>
      <c r="L52" t="str">
        <f>IF($E52="","",IF(INDEX(工数管理!$Q$3:$Q$98,$E52)="","",INDEX(工数管理!$Q$3:$Q$98,$E52)))</f>
        <v/>
      </c>
      <c r="M52" t="str">
        <f>IF($E52="","",IF(INDEX(工数管理!$R$3:$R$98,$E52)="","",INDEX(工数管理!$R$3:$R$98,$E52)))</f>
        <v/>
      </c>
      <c r="N52" t="str">
        <f>IF($E52="","",IF(INDEX(工数管理!$S$3:$S$98,$E52)="","",INDEX(工数管理!$S$3:$S$98,$E52)))</f>
        <v/>
      </c>
      <c r="O52" t="str">
        <f>IF($E52="","",IF(INDEX(工数管理!$T$3:$T$98,$E52)="","",INDEX(工数管理!$T$3:$T$98,$E52)))</f>
        <v/>
      </c>
      <c r="P52" t="str">
        <f>IF($E52="","",IF(INDEX(工数管理!$U$3:$U$98,$E52)="","",INDEX(工数管理!$U$3:$U$98,$E52)))</f>
        <v/>
      </c>
      <c r="Q52" t="str">
        <f>IF($E52="","",IF(INDEX(工数管理!$V$3:$V$98,$E52)="","",INDEX(工数管理!$V$3:$V$98,$E52)))</f>
        <v/>
      </c>
      <c r="R52" t="str">
        <f>IF($E52="","",IF(INDEX(工数管理!$W$3:$W$98,$E52)="","",INDEX(工数管理!$W$3:$W$98,$E52)))</f>
        <v/>
      </c>
      <c r="S52" t="str">
        <f>IF($E52="","",IF(INDEX(工数管理!$X$3:$X$98,$E52)="","",INDEX(工数管理!$X$3:$X$98,$E52)))</f>
        <v/>
      </c>
      <c r="T52" t="str">
        <f>IF($E52="","",IF(INDEX(工数管理!$Y$3:$Y$98,$E52)="","",INDEX(工数管理!$Y$3:$Y$98,$E52)))</f>
        <v/>
      </c>
      <c r="U52" t="str">
        <f>IF($E52="","",IF(INDEX(工数管理!$Z$3:$Z$98,$E52)="","",INDEX(工数管理!$Z$3:$Z$98,$E52)))</f>
        <v/>
      </c>
      <c r="V52" t="str">
        <f>IF($E52="","",IF(INDEX(工数管理!$AA$3:$AA$98,$E52)="","",INDEX(工数管理!$AA$3:$AA$98,$E52)))</f>
        <v/>
      </c>
      <c r="W52" t="str">
        <f>IF($E52="","",IF(INDEX(工数管理!$AB$3:$AB$98,$E52)="","",INDEX(工数管理!$AB$3:$AB$98,$E52)))</f>
        <v/>
      </c>
      <c r="X52" t="str">
        <f>IF($E52="","",IF(INDEX(工数管理!$AC$3:$AC$98,$E52)="","",INDEX(工数管理!$AC$3:$AC$98,$E52)))</f>
        <v/>
      </c>
      <c r="Y52" t="str">
        <f>IF($E52="","",IF(INDEX(工数管理!$AD$3:$AD$98,$E52)="","",INDEX(工数管理!$AD$3:$AD$98,$E52)))</f>
        <v/>
      </c>
      <c r="Z52" t="str">
        <f>IF($E52="","",IF(INDEX(工数管理!$AE$3:$AE$98,$E52)="","",INDEX(工数管理!$AE$3:$AE$98,$E52)))</f>
        <v/>
      </c>
      <c r="AA52" t="str">
        <f>IF($E52="","",IF(INDEX(工数管理!$AF$3:$AF$98,$E52)="","",INDEX(工数管理!$AF$3:$AF$98,$E52)))</f>
        <v/>
      </c>
      <c r="AB52" t="str">
        <f>IF($E52="","",IF(INDEX(工数管理!$AG$3:$AG$98,$E52)="","",INDEX(工数管理!$AG$3:$AG$98,$E52)))</f>
        <v/>
      </c>
      <c r="AC52" t="str">
        <f>IF($E52="","",IF(INDEX(工数管理!$AH$3:$AH$98,$E52)="","",INDEX(工数管理!$AH$3:$AH$98,$E52)))</f>
        <v/>
      </c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2"/>
      <c r="DV52" s="52"/>
      <c r="DW52" s="52"/>
      <c r="DX52" s="52"/>
      <c r="DY52" s="52"/>
      <c r="DZ52" s="52"/>
      <c r="EA52" s="52"/>
      <c r="EB52" s="52"/>
      <c r="EC52" s="52"/>
      <c r="ED52" s="52"/>
      <c r="EE52" s="52"/>
      <c r="EF52" s="52"/>
      <c r="EG52" s="52"/>
      <c r="EH52" s="52"/>
      <c r="EI52" s="52"/>
      <c r="EJ52" s="52"/>
      <c r="EK52" s="52"/>
      <c r="EL52" s="52"/>
      <c r="EM52" s="52"/>
      <c r="EN52" s="52"/>
      <c r="EO52" s="52"/>
      <c r="EP52" s="52"/>
      <c r="EQ52" s="52"/>
      <c r="ER52" s="52"/>
      <c r="ES52" s="52"/>
      <c r="ET52" s="52"/>
      <c r="EU52" s="52"/>
      <c r="EV52" s="52"/>
      <c r="EW52" s="52"/>
      <c r="EX52" s="52"/>
      <c r="EY52" s="52"/>
      <c r="EZ52" s="52"/>
      <c r="FA52" s="52"/>
      <c r="FB52" s="52"/>
      <c r="FC52" s="52"/>
      <c r="FD52" s="52"/>
      <c r="FE52" s="52"/>
      <c r="FF52" s="52"/>
      <c r="FG52" s="52"/>
      <c r="FH52" s="52"/>
      <c r="FI52" s="52"/>
      <c r="FJ52" s="52"/>
      <c r="FK52" s="52"/>
      <c r="FL52" s="52"/>
      <c r="FM52" s="52"/>
      <c r="FN52" s="52"/>
      <c r="FO52" s="52"/>
      <c r="FP52" s="52"/>
      <c r="FQ52" s="52"/>
      <c r="FR52" s="52"/>
      <c r="FS52" s="52"/>
      <c r="FT52" s="52"/>
      <c r="FU52" s="52"/>
      <c r="FV52" s="52"/>
      <c r="FW52" s="52"/>
      <c r="FX52" s="52"/>
      <c r="FY52" s="52"/>
      <c r="FZ52" s="52"/>
      <c r="GA52" s="52"/>
      <c r="GB52" s="52"/>
      <c r="GC52" s="52"/>
      <c r="GD52" s="52"/>
      <c r="GE52" s="52"/>
      <c r="GF52" s="52"/>
      <c r="GG52" s="52"/>
      <c r="GH52" s="52"/>
      <c r="GI52" s="52"/>
      <c r="GJ52" s="52"/>
      <c r="GK52" s="52"/>
      <c r="GL52" s="52"/>
      <c r="GM52" s="52"/>
      <c r="GN52" s="52"/>
      <c r="GO52" s="52"/>
      <c r="GP52" s="52"/>
      <c r="GQ52" s="52"/>
      <c r="GR52" s="52"/>
      <c r="GS52" s="52"/>
      <c r="GT52" s="52"/>
      <c r="GU52" s="52"/>
      <c r="GV52" s="52"/>
      <c r="GW52" s="52"/>
      <c r="GX52" s="52"/>
      <c r="GY52" s="52"/>
      <c r="GZ52" s="52"/>
      <c r="HA52" s="52"/>
      <c r="HB52" s="52"/>
      <c r="HC52" s="52"/>
      <c r="HD52" s="52"/>
      <c r="HE52" s="52"/>
      <c r="HF52" s="52"/>
      <c r="HG52" s="52"/>
      <c r="HH52" s="52"/>
      <c r="HI52" s="52"/>
      <c r="HJ52" s="52"/>
      <c r="HK52" s="52"/>
      <c r="HL52" s="52"/>
      <c r="HM52" s="52"/>
      <c r="HN52" s="52"/>
      <c r="HO52" s="52"/>
      <c r="HP52" s="52"/>
      <c r="HQ52" s="52"/>
      <c r="HR52" s="52"/>
      <c r="HS52" s="52"/>
      <c r="HT52" s="52"/>
      <c r="HU52" s="52"/>
      <c r="HV52" s="52"/>
      <c r="HW52" s="52"/>
      <c r="HX52" s="52"/>
      <c r="HY52" s="52"/>
      <c r="HZ52" s="52"/>
      <c r="IA52" s="52"/>
      <c r="IB52" s="52"/>
      <c r="IC52" s="52"/>
      <c r="ID52" s="52"/>
      <c r="IE52" s="52"/>
      <c r="IF52" s="52"/>
      <c r="IG52" s="52"/>
      <c r="IH52" s="52"/>
      <c r="II52" s="52"/>
      <c r="IJ52" s="52"/>
      <c r="IK52" s="52"/>
      <c r="IL52" s="52"/>
      <c r="IM52" s="52"/>
      <c r="IN52" s="52"/>
      <c r="IO52" s="52"/>
      <c r="IP52" s="52"/>
      <c r="IQ52" s="52"/>
      <c r="IR52" s="52"/>
      <c r="IS52" s="52"/>
      <c r="IT52" s="52"/>
      <c r="IU52" s="52"/>
      <c r="IV52" s="52"/>
      <c r="IW52" s="52"/>
      <c r="IX52" s="52"/>
      <c r="IY52" s="52"/>
      <c r="IZ52" s="52"/>
      <c r="JA52" s="52"/>
      <c r="JB52" s="52"/>
      <c r="JC52" s="52"/>
      <c r="JD52" s="52"/>
      <c r="JE52" s="52"/>
      <c r="JF52" s="52"/>
      <c r="JG52" s="52"/>
      <c r="JH52" s="52"/>
      <c r="JI52" s="52"/>
      <c r="JL52" t="str">
        <f>IF($E52="","",IF(INDEX(工数管理!$AJ$3:$AJ$98,$E52)&lt;&gt;"",1,0))</f>
        <v/>
      </c>
      <c r="JM52" t="str">
        <f>IF($E52="","",IFERROR(MATCH($A52,祝日!$J$1:$L$1,0),""))</f>
        <v/>
      </c>
    </row>
    <row r="53" spans="1:273" ht="14.25" customHeight="1" x14ac:dyDescent="0.15">
      <c r="A53" s="50" t="str">
        <f>IF($E53="","",IF($JL53=1,INDEX(工数管理!$A$3:$A$98,$E53)&amp;"",IF(INDEX(工数管理!$AK$3:$AK$98,$E53)="","未割当",INDEX(工数管理!$AK$3:$AK$98,$E53))))</f>
        <v/>
      </c>
      <c r="B53" s="51" t="str">
        <f>IF($E53="","",IF($JL53=1,"",INDEX(工数管理!$A$3:$A$98,$E53)&amp;""))</f>
        <v/>
      </c>
      <c r="C53" s="50" t="str">
        <f>IF($E53="","",IF($JL53=1,"",INDEX(工数管理!$B$3:$B$98,$E53)&amp;""))</f>
        <v/>
      </c>
      <c r="D53" s="50" t="str">
        <f>IF($E53="","",INDEX(工数管理!$H$3:$H$98,$E53)&amp;"")</f>
        <v/>
      </c>
      <c r="E53" t="str">
        <f>IFERROR(MATCH(SMALL(工数管理!$BP$3:$BP$98,ROW()-3),工数管理!$BP$3:$BP$98,0),"")</f>
        <v/>
      </c>
      <c r="F53" t="str">
        <f>IF($E53="","",IF(INDEX(工数管理!$K$3:$K$98,$E53)="","",INDEX(工数管理!$K$3:$K$98,$E53)))</f>
        <v/>
      </c>
      <c r="G53" t="str">
        <f>IF($E53="","",IF(INDEX(工数管理!$L$3:$L$98,$E53)="","",INDEX(工数管理!$L$3:$L$98,$E53)))</f>
        <v/>
      </c>
      <c r="H53" t="str">
        <f>IF($E53="","",IF(INDEX(工数管理!$M$3:$M$98,$E53)="","",INDEX(工数管理!$M$3:$M$98,$E53)))</f>
        <v/>
      </c>
      <c r="I53" t="str">
        <f>IF($E53="","",IF(INDEX(工数管理!$N$3:$N$98,$E53)="","",INDEX(工数管理!$N$3:$N$98,$E53)))</f>
        <v/>
      </c>
      <c r="J53" t="str">
        <f>IF($E53="","",IF(INDEX(工数管理!$O$3:$O$98,$E53)="","",INDEX(工数管理!$O$3:$O$98,$E53)))</f>
        <v/>
      </c>
      <c r="K53" t="str">
        <f>IF($E53="","",IF(INDEX(工数管理!$P$3:$P$98,$E53)="","",INDEX(工数管理!$P$3:$P$98,$E53)))</f>
        <v/>
      </c>
      <c r="L53" t="str">
        <f>IF($E53="","",IF(INDEX(工数管理!$Q$3:$Q$98,$E53)="","",INDEX(工数管理!$Q$3:$Q$98,$E53)))</f>
        <v/>
      </c>
      <c r="M53" t="str">
        <f>IF($E53="","",IF(INDEX(工数管理!$R$3:$R$98,$E53)="","",INDEX(工数管理!$R$3:$R$98,$E53)))</f>
        <v/>
      </c>
      <c r="N53" t="str">
        <f>IF($E53="","",IF(INDEX(工数管理!$S$3:$S$98,$E53)="","",INDEX(工数管理!$S$3:$S$98,$E53)))</f>
        <v/>
      </c>
      <c r="O53" t="str">
        <f>IF($E53="","",IF(INDEX(工数管理!$T$3:$T$98,$E53)="","",INDEX(工数管理!$T$3:$T$98,$E53)))</f>
        <v/>
      </c>
      <c r="P53" t="str">
        <f>IF($E53="","",IF(INDEX(工数管理!$U$3:$U$98,$E53)="","",INDEX(工数管理!$U$3:$U$98,$E53)))</f>
        <v/>
      </c>
      <c r="Q53" t="str">
        <f>IF($E53="","",IF(INDEX(工数管理!$V$3:$V$98,$E53)="","",INDEX(工数管理!$V$3:$V$98,$E53)))</f>
        <v/>
      </c>
      <c r="R53" t="str">
        <f>IF($E53="","",IF(INDEX(工数管理!$W$3:$W$98,$E53)="","",INDEX(工数管理!$W$3:$W$98,$E53)))</f>
        <v/>
      </c>
      <c r="S53" t="str">
        <f>IF($E53="","",IF(INDEX(工数管理!$X$3:$X$98,$E53)="","",INDEX(工数管理!$X$3:$X$98,$E53)))</f>
        <v/>
      </c>
      <c r="T53" t="str">
        <f>IF($E53="","",IF(INDEX(工数管理!$Y$3:$Y$98,$E53)="","",INDEX(工数管理!$Y$3:$Y$98,$E53)))</f>
        <v/>
      </c>
      <c r="U53" t="str">
        <f>IF($E53="","",IF(INDEX(工数管理!$Z$3:$Z$98,$E53)="","",INDEX(工数管理!$Z$3:$Z$98,$E53)))</f>
        <v/>
      </c>
      <c r="V53" t="str">
        <f>IF($E53="","",IF(INDEX(工数管理!$AA$3:$AA$98,$E53)="","",INDEX(工数管理!$AA$3:$AA$98,$E53)))</f>
        <v/>
      </c>
      <c r="W53" t="str">
        <f>IF($E53="","",IF(INDEX(工数管理!$AB$3:$AB$98,$E53)="","",INDEX(工数管理!$AB$3:$AB$98,$E53)))</f>
        <v/>
      </c>
      <c r="X53" t="str">
        <f>IF($E53="","",IF(INDEX(工数管理!$AC$3:$AC$98,$E53)="","",INDEX(工数管理!$AC$3:$AC$98,$E53)))</f>
        <v/>
      </c>
      <c r="Y53" t="str">
        <f>IF($E53="","",IF(INDEX(工数管理!$AD$3:$AD$98,$E53)="","",INDEX(工数管理!$AD$3:$AD$98,$E53)))</f>
        <v/>
      </c>
      <c r="Z53" t="str">
        <f>IF($E53="","",IF(INDEX(工数管理!$AE$3:$AE$98,$E53)="","",INDEX(工数管理!$AE$3:$AE$98,$E53)))</f>
        <v/>
      </c>
      <c r="AA53" t="str">
        <f>IF($E53="","",IF(INDEX(工数管理!$AF$3:$AF$98,$E53)="","",INDEX(工数管理!$AF$3:$AF$98,$E53)))</f>
        <v/>
      </c>
      <c r="AB53" t="str">
        <f>IF($E53="","",IF(INDEX(工数管理!$AG$3:$AG$98,$E53)="","",INDEX(工数管理!$AG$3:$AG$98,$E53)))</f>
        <v/>
      </c>
      <c r="AC53" t="str">
        <f>IF($E53="","",IF(INDEX(工数管理!$AH$3:$AH$98,$E53)="","",INDEX(工数管理!$AH$3:$AH$98,$E53)))</f>
        <v/>
      </c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2"/>
      <c r="DU53" s="52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F53" s="52"/>
      <c r="EG53" s="52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2"/>
      <c r="ES53" s="52"/>
      <c r="ET53" s="52"/>
      <c r="EU53" s="52"/>
      <c r="EV53" s="52"/>
      <c r="EW53" s="52"/>
      <c r="EX53" s="52"/>
      <c r="EY53" s="52"/>
      <c r="EZ53" s="52"/>
      <c r="FA53" s="52"/>
      <c r="FB53" s="52"/>
      <c r="FC53" s="52"/>
      <c r="FD53" s="52"/>
      <c r="FE53" s="52"/>
      <c r="FF53" s="52"/>
      <c r="FG53" s="52"/>
      <c r="FH53" s="52"/>
      <c r="FI53" s="52"/>
      <c r="FJ53" s="52"/>
      <c r="FK53" s="52"/>
      <c r="FL53" s="52"/>
      <c r="FM53" s="52"/>
      <c r="FN53" s="52"/>
      <c r="FO53" s="52"/>
      <c r="FP53" s="52"/>
      <c r="FQ53" s="52"/>
      <c r="FR53" s="52"/>
      <c r="FS53" s="52"/>
      <c r="FT53" s="52"/>
      <c r="FU53" s="52"/>
      <c r="FV53" s="52"/>
      <c r="FW53" s="52"/>
      <c r="FX53" s="52"/>
      <c r="FY53" s="52"/>
      <c r="FZ53" s="52"/>
      <c r="GA53" s="52"/>
      <c r="GB53" s="52"/>
      <c r="GC53" s="52"/>
      <c r="GD53" s="52"/>
      <c r="GE53" s="52"/>
      <c r="GF53" s="52"/>
      <c r="GG53" s="52"/>
      <c r="GH53" s="52"/>
      <c r="GI53" s="52"/>
      <c r="GJ53" s="52"/>
      <c r="GK53" s="52"/>
      <c r="GL53" s="52"/>
      <c r="GM53" s="52"/>
      <c r="GN53" s="52"/>
      <c r="GO53" s="52"/>
      <c r="GP53" s="52"/>
      <c r="GQ53" s="52"/>
      <c r="GR53" s="52"/>
      <c r="GS53" s="52"/>
      <c r="GT53" s="52"/>
      <c r="GU53" s="52"/>
      <c r="GV53" s="52"/>
      <c r="GW53" s="52"/>
      <c r="GX53" s="52"/>
      <c r="GY53" s="52"/>
      <c r="GZ53" s="52"/>
      <c r="HA53" s="52"/>
      <c r="HB53" s="52"/>
      <c r="HC53" s="52"/>
      <c r="HD53" s="52"/>
      <c r="HE53" s="52"/>
      <c r="HF53" s="52"/>
      <c r="HG53" s="52"/>
      <c r="HH53" s="52"/>
      <c r="HI53" s="52"/>
      <c r="HJ53" s="52"/>
      <c r="HK53" s="52"/>
      <c r="HL53" s="52"/>
      <c r="HM53" s="52"/>
      <c r="HN53" s="52"/>
      <c r="HO53" s="52"/>
      <c r="HP53" s="52"/>
      <c r="HQ53" s="52"/>
      <c r="HR53" s="52"/>
      <c r="HS53" s="52"/>
      <c r="HT53" s="52"/>
      <c r="HU53" s="52"/>
      <c r="HV53" s="52"/>
      <c r="HW53" s="52"/>
      <c r="HX53" s="52"/>
      <c r="HY53" s="52"/>
      <c r="HZ53" s="52"/>
      <c r="IA53" s="52"/>
      <c r="IB53" s="52"/>
      <c r="IC53" s="52"/>
      <c r="ID53" s="52"/>
      <c r="IE53" s="52"/>
      <c r="IF53" s="52"/>
      <c r="IG53" s="52"/>
      <c r="IH53" s="52"/>
      <c r="II53" s="52"/>
      <c r="IJ53" s="52"/>
      <c r="IK53" s="52"/>
      <c r="IL53" s="52"/>
      <c r="IM53" s="52"/>
      <c r="IN53" s="52"/>
      <c r="IO53" s="52"/>
      <c r="IP53" s="52"/>
      <c r="IQ53" s="52"/>
      <c r="IR53" s="52"/>
      <c r="IS53" s="52"/>
      <c r="IT53" s="52"/>
      <c r="IU53" s="52"/>
      <c r="IV53" s="52"/>
      <c r="IW53" s="52"/>
      <c r="IX53" s="52"/>
      <c r="IY53" s="52"/>
      <c r="IZ53" s="52"/>
      <c r="JA53" s="52"/>
      <c r="JB53" s="52"/>
      <c r="JC53" s="52"/>
      <c r="JD53" s="52"/>
      <c r="JE53" s="52"/>
      <c r="JF53" s="52"/>
      <c r="JG53" s="52"/>
      <c r="JH53" s="52"/>
      <c r="JI53" s="52"/>
      <c r="JL53" t="str">
        <f>IF($E53="","",IF(INDEX(工数管理!$AJ$3:$AJ$98,$E53)&lt;&gt;"",1,0))</f>
        <v/>
      </c>
      <c r="JM53" t="str">
        <f>IF($E53="","",IFERROR(MATCH($A53,祝日!$J$1:$L$1,0),""))</f>
        <v/>
      </c>
    </row>
    <row r="54" spans="1:273" ht="14.25" customHeight="1" x14ac:dyDescent="0.15">
      <c r="A54" s="50" t="str">
        <f>IF($E54="","",IF($JL54=1,INDEX(工数管理!$A$3:$A$98,$E54)&amp;"",IF(INDEX(工数管理!$AK$3:$AK$98,$E54)="","未割当",INDEX(工数管理!$AK$3:$AK$98,$E54))))</f>
        <v/>
      </c>
      <c r="B54" s="51" t="str">
        <f>IF($E54="","",IF($JL54=1,"",INDEX(工数管理!$A$3:$A$98,$E54)&amp;""))</f>
        <v/>
      </c>
      <c r="C54" s="50" t="str">
        <f>IF($E54="","",IF($JL54=1,"",INDEX(工数管理!$B$3:$B$98,$E54)&amp;""))</f>
        <v/>
      </c>
      <c r="D54" s="50" t="str">
        <f>IF($E54="","",INDEX(工数管理!$H$3:$H$98,$E54)&amp;"")</f>
        <v/>
      </c>
      <c r="E54" t="str">
        <f>IFERROR(MATCH(SMALL(工数管理!$BP$3:$BP$98,ROW()-3),工数管理!$BP$3:$BP$98,0),"")</f>
        <v/>
      </c>
      <c r="F54" t="str">
        <f>IF($E54="","",IF(INDEX(工数管理!$K$3:$K$98,$E54)="","",INDEX(工数管理!$K$3:$K$98,$E54)))</f>
        <v/>
      </c>
      <c r="G54" t="str">
        <f>IF($E54="","",IF(INDEX(工数管理!$L$3:$L$98,$E54)="","",INDEX(工数管理!$L$3:$L$98,$E54)))</f>
        <v/>
      </c>
      <c r="H54" t="str">
        <f>IF($E54="","",IF(INDEX(工数管理!$M$3:$M$98,$E54)="","",INDEX(工数管理!$M$3:$M$98,$E54)))</f>
        <v/>
      </c>
      <c r="I54" t="str">
        <f>IF($E54="","",IF(INDEX(工数管理!$N$3:$N$98,$E54)="","",INDEX(工数管理!$N$3:$N$98,$E54)))</f>
        <v/>
      </c>
      <c r="J54" t="str">
        <f>IF($E54="","",IF(INDEX(工数管理!$O$3:$O$98,$E54)="","",INDEX(工数管理!$O$3:$O$98,$E54)))</f>
        <v/>
      </c>
      <c r="K54" t="str">
        <f>IF($E54="","",IF(INDEX(工数管理!$P$3:$P$98,$E54)="","",INDEX(工数管理!$P$3:$P$98,$E54)))</f>
        <v/>
      </c>
      <c r="L54" t="str">
        <f>IF($E54="","",IF(INDEX(工数管理!$Q$3:$Q$98,$E54)="","",INDEX(工数管理!$Q$3:$Q$98,$E54)))</f>
        <v/>
      </c>
      <c r="M54" t="str">
        <f>IF($E54="","",IF(INDEX(工数管理!$R$3:$R$98,$E54)="","",INDEX(工数管理!$R$3:$R$98,$E54)))</f>
        <v/>
      </c>
      <c r="N54" t="str">
        <f>IF($E54="","",IF(INDEX(工数管理!$S$3:$S$98,$E54)="","",INDEX(工数管理!$S$3:$S$98,$E54)))</f>
        <v/>
      </c>
      <c r="O54" t="str">
        <f>IF($E54="","",IF(INDEX(工数管理!$T$3:$T$98,$E54)="","",INDEX(工数管理!$T$3:$T$98,$E54)))</f>
        <v/>
      </c>
      <c r="P54" t="str">
        <f>IF($E54="","",IF(INDEX(工数管理!$U$3:$U$98,$E54)="","",INDEX(工数管理!$U$3:$U$98,$E54)))</f>
        <v/>
      </c>
      <c r="Q54" t="str">
        <f>IF($E54="","",IF(INDEX(工数管理!$V$3:$V$98,$E54)="","",INDEX(工数管理!$V$3:$V$98,$E54)))</f>
        <v/>
      </c>
      <c r="R54" t="str">
        <f>IF($E54="","",IF(INDEX(工数管理!$W$3:$W$98,$E54)="","",INDEX(工数管理!$W$3:$W$98,$E54)))</f>
        <v/>
      </c>
      <c r="S54" t="str">
        <f>IF($E54="","",IF(INDEX(工数管理!$X$3:$X$98,$E54)="","",INDEX(工数管理!$X$3:$X$98,$E54)))</f>
        <v/>
      </c>
      <c r="T54" t="str">
        <f>IF($E54="","",IF(INDEX(工数管理!$Y$3:$Y$98,$E54)="","",INDEX(工数管理!$Y$3:$Y$98,$E54)))</f>
        <v/>
      </c>
      <c r="U54" t="str">
        <f>IF($E54="","",IF(INDEX(工数管理!$Z$3:$Z$98,$E54)="","",INDEX(工数管理!$Z$3:$Z$98,$E54)))</f>
        <v/>
      </c>
      <c r="V54" t="str">
        <f>IF($E54="","",IF(INDEX(工数管理!$AA$3:$AA$98,$E54)="","",INDEX(工数管理!$AA$3:$AA$98,$E54)))</f>
        <v/>
      </c>
      <c r="W54" t="str">
        <f>IF($E54="","",IF(INDEX(工数管理!$AB$3:$AB$98,$E54)="","",INDEX(工数管理!$AB$3:$AB$98,$E54)))</f>
        <v/>
      </c>
      <c r="X54" t="str">
        <f>IF($E54="","",IF(INDEX(工数管理!$AC$3:$AC$98,$E54)="","",INDEX(工数管理!$AC$3:$AC$98,$E54)))</f>
        <v/>
      </c>
      <c r="Y54" t="str">
        <f>IF($E54="","",IF(INDEX(工数管理!$AD$3:$AD$98,$E54)="","",INDEX(工数管理!$AD$3:$AD$98,$E54)))</f>
        <v/>
      </c>
      <c r="Z54" t="str">
        <f>IF($E54="","",IF(INDEX(工数管理!$AE$3:$AE$98,$E54)="","",INDEX(工数管理!$AE$3:$AE$98,$E54)))</f>
        <v/>
      </c>
      <c r="AA54" t="str">
        <f>IF($E54="","",IF(INDEX(工数管理!$AF$3:$AF$98,$E54)="","",INDEX(工数管理!$AF$3:$AF$98,$E54)))</f>
        <v/>
      </c>
      <c r="AB54" t="str">
        <f>IF($E54="","",IF(INDEX(工数管理!$AG$3:$AG$98,$E54)="","",INDEX(工数管理!$AG$3:$AG$98,$E54)))</f>
        <v/>
      </c>
      <c r="AC54" t="str">
        <f>IF($E54="","",IF(INDEX(工数管理!$AH$3:$AH$98,$E54)="","",INDEX(工数管理!$AH$3:$AH$98,$E54)))</f>
        <v/>
      </c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2"/>
      <c r="DN54" s="52"/>
      <c r="DO54" s="52"/>
      <c r="DP54" s="52"/>
      <c r="DQ54" s="52"/>
      <c r="DR54" s="52"/>
      <c r="DS54" s="52"/>
      <c r="DT54" s="52"/>
      <c r="DU54" s="52"/>
      <c r="DV54" s="52"/>
      <c r="DW54" s="52"/>
      <c r="DX54" s="52"/>
      <c r="DY54" s="52"/>
      <c r="DZ54" s="52"/>
      <c r="EA54" s="52"/>
      <c r="EB54" s="52"/>
      <c r="EC54" s="52"/>
      <c r="ED54" s="52"/>
      <c r="EE54" s="52"/>
      <c r="EF54" s="52"/>
      <c r="EG54" s="52"/>
      <c r="EH54" s="52"/>
      <c r="EI54" s="52"/>
      <c r="EJ54" s="52"/>
      <c r="EK54" s="52"/>
      <c r="EL54" s="52"/>
      <c r="EM54" s="52"/>
      <c r="EN54" s="52"/>
      <c r="EO54" s="52"/>
      <c r="EP54" s="52"/>
      <c r="EQ54" s="52"/>
      <c r="ER54" s="52"/>
      <c r="ES54" s="52"/>
      <c r="ET54" s="52"/>
      <c r="EU54" s="52"/>
      <c r="EV54" s="52"/>
      <c r="EW54" s="52"/>
      <c r="EX54" s="52"/>
      <c r="EY54" s="52"/>
      <c r="EZ54" s="52"/>
      <c r="FA54" s="52"/>
      <c r="FB54" s="52"/>
      <c r="FC54" s="52"/>
      <c r="FD54" s="52"/>
      <c r="FE54" s="52"/>
      <c r="FF54" s="52"/>
      <c r="FG54" s="52"/>
      <c r="FH54" s="52"/>
      <c r="FI54" s="52"/>
      <c r="FJ54" s="52"/>
      <c r="FK54" s="52"/>
      <c r="FL54" s="52"/>
      <c r="FM54" s="52"/>
      <c r="FN54" s="52"/>
      <c r="FO54" s="52"/>
      <c r="FP54" s="52"/>
      <c r="FQ54" s="52"/>
      <c r="FR54" s="52"/>
      <c r="FS54" s="52"/>
      <c r="FT54" s="52"/>
      <c r="FU54" s="52"/>
      <c r="FV54" s="52"/>
      <c r="FW54" s="52"/>
      <c r="FX54" s="52"/>
      <c r="FY54" s="52"/>
      <c r="FZ54" s="52"/>
      <c r="GA54" s="52"/>
      <c r="GB54" s="52"/>
      <c r="GC54" s="52"/>
      <c r="GD54" s="52"/>
      <c r="GE54" s="52"/>
      <c r="GF54" s="52"/>
      <c r="GG54" s="52"/>
      <c r="GH54" s="52"/>
      <c r="GI54" s="52"/>
      <c r="GJ54" s="52"/>
      <c r="GK54" s="52"/>
      <c r="GL54" s="52"/>
      <c r="GM54" s="52"/>
      <c r="GN54" s="52"/>
      <c r="GO54" s="52"/>
      <c r="GP54" s="52"/>
      <c r="GQ54" s="52"/>
      <c r="GR54" s="52"/>
      <c r="GS54" s="52"/>
      <c r="GT54" s="52"/>
      <c r="GU54" s="52"/>
      <c r="GV54" s="52"/>
      <c r="GW54" s="52"/>
      <c r="GX54" s="52"/>
      <c r="GY54" s="52"/>
      <c r="GZ54" s="52"/>
      <c r="HA54" s="52"/>
      <c r="HB54" s="52"/>
      <c r="HC54" s="52"/>
      <c r="HD54" s="52"/>
      <c r="HE54" s="52"/>
      <c r="HF54" s="52"/>
      <c r="HG54" s="52"/>
      <c r="HH54" s="52"/>
      <c r="HI54" s="52"/>
      <c r="HJ54" s="52"/>
      <c r="HK54" s="52"/>
      <c r="HL54" s="52"/>
      <c r="HM54" s="52"/>
      <c r="HN54" s="52"/>
      <c r="HO54" s="52"/>
      <c r="HP54" s="52"/>
      <c r="HQ54" s="52"/>
      <c r="HR54" s="52"/>
      <c r="HS54" s="52"/>
      <c r="HT54" s="52"/>
      <c r="HU54" s="52"/>
      <c r="HV54" s="52"/>
      <c r="HW54" s="52"/>
      <c r="HX54" s="52"/>
      <c r="HY54" s="52"/>
      <c r="HZ54" s="52"/>
      <c r="IA54" s="52"/>
      <c r="IB54" s="52"/>
      <c r="IC54" s="52"/>
      <c r="ID54" s="52"/>
      <c r="IE54" s="52"/>
      <c r="IF54" s="52"/>
      <c r="IG54" s="52"/>
      <c r="IH54" s="52"/>
      <c r="II54" s="52"/>
      <c r="IJ54" s="52"/>
      <c r="IK54" s="52"/>
      <c r="IL54" s="52"/>
      <c r="IM54" s="52"/>
      <c r="IN54" s="52"/>
      <c r="IO54" s="52"/>
      <c r="IP54" s="52"/>
      <c r="IQ54" s="52"/>
      <c r="IR54" s="52"/>
      <c r="IS54" s="52"/>
      <c r="IT54" s="52"/>
      <c r="IU54" s="52"/>
      <c r="IV54" s="52"/>
      <c r="IW54" s="52"/>
      <c r="IX54" s="52"/>
      <c r="IY54" s="52"/>
      <c r="IZ54" s="52"/>
      <c r="JA54" s="52"/>
      <c r="JB54" s="52"/>
      <c r="JC54" s="52"/>
      <c r="JD54" s="52"/>
      <c r="JE54" s="52"/>
      <c r="JF54" s="52"/>
      <c r="JG54" s="52"/>
      <c r="JH54" s="52"/>
      <c r="JI54" s="52"/>
      <c r="JL54" t="str">
        <f>IF($E54="","",IF(INDEX(工数管理!$AJ$3:$AJ$98,$E54)&lt;&gt;"",1,0))</f>
        <v/>
      </c>
      <c r="JM54" t="str">
        <f>IF($E54="","",IFERROR(MATCH($A54,祝日!$J$1:$L$1,0),""))</f>
        <v/>
      </c>
    </row>
    <row r="55" spans="1:273" ht="14.25" customHeight="1" x14ac:dyDescent="0.15">
      <c r="A55" s="50" t="str">
        <f>IF($E55="","",IF($JL55=1,INDEX(工数管理!$A$3:$A$98,$E55)&amp;"",IF(INDEX(工数管理!$AK$3:$AK$98,$E55)="","未割当",INDEX(工数管理!$AK$3:$AK$98,$E55))))</f>
        <v/>
      </c>
      <c r="B55" s="51" t="str">
        <f>IF($E55="","",IF($JL55=1,"",INDEX(工数管理!$A$3:$A$98,$E55)&amp;""))</f>
        <v/>
      </c>
      <c r="C55" s="50" t="str">
        <f>IF($E55="","",IF($JL55=1,"",INDEX(工数管理!$B$3:$B$98,$E55)&amp;""))</f>
        <v/>
      </c>
      <c r="D55" s="50" t="str">
        <f>IF($E55="","",INDEX(工数管理!$H$3:$H$98,$E55)&amp;"")</f>
        <v/>
      </c>
      <c r="E55" t="str">
        <f>IFERROR(MATCH(SMALL(工数管理!$BP$3:$BP$98,ROW()-3),工数管理!$BP$3:$BP$98,0),"")</f>
        <v/>
      </c>
      <c r="F55" t="str">
        <f>IF($E55="","",IF(INDEX(工数管理!$K$3:$K$98,$E55)="","",INDEX(工数管理!$K$3:$K$98,$E55)))</f>
        <v/>
      </c>
      <c r="G55" t="str">
        <f>IF($E55="","",IF(INDEX(工数管理!$L$3:$L$98,$E55)="","",INDEX(工数管理!$L$3:$L$98,$E55)))</f>
        <v/>
      </c>
      <c r="H55" t="str">
        <f>IF($E55="","",IF(INDEX(工数管理!$M$3:$M$98,$E55)="","",INDEX(工数管理!$M$3:$M$98,$E55)))</f>
        <v/>
      </c>
      <c r="I55" t="str">
        <f>IF($E55="","",IF(INDEX(工数管理!$N$3:$N$98,$E55)="","",INDEX(工数管理!$N$3:$N$98,$E55)))</f>
        <v/>
      </c>
      <c r="J55" t="str">
        <f>IF($E55="","",IF(INDEX(工数管理!$O$3:$O$98,$E55)="","",INDEX(工数管理!$O$3:$O$98,$E55)))</f>
        <v/>
      </c>
      <c r="K55" t="str">
        <f>IF($E55="","",IF(INDEX(工数管理!$P$3:$P$98,$E55)="","",INDEX(工数管理!$P$3:$P$98,$E55)))</f>
        <v/>
      </c>
      <c r="L55" t="str">
        <f>IF($E55="","",IF(INDEX(工数管理!$Q$3:$Q$98,$E55)="","",INDEX(工数管理!$Q$3:$Q$98,$E55)))</f>
        <v/>
      </c>
      <c r="M55" t="str">
        <f>IF($E55="","",IF(INDEX(工数管理!$R$3:$R$98,$E55)="","",INDEX(工数管理!$R$3:$R$98,$E55)))</f>
        <v/>
      </c>
      <c r="N55" t="str">
        <f>IF($E55="","",IF(INDEX(工数管理!$S$3:$S$98,$E55)="","",INDEX(工数管理!$S$3:$S$98,$E55)))</f>
        <v/>
      </c>
      <c r="O55" t="str">
        <f>IF($E55="","",IF(INDEX(工数管理!$T$3:$T$98,$E55)="","",INDEX(工数管理!$T$3:$T$98,$E55)))</f>
        <v/>
      </c>
      <c r="P55" t="str">
        <f>IF($E55="","",IF(INDEX(工数管理!$U$3:$U$98,$E55)="","",INDEX(工数管理!$U$3:$U$98,$E55)))</f>
        <v/>
      </c>
      <c r="Q55" t="str">
        <f>IF($E55="","",IF(INDEX(工数管理!$V$3:$V$98,$E55)="","",INDEX(工数管理!$V$3:$V$98,$E55)))</f>
        <v/>
      </c>
      <c r="R55" t="str">
        <f>IF($E55="","",IF(INDEX(工数管理!$W$3:$W$98,$E55)="","",INDEX(工数管理!$W$3:$W$98,$E55)))</f>
        <v/>
      </c>
      <c r="S55" t="str">
        <f>IF($E55="","",IF(INDEX(工数管理!$X$3:$X$98,$E55)="","",INDEX(工数管理!$X$3:$X$98,$E55)))</f>
        <v/>
      </c>
      <c r="T55" t="str">
        <f>IF($E55="","",IF(INDEX(工数管理!$Y$3:$Y$98,$E55)="","",INDEX(工数管理!$Y$3:$Y$98,$E55)))</f>
        <v/>
      </c>
      <c r="U55" t="str">
        <f>IF($E55="","",IF(INDEX(工数管理!$Z$3:$Z$98,$E55)="","",INDEX(工数管理!$Z$3:$Z$98,$E55)))</f>
        <v/>
      </c>
      <c r="V55" t="str">
        <f>IF($E55="","",IF(INDEX(工数管理!$AA$3:$AA$98,$E55)="","",INDEX(工数管理!$AA$3:$AA$98,$E55)))</f>
        <v/>
      </c>
      <c r="W55" t="str">
        <f>IF($E55="","",IF(INDEX(工数管理!$AB$3:$AB$98,$E55)="","",INDEX(工数管理!$AB$3:$AB$98,$E55)))</f>
        <v/>
      </c>
      <c r="X55" t="str">
        <f>IF($E55="","",IF(INDEX(工数管理!$AC$3:$AC$98,$E55)="","",INDEX(工数管理!$AC$3:$AC$98,$E55)))</f>
        <v/>
      </c>
      <c r="Y55" t="str">
        <f>IF($E55="","",IF(INDEX(工数管理!$AD$3:$AD$98,$E55)="","",INDEX(工数管理!$AD$3:$AD$98,$E55)))</f>
        <v/>
      </c>
      <c r="Z55" t="str">
        <f>IF($E55="","",IF(INDEX(工数管理!$AE$3:$AE$98,$E55)="","",INDEX(工数管理!$AE$3:$AE$98,$E55)))</f>
        <v/>
      </c>
      <c r="AA55" t="str">
        <f>IF($E55="","",IF(INDEX(工数管理!$AF$3:$AF$98,$E55)="","",INDEX(工数管理!$AF$3:$AF$98,$E55)))</f>
        <v/>
      </c>
      <c r="AB55" t="str">
        <f>IF($E55="","",IF(INDEX(工数管理!$AG$3:$AG$98,$E55)="","",INDEX(工数管理!$AG$3:$AG$98,$E55)))</f>
        <v/>
      </c>
      <c r="AC55" t="str">
        <f>IF($E55="","",IF(INDEX(工数管理!$AH$3:$AH$98,$E55)="","",INDEX(工数管理!$AH$3:$AH$98,$E55)))</f>
        <v/>
      </c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  <c r="DL55" s="52"/>
      <c r="DM55" s="52"/>
      <c r="DN55" s="52"/>
      <c r="DO55" s="52"/>
      <c r="DP55" s="52"/>
      <c r="DQ55" s="52"/>
      <c r="DR55" s="52"/>
      <c r="DS55" s="52"/>
      <c r="DT55" s="52"/>
      <c r="DU55" s="52"/>
      <c r="DV55" s="52"/>
      <c r="DW55" s="52"/>
      <c r="DX55" s="52"/>
      <c r="DY55" s="52"/>
      <c r="DZ55" s="52"/>
      <c r="EA55" s="52"/>
      <c r="EB55" s="52"/>
      <c r="EC55" s="52"/>
      <c r="ED55" s="52"/>
      <c r="EE55" s="52"/>
      <c r="EF55" s="52"/>
      <c r="EG55" s="52"/>
      <c r="EH55" s="52"/>
      <c r="EI55" s="52"/>
      <c r="EJ55" s="52"/>
      <c r="EK55" s="52"/>
      <c r="EL55" s="52"/>
      <c r="EM55" s="52"/>
      <c r="EN55" s="52"/>
      <c r="EO55" s="52"/>
      <c r="EP55" s="52"/>
      <c r="EQ55" s="52"/>
      <c r="ER55" s="52"/>
      <c r="ES55" s="52"/>
      <c r="ET55" s="52"/>
      <c r="EU55" s="52"/>
      <c r="EV55" s="52"/>
      <c r="EW55" s="52"/>
      <c r="EX55" s="52"/>
      <c r="EY55" s="52"/>
      <c r="EZ55" s="52"/>
      <c r="FA55" s="52"/>
      <c r="FB55" s="52"/>
      <c r="FC55" s="52"/>
      <c r="FD55" s="52"/>
      <c r="FE55" s="52"/>
      <c r="FF55" s="52"/>
      <c r="FG55" s="52"/>
      <c r="FH55" s="52"/>
      <c r="FI55" s="52"/>
      <c r="FJ55" s="52"/>
      <c r="FK55" s="52"/>
      <c r="FL55" s="52"/>
      <c r="FM55" s="52"/>
      <c r="FN55" s="52"/>
      <c r="FO55" s="52"/>
      <c r="FP55" s="52"/>
      <c r="FQ55" s="52"/>
      <c r="FR55" s="52"/>
      <c r="FS55" s="52"/>
      <c r="FT55" s="52"/>
      <c r="FU55" s="52"/>
      <c r="FV55" s="52"/>
      <c r="FW55" s="52"/>
      <c r="FX55" s="52"/>
      <c r="FY55" s="52"/>
      <c r="FZ55" s="52"/>
      <c r="GA55" s="52"/>
      <c r="GB55" s="52"/>
      <c r="GC55" s="52"/>
      <c r="GD55" s="52"/>
      <c r="GE55" s="52"/>
      <c r="GF55" s="52"/>
      <c r="GG55" s="52"/>
      <c r="GH55" s="52"/>
      <c r="GI55" s="52"/>
      <c r="GJ55" s="52"/>
      <c r="GK55" s="52"/>
      <c r="GL55" s="52"/>
      <c r="GM55" s="52"/>
      <c r="GN55" s="52"/>
      <c r="GO55" s="52"/>
      <c r="GP55" s="52"/>
      <c r="GQ55" s="52"/>
      <c r="GR55" s="52"/>
      <c r="GS55" s="52"/>
      <c r="GT55" s="52"/>
      <c r="GU55" s="52"/>
      <c r="GV55" s="52"/>
      <c r="GW55" s="52"/>
      <c r="GX55" s="52"/>
      <c r="GY55" s="52"/>
      <c r="GZ55" s="52"/>
      <c r="HA55" s="52"/>
      <c r="HB55" s="52"/>
      <c r="HC55" s="52"/>
      <c r="HD55" s="52"/>
      <c r="HE55" s="52"/>
      <c r="HF55" s="52"/>
      <c r="HG55" s="52"/>
      <c r="HH55" s="52"/>
      <c r="HI55" s="52"/>
      <c r="HJ55" s="52"/>
      <c r="HK55" s="52"/>
      <c r="HL55" s="52"/>
      <c r="HM55" s="52"/>
      <c r="HN55" s="52"/>
      <c r="HO55" s="52"/>
      <c r="HP55" s="52"/>
      <c r="HQ55" s="52"/>
      <c r="HR55" s="52"/>
      <c r="HS55" s="52"/>
      <c r="HT55" s="52"/>
      <c r="HU55" s="52"/>
      <c r="HV55" s="52"/>
      <c r="HW55" s="52"/>
      <c r="HX55" s="52"/>
      <c r="HY55" s="52"/>
      <c r="HZ55" s="52"/>
      <c r="IA55" s="52"/>
      <c r="IB55" s="52"/>
      <c r="IC55" s="52"/>
      <c r="ID55" s="52"/>
      <c r="IE55" s="52"/>
      <c r="IF55" s="52"/>
      <c r="IG55" s="52"/>
      <c r="IH55" s="52"/>
      <c r="II55" s="52"/>
      <c r="IJ55" s="52"/>
      <c r="IK55" s="52"/>
      <c r="IL55" s="52"/>
      <c r="IM55" s="52"/>
      <c r="IN55" s="52"/>
      <c r="IO55" s="52"/>
      <c r="IP55" s="52"/>
      <c r="IQ55" s="52"/>
      <c r="IR55" s="52"/>
      <c r="IS55" s="52"/>
      <c r="IT55" s="52"/>
      <c r="IU55" s="52"/>
      <c r="IV55" s="52"/>
      <c r="IW55" s="52"/>
      <c r="IX55" s="52"/>
      <c r="IY55" s="52"/>
      <c r="IZ55" s="52"/>
      <c r="JA55" s="52"/>
      <c r="JB55" s="52"/>
      <c r="JC55" s="52"/>
      <c r="JD55" s="52"/>
      <c r="JE55" s="52"/>
      <c r="JF55" s="52"/>
      <c r="JG55" s="52"/>
      <c r="JH55" s="52"/>
      <c r="JI55" s="52"/>
      <c r="JL55" t="str">
        <f>IF($E55="","",IF(INDEX(工数管理!$AJ$3:$AJ$98,$E55)&lt;&gt;"",1,0))</f>
        <v/>
      </c>
      <c r="JM55" t="str">
        <f>IF($E55="","",IFERROR(MATCH($A55,祝日!$J$1:$L$1,0),""))</f>
        <v/>
      </c>
    </row>
    <row r="56" spans="1:273" ht="14.25" customHeight="1" x14ac:dyDescent="0.15">
      <c r="A56" s="50" t="str">
        <f>IF($E56="","",IF($JL56=1,INDEX(工数管理!$A$3:$A$98,$E56)&amp;"",IF(INDEX(工数管理!$AK$3:$AK$98,$E56)="","未割当",INDEX(工数管理!$AK$3:$AK$98,$E56))))</f>
        <v/>
      </c>
      <c r="B56" s="51" t="str">
        <f>IF($E56="","",IF($JL56=1,"",INDEX(工数管理!$A$3:$A$98,$E56)&amp;""))</f>
        <v/>
      </c>
      <c r="C56" s="50" t="str">
        <f>IF($E56="","",IF($JL56=1,"",INDEX(工数管理!$B$3:$B$98,$E56)&amp;""))</f>
        <v/>
      </c>
      <c r="D56" s="50" t="str">
        <f>IF($E56="","",INDEX(工数管理!$H$3:$H$98,$E56)&amp;"")</f>
        <v/>
      </c>
      <c r="E56" t="str">
        <f>IFERROR(MATCH(SMALL(工数管理!$BP$3:$BP$98,ROW()-3),工数管理!$BP$3:$BP$98,0),"")</f>
        <v/>
      </c>
      <c r="F56" t="str">
        <f>IF($E56="","",IF(INDEX(工数管理!$K$3:$K$98,$E56)="","",INDEX(工数管理!$K$3:$K$98,$E56)))</f>
        <v/>
      </c>
      <c r="G56" t="str">
        <f>IF($E56="","",IF(INDEX(工数管理!$L$3:$L$98,$E56)="","",INDEX(工数管理!$L$3:$L$98,$E56)))</f>
        <v/>
      </c>
      <c r="H56" t="str">
        <f>IF($E56="","",IF(INDEX(工数管理!$M$3:$M$98,$E56)="","",INDEX(工数管理!$M$3:$M$98,$E56)))</f>
        <v/>
      </c>
      <c r="I56" t="str">
        <f>IF($E56="","",IF(INDEX(工数管理!$N$3:$N$98,$E56)="","",INDEX(工数管理!$N$3:$N$98,$E56)))</f>
        <v/>
      </c>
      <c r="J56" t="str">
        <f>IF($E56="","",IF(INDEX(工数管理!$O$3:$O$98,$E56)="","",INDEX(工数管理!$O$3:$O$98,$E56)))</f>
        <v/>
      </c>
      <c r="K56" t="str">
        <f>IF($E56="","",IF(INDEX(工数管理!$P$3:$P$98,$E56)="","",INDEX(工数管理!$P$3:$P$98,$E56)))</f>
        <v/>
      </c>
      <c r="L56" t="str">
        <f>IF($E56="","",IF(INDEX(工数管理!$Q$3:$Q$98,$E56)="","",INDEX(工数管理!$Q$3:$Q$98,$E56)))</f>
        <v/>
      </c>
      <c r="M56" t="str">
        <f>IF($E56="","",IF(INDEX(工数管理!$R$3:$R$98,$E56)="","",INDEX(工数管理!$R$3:$R$98,$E56)))</f>
        <v/>
      </c>
      <c r="N56" t="str">
        <f>IF($E56="","",IF(INDEX(工数管理!$S$3:$S$98,$E56)="","",INDEX(工数管理!$S$3:$S$98,$E56)))</f>
        <v/>
      </c>
      <c r="O56" t="str">
        <f>IF($E56="","",IF(INDEX(工数管理!$T$3:$T$98,$E56)="","",INDEX(工数管理!$T$3:$T$98,$E56)))</f>
        <v/>
      </c>
      <c r="P56" t="str">
        <f>IF($E56="","",IF(INDEX(工数管理!$U$3:$U$98,$E56)="","",INDEX(工数管理!$U$3:$U$98,$E56)))</f>
        <v/>
      </c>
      <c r="Q56" t="str">
        <f>IF($E56="","",IF(INDEX(工数管理!$V$3:$V$98,$E56)="","",INDEX(工数管理!$V$3:$V$98,$E56)))</f>
        <v/>
      </c>
      <c r="R56" t="str">
        <f>IF($E56="","",IF(INDEX(工数管理!$W$3:$W$98,$E56)="","",INDEX(工数管理!$W$3:$W$98,$E56)))</f>
        <v/>
      </c>
      <c r="S56" t="str">
        <f>IF($E56="","",IF(INDEX(工数管理!$X$3:$X$98,$E56)="","",INDEX(工数管理!$X$3:$X$98,$E56)))</f>
        <v/>
      </c>
      <c r="T56" t="str">
        <f>IF($E56="","",IF(INDEX(工数管理!$Y$3:$Y$98,$E56)="","",INDEX(工数管理!$Y$3:$Y$98,$E56)))</f>
        <v/>
      </c>
      <c r="U56" t="str">
        <f>IF($E56="","",IF(INDEX(工数管理!$Z$3:$Z$98,$E56)="","",INDEX(工数管理!$Z$3:$Z$98,$E56)))</f>
        <v/>
      </c>
      <c r="V56" t="str">
        <f>IF($E56="","",IF(INDEX(工数管理!$AA$3:$AA$98,$E56)="","",INDEX(工数管理!$AA$3:$AA$98,$E56)))</f>
        <v/>
      </c>
      <c r="W56" t="str">
        <f>IF($E56="","",IF(INDEX(工数管理!$AB$3:$AB$98,$E56)="","",INDEX(工数管理!$AB$3:$AB$98,$E56)))</f>
        <v/>
      </c>
      <c r="X56" t="str">
        <f>IF($E56="","",IF(INDEX(工数管理!$AC$3:$AC$98,$E56)="","",INDEX(工数管理!$AC$3:$AC$98,$E56)))</f>
        <v/>
      </c>
      <c r="Y56" t="str">
        <f>IF($E56="","",IF(INDEX(工数管理!$AD$3:$AD$98,$E56)="","",INDEX(工数管理!$AD$3:$AD$98,$E56)))</f>
        <v/>
      </c>
      <c r="Z56" t="str">
        <f>IF($E56="","",IF(INDEX(工数管理!$AE$3:$AE$98,$E56)="","",INDEX(工数管理!$AE$3:$AE$98,$E56)))</f>
        <v/>
      </c>
      <c r="AA56" t="str">
        <f>IF($E56="","",IF(INDEX(工数管理!$AF$3:$AF$98,$E56)="","",INDEX(工数管理!$AF$3:$AF$98,$E56)))</f>
        <v/>
      </c>
      <c r="AB56" t="str">
        <f>IF($E56="","",IF(INDEX(工数管理!$AG$3:$AG$98,$E56)="","",INDEX(工数管理!$AG$3:$AG$98,$E56)))</f>
        <v/>
      </c>
      <c r="AC56" t="str">
        <f>IF($E56="","",IF(INDEX(工数管理!$AH$3:$AH$98,$E56)="","",INDEX(工数管理!$AH$3:$AH$98,$E56)))</f>
        <v/>
      </c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EZ56" s="52"/>
      <c r="FA56" s="52"/>
      <c r="FB56" s="52"/>
      <c r="FC56" s="52"/>
      <c r="FD56" s="52"/>
      <c r="FE56" s="52"/>
      <c r="FF56" s="52"/>
      <c r="FG56" s="52"/>
      <c r="FH56" s="52"/>
      <c r="FI56" s="52"/>
      <c r="FJ56" s="52"/>
      <c r="FK56" s="52"/>
      <c r="FL56" s="52"/>
      <c r="FM56" s="52"/>
      <c r="FN56" s="52"/>
      <c r="FO56" s="52"/>
      <c r="FP56" s="52"/>
      <c r="FQ56" s="52"/>
      <c r="FR56" s="52"/>
      <c r="FS56" s="52"/>
      <c r="FT56" s="52"/>
      <c r="FU56" s="52"/>
      <c r="FV56" s="52"/>
      <c r="FW56" s="52"/>
      <c r="FX56" s="52"/>
      <c r="FY56" s="52"/>
      <c r="FZ56" s="52"/>
      <c r="GA56" s="52"/>
      <c r="GB56" s="52"/>
      <c r="GC56" s="52"/>
      <c r="GD56" s="52"/>
      <c r="GE56" s="52"/>
      <c r="GF56" s="52"/>
      <c r="GG56" s="52"/>
      <c r="GH56" s="52"/>
      <c r="GI56" s="52"/>
      <c r="GJ56" s="52"/>
      <c r="GK56" s="52"/>
      <c r="GL56" s="52"/>
      <c r="GM56" s="52"/>
      <c r="GN56" s="52"/>
      <c r="GO56" s="52"/>
      <c r="GP56" s="52"/>
      <c r="GQ56" s="52"/>
      <c r="GR56" s="52"/>
      <c r="GS56" s="52"/>
      <c r="GT56" s="52"/>
      <c r="GU56" s="52"/>
      <c r="GV56" s="52"/>
      <c r="GW56" s="52"/>
      <c r="GX56" s="52"/>
      <c r="GY56" s="52"/>
      <c r="GZ56" s="52"/>
      <c r="HA56" s="52"/>
      <c r="HB56" s="52"/>
      <c r="HC56" s="52"/>
      <c r="HD56" s="52"/>
      <c r="HE56" s="52"/>
      <c r="HF56" s="52"/>
      <c r="HG56" s="52"/>
      <c r="HH56" s="52"/>
      <c r="HI56" s="52"/>
      <c r="HJ56" s="52"/>
      <c r="HK56" s="52"/>
      <c r="HL56" s="52"/>
      <c r="HM56" s="52"/>
      <c r="HN56" s="52"/>
      <c r="HO56" s="52"/>
      <c r="HP56" s="52"/>
      <c r="HQ56" s="52"/>
      <c r="HR56" s="52"/>
      <c r="HS56" s="52"/>
      <c r="HT56" s="52"/>
      <c r="HU56" s="52"/>
      <c r="HV56" s="52"/>
      <c r="HW56" s="52"/>
      <c r="HX56" s="52"/>
      <c r="HY56" s="52"/>
      <c r="HZ56" s="52"/>
      <c r="IA56" s="52"/>
      <c r="IB56" s="52"/>
      <c r="IC56" s="52"/>
      <c r="ID56" s="52"/>
      <c r="IE56" s="52"/>
      <c r="IF56" s="52"/>
      <c r="IG56" s="52"/>
      <c r="IH56" s="52"/>
      <c r="II56" s="52"/>
      <c r="IJ56" s="52"/>
      <c r="IK56" s="52"/>
      <c r="IL56" s="52"/>
      <c r="IM56" s="52"/>
      <c r="IN56" s="52"/>
      <c r="IO56" s="52"/>
      <c r="IP56" s="52"/>
      <c r="IQ56" s="52"/>
      <c r="IR56" s="52"/>
      <c r="IS56" s="52"/>
      <c r="IT56" s="52"/>
      <c r="IU56" s="52"/>
      <c r="IV56" s="52"/>
      <c r="IW56" s="52"/>
      <c r="IX56" s="52"/>
      <c r="IY56" s="52"/>
      <c r="IZ56" s="52"/>
      <c r="JA56" s="52"/>
      <c r="JB56" s="52"/>
      <c r="JC56" s="52"/>
      <c r="JD56" s="52"/>
      <c r="JE56" s="52"/>
      <c r="JF56" s="52"/>
      <c r="JG56" s="52"/>
      <c r="JH56" s="52"/>
      <c r="JI56" s="52"/>
      <c r="JL56" t="str">
        <f>IF($E56="","",IF(INDEX(工数管理!$AJ$3:$AJ$98,$E56)&lt;&gt;"",1,0))</f>
        <v/>
      </c>
      <c r="JM56" t="str">
        <f>IF($E56="","",IFERROR(MATCH($A56,祝日!$J$1:$L$1,0),""))</f>
        <v/>
      </c>
    </row>
    <row r="57" spans="1:273" ht="14.25" customHeight="1" x14ac:dyDescent="0.15">
      <c r="A57" s="50" t="str">
        <f>IF($E57="","",IF($JL57=1,INDEX(工数管理!$A$3:$A$98,$E57)&amp;"",IF(INDEX(工数管理!$AK$3:$AK$98,$E57)="","未割当",INDEX(工数管理!$AK$3:$AK$98,$E57))))</f>
        <v/>
      </c>
      <c r="B57" s="51" t="str">
        <f>IF($E57="","",IF($JL57=1,"",INDEX(工数管理!$A$3:$A$98,$E57)&amp;""))</f>
        <v/>
      </c>
      <c r="C57" s="50" t="str">
        <f>IF($E57="","",IF($JL57=1,"",INDEX(工数管理!$B$3:$B$98,$E57)&amp;""))</f>
        <v/>
      </c>
      <c r="D57" s="50" t="str">
        <f>IF($E57="","",INDEX(工数管理!$H$3:$H$98,$E57)&amp;"")</f>
        <v/>
      </c>
      <c r="E57" t="str">
        <f>IFERROR(MATCH(SMALL(工数管理!$BP$3:$BP$98,ROW()-3),工数管理!$BP$3:$BP$98,0),"")</f>
        <v/>
      </c>
      <c r="F57" t="str">
        <f>IF($E57="","",IF(INDEX(工数管理!$K$3:$K$98,$E57)="","",INDEX(工数管理!$K$3:$K$98,$E57)))</f>
        <v/>
      </c>
      <c r="G57" t="str">
        <f>IF($E57="","",IF(INDEX(工数管理!$L$3:$L$98,$E57)="","",INDEX(工数管理!$L$3:$L$98,$E57)))</f>
        <v/>
      </c>
      <c r="H57" t="str">
        <f>IF($E57="","",IF(INDEX(工数管理!$M$3:$M$98,$E57)="","",INDEX(工数管理!$M$3:$M$98,$E57)))</f>
        <v/>
      </c>
      <c r="I57" t="str">
        <f>IF($E57="","",IF(INDEX(工数管理!$N$3:$N$98,$E57)="","",INDEX(工数管理!$N$3:$N$98,$E57)))</f>
        <v/>
      </c>
      <c r="J57" t="str">
        <f>IF($E57="","",IF(INDEX(工数管理!$O$3:$O$98,$E57)="","",INDEX(工数管理!$O$3:$O$98,$E57)))</f>
        <v/>
      </c>
      <c r="K57" t="str">
        <f>IF($E57="","",IF(INDEX(工数管理!$P$3:$P$98,$E57)="","",INDEX(工数管理!$P$3:$P$98,$E57)))</f>
        <v/>
      </c>
      <c r="L57" t="str">
        <f>IF($E57="","",IF(INDEX(工数管理!$Q$3:$Q$98,$E57)="","",INDEX(工数管理!$Q$3:$Q$98,$E57)))</f>
        <v/>
      </c>
      <c r="M57" t="str">
        <f>IF($E57="","",IF(INDEX(工数管理!$R$3:$R$98,$E57)="","",INDEX(工数管理!$R$3:$R$98,$E57)))</f>
        <v/>
      </c>
      <c r="N57" t="str">
        <f>IF($E57="","",IF(INDEX(工数管理!$S$3:$S$98,$E57)="","",INDEX(工数管理!$S$3:$S$98,$E57)))</f>
        <v/>
      </c>
      <c r="O57" t="str">
        <f>IF($E57="","",IF(INDEX(工数管理!$T$3:$T$98,$E57)="","",INDEX(工数管理!$T$3:$T$98,$E57)))</f>
        <v/>
      </c>
      <c r="P57" t="str">
        <f>IF($E57="","",IF(INDEX(工数管理!$U$3:$U$98,$E57)="","",INDEX(工数管理!$U$3:$U$98,$E57)))</f>
        <v/>
      </c>
      <c r="Q57" t="str">
        <f>IF($E57="","",IF(INDEX(工数管理!$V$3:$V$98,$E57)="","",INDEX(工数管理!$V$3:$V$98,$E57)))</f>
        <v/>
      </c>
      <c r="R57" t="str">
        <f>IF($E57="","",IF(INDEX(工数管理!$W$3:$W$98,$E57)="","",INDEX(工数管理!$W$3:$W$98,$E57)))</f>
        <v/>
      </c>
      <c r="S57" t="str">
        <f>IF($E57="","",IF(INDEX(工数管理!$X$3:$X$98,$E57)="","",INDEX(工数管理!$X$3:$X$98,$E57)))</f>
        <v/>
      </c>
      <c r="T57" t="str">
        <f>IF($E57="","",IF(INDEX(工数管理!$Y$3:$Y$98,$E57)="","",INDEX(工数管理!$Y$3:$Y$98,$E57)))</f>
        <v/>
      </c>
      <c r="U57" t="str">
        <f>IF($E57="","",IF(INDEX(工数管理!$Z$3:$Z$98,$E57)="","",INDEX(工数管理!$Z$3:$Z$98,$E57)))</f>
        <v/>
      </c>
      <c r="V57" t="str">
        <f>IF($E57="","",IF(INDEX(工数管理!$AA$3:$AA$98,$E57)="","",INDEX(工数管理!$AA$3:$AA$98,$E57)))</f>
        <v/>
      </c>
      <c r="W57" t="str">
        <f>IF($E57="","",IF(INDEX(工数管理!$AB$3:$AB$98,$E57)="","",INDEX(工数管理!$AB$3:$AB$98,$E57)))</f>
        <v/>
      </c>
      <c r="X57" t="str">
        <f>IF($E57="","",IF(INDEX(工数管理!$AC$3:$AC$98,$E57)="","",INDEX(工数管理!$AC$3:$AC$98,$E57)))</f>
        <v/>
      </c>
      <c r="Y57" t="str">
        <f>IF($E57="","",IF(INDEX(工数管理!$AD$3:$AD$98,$E57)="","",INDEX(工数管理!$AD$3:$AD$98,$E57)))</f>
        <v/>
      </c>
      <c r="Z57" t="str">
        <f>IF($E57="","",IF(INDEX(工数管理!$AE$3:$AE$98,$E57)="","",INDEX(工数管理!$AE$3:$AE$98,$E57)))</f>
        <v/>
      </c>
      <c r="AA57" t="str">
        <f>IF($E57="","",IF(INDEX(工数管理!$AF$3:$AF$98,$E57)="","",INDEX(工数管理!$AF$3:$AF$98,$E57)))</f>
        <v/>
      </c>
      <c r="AB57" t="str">
        <f>IF($E57="","",IF(INDEX(工数管理!$AG$3:$AG$98,$E57)="","",INDEX(工数管理!$AG$3:$AG$98,$E57)))</f>
        <v/>
      </c>
      <c r="AC57" t="str">
        <f>IF($E57="","",IF(INDEX(工数管理!$AH$3:$AH$98,$E57)="","",INDEX(工数管理!$AH$3:$AH$98,$E57)))</f>
        <v/>
      </c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  <c r="DP57" s="52"/>
      <c r="DQ57" s="52"/>
      <c r="DR57" s="52"/>
      <c r="DS57" s="52"/>
      <c r="DT57" s="52"/>
      <c r="DU57" s="52"/>
      <c r="DV57" s="52"/>
      <c r="DW57" s="52"/>
      <c r="DX57" s="52"/>
      <c r="DY57" s="52"/>
      <c r="DZ57" s="52"/>
      <c r="EA57" s="52"/>
      <c r="EB57" s="52"/>
      <c r="EC57" s="52"/>
      <c r="ED57" s="52"/>
      <c r="EE57" s="52"/>
      <c r="EF57" s="52"/>
      <c r="EG57" s="52"/>
      <c r="EH57" s="52"/>
      <c r="EI57" s="52"/>
      <c r="EJ57" s="52"/>
      <c r="EK57" s="52"/>
      <c r="EL57" s="52"/>
      <c r="EM57" s="52"/>
      <c r="EN57" s="52"/>
      <c r="EO57" s="52"/>
      <c r="EP57" s="52"/>
      <c r="EQ57" s="52"/>
      <c r="ER57" s="52"/>
      <c r="ES57" s="52"/>
      <c r="ET57" s="52"/>
      <c r="EU57" s="52"/>
      <c r="EV57" s="52"/>
      <c r="EW57" s="52"/>
      <c r="EX57" s="52"/>
      <c r="EY57" s="52"/>
      <c r="EZ57" s="52"/>
      <c r="FA57" s="52"/>
      <c r="FB57" s="52"/>
      <c r="FC57" s="52"/>
      <c r="FD57" s="52"/>
      <c r="FE57" s="52"/>
      <c r="FF57" s="52"/>
      <c r="FG57" s="52"/>
      <c r="FH57" s="52"/>
      <c r="FI57" s="52"/>
      <c r="FJ57" s="52"/>
      <c r="FK57" s="52"/>
      <c r="FL57" s="52"/>
      <c r="FM57" s="52"/>
      <c r="FN57" s="52"/>
      <c r="FO57" s="52"/>
      <c r="FP57" s="52"/>
      <c r="FQ57" s="52"/>
      <c r="FR57" s="52"/>
      <c r="FS57" s="52"/>
      <c r="FT57" s="52"/>
      <c r="FU57" s="52"/>
      <c r="FV57" s="52"/>
      <c r="FW57" s="52"/>
      <c r="FX57" s="52"/>
      <c r="FY57" s="52"/>
      <c r="FZ57" s="52"/>
      <c r="GA57" s="52"/>
      <c r="GB57" s="52"/>
      <c r="GC57" s="52"/>
      <c r="GD57" s="52"/>
      <c r="GE57" s="52"/>
      <c r="GF57" s="52"/>
      <c r="GG57" s="52"/>
      <c r="GH57" s="52"/>
      <c r="GI57" s="52"/>
      <c r="GJ57" s="52"/>
      <c r="GK57" s="52"/>
      <c r="GL57" s="52"/>
      <c r="GM57" s="52"/>
      <c r="GN57" s="52"/>
      <c r="GO57" s="52"/>
      <c r="GP57" s="52"/>
      <c r="GQ57" s="52"/>
      <c r="GR57" s="52"/>
      <c r="GS57" s="52"/>
      <c r="GT57" s="52"/>
      <c r="GU57" s="52"/>
      <c r="GV57" s="52"/>
      <c r="GW57" s="52"/>
      <c r="GX57" s="52"/>
      <c r="GY57" s="52"/>
      <c r="GZ57" s="52"/>
      <c r="HA57" s="52"/>
      <c r="HB57" s="52"/>
      <c r="HC57" s="52"/>
      <c r="HD57" s="52"/>
      <c r="HE57" s="52"/>
      <c r="HF57" s="52"/>
      <c r="HG57" s="52"/>
      <c r="HH57" s="52"/>
      <c r="HI57" s="52"/>
      <c r="HJ57" s="52"/>
      <c r="HK57" s="52"/>
      <c r="HL57" s="52"/>
      <c r="HM57" s="52"/>
      <c r="HN57" s="52"/>
      <c r="HO57" s="52"/>
      <c r="HP57" s="52"/>
      <c r="HQ57" s="52"/>
      <c r="HR57" s="52"/>
      <c r="HS57" s="52"/>
      <c r="HT57" s="52"/>
      <c r="HU57" s="52"/>
      <c r="HV57" s="52"/>
      <c r="HW57" s="52"/>
      <c r="HX57" s="52"/>
      <c r="HY57" s="52"/>
      <c r="HZ57" s="52"/>
      <c r="IA57" s="52"/>
      <c r="IB57" s="52"/>
      <c r="IC57" s="52"/>
      <c r="ID57" s="52"/>
      <c r="IE57" s="52"/>
      <c r="IF57" s="52"/>
      <c r="IG57" s="52"/>
      <c r="IH57" s="52"/>
      <c r="II57" s="52"/>
      <c r="IJ57" s="52"/>
      <c r="IK57" s="52"/>
      <c r="IL57" s="52"/>
      <c r="IM57" s="52"/>
      <c r="IN57" s="52"/>
      <c r="IO57" s="52"/>
      <c r="IP57" s="52"/>
      <c r="IQ57" s="52"/>
      <c r="IR57" s="52"/>
      <c r="IS57" s="52"/>
      <c r="IT57" s="52"/>
      <c r="IU57" s="52"/>
      <c r="IV57" s="52"/>
      <c r="IW57" s="52"/>
      <c r="IX57" s="52"/>
      <c r="IY57" s="52"/>
      <c r="IZ57" s="52"/>
      <c r="JA57" s="52"/>
      <c r="JB57" s="52"/>
      <c r="JC57" s="52"/>
      <c r="JD57" s="52"/>
      <c r="JE57" s="52"/>
      <c r="JF57" s="52"/>
      <c r="JG57" s="52"/>
      <c r="JH57" s="52"/>
      <c r="JI57" s="52"/>
      <c r="JL57" t="str">
        <f>IF($E57="","",IF(INDEX(工数管理!$AJ$3:$AJ$98,$E57)&lt;&gt;"",1,0))</f>
        <v/>
      </c>
      <c r="JM57" t="str">
        <f>IF($E57="","",IFERROR(MATCH($A57,祝日!$J$1:$L$1,0),""))</f>
        <v/>
      </c>
    </row>
    <row r="58" spans="1:273" ht="14.25" customHeight="1" x14ac:dyDescent="0.15">
      <c r="A58" s="50" t="str">
        <f>IF($E58="","",IF($JL58=1,INDEX(工数管理!$A$3:$A$98,$E58)&amp;"",IF(INDEX(工数管理!$AK$3:$AK$98,$E58)="","未割当",INDEX(工数管理!$AK$3:$AK$98,$E58))))</f>
        <v/>
      </c>
      <c r="B58" s="51" t="str">
        <f>IF($E58="","",IF($JL58=1,"",INDEX(工数管理!$A$3:$A$98,$E58)&amp;""))</f>
        <v/>
      </c>
      <c r="C58" s="50" t="str">
        <f>IF($E58="","",IF($JL58=1,"",INDEX(工数管理!$B$3:$B$98,$E58)&amp;""))</f>
        <v/>
      </c>
      <c r="D58" s="50" t="str">
        <f>IF($E58="","",INDEX(工数管理!$H$3:$H$98,$E58)&amp;"")</f>
        <v/>
      </c>
      <c r="E58" t="str">
        <f>IFERROR(MATCH(SMALL(工数管理!$BP$3:$BP$98,ROW()-3),工数管理!$BP$3:$BP$98,0),"")</f>
        <v/>
      </c>
      <c r="F58" t="str">
        <f>IF($E58="","",IF(INDEX(工数管理!$K$3:$K$98,$E58)="","",INDEX(工数管理!$K$3:$K$98,$E58)))</f>
        <v/>
      </c>
      <c r="G58" t="str">
        <f>IF($E58="","",IF(INDEX(工数管理!$L$3:$L$98,$E58)="","",INDEX(工数管理!$L$3:$L$98,$E58)))</f>
        <v/>
      </c>
      <c r="H58" t="str">
        <f>IF($E58="","",IF(INDEX(工数管理!$M$3:$M$98,$E58)="","",INDEX(工数管理!$M$3:$M$98,$E58)))</f>
        <v/>
      </c>
      <c r="I58" t="str">
        <f>IF($E58="","",IF(INDEX(工数管理!$N$3:$N$98,$E58)="","",INDEX(工数管理!$N$3:$N$98,$E58)))</f>
        <v/>
      </c>
      <c r="J58" t="str">
        <f>IF($E58="","",IF(INDEX(工数管理!$O$3:$O$98,$E58)="","",INDEX(工数管理!$O$3:$O$98,$E58)))</f>
        <v/>
      </c>
      <c r="K58" t="str">
        <f>IF($E58="","",IF(INDEX(工数管理!$P$3:$P$98,$E58)="","",INDEX(工数管理!$P$3:$P$98,$E58)))</f>
        <v/>
      </c>
      <c r="L58" t="str">
        <f>IF($E58="","",IF(INDEX(工数管理!$Q$3:$Q$98,$E58)="","",INDEX(工数管理!$Q$3:$Q$98,$E58)))</f>
        <v/>
      </c>
      <c r="M58" t="str">
        <f>IF($E58="","",IF(INDEX(工数管理!$R$3:$R$98,$E58)="","",INDEX(工数管理!$R$3:$R$98,$E58)))</f>
        <v/>
      </c>
      <c r="N58" t="str">
        <f>IF($E58="","",IF(INDEX(工数管理!$S$3:$S$98,$E58)="","",INDEX(工数管理!$S$3:$S$98,$E58)))</f>
        <v/>
      </c>
      <c r="O58" t="str">
        <f>IF($E58="","",IF(INDEX(工数管理!$T$3:$T$98,$E58)="","",INDEX(工数管理!$T$3:$T$98,$E58)))</f>
        <v/>
      </c>
      <c r="P58" t="str">
        <f>IF($E58="","",IF(INDEX(工数管理!$U$3:$U$98,$E58)="","",INDEX(工数管理!$U$3:$U$98,$E58)))</f>
        <v/>
      </c>
      <c r="Q58" t="str">
        <f>IF($E58="","",IF(INDEX(工数管理!$V$3:$V$98,$E58)="","",INDEX(工数管理!$V$3:$V$98,$E58)))</f>
        <v/>
      </c>
      <c r="R58" t="str">
        <f>IF($E58="","",IF(INDEX(工数管理!$W$3:$W$98,$E58)="","",INDEX(工数管理!$W$3:$W$98,$E58)))</f>
        <v/>
      </c>
      <c r="S58" t="str">
        <f>IF($E58="","",IF(INDEX(工数管理!$X$3:$X$98,$E58)="","",INDEX(工数管理!$X$3:$X$98,$E58)))</f>
        <v/>
      </c>
      <c r="T58" t="str">
        <f>IF($E58="","",IF(INDEX(工数管理!$Y$3:$Y$98,$E58)="","",INDEX(工数管理!$Y$3:$Y$98,$E58)))</f>
        <v/>
      </c>
      <c r="U58" t="str">
        <f>IF($E58="","",IF(INDEX(工数管理!$Z$3:$Z$98,$E58)="","",INDEX(工数管理!$Z$3:$Z$98,$E58)))</f>
        <v/>
      </c>
      <c r="V58" t="str">
        <f>IF($E58="","",IF(INDEX(工数管理!$AA$3:$AA$98,$E58)="","",INDEX(工数管理!$AA$3:$AA$98,$E58)))</f>
        <v/>
      </c>
      <c r="W58" t="str">
        <f>IF($E58="","",IF(INDEX(工数管理!$AB$3:$AB$98,$E58)="","",INDEX(工数管理!$AB$3:$AB$98,$E58)))</f>
        <v/>
      </c>
      <c r="X58" t="str">
        <f>IF($E58="","",IF(INDEX(工数管理!$AC$3:$AC$98,$E58)="","",INDEX(工数管理!$AC$3:$AC$98,$E58)))</f>
        <v/>
      </c>
      <c r="Y58" t="str">
        <f>IF($E58="","",IF(INDEX(工数管理!$AD$3:$AD$98,$E58)="","",INDEX(工数管理!$AD$3:$AD$98,$E58)))</f>
        <v/>
      </c>
      <c r="Z58" t="str">
        <f>IF($E58="","",IF(INDEX(工数管理!$AE$3:$AE$98,$E58)="","",INDEX(工数管理!$AE$3:$AE$98,$E58)))</f>
        <v/>
      </c>
      <c r="AA58" t="str">
        <f>IF($E58="","",IF(INDEX(工数管理!$AF$3:$AF$98,$E58)="","",INDEX(工数管理!$AF$3:$AF$98,$E58)))</f>
        <v/>
      </c>
      <c r="AB58" t="str">
        <f>IF($E58="","",IF(INDEX(工数管理!$AG$3:$AG$98,$E58)="","",INDEX(工数管理!$AG$3:$AG$98,$E58)))</f>
        <v/>
      </c>
      <c r="AC58" t="str">
        <f>IF($E58="","",IF(INDEX(工数管理!$AH$3:$AH$98,$E58)="","",INDEX(工数管理!$AH$3:$AH$98,$E58)))</f>
        <v/>
      </c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2"/>
      <c r="DN58" s="52"/>
      <c r="DO58" s="52"/>
      <c r="DP58" s="52"/>
      <c r="DQ58" s="52"/>
      <c r="DR58" s="52"/>
      <c r="DS58" s="52"/>
      <c r="DT58" s="52"/>
      <c r="DU58" s="52"/>
      <c r="DV58" s="52"/>
      <c r="DW58" s="52"/>
      <c r="DX58" s="52"/>
      <c r="DY58" s="52"/>
      <c r="DZ58" s="52"/>
      <c r="EA58" s="52"/>
      <c r="EB58" s="52"/>
      <c r="EC58" s="52"/>
      <c r="ED58" s="52"/>
      <c r="EE58" s="52"/>
      <c r="EF58" s="52"/>
      <c r="EG58" s="52"/>
      <c r="EH58" s="52"/>
      <c r="EI58" s="52"/>
      <c r="EJ58" s="52"/>
      <c r="EK58" s="52"/>
      <c r="EL58" s="52"/>
      <c r="EM58" s="52"/>
      <c r="EN58" s="52"/>
      <c r="EO58" s="52"/>
      <c r="EP58" s="52"/>
      <c r="EQ58" s="52"/>
      <c r="ER58" s="52"/>
      <c r="ES58" s="52"/>
      <c r="ET58" s="52"/>
      <c r="EU58" s="52"/>
      <c r="EV58" s="52"/>
      <c r="EW58" s="52"/>
      <c r="EX58" s="52"/>
      <c r="EY58" s="52"/>
      <c r="EZ58" s="52"/>
      <c r="FA58" s="52"/>
      <c r="FB58" s="52"/>
      <c r="FC58" s="52"/>
      <c r="FD58" s="52"/>
      <c r="FE58" s="52"/>
      <c r="FF58" s="52"/>
      <c r="FG58" s="52"/>
      <c r="FH58" s="52"/>
      <c r="FI58" s="52"/>
      <c r="FJ58" s="52"/>
      <c r="FK58" s="52"/>
      <c r="FL58" s="52"/>
      <c r="FM58" s="52"/>
      <c r="FN58" s="52"/>
      <c r="FO58" s="52"/>
      <c r="FP58" s="52"/>
      <c r="FQ58" s="52"/>
      <c r="FR58" s="52"/>
      <c r="FS58" s="52"/>
      <c r="FT58" s="52"/>
      <c r="FU58" s="52"/>
      <c r="FV58" s="52"/>
      <c r="FW58" s="52"/>
      <c r="FX58" s="52"/>
      <c r="FY58" s="52"/>
      <c r="FZ58" s="52"/>
      <c r="GA58" s="52"/>
      <c r="GB58" s="52"/>
      <c r="GC58" s="52"/>
      <c r="GD58" s="52"/>
      <c r="GE58" s="52"/>
      <c r="GF58" s="52"/>
      <c r="GG58" s="52"/>
      <c r="GH58" s="52"/>
      <c r="GI58" s="52"/>
      <c r="GJ58" s="52"/>
      <c r="GK58" s="52"/>
      <c r="GL58" s="52"/>
      <c r="GM58" s="52"/>
      <c r="GN58" s="52"/>
      <c r="GO58" s="52"/>
      <c r="GP58" s="52"/>
      <c r="GQ58" s="52"/>
      <c r="GR58" s="52"/>
      <c r="GS58" s="52"/>
      <c r="GT58" s="52"/>
      <c r="GU58" s="52"/>
      <c r="GV58" s="52"/>
      <c r="GW58" s="52"/>
      <c r="GX58" s="52"/>
      <c r="GY58" s="52"/>
      <c r="GZ58" s="52"/>
      <c r="HA58" s="52"/>
      <c r="HB58" s="52"/>
      <c r="HC58" s="52"/>
      <c r="HD58" s="52"/>
      <c r="HE58" s="52"/>
      <c r="HF58" s="52"/>
      <c r="HG58" s="52"/>
      <c r="HH58" s="52"/>
      <c r="HI58" s="52"/>
      <c r="HJ58" s="52"/>
      <c r="HK58" s="52"/>
      <c r="HL58" s="52"/>
      <c r="HM58" s="52"/>
      <c r="HN58" s="52"/>
      <c r="HO58" s="52"/>
      <c r="HP58" s="52"/>
      <c r="HQ58" s="52"/>
      <c r="HR58" s="52"/>
      <c r="HS58" s="52"/>
      <c r="HT58" s="52"/>
      <c r="HU58" s="52"/>
      <c r="HV58" s="52"/>
      <c r="HW58" s="52"/>
      <c r="HX58" s="52"/>
      <c r="HY58" s="52"/>
      <c r="HZ58" s="52"/>
      <c r="IA58" s="52"/>
      <c r="IB58" s="52"/>
      <c r="IC58" s="52"/>
      <c r="ID58" s="52"/>
      <c r="IE58" s="52"/>
      <c r="IF58" s="52"/>
      <c r="IG58" s="52"/>
      <c r="IH58" s="52"/>
      <c r="II58" s="52"/>
      <c r="IJ58" s="52"/>
      <c r="IK58" s="52"/>
      <c r="IL58" s="52"/>
      <c r="IM58" s="52"/>
      <c r="IN58" s="52"/>
      <c r="IO58" s="52"/>
      <c r="IP58" s="52"/>
      <c r="IQ58" s="52"/>
      <c r="IR58" s="52"/>
      <c r="IS58" s="52"/>
      <c r="IT58" s="52"/>
      <c r="IU58" s="52"/>
      <c r="IV58" s="52"/>
      <c r="IW58" s="52"/>
      <c r="IX58" s="52"/>
      <c r="IY58" s="52"/>
      <c r="IZ58" s="52"/>
      <c r="JA58" s="52"/>
      <c r="JB58" s="52"/>
      <c r="JC58" s="52"/>
      <c r="JD58" s="52"/>
      <c r="JE58" s="52"/>
      <c r="JF58" s="52"/>
      <c r="JG58" s="52"/>
      <c r="JH58" s="52"/>
      <c r="JI58" s="52"/>
      <c r="JL58" t="str">
        <f>IF($E58="","",IF(INDEX(工数管理!$AJ$3:$AJ$98,$E58)&lt;&gt;"",1,0))</f>
        <v/>
      </c>
      <c r="JM58" t="str">
        <f>IF($E58="","",IFERROR(MATCH($A58,祝日!$J$1:$L$1,0),""))</f>
        <v/>
      </c>
    </row>
    <row r="59" spans="1:273" ht="14.25" customHeight="1" x14ac:dyDescent="0.15">
      <c r="A59" s="50" t="str">
        <f>IF($E59="","",IF($JL59=1,INDEX(工数管理!$A$3:$A$98,$E59)&amp;"",IF(INDEX(工数管理!$AK$3:$AK$98,$E59)="","未割当",INDEX(工数管理!$AK$3:$AK$98,$E59))))</f>
        <v/>
      </c>
      <c r="B59" s="51" t="str">
        <f>IF($E59="","",IF($JL59=1,"",INDEX(工数管理!$A$3:$A$98,$E59)&amp;""))</f>
        <v/>
      </c>
      <c r="C59" s="50" t="str">
        <f>IF($E59="","",IF($JL59=1,"",INDEX(工数管理!$B$3:$B$98,$E59)&amp;""))</f>
        <v/>
      </c>
      <c r="D59" s="50" t="str">
        <f>IF($E59="","",INDEX(工数管理!$H$3:$H$98,$E59)&amp;"")</f>
        <v/>
      </c>
      <c r="E59" t="str">
        <f>IFERROR(MATCH(SMALL(工数管理!$BP$3:$BP$98,ROW()-3),工数管理!$BP$3:$BP$98,0),"")</f>
        <v/>
      </c>
      <c r="F59" t="str">
        <f>IF($E59="","",IF(INDEX(工数管理!$K$3:$K$98,$E59)="","",INDEX(工数管理!$K$3:$K$98,$E59)))</f>
        <v/>
      </c>
      <c r="G59" t="str">
        <f>IF($E59="","",IF(INDEX(工数管理!$L$3:$L$98,$E59)="","",INDEX(工数管理!$L$3:$L$98,$E59)))</f>
        <v/>
      </c>
      <c r="H59" t="str">
        <f>IF($E59="","",IF(INDEX(工数管理!$M$3:$M$98,$E59)="","",INDEX(工数管理!$M$3:$M$98,$E59)))</f>
        <v/>
      </c>
      <c r="I59" t="str">
        <f>IF($E59="","",IF(INDEX(工数管理!$N$3:$N$98,$E59)="","",INDEX(工数管理!$N$3:$N$98,$E59)))</f>
        <v/>
      </c>
      <c r="J59" t="str">
        <f>IF($E59="","",IF(INDEX(工数管理!$O$3:$O$98,$E59)="","",INDEX(工数管理!$O$3:$O$98,$E59)))</f>
        <v/>
      </c>
      <c r="K59" t="str">
        <f>IF($E59="","",IF(INDEX(工数管理!$P$3:$P$98,$E59)="","",INDEX(工数管理!$P$3:$P$98,$E59)))</f>
        <v/>
      </c>
      <c r="L59" t="str">
        <f>IF($E59="","",IF(INDEX(工数管理!$Q$3:$Q$98,$E59)="","",INDEX(工数管理!$Q$3:$Q$98,$E59)))</f>
        <v/>
      </c>
      <c r="M59" t="str">
        <f>IF($E59="","",IF(INDEX(工数管理!$R$3:$R$98,$E59)="","",INDEX(工数管理!$R$3:$R$98,$E59)))</f>
        <v/>
      </c>
      <c r="N59" t="str">
        <f>IF($E59="","",IF(INDEX(工数管理!$S$3:$S$98,$E59)="","",INDEX(工数管理!$S$3:$S$98,$E59)))</f>
        <v/>
      </c>
      <c r="O59" t="str">
        <f>IF($E59="","",IF(INDEX(工数管理!$T$3:$T$98,$E59)="","",INDEX(工数管理!$T$3:$T$98,$E59)))</f>
        <v/>
      </c>
      <c r="P59" t="str">
        <f>IF($E59="","",IF(INDEX(工数管理!$U$3:$U$98,$E59)="","",INDEX(工数管理!$U$3:$U$98,$E59)))</f>
        <v/>
      </c>
      <c r="Q59" t="str">
        <f>IF($E59="","",IF(INDEX(工数管理!$V$3:$V$98,$E59)="","",INDEX(工数管理!$V$3:$V$98,$E59)))</f>
        <v/>
      </c>
      <c r="R59" t="str">
        <f>IF($E59="","",IF(INDEX(工数管理!$W$3:$W$98,$E59)="","",INDEX(工数管理!$W$3:$W$98,$E59)))</f>
        <v/>
      </c>
      <c r="S59" t="str">
        <f>IF($E59="","",IF(INDEX(工数管理!$X$3:$X$98,$E59)="","",INDEX(工数管理!$X$3:$X$98,$E59)))</f>
        <v/>
      </c>
      <c r="T59" t="str">
        <f>IF($E59="","",IF(INDEX(工数管理!$Y$3:$Y$98,$E59)="","",INDEX(工数管理!$Y$3:$Y$98,$E59)))</f>
        <v/>
      </c>
      <c r="U59" t="str">
        <f>IF($E59="","",IF(INDEX(工数管理!$Z$3:$Z$98,$E59)="","",INDEX(工数管理!$Z$3:$Z$98,$E59)))</f>
        <v/>
      </c>
      <c r="V59" t="str">
        <f>IF($E59="","",IF(INDEX(工数管理!$AA$3:$AA$98,$E59)="","",INDEX(工数管理!$AA$3:$AA$98,$E59)))</f>
        <v/>
      </c>
      <c r="W59" t="str">
        <f>IF($E59="","",IF(INDEX(工数管理!$AB$3:$AB$98,$E59)="","",INDEX(工数管理!$AB$3:$AB$98,$E59)))</f>
        <v/>
      </c>
      <c r="X59" t="str">
        <f>IF($E59="","",IF(INDEX(工数管理!$AC$3:$AC$98,$E59)="","",INDEX(工数管理!$AC$3:$AC$98,$E59)))</f>
        <v/>
      </c>
      <c r="Y59" t="str">
        <f>IF($E59="","",IF(INDEX(工数管理!$AD$3:$AD$98,$E59)="","",INDEX(工数管理!$AD$3:$AD$98,$E59)))</f>
        <v/>
      </c>
      <c r="Z59" t="str">
        <f>IF($E59="","",IF(INDEX(工数管理!$AE$3:$AE$98,$E59)="","",INDEX(工数管理!$AE$3:$AE$98,$E59)))</f>
        <v/>
      </c>
      <c r="AA59" t="str">
        <f>IF($E59="","",IF(INDEX(工数管理!$AF$3:$AF$98,$E59)="","",INDEX(工数管理!$AF$3:$AF$98,$E59)))</f>
        <v/>
      </c>
      <c r="AB59" t="str">
        <f>IF($E59="","",IF(INDEX(工数管理!$AG$3:$AG$98,$E59)="","",INDEX(工数管理!$AG$3:$AG$98,$E59)))</f>
        <v/>
      </c>
      <c r="AC59" t="str">
        <f>IF($E59="","",IF(INDEX(工数管理!$AH$3:$AH$98,$E59)="","",INDEX(工数管理!$AH$3:$AH$98,$E59)))</f>
        <v/>
      </c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/>
      <c r="DR59" s="52"/>
      <c r="DS59" s="52"/>
      <c r="DT59" s="52"/>
      <c r="DU59" s="52"/>
      <c r="DV59" s="52"/>
      <c r="DW59" s="52"/>
      <c r="DX59" s="52"/>
      <c r="DY59" s="52"/>
      <c r="DZ59" s="52"/>
      <c r="EA59" s="52"/>
      <c r="EB59" s="52"/>
      <c r="EC59" s="52"/>
      <c r="ED59" s="52"/>
      <c r="EE59" s="52"/>
      <c r="EF59" s="52"/>
      <c r="EG59" s="52"/>
      <c r="EH59" s="52"/>
      <c r="EI59" s="52"/>
      <c r="EJ59" s="52"/>
      <c r="EK59" s="52"/>
      <c r="EL59" s="52"/>
      <c r="EM59" s="52"/>
      <c r="EN59" s="52"/>
      <c r="EO59" s="52"/>
      <c r="EP59" s="52"/>
      <c r="EQ59" s="52"/>
      <c r="ER59" s="52"/>
      <c r="ES59" s="52"/>
      <c r="ET59" s="52"/>
      <c r="EU59" s="52"/>
      <c r="EV59" s="52"/>
      <c r="EW59" s="52"/>
      <c r="EX59" s="52"/>
      <c r="EY59" s="52"/>
      <c r="EZ59" s="52"/>
      <c r="FA59" s="52"/>
      <c r="FB59" s="52"/>
      <c r="FC59" s="52"/>
      <c r="FD59" s="52"/>
      <c r="FE59" s="52"/>
      <c r="FF59" s="52"/>
      <c r="FG59" s="52"/>
      <c r="FH59" s="52"/>
      <c r="FI59" s="52"/>
      <c r="FJ59" s="52"/>
      <c r="FK59" s="52"/>
      <c r="FL59" s="52"/>
      <c r="FM59" s="52"/>
      <c r="FN59" s="52"/>
      <c r="FO59" s="52"/>
      <c r="FP59" s="52"/>
      <c r="FQ59" s="52"/>
      <c r="FR59" s="52"/>
      <c r="FS59" s="52"/>
      <c r="FT59" s="52"/>
      <c r="FU59" s="52"/>
      <c r="FV59" s="52"/>
      <c r="FW59" s="52"/>
      <c r="FX59" s="52"/>
      <c r="FY59" s="52"/>
      <c r="FZ59" s="52"/>
      <c r="GA59" s="52"/>
      <c r="GB59" s="52"/>
      <c r="GC59" s="52"/>
      <c r="GD59" s="52"/>
      <c r="GE59" s="52"/>
      <c r="GF59" s="52"/>
      <c r="GG59" s="52"/>
      <c r="GH59" s="52"/>
      <c r="GI59" s="52"/>
      <c r="GJ59" s="52"/>
      <c r="GK59" s="52"/>
      <c r="GL59" s="52"/>
      <c r="GM59" s="52"/>
      <c r="GN59" s="52"/>
      <c r="GO59" s="52"/>
      <c r="GP59" s="52"/>
      <c r="GQ59" s="52"/>
      <c r="GR59" s="52"/>
      <c r="GS59" s="52"/>
      <c r="GT59" s="52"/>
      <c r="GU59" s="52"/>
      <c r="GV59" s="52"/>
      <c r="GW59" s="52"/>
      <c r="GX59" s="52"/>
      <c r="GY59" s="52"/>
      <c r="GZ59" s="52"/>
      <c r="HA59" s="52"/>
      <c r="HB59" s="52"/>
      <c r="HC59" s="52"/>
      <c r="HD59" s="52"/>
      <c r="HE59" s="52"/>
      <c r="HF59" s="52"/>
      <c r="HG59" s="52"/>
      <c r="HH59" s="52"/>
      <c r="HI59" s="52"/>
      <c r="HJ59" s="52"/>
      <c r="HK59" s="52"/>
      <c r="HL59" s="52"/>
      <c r="HM59" s="52"/>
      <c r="HN59" s="52"/>
      <c r="HO59" s="52"/>
      <c r="HP59" s="52"/>
      <c r="HQ59" s="52"/>
      <c r="HR59" s="52"/>
      <c r="HS59" s="52"/>
      <c r="HT59" s="52"/>
      <c r="HU59" s="52"/>
      <c r="HV59" s="52"/>
      <c r="HW59" s="52"/>
      <c r="HX59" s="52"/>
      <c r="HY59" s="52"/>
      <c r="HZ59" s="52"/>
      <c r="IA59" s="52"/>
      <c r="IB59" s="52"/>
      <c r="IC59" s="52"/>
      <c r="ID59" s="52"/>
      <c r="IE59" s="52"/>
      <c r="IF59" s="52"/>
      <c r="IG59" s="52"/>
      <c r="IH59" s="52"/>
      <c r="II59" s="52"/>
      <c r="IJ59" s="52"/>
      <c r="IK59" s="52"/>
      <c r="IL59" s="52"/>
      <c r="IM59" s="52"/>
      <c r="IN59" s="52"/>
      <c r="IO59" s="52"/>
      <c r="IP59" s="52"/>
      <c r="IQ59" s="52"/>
      <c r="IR59" s="52"/>
      <c r="IS59" s="52"/>
      <c r="IT59" s="52"/>
      <c r="IU59" s="52"/>
      <c r="IV59" s="52"/>
      <c r="IW59" s="52"/>
      <c r="IX59" s="52"/>
      <c r="IY59" s="52"/>
      <c r="IZ59" s="52"/>
      <c r="JA59" s="52"/>
      <c r="JB59" s="52"/>
      <c r="JC59" s="52"/>
      <c r="JD59" s="52"/>
      <c r="JE59" s="52"/>
      <c r="JF59" s="52"/>
      <c r="JG59" s="52"/>
      <c r="JH59" s="52"/>
      <c r="JI59" s="52"/>
      <c r="JL59" t="str">
        <f>IF($E59="","",IF(INDEX(工数管理!$AJ$3:$AJ$98,$E59)&lt;&gt;"",1,0))</f>
        <v/>
      </c>
      <c r="JM59" t="str">
        <f>IF($E59="","",IFERROR(MATCH($A59,祝日!$J$1:$L$1,0),""))</f>
        <v/>
      </c>
    </row>
    <row r="60" spans="1:273" ht="14.25" customHeight="1" x14ac:dyDescent="0.15">
      <c r="A60" s="50" t="str">
        <f>IF($E60="","",IF($JL60=1,INDEX(工数管理!$A$3:$A$98,$E60)&amp;"",IF(INDEX(工数管理!$AK$3:$AK$98,$E60)="","未割当",INDEX(工数管理!$AK$3:$AK$98,$E60))))</f>
        <v/>
      </c>
      <c r="B60" s="51" t="str">
        <f>IF($E60="","",IF($JL60=1,"",INDEX(工数管理!$A$3:$A$98,$E60)&amp;""))</f>
        <v/>
      </c>
      <c r="C60" s="50" t="str">
        <f>IF($E60="","",IF($JL60=1,"",INDEX(工数管理!$B$3:$B$98,$E60)&amp;""))</f>
        <v/>
      </c>
      <c r="D60" s="50" t="str">
        <f>IF($E60="","",INDEX(工数管理!$H$3:$H$98,$E60)&amp;"")</f>
        <v/>
      </c>
      <c r="E60" t="str">
        <f>IFERROR(MATCH(SMALL(工数管理!$BP$3:$BP$98,ROW()-3),工数管理!$BP$3:$BP$98,0),"")</f>
        <v/>
      </c>
      <c r="F60" t="str">
        <f>IF($E60="","",IF(INDEX(工数管理!$K$3:$K$98,$E60)="","",INDEX(工数管理!$K$3:$K$98,$E60)))</f>
        <v/>
      </c>
      <c r="G60" t="str">
        <f>IF($E60="","",IF(INDEX(工数管理!$L$3:$L$98,$E60)="","",INDEX(工数管理!$L$3:$L$98,$E60)))</f>
        <v/>
      </c>
      <c r="H60" t="str">
        <f>IF($E60="","",IF(INDEX(工数管理!$M$3:$M$98,$E60)="","",INDEX(工数管理!$M$3:$M$98,$E60)))</f>
        <v/>
      </c>
      <c r="I60" t="str">
        <f>IF($E60="","",IF(INDEX(工数管理!$N$3:$N$98,$E60)="","",INDEX(工数管理!$N$3:$N$98,$E60)))</f>
        <v/>
      </c>
      <c r="J60" t="str">
        <f>IF($E60="","",IF(INDEX(工数管理!$O$3:$O$98,$E60)="","",INDEX(工数管理!$O$3:$O$98,$E60)))</f>
        <v/>
      </c>
      <c r="K60" t="str">
        <f>IF($E60="","",IF(INDEX(工数管理!$P$3:$P$98,$E60)="","",INDEX(工数管理!$P$3:$P$98,$E60)))</f>
        <v/>
      </c>
      <c r="L60" t="str">
        <f>IF($E60="","",IF(INDEX(工数管理!$Q$3:$Q$98,$E60)="","",INDEX(工数管理!$Q$3:$Q$98,$E60)))</f>
        <v/>
      </c>
      <c r="M60" t="str">
        <f>IF($E60="","",IF(INDEX(工数管理!$R$3:$R$98,$E60)="","",INDEX(工数管理!$R$3:$R$98,$E60)))</f>
        <v/>
      </c>
      <c r="N60" t="str">
        <f>IF($E60="","",IF(INDEX(工数管理!$S$3:$S$98,$E60)="","",INDEX(工数管理!$S$3:$S$98,$E60)))</f>
        <v/>
      </c>
      <c r="O60" t="str">
        <f>IF($E60="","",IF(INDEX(工数管理!$T$3:$T$98,$E60)="","",INDEX(工数管理!$T$3:$T$98,$E60)))</f>
        <v/>
      </c>
      <c r="P60" t="str">
        <f>IF($E60="","",IF(INDEX(工数管理!$U$3:$U$98,$E60)="","",INDEX(工数管理!$U$3:$U$98,$E60)))</f>
        <v/>
      </c>
      <c r="Q60" t="str">
        <f>IF($E60="","",IF(INDEX(工数管理!$V$3:$V$98,$E60)="","",INDEX(工数管理!$V$3:$V$98,$E60)))</f>
        <v/>
      </c>
      <c r="R60" t="str">
        <f>IF($E60="","",IF(INDEX(工数管理!$W$3:$W$98,$E60)="","",INDEX(工数管理!$W$3:$W$98,$E60)))</f>
        <v/>
      </c>
      <c r="S60" t="str">
        <f>IF($E60="","",IF(INDEX(工数管理!$X$3:$X$98,$E60)="","",INDEX(工数管理!$X$3:$X$98,$E60)))</f>
        <v/>
      </c>
      <c r="T60" t="str">
        <f>IF($E60="","",IF(INDEX(工数管理!$Y$3:$Y$98,$E60)="","",INDEX(工数管理!$Y$3:$Y$98,$E60)))</f>
        <v/>
      </c>
      <c r="U60" t="str">
        <f>IF($E60="","",IF(INDEX(工数管理!$Z$3:$Z$98,$E60)="","",INDEX(工数管理!$Z$3:$Z$98,$E60)))</f>
        <v/>
      </c>
      <c r="V60" t="str">
        <f>IF($E60="","",IF(INDEX(工数管理!$AA$3:$AA$98,$E60)="","",INDEX(工数管理!$AA$3:$AA$98,$E60)))</f>
        <v/>
      </c>
      <c r="W60" t="str">
        <f>IF($E60="","",IF(INDEX(工数管理!$AB$3:$AB$98,$E60)="","",INDEX(工数管理!$AB$3:$AB$98,$E60)))</f>
        <v/>
      </c>
      <c r="X60" t="str">
        <f>IF($E60="","",IF(INDEX(工数管理!$AC$3:$AC$98,$E60)="","",INDEX(工数管理!$AC$3:$AC$98,$E60)))</f>
        <v/>
      </c>
      <c r="Y60" t="str">
        <f>IF($E60="","",IF(INDEX(工数管理!$AD$3:$AD$98,$E60)="","",INDEX(工数管理!$AD$3:$AD$98,$E60)))</f>
        <v/>
      </c>
      <c r="Z60" t="str">
        <f>IF($E60="","",IF(INDEX(工数管理!$AE$3:$AE$98,$E60)="","",INDEX(工数管理!$AE$3:$AE$98,$E60)))</f>
        <v/>
      </c>
      <c r="AA60" t="str">
        <f>IF($E60="","",IF(INDEX(工数管理!$AF$3:$AF$98,$E60)="","",INDEX(工数管理!$AF$3:$AF$98,$E60)))</f>
        <v/>
      </c>
      <c r="AB60" t="str">
        <f>IF($E60="","",IF(INDEX(工数管理!$AG$3:$AG$98,$E60)="","",INDEX(工数管理!$AG$3:$AG$98,$E60)))</f>
        <v/>
      </c>
      <c r="AC60" t="str">
        <f>IF($E60="","",IF(INDEX(工数管理!$AH$3:$AH$98,$E60)="","",INDEX(工数管理!$AH$3:$AH$98,$E60)))</f>
        <v/>
      </c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  <c r="DL60" s="52"/>
      <c r="DM60" s="52"/>
      <c r="DN60" s="52"/>
      <c r="DO60" s="52"/>
      <c r="DP60" s="52"/>
      <c r="DQ60" s="52"/>
      <c r="DR60" s="52"/>
      <c r="DS60" s="52"/>
      <c r="DT60" s="52"/>
      <c r="DU60" s="52"/>
      <c r="DV60" s="52"/>
      <c r="DW60" s="52"/>
      <c r="DX60" s="52"/>
      <c r="DY60" s="52"/>
      <c r="DZ60" s="52"/>
      <c r="EA60" s="52"/>
      <c r="EB60" s="52"/>
      <c r="EC60" s="52"/>
      <c r="ED60" s="52"/>
      <c r="EE60" s="52"/>
      <c r="EF60" s="52"/>
      <c r="EG60" s="52"/>
      <c r="EH60" s="52"/>
      <c r="EI60" s="52"/>
      <c r="EJ60" s="52"/>
      <c r="EK60" s="52"/>
      <c r="EL60" s="52"/>
      <c r="EM60" s="52"/>
      <c r="EN60" s="52"/>
      <c r="EO60" s="52"/>
      <c r="EP60" s="52"/>
      <c r="EQ60" s="52"/>
      <c r="ER60" s="52"/>
      <c r="ES60" s="52"/>
      <c r="ET60" s="52"/>
      <c r="EU60" s="52"/>
      <c r="EV60" s="52"/>
      <c r="EW60" s="52"/>
      <c r="EX60" s="52"/>
      <c r="EY60" s="52"/>
      <c r="EZ60" s="52"/>
      <c r="FA60" s="52"/>
      <c r="FB60" s="52"/>
      <c r="FC60" s="52"/>
      <c r="FD60" s="52"/>
      <c r="FE60" s="52"/>
      <c r="FF60" s="52"/>
      <c r="FG60" s="52"/>
      <c r="FH60" s="52"/>
      <c r="FI60" s="52"/>
      <c r="FJ60" s="52"/>
      <c r="FK60" s="52"/>
      <c r="FL60" s="52"/>
      <c r="FM60" s="52"/>
      <c r="FN60" s="52"/>
      <c r="FO60" s="52"/>
      <c r="FP60" s="52"/>
      <c r="FQ60" s="52"/>
      <c r="FR60" s="52"/>
      <c r="FS60" s="52"/>
      <c r="FT60" s="52"/>
      <c r="FU60" s="52"/>
      <c r="FV60" s="52"/>
      <c r="FW60" s="52"/>
      <c r="FX60" s="52"/>
      <c r="FY60" s="52"/>
      <c r="FZ60" s="52"/>
      <c r="GA60" s="52"/>
      <c r="GB60" s="52"/>
      <c r="GC60" s="52"/>
      <c r="GD60" s="52"/>
      <c r="GE60" s="52"/>
      <c r="GF60" s="52"/>
      <c r="GG60" s="52"/>
      <c r="GH60" s="52"/>
      <c r="GI60" s="52"/>
      <c r="GJ60" s="52"/>
      <c r="GK60" s="52"/>
      <c r="GL60" s="52"/>
      <c r="GM60" s="52"/>
      <c r="GN60" s="52"/>
      <c r="GO60" s="52"/>
      <c r="GP60" s="52"/>
      <c r="GQ60" s="52"/>
      <c r="GR60" s="52"/>
      <c r="GS60" s="52"/>
      <c r="GT60" s="52"/>
      <c r="GU60" s="52"/>
      <c r="GV60" s="52"/>
      <c r="GW60" s="52"/>
      <c r="GX60" s="52"/>
      <c r="GY60" s="52"/>
      <c r="GZ60" s="52"/>
      <c r="HA60" s="52"/>
      <c r="HB60" s="52"/>
      <c r="HC60" s="52"/>
      <c r="HD60" s="52"/>
      <c r="HE60" s="52"/>
      <c r="HF60" s="52"/>
      <c r="HG60" s="52"/>
      <c r="HH60" s="52"/>
      <c r="HI60" s="52"/>
      <c r="HJ60" s="52"/>
      <c r="HK60" s="52"/>
      <c r="HL60" s="52"/>
      <c r="HM60" s="52"/>
      <c r="HN60" s="52"/>
      <c r="HO60" s="52"/>
      <c r="HP60" s="52"/>
      <c r="HQ60" s="52"/>
      <c r="HR60" s="52"/>
      <c r="HS60" s="52"/>
      <c r="HT60" s="52"/>
      <c r="HU60" s="52"/>
      <c r="HV60" s="52"/>
      <c r="HW60" s="52"/>
      <c r="HX60" s="52"/>
      <c r="HY60" s="52"/>
      <c r="HZ60" s="52"/>
      <c r="IA60" s="52"/>
      <c r="IB60" s="52"/>
      <c r="IC60" s="52"/>
      <c r="ID60" s="52"/>
      <c r="IE60" s="52"/>
      <c r="IF60" s="52"/>
      <c r="IG60" s="52"/>
      <c r="IH60" s="52"/>
      <c r="II60" s="52"/>
      <c r="IJ60" s="52"/>
      <c r="IK60" s="52"/>
      <c r="IL60" s="52"/>
      <c r="IM60" s="52"/>
      <c r="IN60" s="52"/>
      <c r="IO60" s="52"/>
      <c r="IP60" s="52"/>
      <c r="IQ60" s="52"/>
      <c r="IR60" s="52"/>
      <c r="IS60" s="52"/>
      <c r="IT60" s="52"/>
      <c r="IU60" s="52"/>
      <c r="IV60" s="52"/>
      <c r="IW60" s="52"/>
      <c r="IX60" s="52"/>
      <c r="IY60" s="52"/>
      <c r="IZ60" s="52"/>
      <c r="JA60" s="52"/>
      <c r="JB60" s="52"/>
      <c r="JC60" s="52"/>
      <c r="JD60" s="52"/>
      <c r="JE60" s="52"/>
      <c r="JF60" s="52"/>
      <c r="JG60" s="52"/>
      <c r="JH60" s="52"/>
      <c r="JI60" s="52"/>
      <c r="JL60" t="str">
        <f>IF($E60="","",IF(INDEX(工数管理!$AJ$3:$AJ$98,$E60)&lt;&gt;"",1,0))</f>
        <v/>
      </c>
      <c r="JM60" t="str">
        <f>IF($E60="","",IFERROR(MATCH($A60,祝日!$J$1:$L$1,0),""))</f>
        <v/>
      </c>
    </row>
    <row r="61" spans="1:273" ht="14.25" customHeight="1" x14ac:dyDescent="0.15">
      <c r="A61" s="50" t="str">
        <f>IF($E61="","",IF($JL61=1,INDEX(工数管理!$A$3:$A$98,$E61)&amp;"",IF(INDEX(工数管理!$AK$3:$AK$98,$E61)="","未割当",INDEX(工数管理!$AK$3:$AK$98,$E61))))</f>
        <v/>
      </c>
      <c r="B61" s="51" t="str">
        <f>IF($E61="","",IF($JL61=1,"",INDEX(工数管理!$A$3:$A$98,$E61)&amp;""))</f>
        <v/>
      </c>
      <c r="C61" s="50" t="str">
        <f>IF($E61="","",IF($JL61=1,"",INDEX(工数管理!$B$3:$B$98,$E61)&amp;""))</f>
        <v/>
      </c>
      <c r="D61" s="50" t="str">
        <f>IF($E61="","",INDEX(工数管理!$H$3:$H$98,$E61)&amp;"")</f>
        <v/>
      </c>
      <c r="E61" t="str">
        <f>IFERROR(MATCH(SMALL(工数管理!$BP$3:$BP$98,ROW()-3),工数管理!$BP$3:$BP$98,0),"")</f>
        <v/>
      </c>
      <c r="F61" t="str">
        <f>IF($E61="","",IF(INDEX(工数管理!$K$3:$K$98,$E61)="","",INDEX(工数管理!$K$3:$K$98,$E61)))</f>
        <v/>
      </c>
      <c r="G61" t="str">
        <f>IF($E61="","",IF(INDEX(工数管理!$L$3:$L$98,$E61)="","",INDEX(工数管理!$L$3:$L$98,$E61)))</f>
        <v/>
      </c>
      <c r="H61" t="str">
        <f>IF($E61="","",IF(INDEX(工数管理!$M$3:$M$98,$E61)="","",INDEX(工数管理!$M$3:$M$98,$E61)))</f>
        <v/>
      </c>
      <c r="I61" t="str">
        <f>IF($E61="","",IF(INDEX(工数管理!$N$3:$N$98,$E61)="","",INDEX(工数管理!$N$3:$N$98,$E61)))</f>
        <v/>
      </c>
      <c r="J61" t="str">
        <f>IF($E61="","",IF(INDEX(工数管理!$O$3:$O$98,$E61)="","",INDEX(工数管理!$O$3:$O$98,$E61)))</f>
        <v/>
      </c>
      <c r="K61" t="str">
        <f>IF($E61="","",IF(INDEX(工数管理!$P$3:$P$98,$E61)="","",INDEX(工数管理!$P$3:$P$98,$E61)))</f>
        <v/>
      </c>
      <c r="L61" t="str">
        <f>IF($E61="","",IF(INDEX(工数管理!$Q$3:$Q$98,$E61)="","",INDEX(工数管理!$Q$3:$Q$98,$E61)))</f>
        <v/>
      </c>
      <c r="M61" t="str">
        <f>IF($E61="","",IF(INDEX(工数管理!$R$3:$R$98,$E61)="","",INDEX(工数管理!$R$3:$R$98,$E61)))</f>
        <v/>
      </c>
      <c r="N61" t="str">
        <f>IF($E61="","",IF(INDEX(工数管理!$S$3:$S$98,$E61)="","",INDEX(工数管理!$S$3:$S$98,$E61)))</f>
        <v/>
      </c>
      <c r="O61" t="str">
        <f>IF($E61="","",IF(INDEX(工数管理!$T$3:$T$98,$E61)="","",INDEX(工数管理!$T$3:$T$98,$E61)))</f>
        <v/>
      </c>
      <c r="P61" t="str">
        <f>IF($E61="","",IF(INDEX(工数管理!$U$3:$U$98,$E61)="","",INDEX(工数管理!$U$3:$U$98,$E61)))</f>
        <v/>
      </c>
      <c r="Q61" t="str">
        <f>IF($E61="","",IF(INDEX(工数管理!$V$3:$V$98,$E61)="","",INDEX(工数管理!$V$3:$V$98,$E61)))</f>
        <v/>
      </c>
      <c r="R61" t="str">
        <f>IF($E61="","",IF(INDEX(工数管理!$W$3:$W$98,$E61)="","",INDEX(工数管理!$W$3:$W$98,$E61)))</f>
        <v/>
      </c>
      <c r="S61" t="str">
        <f>IF($E61="","",IF(INDEX(工数管理!$X$3:$X$98,$E61)="","",INDEX(工数管理!$X$3:$X$98,$E61)))</f>
        <v/>
      </c>
      <c r="T61" t="str">
        <f>IF($E61="","",IF(INDEX(工数管理!$Y$3:$Y$98,$E61)="","",INDEX(工数管理!$Y$3:$Y$98,$E61)))</f>
        <v/>
      </c>
      <c r="U61" t="str">
        <f>IF($E61="","",IF(INDEX(工数管理!$Z$3:$Z$98,$E61)="","",INDEX(工数管理!$Z$3:$Z$98,$E61)))</f>
        <v/>
      </c>
      <c r="V61" t="str">
        <f>IF($E61="","",IF(INDEX(工数管理!$AA$3:$AA$98,$E61)="","",INDEX(工数管理!$AA$3:$AA$98,$E61)))</f>
        <v/>
      </c>
      <c r="W61" t="str">
        <f>IF($E61="","",IF(INDEX(工数管理!$AB$3:$AB$98,$E61)="","",INDEX(工数管理!$AB$3:$AB$98,$E61)))</f>
        <v/>
      </c>
      <c r="X61" t="str">
        <f>IF($E61="","",IF(INDEX(工数管理!$AC$3:$AC$98,$E61)="","",INDEX(工数管理!$AC$3:$AC$98,$E61)))</f>
        <v/>
      </c>
      <c r="Y61" t="str">
        <f>IF($E61="","",IF(INDEX(工数管理!$AD$3:$AD$98,$E61)="","",INDEX(工数管理!$AD$3:$AD$98,$E61)))</f>
        <v/>
      </c>
      <c r="Z61" t="str">
        <f>IF($E61="","",IF(INDEX(工数管理!$AE$3:$AE$98,$E61)="","",INDEX(工数管理!$AE$3:$AE$98,$E61)))</f>
        <v/>
      </c>
      <c r="AA61" t="str">
        <f>IF($E61="","",IF(INDEX(工数管理!$AF$3:$AF$98,$E61)="","",INDEX(工数管理!$AF$3:$AF$98,$E61)))</f>
        <v/>
      </c>
      <c r="AB61" t="str">
        <f>IF($E61="","",IF(INDEX(工数管理!$AG$3:$AG$98,$E61)="","",INDEX(工数管理!$AG$3:$AG$98,$E61)))</f>
        <v/>
      </c>
      <c r="AC61" t="str">
        <f>IF($E61="","",IF(INDEX(工数管理!$AH$3:$AH$98,$E61)="","",INDEX(工数管理!$AH$3:$AH$98,$E61)))</f>
        <v/>
      </c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2"/>
      <c r="DN61" s="52"/>
      <c r="DO61" s="52"/>
      <c r="DP61" s="52"/>
      <c r="DQ61" s="52"/>
      <c r="DR61" s="52"/>
      <c r="DS61" s="52"/>
      <c r="DT61" s="52"/>
      <c r="DU61" s="52"/>
      <c r="DV61" s="52"/>
      <c r="DW61" s="52"/>
      <c r="DX61" s="52"/>
      <c r="DY61" s="52"/>
      <c r="DZ61" s="52"/>
      <c r="EA61" s="52"/>
      <c r="EB61" s="52"/>
      <c r="EC61" s="52"/>
      <c r="ED61" s="52"/>
      <c r="EE61" s="52"/>
      <c r="EF61" s="52"/>
      <c r="EG61" s="52"/>
      <c r="EH61" s="52"/>
      <c r="EI61" s="52"/>
      <c r="EJ61" s="52"/>
      <c r="EK61" s="52"/>
      <c r="EL61" s="52"/>
      <c r="EM61" s="52"/>
      <c r="EN61" s="52"/>
      <c r="EO61" s="52"/>
      <c r="EP61" s="52"/>
      <c r="EQ61" s="52"/>
      <c r="ER61" s="52"/>
      <c r="ES61" s="52"/>
      <c r="ET61" s="52"/>
      <c r="EU61" s="52"/>
      <c r="EV61" s="52"/>
      <c r="EW61" s="52"/>
      <c r="EX61" s="52"/>
      <c r="EY61" s="52"/>
      <c r="EZ61" s="52"/>
      <c r="FA61" s="52"/>
      <c r="FB61" s="52"/>
      <c r="FC61" s="52"/>
      <c r="FD61" s="52"/>
      <c r="FE61" s="52"/>
      <c r="FF61" s="52"/>
      <c r="FG61" s="52"/>
      <c r="FH61" s="52"/>
      <c r="FI61" s="52"/>
      <c r="FJ61" s="52"/>
      <c r="FK61" s="52"/>
      <c r="FL61" s="52"/>
      <c r="FM61" s="52"/>
      <c r="FN61" s="52"/>
      <c r="FO61" s="52"/>
      <c r="FP61" s="52"/>
      <c r="FQ61" s="52"/>
      <c r="FR61" s="52"/>
      <c r="FS61" s="52"/>
      <c r="FT61" s="52"/>
      <c r="FU61" s="52"/>
      <c r="FV61" s="52"/>
      <c r="FW61" s="52"/>
      <c r="FX61" s="52"/>
      <c r="FY61" s="52"/>
      <c r="FZ61" s="52"/>
      <c r="GA61" s="52"/>
      <c r="GB61" s="52"/>
      <c r="GC61" s="52"/>
      <c r="GD61" s="52"/>
      <c r="GE61" s="52"/>
      <c r="GF61" s="52"/>
      <c r="GG61" s="52"/>
      <c r="GH61" s="52"/>
      <c r="GI61" s="52"/>
      <c r="GJ61" s="52"/>
      <c r="GK61" s="52"/>
      <c r="GL61" s="52"/>
      <c r="GM61" s="52"/>
      <c r="GN61" s="52"/>
      <c r="GO61" s="52"/>
      <c r="GP61" s="52"/>
      <c r="GQ61" s="52"/>
      <c r="GR61" s="52"/>
      <c r="GS61" s="52"/>
      <c r="GT61" s="52"/>
      <c r="GU61" s="52"/>
      <c r="GV61" s="52"/>
      <c r="GW61" s="52"/>
      <c r="GX61" s="52"/>
      <c r="GY61" s="52"/>
      <c r="GZ61" s="52"/>
      <c r="HA61" s="52"/>
      <c r="HB61" s="52"/>
      <c r="HC61" s="52"/>
      <c r="HD61" s="52"/>
      <c r="HE61" s="52"/>
      <c r="HF61" s="52"/>
      <c r="HG61" s="52"/>
      <c r="HH61" s="52"/>
      <c r="HI61" s="52"/>
      <c r="HJ61" s="52"/>
      <c r="HK61" s="52"/>
      <c r="HL61" s="52"/>
      <c r="HM61" s="52"/>
      <c r="HN61" s="52"/>
      <c r="HO61" s="52"/>
      <c r="HP61" s="52"/>
      <c r="HQ61" s="52"/>
      <c r="HR61" s="52"/>
      <c r="HS61" s="52"/>
      <c r="HT61" s="52"/>
      <c r="HU61" s="52"/>
      <c r="HV61" s="52"/>
      <c r="HW61" s="52"/>
      <c r="HX61" s="52"/>
      <c r="HY61" s="52"/>
      <c r="HZ61" s="52"/>
      <c r="IA61" s="52"/>
      <c r="IB61" s="52"/>
      <c r="IC61" s="52"/>
      <c r="ID61" s="52"/>
      <c r="IE61" s="52"/>
      <c r="IF61" s="52"/>
      <c r="IG61" s="52"/>
      <c r="IH61" s="52"/>
      <c r="II61" s="52"/>
      <c r="IJ61" s="52"/>
      <c r="IK61" s="52"/>
      <c r="IL61" s="52"/>
      <c r="IM61" s="52"/>
      <c r="IN61" s="52"/>
      <c r="IO61" s="52"/>
      <c r="IP61" s="52"/>
      <c r="IQ61" s="52"/>
      <c r="IR61" s="52"/>
      <c r="IS61" s="52"/>
      <c r="IT61" s="52"/>
      <c r="IU61" s="52"/>
      <c r="IV61" s="52"/>
      <c r="IW61" s="52"/>
      <c r="IX61" s="52"/>
      <c r="IY61" s="52"/>
      <c r="IZ61" s="52"/>
      <c r="JA61" s="52"/>
      <c r="JB61" s="52"/>
      <c r="JC61" s="52"/>
      <c r="JD61" s="52"/>
      <c r="JE61" s="52"/>
      <c r="JF61" s="52"/>
      <c r="JG61" s="52"/>
      <c r="JH61" s="52"/>
      <c r="JI61" s="52"/>
      <c r="JL61" t="str">
        <f>IF($E61="","",IF(INDEX(工数管理!$AJ$3:$AJ$98,$E61)&lt;&gt;"",1,0))</f>
        <v/>
      </c>
      <c r="JM61" t="str">
        <f>IF($E61="","",IFERROR(MATCH($A61,祝日!$J$1:$L$1,0),""))</f>
        <v/>
      </c>
    </row>
    <row r="62" spans="1:273" ht="14.25" customHeight="1" x14ac:dyDescent="0.15">
      <c r="A62" s="50" t="str">
        <f>IF($E62="","",IF($JL62=1,INDEX(工数管理!$A$3:$A$98,$E62)&amp;"",IF(INDEX(工数管理!$AK$3:$AK$98,$E62)="","未割当",INDEX(工数管理!$AK$3:$AK$98,$E62))))</f>
        <v/>
      </c>
      <c r="B62" s="51" t="str">
        <f>IF($E62="","",IF($JL62=1,"",INDEX(工数管理!$A$3:$A$98,$E62)&amp;""))</f>
        <v/>
      </c>
      <c r="C62" s="50" t="str">
        <f>IF($E62="","",IF($JL62=1,"",INDEX(工数管理!$B$3:$B$98,$E62)&amp;""))</f>
        <v/>
      </c>
      <c r="D62" s="50" t="str">
        <f>IF($E62="","",INDEX(工数管理!$H$3:$H$98,$E62)&amp;"")</f>
        <v/>
      </c>
      <c r="E62" t="str">
        <f>IFERROR(MATCH(SMALL(工数管理!$BP$3:$BP$98,ROW()-3),工数管理!$BP$3:$BP$98,0),"")</f>
        <v/>
      </c>
      <c r="F62" t="str">
        <f>IF($E62="","",IF(INDEX(工数管理!$K$3:$K$98,$E62)="","",INDEX(工数管理!$K$3:$K$98,$E62)))</f>
        <v/>
      </c>
      <c r="G62" t="str">
        <f>IF($E62="","",IF(INDEX(工数管理!$L$3:$L$98,$E62)="","",INDEX(工数管理!$L$3:$L$98,$E62)))</f>
        <v/>
      </c>
      <c r="H62" t="str">
        <f>IF($E62="","",IF(INDEX(工数管理!$M$3:$M$98,$E62)="","",INDEX(工数管理!$M$3:$M$98,$E62)))</f>
        <v/>
      </c>
      <c r="I62" t="str">
        <f>IF($E62="","",IF(INDEX(工数管理!$N$3:$N$98,$E62)="","",INDEX(工数管理!$N$3:$N$98,$E62)))</f>
        <v/>
      </c>
      <c r="J62" t="str">
        <f>IF($E62="","",IF(INDEX(工数管理!$O$3:$O$98,$E62)="","",INDEX(工数管理!$O$3:$O$98,$E62)))</f>
        <v/>
      </c>
      <c r="K62" t="str">
        <f>IF($E62="","",IF(INDEX(工数管理!$P$3:$P$98,$E62)="","",INDEX(工数管理!$P$3:$P$98,$E62)))</f>
        <v/>
      </c>
      <c r="L62" t="str">
        <f>IF($E62="","",IF(INDEX(工数管理!$Q$3:$Q$98,$E62)="","",INDEX(工数管理!$Q$3:$Q$98,$E62)))</f>
        <v/>
      </c>
      <c r="M62" t="str">
        <f>IF($E62="","",IF(INDEX(工数管理!$R$3:$R$98,$E62)="","",INDEX(工数管理!$R$3:$R$98,$E62)))</f>
        <v/>
      </c>
      <c r="N62" t="str">
        <f>IF($E62="","",IF(INDEX(工数管理!$S$3:$S$98,$E62)="","",INDEX(工数管理!$S$3:$S$98,$E62)))</f>
        <v/>
      </c>
      <c r="O62" t="str">
        <f>IF($E62="","",IF(INDEX(工数管理!$T$3:$T$98,$E62)="","",INDEX(工数管理!$T$3:$T$98,$E62)))</f>
        <v/>
      </c>
      <c r="P62" t="str">
        <f>IF($E62="","",IF(INDEX(工数管理!$U$3:$U$98,$E62)="","",INDEX(工数管理!$U$3:$U$98,$E62)))</f>
        <v/>
      </c>
      <c r="Q62" t="str">
        <f>IF($E62="","",IF(INDEX(工数管理!$V$3:$V$98,$E62)="","",INDEX(工数管理!$V$3:$V$98,$E62)))</f>
        <v/>
      </c>
      <c r="R62" t="str">
        <f>IF($E62="","",IF(INDEX(工数管理!$W$3:$W$98,$E62)="","",INDEX(工数管理!$W$3:$W$98,$E62)))</f>
        <v/>
      </c>
      <c r="S62" t="str">
        <f>IF($E62="","",IF(INDEX(工数管理!$X$3:$X$98,$E62)="","",INDEX(工数管理!$X$3:$X$98,$E62)))</f>
        <v/>
      </c>
      <c r="T62" t="str">
        <f>IF($E62="","",IF(INDEX(工数管理!$Y$3:$Y$98,$E62)="","",INDEX(工数管理!$Y$3:$Y$98,$E62)))</f>
        <v/>
      </c>
      <c r="U62" t="str">
        <f>IF($E62="","",IF(INDEX(工数管理!$Z$3:$Z$98,$E62)="","",INDEX(工数管理!$Z$3:$Z$98,$E62)))</f>
        <v/>
      </c>
      <c r="V62" t="str">
        <f>IF($E62="","",IF(INDEX(工数管理!$AA$3:$AA$98,$E62)="","",INDEX(工数管理!$AA$3:$AA$98,$E62)))</f>
        <v/>
      </c>
      <c r="W62" t="str">
        <f>IF($E62="","",IF(INDEX(工数管理!$AB$3:$AB$98,$E62)="","",INDEX(工数管理!$AB$3:$AB$98,$E62)))</f>
        <v/>
      </c>
      <c r="X62" t="str">
        <f>IF($E62="","",IF(INDEX(工数管理!$AC$3:$AC$98,$E62)="","",INDEX(工数管理!$AC$3:$AC$98,$E62)))</f>
        <v/>
      </c>
      <c r="Y62" t="str">
        <f>IF($E62="","",IF(INDEX(工数管理!$AD$3:$AD$98,$E62)="","",INDEX(工数管理!$AD$3:$AD$98,$E62)))</f>
        <v/>
      </c>
      <c r="Z62" t="str">
        <f>IF($E62="","",IF(INDEX(工数管理!$AE$3:$AE$98,$E62)="","",INDEX(工数管理!$AE$3:$AE$98,$E62)))</f>
        <v/>
      </c>
      <c r="AA62" t="str">
        <f>IF($E62="","",IF(INDEX(工数管理!$AF$3:$AF$98,$E62)="","",INDEX(工数管理!$AF$3:$AF$98,$E62)))</f>
        <v/>
      </c>
      <c r="AB62" t="str">
        <f>IF($E62="","",IF(INDEX(工数管理!$AG$3:$AG$98,$E62)="","",INDEX(工数管理!$AG$3:$AG$98,$E62)))</f>
        <v/>
      </c>
      <c r="AC62" t="str">
        <f>IF($E62="","",IF(INDEX(工数管理!$AH$3:$AH$98,$E62)="","",INDEX(工数管理!$AH$3:$AH$98,$E62)))</f>
        <v/>
      </c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2"/>
      <c r="DN62" s="52"/>
      <c r="DO62" s="52"/>
      <c r="DP62" s="52"/>
      <c r="DQ62" s="52"/>
      <c r="DR62" s="52"/>
      <c r="DS62" s="52"/>
      <c r="DT62" s="52"/>
      <c r="DU62" s="52"/>
      <c r="DV62" s="52"/>
      <c r="DW62" s="52"/>
      <c r="DX62" s="52"/>
      <c r="DY62" s="52"/>
      <c r="DZ62" s="52"/>
      <c r="EA62" s="52"/>
      <c r="EB62" s="52"/>
      <c r="EC62" s="52"/>
      <c r="ED62" s="52"/>
      <c r="EE62" s="52"/>
      <c r="EF62" s="52"/>
      <c r="EG62" s="52"/>
      <c r="EH62" s="52"/>
      <c r="EI62" s="52"/>
      <c r="EJ62" s="52"/>
      <c r="EK62" s="52"/>
      <c r="EL62" s="52"/>
      <c r="EM62" s="52"/>
      <c r="EN62" s="52"/>
      <c r="EO62" s="52"/>
      <c r="EP62" s="52"/>
      <c r="EQ62" s="52"/>
      <c r="ER62" s="52"/>
      <c r="ES62" s="52"/>
      <c r="ET62" s="52"/>
      <c r="EU62" s="52"/>
      <c r="EV62" s="52"/>
      <c r="EW62" s="52"/>
      <c r="EX62" s="52"/>
      <c r="EY62" s="52"/>
      <c r="EZ62" s="52"/>
      <c r="FA62" s="52"/>
      <c r="FB62" s="52"/>
      <c r="FC62" s="52"/>
      <c r="FD62" s="52"/>
      <c r="FE62" s="52"/>
      <c r="FF62" s="52"/>
      <c r="FG62" s="52"/>
      <c r="FH62" s="52"/>
      <c r="FI62" s="52"/>
      <c r="FJ62" s="52"/>
      <c r="FK62" s="52"/>
      <c r="FL62" s="52"/>
      <c r="FM62" s="52"/>
      <c r="FN62" s="52"/>
      <c r="FO62" s="52"/>
      <c r="FP62" s="52"/>
      <c r="FQ62" s="52"/>
      <c r="FR62" s="52"/>
      <c r="FS62" s="52"/>
      <c r="FT62" s="52"/>
      <c r="FU62" s="52"/>
      <c r="FV62" s="52"/>
      <c r="FW62" s="52"/>
      <c r="FX62" s="52"/>
      <c r="FY62" s="52"/>
      <c r="FZ62" s="52"/>
      <c r="GA62" s="52"/>
      <c r="GB62" s="52"/>
      <c r="GC62" s="52"/>
      <c r="GD62" s="52"/>
      <c r="GE62" s="52"/>
      <c r="GF62" s="52"/>
      <c r="GG62" s="52"/>
      <c r="GH62" s="52"/>
      <c r="GI62" s="52"/>
      <c r="GJ62" s="52"/>
      <c r="GK62" s="52"/>
      <c r="GL62" s="52"/>
      <c r="GM62" s="52"/>
      <c r="GN62" s="52"/>
      <c r="GO62" s="52"/>
      <c r="GP62" s="52"/>
      <c r="GQ62" s="52"/>
      <c r="GR62" s="52"/>
      <c r="GS62" s="52"/>
      <c r="GT62" s="52"/>
      <c r="GU62" s="52"/>
      <c r="GV62" s="52"/>
      <c r="GW62" s="52"/>
      <c r="GX62" s="52"/>
      <c r="GY62" s="52"/>
      <c r="GZ62" s="52"/>
      <c r="HA62" s="52"/>
      <c r="HB62" s="52"/>
      <c r="HC62" s="52"/>
      <c r="HD62" s="52"/>
      <c r="HE62" s="52"/>
      <c r="HF62" s="52"/>
      <c r="HG62" s="52"/>
      <c r="HH62" s="52"/>
      <c r="HI62" s="52"/>
      <c r="HJ62" s="52"/>
      <c r="HK62" s="52"/>
      <c r="HL62" s="52"/>
      <c r="HM62" s="52"/>
      <c r="HN62" s="52"/>
      <c r="HO62" s="52"/>
      <c r="HP62" s="52"/>
      <c r="HQ62" s="52"/>
      <c r="HR62" s="52"/>
      <c r="HS62" s="52"/>
      <c r="HT62" s="52"/>
      <c r="HU62" s="52"/>
      <c r="HV62" s="52"/>
      <c r="HW62" s="52"/>
      <c r="HX62" s="52"/>
      <c r="HY62" s="52"/>
      <c r="HZ62" s="52"/>
      <c r="IA62" s="52"/>
      <c r="IB62" s="52"/>
      <c r="IC62" s="52"/>
      <c r="ID62" s="52"/>
      <c r="IE62" s="52"/>
      <c r="IF62" s="52"/>
      <c r="IG62" s="52"/>
      <c r="IH62" s="52"/>
      <c r="II62" s="52"/>
      <c r="IJ62" s="52"/>
      <c r="IK62" s="52"/>
      <c r="IL62" s="52"/>
      <c r="IM62" s="52"/>
      <c r="IN62" s="52"/>
      <c r="IO62" s="52"/>
      <c r="IP62" s="52"/>
      <c r="IQ62" s="52"/>
      <c r="IR62" s="52"/>
      <c r="IS62" s="52"/>
      <c r="IT62" s="52"/>
      <c r="IU62" s="52"/>
      <c r="IV62" s="52"/>
      <c r="IW62" s="52"/>
      <c r="IX62" s="52"/>
      <c r="IY62" s="52"/>
      <c r="IZ62" s="52"/>
      <c r="JA62" s="52"/>
      <c r="JB62" s="52"/>
      <c r="JC62" s="52"/>
      <c r="JD62" s="52"/>
      <c r="JE62" s="52"/>
      <c r="JF62" s="52"/>
      <c r="JG62" s="52"/>
      <c r="JH62" s="52"/>
      <c r="JI62" s="52"/>
      <c r="JL62" t="str">
        <f>IF($E62="","",IF(INDEX(工数管理!$AJ$3:$AJ$98,$E62)&lt;&gt;"",1,0))</f>
        <v/>
      </c>
      <c r="JM62" t="str">
        <f>IF($E62="","",IFERROR(MATCH($A62,祝日!$J$1:$L$1,0),""))</f>
        <v/>
      </c>
    </row>
    <row r="63" spans="1:273" ht="14.25" customHeight="1" x14ac:dyDescent="0.15">
      <c r="A63" s="50" t="str">
        <f>IF($E63="","",IF($JL63=1,INDEX(工数管理!$A$3:$A$98,$E63)&amp;"",IF(INDEX(工数管理!$AK$3:$AK$98,$E63)="","未割当",INDEX(工数管理!$AK$3:$AK$98,$E63))))</f>
        <v/>
      </c>
      <c r="B63" s="51" t="str">
        <f>IF($E63="","",IF($JL63=1,"",INDEX(工数管理!$A$3:$A$98,$E63)&amp;""))</f>
        <v/>
      </c>
      <c r="C63" s="50" t="str">
        <f>IF($E63="","",IF($JL63=1,"",INDEX(工数管理!$B$3:$B$98,$E63)&amp;""))</f>
        <v/>
      </c>
      <c r="D63" s="50" t="str">
        <f>IF($E63="","",INDEX(工数管理!$H$3:$H$98,$E63)&amp;"")</f>
        <v/>
      </c>
      <c r="E63" t="str">
        <f>IFERROR(MATCH(SMALL(工数管理!$BP$3:$BP$98,ROW()-3),工数管理!$BP$3:$BP$98,0),"")</f>
        <v/>
      </c>
      <c r="F63" t="str">
        <f>IF($E63="","",IF(INDEX(工数管理!$K$3:$K$98,$E63)="","",INDEX(工数管理!$K$3:$K$98,$E63)))</f>
        <v/>
      </c>
      <c r="G63" t="str">
        <f>IF($E63="","",IF(INDEX(工数管理!$L$3:$L$98,$E63)="","",INDEX(工数管理!$L$3:$L$98,$E63)))</f>
        <v/>
      </c>
      <c r="H63" t="str">
        <f>IF($E63="","",IF(INDEX(工数管理!$M$3:$M$98,$E63)="","",INDEX(工数管理!$M$3:$M$98,$E63)))</f>
        <v/>
      </c>
      <c r="I63" t="str">
        <f>IF($E63="","",IF(INDEX(工数管理!$N$3:$N$98,$E63)="","",INDEX(工数管理!$N$3:$N$98,$E63)))</f>
        <v/>
      </c>
      <c r="J63" t="str">
        <f>IF($E63="","",IF(INDEX(工数管理!$O$3:$O$98,$E63)="","",INDEX(工数管理!$O$3:$O$98,$E63)))</f>
        <v/>
      </c>
      <c r="K63" t="str">
        <f>IF($E63="","",IF(INDEX(工数管理!$P$3:$P$98,$E63)="","",INDEX(工数管理!$P$3:$P$98,$E63)))</f>
        <v/>
      </c>
      <c r="L63" t="str">
        <f>IF($E63="","",IF(INDEX(工数管理!$Q$3:$Q$98,$E63)="","",INDEX(工数管理!$Q$3:$Q$98,$E63)))</f>
        <v/>
      </c>
      <c r="M63" t="str">
        <f>IF($E63="","",IF(INDEX(工数管理!$R$3:$R$98,$E63)="","",INDEX(工数管理!$R$3:$R$98,$E63)))</f>
        <v/>
      </c>
      <c r="N63" t="str">
        <f>IF($E63="","",IF(INDEX(工数管理!$S$3:$S$98,$E63)="","",INDEX(工数管理!$S$3:$S$98,$E63)))</f>
        <v/>
      </c>
      <c r="O63" t="str">
        <f>IF($E63="","",IF(INDEX(工数管理!$T$3:$T$98,$E63)="","",INDEX(工数管理!$T$3:$T$98,$E63)))</f>
        <v/>
      </c>
      <c r="P63" t="str">
        <f>IF($E63="","",IF(INDEX(工数管理!$U$3:$U$98,$E63)="","",INDEX(工数管理!$U$3:$U$98,$E63)))</f>
        <v/>
      </c>
      <c r="Q63" t="str">
        <f>IF($E63="","",IF(INDEX(工数管理!$V$3:$V$98,$E63)="","",INDEX(工数管理!$V$3:$V$98,$E63)))</f>
        <v/>
      </c>
      <c r="R63" t="str">
        <f>IF($E63="","",IF(INDEX(工数管理!$W$3:$W$98,$E63)="","",INDEX(工数管理!$W$3:$W$98,$E63)))</f>
        <v/>
      </c>
      <c r="S63" t="str">
        <f>IF($E63="","",IF(INDEX(工数管理!$X$3:$X$98,$E63)="","",INDEX(工数管理!$X$3:$X$98,$E63)))</f>
        <v/>
      </c>
      <c r="T63" t="str">
        <f>IF($E63="","",IF(INDEX(工数管理!$Y$3:$Y$98,$E63)="","",INDEX(工数管理!$Y$3:$Y$98,$E63)))</f>
        <v/>
      </c>
      <c r="U63" t="str">
        <f>IF($E63="","",IF(INDEX(工数管理!$Z$3:$Z$98,$E63)="","",INDEX(工数管理!$Z$3:$Z$98,$E63)))</f>
        <v/>
      </c>
      <c r="V63" t="str">
        <f>IF($E63="","",IF(INDEX(工数管理!$AA$3:$AA$98,$E63)="","",INDEX(工数管理!$AA$3:$AA$98,$E63)))</f>
        <v/>
      </c>
      <c r="W63" t="str">
        <f>IF($E63="","",IF(INDEX(工数管理!$AB$3:$AB$98,$E63)="","",INDEX(工数管理!$AB$3:$AB$98,$E63)))</f>
        <v/>
      </c>
      <c r="X63" t="str">
        <f>IF($E63="","",IF(INDEX(工数管理!$AC$3:$AC$98,$E63)="","",INDEX(工数管理!$AC$3:$AC$98,$E63)))</f>
        <v/>
      </c>
      <c r="Y63" t="str">
        <f>IF($E63="","",IF(INDEX(工数管理!$AD$3:$AD$98,$E63)="","",INDEX(工数管理!$AD$3:$AD$98,$E63)))</f>
        <v/>
      </c>
      <c r="Z63" t="str">
        <f>IF($E63="","",IF(INDEX(工数管理!$AE$3:$AE$98,$E63)="","",INDEX(工数管理!$AE$3:$AE$98,$E63)))</f>
        <v/>
      </c>
      <c r="AA63" t="str">
        <f>IF($E63="","",IF(INDEX(工数管理!$AF$3:$AF$98,$E63)="","",INDEX(工数管理!$AF$3:$AF$98,$E63)))</f>
        <v/>
      </c>
      <c r="AB63" t="str">
        <f>IF($E63="","",IF(INDEX(工数管理!$AG$3:$AG$98,$E63)="","",INDEX(工数管理!$AG$3:$AG$98,$E63)))</f>
        <v/>
      </c>
      <c r="AC63" t="str">
        <f>IF($E63="","",IF(INDEX(工数管理!$AH$3:$AH$98,$E63)="","",INDEX(工数管理!$AH$3:$AH$98,$E63)))</f>
        <v/>
      </c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  <c r="FB63" s="52"/>
      <c r="FC63" s="52"/>
      <c r="FD63" s="52"/>
      <c r="FE63" s="52"/>
      <c r="FF63" s="52"/>
      <c r="FG63" s="52"/>
      <c r="FH63" s="52"/>
      <c r="FI63" s="52"/>
      <c r="FJ63" s="52"/>
      <c r="FK63" s="52"/>
      <c r="FL63" s="52"/>
      <c r="FM63" s="52"/>
      <c r="FN63" s="52"/>
      <c r="FO63" s="52"/>
      <c r="FP63" s="52"/>
      <c r="FQ63" s="52"/>
      <c r="FR63" s="52"/>
      <c r="FS63" s="52"/>
      <c r="FT63" s="52"/>
      <c r="FU63" s="52"/>
      <c r="FV63" s="52"/>
      <c r="FW63" s="52"/>
      <c r="FX63" s="52"/>
      <c r="FY63" s="52"/>
      <c r="FZ63" s="52"/>
      <c r="GA63" s="52"/>
      <c r="GB63" s="52"/>
      <c r="GC63" s="52"/>
      <c r="GD63" s="52"/>
      <c r="GE63" s="52"/>
      <c r="GF63" s="52"/>
      <c r="GG63" s="52"/>
      <c r="GH63" s="52"/>
      <c r="GI63" s="52"/>
      <c r="GJ63" s="52"/>
      <c r="GK63" s="52"/>
      <c r="GL63" s="52"/>
      <c r="GM63" s="52"/>
      <c r="GN63" s="52"/>
      <c r="GO63" s="52"/>
      <c r="GP63" s="52"/>
      <c r="GQ63" s="52"/>
      <c r="GR63" s="52"/>
      <c r="GS63" s="52"/>
      <c r="GT63" s="52"/>
      <c r="GU63" s="52"/>
      <c r="GV63" s="52"/>
      <c r="GW63" s="52"/>
      <c r="GX63" s="52"/>
      <c r="GY63" s="52"/>
      <c r="GZ63" s="52"/>
      <c r="HA63" s="52"/>
      <c r="HB63" s="52"/>
      <c r="HC63" s="52"/>
      <c r="HD63" s="52"/>
      <c r="HE63" s="52"/>
      <c r="HF63" s="52"/>
      <c r="HG63" s="52"/>
      <c r="HH63" s="52"/>
      <c r="HI63" s="52"/>
      <c r="HJ63" s="52"/>
      <c r="HK63" s="52"/>
      <c r="HL63" s="52"/>
      <c r="HM63" s="52"/>
      <c r="HN63" s="52"/>
      <c r="HO63" s="52"/>
      <c r="HP63" s="52"/>
      <c r="HQ63" s="52"/>
      <c r="HR63" s="52"/>
      <c r="HS63" s="52"/>
      <c r="HT63" s="52"/>
      <c r="HU63" s="52"/>
      <c r="HV63" s="52"/>
      <c r="HW63" s="52"/>
      <c r="HX63" s="52"/>
      <c r="HY63" s="52"/>
      <c r="HZ63" s="52"/>
      <c r="IA63" s="52"/>
      <c r="IB63" s="52"/>
      <c r="IC63" s="52"/>
      <c r="ID63" s="52"/>
      <c r="IE63" s="52"/>
      <c r="IF63" s="52"/>
      <c r="IG63" s="52"/>
      <c r="IH63" s="52"/>
      <c r="II63" s="52"/>
      <c r="IJ63" s="52"/>
      <c r="IK63" s="52"/>
      <c r="IL63" s="52"/>
      <c r="IM63" s="52"/>
      <c r="IN63" s="52"/>
      <c r="IO63" s="52"/>
      <c r="IP63" s="52"/>
      <c r="IQ63" s="52"/>
      <c r="IR63" s="52"/>
      <c r="IS63" s="52"/>
      <c r="IT63" s="52"/>
      <c r="IU63" s="52"/>
      <c r="IV63" s="52"/>
      <c r="IW63" s="52"/>
      <c r="IX63" s="52"/>
      <c r="IY63" s="52"/>
      <c r="IZ63" s="52"/>
      <c r="JA63" s="52"/>
      <c r="JB63" s="52"/>
      <c r="JC63" s="52"/>
      <c r="JD63" s="52"/>
      <c r="JE63" s="52"/>
      <c r="JF63" s="52"/>
      <c r="JG63" s="52"/>
      <c r="JH63" s="52"/>
      <c r="JI63" s="52"/>
      <c r="JL63" t="str">
        <f>IF($E63="","",IF(INDEX(工数管理!$AJ$3:$AJ$98,$E63)&lt;&gt;"",1,0))</f>
        <v/>
      </c>
      <c r="JM63" t="str">
        <f>IF($E63="","",IFERROR(MATCH($A63,祝日!$J$1:$L$1,0),""))</f>
        <v/>
      </c>
    </row>
    <row r="64" spans="1:273" ht="14.25" customHeight="1" x14ac:dyDescent="0.15">
      <c r="A64" s="50" t="str">
        <f>IF($E64="","",IF($JL64=1,INDEX(工数管理!$A$3:$A$98,$E64)&amp;"",IF(INDEX(工数管理!$AK$3:$AK$98,$E64)="","未割当",INDEX(工数管理!$AK$3:$AK$98,$E64))))</f>
        <v/>
      </c>
      <c r="B64" s="51" t="str">
        <f>IF($E64="","",IF($JL64=1,"",INDEX(工数管理!$A$3:$A$98,$E64)&amp;""))</f>
        <v/>
      </c>
      <c r="C64" s="50" t="str">
        <f>IF($E64="","",IF($JL64=1,"",INDEX(工数管理!$B$3:$B$98,$E64)&amp;""))</f>
        <v/>
      </c>
      <c r="D64" s="50" t="str">
        <f>IF($E64="","",INDEX(工数管理!$H$3:$H$98,$E64)&amp;"")</f>
        <v/>
      </c>
      <c r="E64" t="str">
        <f>IFERROR(MATCH(SMALL(工数管理!$BP$3:$BP$98,ROW()-3),工数管理!$BP$3:$BP$98,0),"")</f>
        <v/>
      </c>
      <c r="F64" t="str">
        <f>IF($E64="","",IF(INDEX(工数管理!$K$3:$K$98,$E64)="","",INDEX(工数管理!$K$3:$K$98,$E64)))</f>
        <v/>
      </c>
      <c r="G64" t="str">
        <f>IF($E64="","",IF(INDEX(工数管理!$L$3:$L$98,$E64)="","",INDEX(工数管理!$L$3:$L$98,$E64)))</f>
        <v/>
      </c>
      <c r="H64" t="str">
        <f>IF($E64="","",IF(INDEX(工数管理!$M$3:$M$98,$E64)="","",INDEX(工数管理!$M$3:$M$98,$E64)))</f>
        <v/>
      </c>
      <c r="I64" t="str">
        <f>IF($E64="","",IF(INDEX(工数管理!$N$3:$N$98,$E64)="","",INDEX(工数管理!$N$3:$N$98,$E64)))</f>
        <v/>
      </c>
      <c r="J64" t="str">
        <f>IF($E64="","",IF(INDEX(工数管理!$O$3:$O$98,$E64)="","",INDEX(工数管理!$O$3:$O$98,$E64)))</f>
        <v/>
      </c>
      <c r="K64" t="str">
        <f>IF($E64="","",IF(INDEX(工数管理!$P$3:$P$98,$E64)="","",INDEX(工数管理!$P$3:$P$98,$E64)))</f>
        <v/>
      </c>
      <c r="L64" t="str">
        <f>IF($E64="","",IF(INDEX(工数管理!$Q$3:$Q$98,$E64)="","",INDEX(工数管理!$Q$3:$Q$98,$E64)))</f>
        <v/>
      </c>
      <c r="M64" t="str">
        <f>IF($E64="","",IF(INDEX(工数管理!$R$3:$R$98,$E64)="","",INDEX(工数管理!$R$3:$R$98,$E64)))</f>
        <v/>
      </c>
      <c r="N64" t="str">
        <f>IF($E64="","",IF(INDEX(工数管理!$S$3:$S$98,$E64)="","",INDEX(工数管理!$S$3:$S$98,$E64)))</f>
        <v/>
      </c>
      <c r="O64" t="str">
        <f>IF($E64="","",IF(INDEX(工数管理!$T$3:$T$98,$E64)="","",INDEX(工数管理!$T$3:$T$98,$E64)))</f>
        <v/>
      </c>
      <c r="P64" t="str">
        <f>IF($E64="","",IF(INDEX(工数管理!$U$3:$U$98,$E64)="","",INDEX(工数管理!$U$3:$U$98,$E64)))</f>
        <v/>
      </c>
      <c r="Q64" t="str">
        <f>IF($E64="","",IF(INDEX(工数管理!$V$3:$V$98,$E64)="","",INDEX(工数管理!$V$3:$V$98,$E64)))</f>
        <v/>
      </c>
      <c r="R64" t="str">
        <f>IF($E64="","",IF(INDEX(工数管理!$W$3:$W$98,$E64)="","",INDEX(工数管理!$W$3:$W$98,$E64)))</f>
        <v/>
      </c>
      <c r="S64" t="str">
        <f>IF($E64="","",IF(INDEX(工数管理!$X$3:$X$98,$E64)="","",INDEX(工数管理!$X$3:$X$98,$E64)))</f>
        <v/>
      </c>
      <c r="T64" t="str">
        <f>IF($E64="","",IF(INDEX(工数管理!$Y$3:$Y$98,$E64)="","",INDEX(工数管理!$Y$3:$Y$98,$E64)))</f>
        <v/>
      </c>
      <c r="U64" t="str">
        <f>IF($E64="","",IF(INDEX(工数管理!$Z$3:$Z$98,$E64)="","",INDEX(工数管理!$Z$3:$Z$98,$E64)))</f>
        <v/>
      </c>
      <c r="V64" t="str">
        <f>IF($E64="","",IF(INDEX(工数管理!$AA$3:$AA$98,$E64)="","",INDEX(工数管理!$AA$3:$AA$98,$E64)))</f>
        <v/>
      </c>
      <c r="W64" t="str">
        <f>IF($E64="","",IF(INDEX(工数管理!$AB$3:$AB$98,$E64)="","",INDEX(工数管理!$AB$3:$AB$98,$E64)))</f>
        <v/>
      </c>
      <c r="X64" t="str">
        <f>IF($E64="","",IF(INDEX(工数管理!$AC$3:$AC$98,$E64)="","",INDEX(工数管理!$AC$3:$AC$98,$E64)))</f>
        <v/>
      </c>
      <c r="Y64" t="str">
        <f>IF($E64="","",IF(INDEX(工数管理!$AD$3:$AD$98,$E64)="","",INDEX(工数管理!$AD$3:$AD$98,$E64)))</f>
        <v/>
      </c>
      <c r="Z64" t="str">
        <f>IF($E64="","",IF(INDEX(工数管理!$AE$3:$AE$98,$E64)="","",INDEX(工数管理!$AE$3:$AE$98,$E64)))</f>
        <v/>
      </c>
      <c r="AA64" t="str">
        <f>IF($E64="","",IF(INDEX(工数管理!$AF$3:$AF$98,$E64)="","",INDEX(工数管理!$AF$3:$AF$98,$E64)))</f>
        <v/>
      </c>
      <c r="AB64" t="str">
        <f>IF($E64="","",IF(INDEX(工数管理!$AG$3:$AG$98,$E64)="","",INDEX(工数管理!$AG$3:$AG$98,$E64)))</f>
        <v/>
      </c>
      <c r="AC64" t="str">
        <f>IF($E64="","",IF(INDEX(工数管理!$AH$3:$AH$98,$E64)="","",INDEX(工数管理!$AH$3:$AH$98,$E64)))</f>
        <v/>
      </c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  <c r="FB64" s="52"/>
      <c r="FC64" s="52"/>
      <c r="FD64" s="52"/>
      <c r="FE64" s="52"/>
      <c r="FF64" s="52"/>
      <c r="FG64" s="52"/>
      <c r="FH64" s="52"/>
      <c r="FI64" s="52"/>
      <c r="FJ64" s="52"/>
      <c r="FK64" s="52"/>
      <c r="FL64" s="52"/>
      <c r="FM64" s="52"/>
      <c r="FN64" s="52"/>
      <c r="FO64" s="52"/>
      <c r="FP64" s="52"/>
      <c r="FQ64" s="52"/>
      <c r="FR64" s="52"/>
      <c r="FS64" s="52"/>
      <c r="FT64" s="52"/>
      <c r="FU64" s="52"/>
      <c r="FV64" s="52"/>
      <c r="FW64" s="52"/>
      <c r="FX64" s="52"/>
      <c r="FY64" s="52"/>
      <c r="FZ64" s="52"/>
      <c r="GA64" s="52"/>
      <c r="GB64" s="52"/>
      <c r="GC64" s="52"/>
      <c r="GD64" s="52"/>
      <c r="GE64" s="52"/>
      <c r="GF64" s="52"/>
      <c r="GG64" s="52"/>
      <c r="GH64" s="52"/>
      <c r="GI64" s="52"/>
      <c r="GJ64" s="52"/>
      <c r="GK64" s="52"/>
      <c r="GL64" s="52"/>
      <c r="GM64" s="52"/>
      <c r="GN64" s="52"/>
      <c r="GO64" s="52"/>
      <c r="GP64" s="52"/>
      <c r="GQ64" s="52"/>
      <c r="GR64" s="52"/>
      <c r="GS64" s="52"/>
      <c r="GT64" s="52"/>
      <c r="GU64" s="52"/>
      <c r="GV64" s="52"/>
      <c r="GW64" s="52"/>
      <c r="GX64" s="52"/>
      <c r="GY64" s="52"/>
      <c r="GZ64" s="52"/>
      <c r="HA64" s="52"/>
      <c r="HB64" s="52"/>
      <c r="HC64" s="52"/>
      <c r="HD64" s="52"/>
      <c r="HE64" s="52"/>
      <c r="HF64" s="52"/>
      <c r="HG64" s="52"/>
      <c r="HH64" s="52"/>
      <c r="HI64" s="52"/>
      <c r="HJ64" s="52"/>
      <c r="HK64" s="52"/>
      <c r="HL64" s="52"/>
      <c r="HM64" s="52"/>
      <c r="HN64" s="52"/>
      <c r="HO64" s="52"/>
      <c r="HP64" s="52"/>
      <c r="HQ64" s="52"/>
      <c r="HR64" s="52"/>
      <c r="HS64" s="52"/>
      <c r="HT64" s="52"/>
      <c r="HU64" s="52"/>
      <c r="HV64" s="52"/>
      <c r="HW64" s="52"/>
      <c r="HX64" s="52"/>
      <c r="HY64" s="52"/>
      <c r="HZ64" s="52"/>
      <c r="IA64" s="52"/>
      <c r="IB64" s="52"/>
      <c r="IC64" s="52"/>
      <c r="ID64" s="52"/>
      <c r="IE64" s="52"/>
      <c r="IF64" s="52"/>
      <c r="IG64" s="52"/>
      <c r="IH64" s="52"/>
      <c r="II64" s="52"/>
      <c r="IJ64" s="52"/>
      <c r="IK64" s="52"/>
      <c r="IL64" s="52"/>
      <c r="IM64" s="52"/>
      <c r="IN64" s="52"/>
      <c r="IO64" s="52"/>
      <c r="IP64" s="52"/>
      <c r="IQ64" s="52"/>
      <c r="IR64" s="52"/>
      <c r="IS64" s="52"/>
      <c r="IT64" s="52"/>
      <c r="IU64" s="52"/>
      <c r="IV64" s="52"/>
      <c r="IW64" s="52"/>
      <c r="IX64" s="52"/>
      <c r="IY64" s="52"/>
      <c r="IZ64" s="52"/>
      <c r="JA64" s="52"/>
      <c r="JB64" s="52"/>
      <c r="JC64" s="52"/>
      <c r="JD64" s="52"/>
      <c r="JE64" s="52"/>
      <c r="JF64" s="52"/>
      <c r="JG64" s="52"/>
      <c r="JH64" s="52"/>
      <c r="JI64" s="52"/>
      <c r="JL64" t="str">
        <f>IF($E64="","",IF(INDEX(工数管理!$AJ$3:$AJ$98,$E64)&lt;&gt;"",1,0))</f>
        <v/>
      </c>
      <c r="JM64" t="str">
        <f>IF($E64="","",IFERROR(MATCH($A64,祝日!$J$1:$L$1,0),""))</f>
        <v/>
      </c>
    </row>
    <row r="65" spans="1:273" ht="14.25" customHeight="1" x14ac:dyDescent="0.15">
      <c r="A65" s="50" t="str">
        <f>IF($E65="","",IF($JL65=1,INDEX(工数管理!$A$3:$A$98,$E65)&amp;"",IF(INDEX(工数管理!$AK$3:$AK$98,$E65)="","未割当",INDEX(工数管理!$AK$3:$AK$98,$E65))))</f>
        <v/>
      </c>
      <c r="B65" s="51" t="str">
        <f>IF($E65="","",IF($JL65=1,"",INDEX(工数管理!$A$3:$A$98,$E65)&amp;""))</f>
        <v/>
      </c>
      <c r="C65" s="50" t="str">
        <f>IF($E65="","",IF($JL65=1,"",INDEX(工数管理!$B$3:$B$98,$E65)&amp;""))</f>
        <v/>
      </c>
      <c r="D65" s="50" t="str">
        <f>IF($E65="","",INDEX(工数管理!$H$3:$H$98,$E65)&amp;"")</f>
        <v/>
      </c>
      <c r="E65" t="str">
        <f>IFERROR(MATCH(SMALL(工数管理!$BP$3:$BP$98,ROW()-3),工数管理!$BP$3:$BP$98,0),"")</f>
        <v/>
      </c>
      <c r="F65" t="str">
        <f>IF($E65="","",IF(INDEX(工数管理!$K$3:$K$98,$E65)="","",INDEX(工数管理!$K$3:$K$98,$E65)))</f>
        <v/>
      </c>
      <c r="G65" t="str">
        <f>IF($E65="","",IF(INDEX(工数管理!$L$3:$L$98,$E65)="","",INDEX(工数管理!$L$3:$L$98,$E65)))</f>
        <v/>
      </c>
      <c r="H65" t="str">
        <f>IF($E65="","",IF(INDEX(工数管理!$M$3:$M$98,$E65)="","",INDEX(工数管理!$M$3:$M$98,$E65)))</f>
        <v/>
      </c>
      <c r="I65" t="str">
        <f>IF($E65="","",IF(INDEX(工数管理!$N$3:$N$98,$E65)="","",INDEX(工数管理!$N$3:$N$98,$E65)))</f>
        <v/>
      </c>
      <c r="J65" t="str">
        <f>IF($E65="","",IF(INDEX(工数管理!$O$3:$O$98,$E65)="","",INDEX(工数管理!$O$3:$O$98,$E65)))</f>
        <v/>
      </c>
      <c r="K65" t="str">
        <f>IF($E65="","",IF(INDEX(工数管理!$P$3:$P$98,$E65)="","",INDEX(工数管理!$P$3:$P$98,$E65)))</f>
        <v/>
      </c>
      <c r="L65" t="str">
        <f>IF($E65="","",IF(INDEX(工数管理!$Q$3:$Q$98,$E65)="","",INDEX(工数管理!$Q$3:$Q$98,$E65)))</f>
        <v/>
      </c>
      <c r="M65" t="str">
        <f>IF($E65="","",IF(INDEX(工数管理!$R$3:$R$98,$E65)="","",INDEX(工数管理!$R$3:$R$98,$E65)))</f>
        <v/>
      </c>
      <c r="N65" t="str">
        <f>IF($E65="","",IF(INDEX(工数管理!$S$3:$S$98,$E65)="","",INDEX(工数管理!$S$3:$S$98,$E65)))</f>
        <v/>
      </c>
      <c r="O65" t="str">
        <f>IF($E65="","",IF(INDEX(工数管理!$T$3:$T$98,$E65)="","",INDEX(工数管理!$T$3:$T$98,$E65)))</f>
        <v/>
      </c>
      <c r="P65" t="str">
        <f>IF($E65="","",IF(INDEX(工数管理!$U$3:$U$98,$E65)="","",INDEX(工数管理!$U$3:$U$98,$E65)))</f>
        <v/>
      </c>
      <c r="Q65" t="str">
        <f>IF($E65="","",IF(INDEX(工数管理!$V$3:$V$98,$E65)="","",INDEX(工数管理!$V$3:$V$98,$E65)))</f>
        <v/>
      </c>
      <c r="R65" t="str">
        <f>IF($E65="","",IF(INDEX(工数管理!$W$3:$W$98,$E65)="","",INDEX(工数管理!$W$3:$W$98,$E65)))</f>
        <v/>
      </c>
      <c r="S65" t="str">
        <f>IF($E65="","",IF(INDEX(工数管理!$X$3:$X$98,$E65)="","",INDEX(工数管理!$X$3:$X$98,$E65)))</f>
        <v/>
      </c>
      <c r="T65" t="str">
        <f>IF($E65="","",IF(INDEX(工数管理!$Y$3:$Y$98,$E65)="","",INDEX(工数管理!$Y$3:$Y$98,$E65)))</f>
        <v/>
      </c>
      <c r="U65" t="str">
        <f>IF($E65="","",IF(INDEX(工数管理!$Z$3:$Z$98,$E65)="","",INDEX(工数管理!$Z$3:$Z$98,$E65)))</f>
        <v/>
      </c>
      <c r="V65" t="str">
        <f>IF($E65="","",IF(INDEX(工数管理!$AA$3:$AA$98,$E65)="","",INDEX(工数管理!$AA$3:$AA$98,$E65)))</f>
        <v/>
      </c>
      <c r="W65" t="str">
        <f>IF($E65="","",IF(INDEX(工数管理!$AB$3:$AB$98,$E65)="","",INDEX(工数管理!$AB$3:$AB$98,$E65)))</f>
        <v/>
      </c>
      <c r="X65" t="str">
        <f>IF($E65="","",IF(INDEX(工数管理!$AC$3:$AC$98,$E65)="","",INDEX(工数管理!$AC$3:$AC$98,$E65)))</f>
        <v/>
      </c>
      <c r="Y65" t="str">
        <f>IF($E65="","",IF(INDEX(工数管理!$AD$3:$AD$98,$E65)="","",INDEX(工数管理!$AD$3:$AD$98,$E65)))</f>
        <v/>
      </c>
      <c r="Z65" t="str">
        <f>IF($E65="","",IF(INDEX(工数管理!$AE$3:$AE$98,$E65)="","",INDEX(工数管理!$AE$3:$AE$98,$E65)))</f>
        <v/>
      </c>
      <c r="AA65" t="str">
        <f>IF($E65="","",IF(INDEX(工数管理!$AF$3:$AF$98,$E65)="","",INDEX(工数管理!$AF$3:$AF$98,$E65)))</f>
        <v/>
      </c>
      <c r="AB65" t="str">
        <f>IF($E65="","",IF(INDEX(工数管理!$AG$3:$AG$98,$E65)="","",INDEX(工数管理!$AG$3:$AG$98,$E65)))</f>
        <v/>
      </c>
      <c r="AC65" t="str">
        <f>IF($E65="","",IF(INDEX(工数管理!$AH$3:$AH$98,$E65)="","",INDEX(工数管理!$AH$3:$AH$98,$E65)))</f>
        <v/>
      </c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  <c r="FB65" s="52"/>
      <c r="FC65" s="52"/>
      <c r="FD65" s="52"/>
      <c r="FE65" s="52"/>
      <c r="FF65" s="52"/>
      <c r="FG65" s="52"/>
      <c r="FH65" s="52"/>
      <c r="FI65" s="52"/>
      <c r="FJ65" s="52"/>
      <c r="FK65" s="52"/>
      <c r="FL65" s="52"/>
      <c r="FM65" s="52"/>
      <c r="FN65" s="52"/>
      <c r="FO65" s="52"/>
      <c r="FP65" s="52"/>
      <c r="FQ65" s="52"/>
      <c r="FR65" s="52"/>
      <c r="FS65" s="52"/>
      <c r="FT65" s="52"/>
      <c r="FU65" s="52"/>
      <c r="FV65" s="52"/>
      <c r="FW65" s="52"/>
      <c r="FX65" s="52"/>
      <c r="FY65" s="52"/>
      <c r="FZ65" s="52"/>
      <c r="GA65" s="52"/>
      <c r="GB65" s="52"/>
      <c r="GC65" s="52"/>
      <c r="GD65" s="52"/>
      <c r="GE65" s="52"/>
      <c r="GF65" s="52"/>
      <c r="GG65" s="52"/>
      <c r="GH65" s="52"/>
      <c r="GI65" s="52"/>
      <c r="GJ65" s="52"/>
      <c r="GK65" s="52"/>
      <c r="GL65" s="52"/>
      <c r="GM65" s="52"/>
      <c r="GN65" s="52"/>
      <c r="GO65" s="52"/>
      <c r="GP65" s="52"/>
      <c r="GQ65" s="52"/>
      <c r="GR65" s="52"/>
      <c r="GS65" s="52"/>
      <c r="GT65" s="52"/>
      <c r="GU65" s="52"/>
      <c r="GV65" s="52"/>
      <c r="GW65" s="52"/>
      <c r="GX65" s="52"/>
      <c r="GY65" s="52"/>
      <c r="GZ65" s="52"/>
      <c r="HA65" s="52"/>
      <c r="HB65" s="52"/>
      <c r="HC65" s="52"/>
      <c r="HD65" s="52"/>
      <c r="HE65" s="52"/>
      <c r="HF65" s="52"/>
      <c r="HG65" s="52"/>
      <c r="HH65" s="52"/>
      <c r="HI65" s="52"/>
      <c r="HJ65" s="52"/>
      <c r="HK65" s="52"/>
      <c r="HL65" s="52"/>
      <c r="HM65" s="52"/>
      <c r="HN65" s="52"/>
      <c r="HO65" s="52"/>
      <c r="HP65" s="52"/>
      <c r="HQ65" s="52"/>
      <c r="HR65" s="52"/>
      <c r="HS65" s="52"/>
      <c r="HT65" s="52"/>
      <c r="HU65" s="52"/>
      <c r="HV65" s="52"/>
      <c r="HW65" s="52"/>
      <c r="HX65" s="52"/>
      <c r="HY65" s="52"/>
      <c r="HZ65" s="52"/>
      <c r="IA65" s="52"/>
      <c r="IB65" s="52"/>
      <c r="IC65" s="52"/>
      <c r="ID65" s="52"/>
      <c r="IE65" s="52"/>
      <c r="IF65" s="52"/>
      <c r="IG65" s="52"/>
      <c r="IH65" s="52"/>
      <c r="II65" s="52"/>
      <c r="IJ65" s="52"/>
      <c r="IK65" s="52"/>
      <c r="IL65" s="52"/>
      <c r="IM65" s="52"/>
      <c r="IN65" s="52"/>
      <c r="IO65" s="52"/>
      <c r="IP65" s="52"/>
      <c r="IQ65" s="52"/>
      <c r="IR65" s="52"/>
      <c r="IS65" s="52"/>
      <c r="IT65" s="52"/>
      <c r="IU65" s="52"/>
      <c r="IV65" s="52"/>
      <c r="IW65" s="52"/>
      <c r="IX65" s="52"/>
      <c r="IY65" s="52"/>
      <c r="IZ65" s="52"/>
      <c r="JA65" s="52"/>
      <c r="JB65" s="52"/>
      <c r="JC65" s="52"/>
      <c r="JD65" s="52"/>
      <c r="JE65" s="52"/>
      <c r="JF65" s="52"/>
      <c r="JG65" s="52"/>
      <c r="JH65" s="52"/>
      <c r="JI65" s="52"/>
      <c r="JL65" t="str">
        <f>IF($E65="","",IF(INDEX(工数管理!$AJ$3:$AJ$98,$E65)&lt;&gt;"",1,0))</f>
        <v/>
      </c>
      <c r="JM65" t="str">
        <f>IF($E65="","",IFERROR(MATCH($A65,祝日!$J$1:$L$1,0),""))</f>
        <v/>
      </c>
    </row>
    <row r="66" spans="1:273" ht="14.25" customHeight="1" x14ac:dyDescent="0.15">
      <c r="A66" s="50" t="str">
        <f>IF($E66="","",IF($JL66=1,INDEX(工数管理!$A$3:$A$98,$E66)&amp;"",IF(INDEX(工数管理!$AK$3:$AK$98,$E66)="","未割当",INDEX(工数管理!$AK$3:$AK$98,$E66))))</f>
        <v/>
      </c>
      <c r="B66" s="51" t="str">
        <f>IF($E66="","",IF($JL66=1,"",INDEX(工数管理!$A$3:$A$98,$E66)&amp;""))</f>
        <v/>
      </c>
      <c r="C66" s="50" t="str">
        <f>IF($E66="","",IF($JL66=1,"",INDEX(工数管理!$B$3:$B$98,$E66)&amp;""))</f>
        <v/>
      </c>
      <c r="D66" s="50" t="str">
        <f>IF($E66="","",INDEX(工数管理!$H$3:$H$98,$E66)&amp;"")</f>
        <v/>
      </c>
      <c r="E66" t="str">
        <f>IFERROR(MATCH(SMALL(工数管理!$BP$3:$BP$98,ROW()-3),工数管理!$BP$3:$BP$98,0),"")</f>
        <v/>
      </c>
      <c r="F66" t="str">
        <f>IF($E66="","",IF(INDEX(工数管理!$K$3:$K$98,$E66)="","",INDEX(工数管理!$K$3:$K$98,$E66)))</f>
        <v/>
      </c>
      <c r="G66" t="str">
        <f>IF($E66="","",IF(INDEX(工数管理!$L$3:$L$98,$E66)="","",INDEX(工数管理!$L$3:$L$98,$E66)))</f>
        <v/>
      </c>
      <c r="H66" t="str">
        <f>IF($E66="","",IF(INDEX(工数管理!$M$3:$M$98,$E66)="","",INDEX(工数管理!$M$3:$M$98,$E66)))</f>
        <v/>
      </c>
      <c r="I66" t="str">
        <f>IF($E66="","",IF(INDEX(工数管理!$N$3:$N$98,$E66)="","",INDEX(工数管理!$N$3:$N$98,$E66)))</f>
        <v/>
      </c>
      <c r="J66" t="str">
        <f>IF($E66="","",IF(INDEX(工数管理!$O$3:$O$98,$E66)="","",INDEX(工数管理!$O$3:$O$98,$E66)))</f>
        <v/>
      </c>
      <c r="K66" t="str">
        <f>IF($E66="","",IF(INDEX(工数管理!$P$3:$P$98,$E66)="","",INDEX(工数管理!$P$3:$P$98,$E66)))</f>
        <v/>
      </c>
      <c r="L66" t="str">
        <f>IF($E66="","",IF(INDEX(工数管理!$Q$3:$Q$98,$E66)="","",INDEX(工数管理!$Q$3:$Q$98,$E66)))</f>
        <v/>
      </c>
      <c r="M66" t="str">
        <f>IF($E66="","",IF(INDEX(工数管理!$R$3:$R$98,$E66)="","",INDEX(工数管理!$R$3:$R$98,$E66)))</f>
        <v/>
      </c>
      <c r="N66" t="str">
        <f>IF($E66="","",IF(INDEX(工数管理!$S$3:$S$98,$E66)="","",INDEX(工数管理!$S$3:$S$98,$E66)))</f>
        <v/>
      </c>
      <c r="O66" t="str">
        <f>IF($E66="","",IF(INDEX(工数管理!$T$3:$T$98,$E66)="","",INDEX(工数管理!$T$3:$T$98,$E66)))</f>
        <v/>
      </c>
      <c r="P66" t="str">
        <f>IF($E66="","",IF(INDEX(工数管理!$U$3:$U$98,$E66)="","",INDEX(工数管理!$U$3:$U$98,$E66)))</f>
        <v/>
      </c>
      <c r="Q66" t="str">
        <f>IF($E66="","",IF(INDEX(工数管理!$V$3:$V$98,$E66)="","",INDEX(工数管理!$V$3:$V$98,$E66)))</f>
        <v/>
      </c>
      <c r="R66" t="str">
        <f>IF($E66="","",IF(INDEX(工数管理!$W$3:$W$98,$E66)="","",INDEX(工数管理!$W$3:$W$98,$E66)))</f>
        <v/>
      </c>
      <c r="S66" t="str">
        <f>IF($E66="","",IF(INDEX(工数管理!$X$3:$X$98,$E66)="","",INDEX(工数管理!$X$3:$X$98,$E66)))</f>
        <v/>
      </c>
      <c r="T66" t="str">
        <f>IF($E66="","",IF(INDEX(工数管理!$Y$3:$Y$98,$E66)="","",INDEX(工数管理!$Y$3:$Y$98,$E66)))</f>
        <v/>
      </c>
      <c r="U66" t="str">
        <f>IF($E66="","",IF(INDEX(工数管理!$Z$3:$Z$98,$E66)="","",INDEX(工数管理!$Z$3:$Z$98,$E66)))</f>
        <v/>
      </c>
      <c r="V66" t="str">
        <f>IF($E66="","",IF(INDEX(工数管理!$AA$3:$AA$98,$E66)="","",INDEX(工数管理!$AA$3:$AA$98,$E66)))</f>
        <v/>
      </c>
      <c r="W66" t="str">
        <f>IF($E66="","",IF(INDEX(工数管理!$AB$3:$AB$98,$E66)="","",INDEX(工数管理!$AB$3:$AB$98,$E66)))</f>
        <v/>
      </c>
      <c r="X66" t="str">
        <f>IF($E66="","",IF(INDEX(工数管理!$AC$3:$AC$98,$E66)="","",INDEX(工数管理!$AC$3:$AC$98,$E66)))</f>
        <v/>
      </c>
      <c r="Y66" t="str">
        <f>IF($E66="","",IF(INDEX(工数管理!$AD$3:$AD$98,$E66)="","",INDEX(工数管理!$AD$3:$AD$98,$E66)))</f>
        <v/>
      </c>
      <c r="Z66" t="str">
        <f>IF($E66="","",IF(INDEX(工数管理!$AE$3:$AE$98,$E66)="","",INDEX(工数管理!$AE$3:$AE$98,$E66)))</f>
        <v/>
      </c>
      <c r="AA66" t="str">
        <f>IF($E66="","",IF(INDEX(工数管理!$AF$3:$AF$98,$E66)="","",INDEX(工数管理!$AF$3:$AF$98,$E66)))</f>
        <v/>
      </c>
      <c r="AB66" t="str">
        <f>IF($E66="","",IF(INDEX(工数管理!$AG$3:$AG$98,$E66)="","",INDEX(工数管理!$AG$3:$AG$98,$E66)))</f>
        <v/>
      </c>
      <c r="AC66" t="str">
        <f>IF($E66="","",IF(INDEX(工数管理!$AH$3:$AH$98,$E66)="","",INDEX(工数管理!$AH$3:$AH$98,$E66)))</f>
        <v/>
      </c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  <c r="EZ66" s="52"/>
      <c r="FA66" s="52"/>
      <c r="FB66" s="52"/>
      <c r="FC66" s="52"/>
      <c r="FD66" s="52"/>
      <c r="FE66" s="52"/>
      <c r="FF66" s="52"/>
      <c r="FG66" s="52"/>
      <c r="FH66" s="52"/>
      <c r="FI66" s="52"/>
      <c r="FJ66" s="52"/>
      <c r="FK66" s="52"/>
      <c r="FL66" s="52"/>
      <c r="FM66" s="52"/>
      <c r="FN66" s="52"/>
      <c r="FO66" s="52"/>
      <c r="FP66" s="52"/>
      <c r="FQ66" s="52"/>
      <c r="FR66" s="52"/>
      <c r="FS66" s="52"/>
      <c r="FT66" s="52"/>
      <c r="FU66" s="52"/>
      <c r="FV66" s="52"/>
      <c r="FW66" s="52"/>
      <c r="FX66" s="52"/>
      <c r="FY66" s="52"/>
      <c r="FZ66" s="52"/>
      <c r="GA66" s="52"/>
      <c r="GB66" s="52"/>
      <c r="GC66" s="52"/>
      <c r="GD66" s="52"/>
      <c r="GE66" s="52"/>
      <c r="GF66" s="52"/>
      <c r="GG66" s="52"/>
      <c r="GH66" s="52"/>
      <c r="GI66" s="52"/>
      <c r="GJ66" s="52"/>
      <c r="GK66" s="52"/>
      <c r="GL66" s="52"/>
      <c r="GM66" s="52"/>
      <c r="GN66" s="52"/>
      <c r="GO66" s="52"/>
      <c r="GP66" s="52"/>
      <c r="GQ66" s="52"/>
      <c r="GR66" s="52"/>
      <c r="GS66" s="52"/>
      <c r="GT66" s="52"/>
      <c r="GU66" s="52"/>
      <c r="GV66" s="52"/>
      <c r="GW66" s="52"/>
      <c r="GX66" s="52"/>
      <c r="GY66" s="52"/>
      <c r="GZ66" s="52"/>
      <c r="HA66" s="52"/>
      <c r="HB66" s="52"/>
      <c r="HC66" s="52"/>
      <c r="HD66" s="52"/>
      <c r="HE66" s="52"/>
      <c r="HF66" s="52"/>
      <c r="HG66" s="52"/>
      <c r="HH66" s="52"/>
      <c r="HI66" s="52"/>
      <c r="HJ66" s="52"/>
      <c r="HK66" s="52"/>
      <c r="HL66" s="52"/>
      <c r="HM66" s="52"/>
      <c r="HN66" s="52"/>
      <c r="HO66" s="52"/>
      <c r="HP66" s="52"/>
      <c r="HQ66" s="52"/>
      <c r="HR66" s="52"/>
      <c r="HS66" s="52"/>
      <c r="HT66" s="52"/>
      <c r="HU66" s="52"/>
      <c r="HV66" s="52"/>
      <c r="HW66" s="52"/>
      <c r="HX66" s="52"/>
      <c r="HY66" s="52"/>
      <c r="HZ66" s="52"/>
      <c r="IA66" s="52"/>
      <c r="IB66" s="52"/>
      <c r="IC66" s="52"/>
      <c r="ID66" s="52"/>
      <c r="IE66" s="52"/>
      <c r="IF66" s="52"/>
      <c r="IG66" s="52"/>
      <c r="IH66" s="52"/>
      <c r="II66" s="52"/>
      <c r="IJ66" s="52"/>
      <c r="IK66" s="52"/>
      <c r="IL66" s="52"/>
      <c r="IM66" s="52"/>
      <c r="IN66" s="52"/>
      <c r="IO66" s="52"/>
      <c r="IP66" s="52"/>
      <c r="IQ66" s="52"/>
      <c r="IR66" s="52"/>
      <c r="IS66" s="52"/>
      <c r="IT66" s="52"/>
      <c r="IU66" s="52"/>
      <c r="IV66" s="52"/>
      <c r="IW66" s="52"/>
      <c r="IX66" s="52"/>
      <c r="IY66" s="52"/>
      <c r="IZ66" s="52"/>
      <c r="JA66" s="52"/>
      <c r="JB66" s="52"/>
      <c r="JC66" s="52"/>
      <c r="JD66" s="52"/>
      <c r="JE66" s="52"/>
      <c r="JF66" s="52"/>
      <c r="JG66" s="52"/>
      <c r="JH66" s="52"/>
      <c r="JI66" s="52"/>
      <c r="JL66" t="str">
        <f>IF($E66="","",IF(INDEX(工数管理!$AJ$3:$AJ$98,$E66)&lt;&gt;"",1,0))</f>
        <v/>
      </c>
      <c r="JM66" t="str">
        <f>IF($E66="","",IFERROR(MATCH($A66,祝日!$J$1:$L$1,0),""))</f>
        <v/>
      </c>
    </row>
    <row r="67" spans="1:273" ht="14.25" customHeight="1" x14ac:dyDescent="0.15">
      <c r="A67" s="50" t="str">
        <f>IF($E67="","",IF($JL67=1,INDEX(工数管理!$A$3:$A$98,$E67)&amp;"",IF(INDEX(工数管理!$AK$3:$AK$98,$E67)="","未割当",INDEX(工数管理!$AK$3:$AK$98,$E67))))</f>
        <v/>
      </c>
      <c r="B67" s="51" t="str">
        <f>IF($E67="","",IF($JL67=1,"",INDEX(工数管理!$A$3:$A$98,$E67)&amp;""))</f>
        <v/>
      </c>
      <c r="C67" s="50" t="str">
        <f>IF($E67="","",IF($JL67=1,"",INDEX(工数管理!$B$3:$B$98,$E67)&amp;""))</f>
        <v/>
      </c>
      <c r="D67" s="50" t="str">
        <f>IF($E67="","",INDEX(工数管理!$H$3:$H$98,$E67)&amp;"")</f>
        <v/>
      </c>
      <c r="E67" t="str">
        <f>IFERROR(MATCH(SMALL(工数管理!$BP$3:$BP$98,ROW()-3),工数管理!$BP$3:$BP$98,0),"")</f>
        <v/>
      </c>
      <c r="F67" t="str">
        <f>IF($E67="","",IF(INDEX(工数管理!$K$3:$K$98,$E67)="","",INDEX(工数管理!$K$3:$K$98,$E67)))</f>
        <v/>
      </c>
      <c r="G67" t="str">
        <f>IF($E67="","",IF(INDEX(工数管理!$L$3:$L$98,$E67)="","",INDEX(工数管理!$L$3:$L$98,$E67)))</f>
        <v/>
      </c>
      <c r="H67" t="str">
        <f>IF($E67="","",IF(INDEX(工数管理!$M$3:$M$98,$E67)="","",INDEX(工数管理!$M$3:$M$98,$E67)))</f>
        <v/>
      </c>
      <c r="I67" t="str">
        <f>IF($E67="","",IF(INDEX(工数管理!$N$3:$N$98,$E67)="","",INDEX(工数管理!$N$3:$N$98,$E67)))</f>
        <v/>
      </c>
      <c r="J67" t="str">
        <f>IF($E67="","",IF(INDEX(工数管理!$O$3:$O$98,$E67)="","",INDEX(工数管理!$O$3:$O$98,$E67)))</f>
        <v/>
      </c>
      <c r="K67" t="str">
        <f>IF($E67="","",IF(INDEX(工数管理!$P$3:$P$98,$E67)="","",INDEX(工数管理!$P$3:$P$98,$E67)))</f>
        <v/>
      </c>
      <c r="L67" t="str">
        <f>IF($E67="","",IF(INDEX(工数管理!$Q$3:$Q$98,$E67)="","",INDEX(工数管理!$Q$3:$Q$98,$E67)))</f>
        <v/>
      </c>
      <c r="M67" t="str">
        <f>IF($E67="","",IF(INDEX(工数管理!$R$3:$R$98,$E67)="","",INDEX(工数管理!$R$3:$R$98,$E67)))</f>
        <v/>
      </c>
      <c r="N67" t="str">
        <f>IF($E67="","",IF(INDEX(工数管理!$S$3:$S$98,$E67)="","",INDEX(工数管理!$S$3:$S$98,$E67)))</f>
        <v/>
      </c>
      <c r="O67" t="str">
        <f>IF($E67="","",IF(INDEX(工数管理!$T$3:$T$98,$E67)="","",INDEX(工数管理!$T$3:$T$98,$E67)))</f>
        <v/>
      </c>
      <c r="P67" t="str">
        <f>IF($E67="","",IF(INDEX(工数管理!$U$3:$U$98,$E67)="","",INDEX(工数管理!$U$3:$U$98,$E67)))</f>
        <v/>
      </c>
      <c r="Q67" t="str">
        <f>IF($E67="","",IF(INDEX(工数管理!$V$3:$V$98,$E67)="","",INDEX(工数管理!$V$3:$V$98,$E67)))</f>
        <v/>
      </c>
      <c r="R67" t="str">
        <f>IF($E67="","",IF(INDEX(工数管理!$W$3:$W$98,$E67)="","",INDEX(工数管理!$W$3:$W$98,$E67)))</f>
        <v/>
      </c>
      <c r="S67" t="str">
        <f>IF($E67="","",IF(INDEX(工数管理!$X$3:$X$98,$E67)="","",INDEX(工数管理!$X$3:$X$98,$E67)))</f>
        <v/>
      </c>
      <c r="T67" t="str">
        <f>IF($E67="","",IF(INDEX(工数管理!$Y$3:$Y$98,$E67)="","",INDEX(工数管理!$Y$3:$Y$98,$E67)))</f>
        <v/>
      </c>
      <c r="U67" t="str">
        <f>IF($E67="","",IF(INDEX(工数管理!$Z$3:$Z$98,$E67)="","",INDEX(工数管理!$Z$3:$Z$98,$E67)))</f>
        <v/>
      </c>
      <c r="V67" t="str">
        <f>IF($E67="","",IF(INDEX(工数管理!$AA$3:$AA$98,$E67)="","",INDEX(工数管理!$AA$3:$AA$98,$E67)))</f>
        <v/>
      </c>
      <c r="W67" t="str">
        <f>IF($E67="","",IF(INDEX(工数管理!$AB$3:$AB$98,$E67)="","",INDEX(工数管理!$AB$3:$AB$98,$E67)))</f>
        <v/>
      </c>
      <c r="X67" t="str">
        <f>IF($E67="","",IF(INDEX(工数管理!$AC$3:$AC$98,$E67)="","",INDEX(工数管理!$AC$3:$AC$98,$E67)))</f>
        <v/>
      </c>
      <c r="Y67" t="str">
        <f>IF($E67="","",IF(INDEX(工数管理!$AD$3:$AD$98,$E67)="","",INDEX(工数管理!$AD$3:$AD$98,$E67)))</f>
        <v/>
      </c>
      <c r="Z67" t="str">
        <f>IF($E67="","",IF(INDEX(工数管理!$AE$3:$AE$98,$E67)="","",INDEX(工数管理!$AE$3:$AE$98,$E67)))</f>
        <v/>
      </c>
      <c r="AA67" t="str">
        <f>IF($E67="","",IF(INDEX(工数管理!$AF$3:$AF$98,$E67)="","",INDEX(工数管理!$AF$3:$AF$98,$E67)))</f>
        <v/>
      </c>
      <c r="AB67" t="str">
        <f>IF($E67="","",IF(INDEX(工数管理!$AG$3:$AG$98,$E67)="","",INDEX(工数管理!$AG$3:$AG$98,$E67)))</f>
        <v/>
      </c>
      <c r="AC67" t="str">
        <f>IF($E67="","",IF(INDEX(工数管理!$AH$3:$AH$98,$E67)="","",INDEX(工数管理!$AH$3:$AH$98,$E67)))</f>
        <v/>
      </c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  <c r="EN67" s="52"/>
      <c r="EO67" s="52"/>
      <c r="EP67" s="52"/>
      <c r="EQ67" s="52"/>
      <c r="ER67" s="52"/>
      <c r="ES67" s="52"/>
      <c r="ET67" s="52"/>
      <c r="EU67" s="52"/>
      <c r="EV67" s="52"/>
      <c r="EW67" s="52"/>
      <c r="EX67" s="52"/>
      <c r="EY67" s="52"/>
      <c r="EZ67" s="52"/>
      <c r="FA67" s="52"/>
      <c r="FB67" s="52"/>
      <c r="FC67" s="52"/>
      <c r="FD67" s="52"/>
      <c r="FE67" s="52"/>
      <c r="FF67" s="52"/>
      <c r="FG67" s="52"/>
      <c r="FH67" s="52"/>
      <c r="FI67" s="52"/>
      <c r="FJ67" s="52"/>
      <c r="FK67" s="52"/>
      <c r="FL67" s="52"/>
      <c r="FM67" s="52"/>
      <c r="FN67" s="52"/>
      <c r="FO67" s="52"/>
      <c r="FP67" s="52"/>
      <c r="FQ67" s="52"/>
      <c r="FR67" s="52"/>
      <c r="FS67" s="52"/>
      <c r="FT67" s="52"/>
      <c r="FU67" s="52"/>
      <c r="FV67" s="52"/>
      <c r="FW67" s="52"/>
      <c r="FX67" s="52"/>
      <c r="FY67" s="52"/>
      <c r="FZ67" s="52"/>
      <c r="GA67" s="52"/>
      <c r="GB67" s="52"/>
      <c r="GC67" s="52"/>
      <c r="GD67" s="52"/>
      <c r="GE67" s="52"/>
      <c r="GF67" s="52"/>
      <c r="GG67" s="52"/>
      <c r="GH67" s="52"/>
      <c r="GI67" s="52"/>
      <c r="GJ67" s="52"/>
      <c r="GK67" s="52"/>
      <c r="GL67" s="52"/>
      <c r="GM67" s="52"/>
      <c r="GN67" s="52"/>
      <c r="GO67" s="52"/>
      <c r="GP67" s="52"/>
      <c r="GQ67" s="52"/>
      <c r="GR67" s="52"/>
      <c r="GS67" s="52"/>
      <c r="GT67" s="52"/>
      <c r="GU67" s="52"/>
      <c r="GV67" s="52"/>
      <c r="GW67" s="52"/>
      <c r="GX67" s="52"/>
      <c r="GY67" s="52"/>
      <c r="GZ67" s="52"/>
      <c r="HA67" s="52"/>
      <c r="HB67" s="52"/>
      <c r="HC67" s="52"/>
      <c r="HD67" s="52"/>
      <c r="HE67" s="52"/>
      <c r="HF67" s="52"/>
      <c r="HG67" s="52"/>
      <c r="HH67" s="52"/>
      <c r="HI67" s="52"/>
      <c r="HJ67" s="52"/>
      <c r="HK67" s="52"/>
      <c r="HL67" s="52"/>
      <c r="HM67" s="52"/>
      <c r="HN67" s="52"/>
      <c r="HO67" s="52"/>
      <c r="HP67" s="52"/>
      <c r="HQ67" s="52"/>
      <c r="HR67" s="52"/>
      <c r="HS67" s="52"/>
      <c r="HT67" s="52"/>
      <c r="HU67" s="52"/>
      <c r="HV67" s="52"/>
      <c r="HW67" s="52"/>
      <c r="HX67" s="52"/>
      <c r="HY67" s="52"/>
      <c r="HZ67" s="52"/>
      <c r="IA67" s="52"/>
      <c r="IB67" s="52"/>
      <c r="IC67" s="52"/>
      <c r="ID67" s="52"/>
      <c r="IE67" s="52"/>
      <c r="IF67" s="52"/>
      <c r="IG67" s="52"/>
      <c r="IH67" s="52"/>
      <c r="II67" s="52"/>
      <c r="IJ67" s="52"/>
      <c r="IK67" s="52"/>
      <c r="IL67" s="52"/>
      <c r="IM67" s="52"/>
      <c r="IN67" s="52"/>
      <c r="IO67" s="52"/>
      <c r="IP67" s="52"/>
      <c r="IQ67" s="52"/>
      <c r="IR67" s="52"/>
      <c r="IS67" s="52"/>
      <c r="IT67" s="52"/>
      <c r="IU67" s="52"/>
      <c r="IV67" s="52"/>
      <c r="IW67" s="52"/>
      <c r="IX67" s="52"/>
      <c r="IY67" s="52"/>
      <c r="IZ67" s="52"/>
      <c r="JA67" s="52"/>
      <c r="JB67" s="52"/>
      <c r="JC67" s="52"/>
      <c r="JD67" s="52"/>
      <c r="JE67" s="52"/>
      <c r="JF67" s="52"/>
      <c r="JG67" s="52"/>
      <c r="JH67" s="52"/>
      <c r="JI67" s="52"/>
      <c r="JL67" t="str">
        <f>IF($E67="","",IF(INDEX(工数管理!$AJ$3:$AJ$98,$E67)&lt;&gt;"",1,0))</f>
        <v/>
      </c>
      <c r="JM67" t="str">
        <f>IF($E67="","",IFERROR(MATCH($A67,祝日!$J$1:$L$1,0),""))</f>
        <v/>
      </c>
    </row>
    <row r="68" spans="1:273" ht="14.25" customHeight="1" x14ac:dyDescent="0.15">
      <c r="A68" s="50" t="str">
        <f>IF($E68="","",IF($JL68=1,INDEX(工数管理!$A$3:$A$98,$E68)&amp;"",IF(INDEX(工数管理!$AK$3:$AK$98,$E68)="","未割当",INDEX(工数管理!$AK$3:$AK$98,$E68))))</f>
        <v/>
      </c>
      <c r="B68" s="51" t="str">
        <f>IF($E68="","",IF($JL68=1,"",INDEX(工数管理!$A$3:$A$98,$E68)&amp;""))</f>
        <v/>
      </c>
      <c r="C68" s="50" t="str">
        <f>IF($E68="","",IF($JL68=1,"",INDEX(工数管理!$B$3:$B$98,$E68)&amp;""))</f>
        <v/>
      </c>
      <c r="D68" s="50" t="str">
        <f>IF($E68="","",INDEX(工数管理!$H$3:$H$98,$E68)&amp;"")</f>
        <v/>
      </c>
      <c r="E68" t="str">
        <f>IFERROR(MATCH(SMALL(工数管理!$BP$3:$BP$98,ROW()-3),工数管理!$BP$3:$BP$98,0),"")</f>
        <v/>
      </c>
      <c r="F68" t="str">
        <f>IF($E68="","",IF(INDEX(工数管理!$K$3:$K$98,$E68)="","",INDEX(工数管理!$K$3:$K$98,$E68)))</f>
        <v/>
      </c>
      <c r="G68" t="str">
        <f>IF($E68="","",IF(INDEX(工数管理!$L$3:$L$98,$E68)="","",INDEX(工数管理!$L$3:$L$98,$E68)))</f>
        <v/>
      </c>
      <c r="H68" t="str">
        <f>IF($E68="","",IF(INDEX(工数管理!$M$3:$M$98,$E68)="","",INDEX(工数管理!$M$3:$M$98,$E68)))</f>
        <v/>
      </c>
      <c r="I68" t="str">
        <f>IF($E68="","",IF(INDEX(工数管理!$N$3:$N$98,$E68)="","",INDEX(工数管理!$N$3:$N$98,$E68)))</f>
        <v/>
      </c>
      <c r="J68" t="str">
        <f>IF($E68="","",IF(INDEX(工数管理!$O$3:$O$98,$E68)="","",INDEX(工数管理!$O$3:$O$98,$E68)))</f>
        <v/>
      </c>
      <c r="K68" t="str">
        <f>IF($E68="","",IF(INDEX(工数管理!$P$3:$P$98,$E68)="","",INDEX(工数管理!$P$3:$P$98,$E68)))</f>
        <v/>
      </c>
      <c r="L68" t="str">
        <f>IF($E68="","",IF(INDEX(工数管理!$Q$3:$Q$98,$E68)="","",INDEX(工数管理!$Q$3:$Q$98,$E68)))</f>
        <v/>
      </c>
      <c r="M68" t="str">
        <f>IF($E68="","",IF(INDEX(工数管理!$R$3:$R$98,$E68)="","",INDEX(工数管理!$R$3:$R$98,$E68)))</f>
        <v/>
      </c>
      <c r="N68" t="str">
        <f>IF($E68="","",IF(INDEX(工数管理!$S$3:$S$98,$E68)="","",INDEX(工数管理!$S$3:$S$98,$E68)))</f>
        <v/>
      </c>
      <c r="O68" t="str">
        <f>IF($E68="","",IF(INDEX(工数管理!$T$3:$T$98,$E68)="","",INDEX(工数管理!$T$3:$T$98,$E68)))</f>
        <v/>
      </c>
      <c r="P68" t="str">
        <f>IF($E68="","",IF(INDEX(工数管理!$U$3:$U$98,$E68)="","",INDEX(工数管理!$U$3:$U$98,$E68)))</f>
        <v/>
      </c>
      <c r="Q68" t="str">
        <f>IF($E68="","",IF(INDEX(工数管理!$V$3:$V$98,$E68)="","",INDEX(工数管理!$V$3:$V$98,$E68)))</f>
        <v/>
      </c>
      <c r="R68" t="str">
        <f>IF($E68="","",IF(INDEX(工数管理!$W$3:$W$98,$E68)="","",INDEX(工数管理!$W$3:$W$98,$E68)))</f>
        <v/>
      </c>
      <c r="S68" t="str">
        <f>IF($E68="","",IF(INDEX(工数管理!$X$3:$X$98,$E68)="","",INDEX(工数管理!$X$3:$X$98,$E68)))</f>
        <v/>
      </c>
      <c r="T68" t="str">
        <f>IF($E68="","",IF(INDEX(工数管理!$Y$3:$Y$98,$E68)="","",INDEX(工数管理!$Y$3:$Y$98,$E68)))</f>
        <v/>
      </c>
      <c r="U68" t="str">
        <f>IF($E68="","",IF(INDEX(工数管理!$Z$3:$Z$98,$E68)="","",INDEX(工数管理!$Z$3:$Z$98,$E68)))</f>
        <v/>
      </c>
      <c r="V68" t="str">
        <f>IF($E68="","",IF(INDEX(工数管理!$AA$3:$AA$98,$E68)="","",INDEX(工数管理!$AA$3:$AA$98,$E68)))</f>
        <v/>
      </c>
      <c r="W68" t="str">
        <f>IF($E68="","",IF(INDEX(工数管理!$AB$3:$AB$98,$E68)="","",INDEX(工数管理!$AB$3:$AB$98,$E68)))</f>
        <v/>
      </c>
      <c r="X68" t="str">
        <f>IF($E68="","",IF(INDEX(工数管理!$AC$3:$AC$98,$E68)="","",INDEX(工数管理!$AC$3:$AC$98,$E68)))</f>
        <v/>
      </c>
      <c r="Y68" t="str">
        <f>IF($E68="","",IF(INDEX(工数管理!$AD$3:$AD$98,$E68)="","",INDEX(工数管理!$AD$3:$AD$98,$E68)))</f>
        <v/>
      </c>
      <c r="Z68" t="str">
        <f>IF($E68="","",IF(INDEX(工数管理!$AE$3:$AE$98,$E68)="","",INDEX(工数管理!$AE$3:$AE$98,$E68)))</f>
        <v/>
      </c>
      <c r="AA68" t="str">
        <f>IF($E68="","",IF(INDEX(工数管理!$AF$3:$AF$98,$E68)="","",INDEX(工数管理!$AF$3:$AF$98,$E68)))</f>
        <v/>
      </c>
      <c r="AB68" t="str">
        <f>IF($E68="","",IF(INDEX(工数管理!$AG$3:$AG$98,$E68)="","",INDEX(工数管理!$AG$3:$AG$98,$E68)))</f>
        <v/>
      </c>
      <c r="AC68" t="str">
        <f>IF($E68="","",IF(INDEX(工数管理!$AH$3:$AH$98,$E68)="","",INDEX(工数管理!$AH$3:$AH$98,$E68)))</f>
        <v/>
      </c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  <c r="EM68" s="52"/>
      <c r="EN68" s="52"/>
      <c r="EO68" s="52"/>
      <c r="EP68" s="52"/>
      <c r="EQ68" s="52"/>
      <c r="ER68" s="52"/>
      <c r="ES68" s="52"/>
      <c r="ET68" s="52"/>
      <c r="EU68" s="52"/>
      <c r="EV68" s="52"/>
      <c r="EW68" s="52"/>
      <c r="EX68" s="52"/>
      <c r="EY68" s="52"/>
      <c r="EZ68" s="52"/>
      <c r="FA68" s="52"/>
      <c r="FB68" s="52"/>
      <c r="FC68" s="52"/>
      <c r="FD68" s="52"/>
      <c r="FE68" s="52"/>
      <c r="FF68" s="52"/>
      <c r="FG68" s="52"/>
      <c r="FH68" s="52"/>
      <c r="FI68" s="52"/>
      <c r="FJ68" s="52"/>
      <c r="FK68" s="52"/>
      <c r="FL68" s="52"/>
      <c r="FM68" s="52"/>
      <c r="FN68" s="52"/>
      <c r="FO68" s="52"/>
      <c r="FP68" s="52"/>
      <c r="FQ68" s="52"/>
      <c r="FR68" s="52"/>
      <c r="FS68" s="52"/>
      <c r="FT68" s="52"/>
      <c r="FU68" s="52"/>
      <c r="FV68" s="52"/>
      <c r="FW68" s="52"/>
      <c r="FX68" s="52"/>
      <c r="FY68" s="52"/>
      <c r="FZ68" s="52"/>
      <c r="GA68" s="52"/>
      <c r="GB68" s="52"/>
      <c r="GC68" s="52"/>
      <c r="GD68" s="52"/>
      <c r="GE68" s="52"/>
      <c r="GF68" s="52"/>
      <c r="GG68" s="52"/>
      <c r="GH68" s="52"/>
      <c r="GI68" s="52"/>
      <c r="GJ68" s="52"/>
      <c r="GK68" s="52"/>
      <c r="GL68" s="52"/>
      <c r="GM68" s="52"/>
      <c r="GN68" s="52"/>
      <c r="GO68" s="52"/>
      <c r="GP68" s="52"/>
      <c r="GQ68" s="52"/>
      <c r="GR68" s="52"/>
      <c r="GS68" s="52"/>
      <c r="GT68" s="52"/>
      <c r="GU68" s="52"/>
      <c r="GV68" s="52"/>
      <c r="GW68" s="52"/>
      <c r="GX68" s="52"/>
      <c r="GY68" s="52"/>
      <c r="GZ68" s="52"/>
      <c r="HA68" s="52"/>
      <c r="HB68" s="52"/>
      <c r="HC68" s="52"/>
      <c r="HD68" s="52"/>
      <c r="HE68" s="52"/>
      <c r="HF68" s="52"/>
      <c r="HG68" s="52"/>
      <c r="HH68" s="52"/>
      <c r="HI68" s="52"/>
      <c r="HJ68" s="52"/>
      <c r="HK68" s="52"/>
      <c r="HL68" s="52"/>
      <c r="HM68" s="52"/>
      <c r="HN68" s="52"/>
      <c r="HO68" s="52"/>
      <c r="HP68" s="52"/>
      <c r="HQ68" s="52"/>
      <c r="HR68" s="52"/>
      <c r="HS68" s="52"/>
      <c r="HT68" s="52"/>
      <c r="HU68" s="52"/>
      <c r="HV68" s="52"/>
      <c r="HW68" s="52"/>
      <c r="HX68" s="52"/>
      <c r="HY68" s="52"/>
      <c r="HZ68" s="52"/>
      <c r="IA68" s="52"/>
      <c r="IB68" s="52"/>
      <c r="IC68" s="52"/>
      <c r="ID68" s="52"/>
      <c r="IE68" s="52"/>
      <c r="IF68" s="52"/>
      <c r="IG68" s="52"/>
      <c r="IH68" s="52"/>
      <c r="II68" s="52"/>
      <c r="IJ68" s="52"/>
      <c r="IK68" s="52"/>
      <c r="IL68" s="52"/>
      <c r="IM68" s="52"/>
      <c r="IN68" s="52"/>
      <c r="IO68" s="52"/>
      <c r="IP68" s="52"/>
      <c r="IQ68" s="52"/>
      <c r="IR68" s="52"/>
      <c r="IS68" s="52"/>
      <c r="IT68" s="52"/>
      <c r="IU68" s="52"/>
      <c r="IV68" s="52"/>
      <c r="IW68" s="52"/>
      <c r="IX68" s="52"/>
      <c r="IY68" s="52"/>
      <c r="IZ68" s="52"/>
      <c r="JA68" s="52"/>
      <c r="JB68" s="52"/>
      <c r="JC68" s="52"/>
      <c r="JD68" s="52"/>
      <c r="JE68" s="52"/>
      <c r="JF68" s="52"/>
      <c r="JG68" s="52"/>
      <c r="JH68" s="52"/>
      <c r="JI68" s="52"/>
      <c r="JL68" t="str">
        <f>IF($E68="","",IF(INDEX(工数管理!$AJ$3:$AJ$98,$E68)&lt;&gt;"",1,0))</f>
        <v/>
      </c>
      <c r="JM68" t="str">
        <f>IF($E68="","",IFERROR(MATCH($A68,祝日!$J$1:$L$1,0),""))</f>
        <v/>
      </c>
    </row>
    <row r="69" spans="1:273" ht="14.25" customHeight="1" x14ac:dyDescent="0.15">
      <c r="A69" s="50" t="str">
        <f>IF($E69="","",IF($JL69=1,INDEX(工数管理!$A$3:$A$98,$E69)&amp;"",IF(INDEX(工数管理!$AK$3:$AK$98,$E69)="","未割当",INDEX(工数管理!$AK$3:$AK$98,$E69))))</f>
        <v/>
      </c>
      <c r="B69" s="51" t="str">
        <f>IF($E69="","",IF($JL69=1,"",INDEX(工数管理!$A$3:$A$98,$E69)&amp;""))</f>
        <v/>
      </c>
      <c r="C69" s="50" t="str">
        <f>IF($E69="","",IF($JL69=1,"",INDEX(工数管理!$B$3:$B$98,$E69)&amp;""))</f>
        <v/>
      </c>
      <c r="D69" s="50" t="str">
        <f>IF($E69="","",INDEX(工数管理!$H$3:$H$98,$E69)&amp;"")</f>
        <v/>
      </c>
      <c r="E69" t="str">
        <f>IFERROR(MATCH(SMALL(工数管理!$BP$3:$BP$98,ROW()-3),工数管理!$BP$3:$BP$98,0),"")</f>
        <v/>
      </c>
      <c r="F69" t="str">
        <f>IF($E69="","",IF(INDEX(工数管理!$K$3:$K$98,$E69)="","",INDEX(工数管理!$K$3:$K$98,$E69)))</f>
        <v/>
      </c>
      <c r="G69" t="str">
        <f>IF($E69="","",IF(INDEX(工数管理!$L$3:$L$98,$E69)="","",INDEX(工数管理!$L$3:$L$98,$E69)))</f>
        <v/>
      </c>
      <c r="H69" t="str">
        <f>IF($E69="","",IF(INDEX(工数管理!$M$3:$M$98,$E69)="","",INDEX(工数管理!$M$3:$M$98,$E69)))</f>
        <v/>
      </c>
      <c r="I69" t="str">
        <f>IF($E69="","",IF(INDEX(工数管理!$N$3:$N$98,$E69)="","",INDEX(工数管理!$N$3:$N$98,$E69)))</f>
        <v/>
      </c>
      <c r="J69" t="str">
        <f>IF($E69="","",IF(INDEX(工数管理!$O$3:$O$98,$E69)="","",INDEX(工数管理!$O$3:$O$98,$E69)))</f>
        <v/>
      </c>
      <c r="K69" t="str">
        <f>IF($E69="","",IF(INDEX(工数管理!$P$3:$P$98,$E69)="","",INDEX(工数管理!$P$3:$P$98,$E69)))</f>
        <v/>
      </c>
      <c r="L69" t="str">
        <f>IF($E69="","",IF(INDEX(工数管理!$Q$3:$Q$98,$E69)="","",INDEX(工数管理!$Q$3:$Q$98,$E69)))</f>
        <v/>
      </c>
      <c r="M69" t="str">
        <f>IF($E69="","",IF(INDEX(工数管理!$R$3:$R$98,$E69)="","",INDEX(工数管理!$R$3:$R$98,$E69)))</f>
        <v/>
      </c>
      <c r="N69" t="str">
        <f>IF($E69="","",IF(INDEX(工数管理!$S$3:$S$98,$E69)="","",INDEX(工数管理!$S$3:$S$98,$E69)))</f>
        <v/>
      </c>
      <c r="O69" t="str">
        <f>IF($E69="","",IF(INDEX(工数管理!$T$3:$T$98,$E69)="","",INDEX(工数管理!$T$3:$T$98,$E69)))</f>
        <v/>
      </c>
      <c r="P69" t="str">
        <f>IF($E69="","",IF(INDEX(工数管理!$U$3:$U$98,$E69)="","",INDEX(工数管理!$U$3:$U$98,$E69)))</f>
        <v/>
      </c>
      <c r="Q69" t="str">
        <f>IF($E69="","",IF(INDEX(工数管理!$V$3:$V$98,$E69)="","",INDEX(工数管理!$V$3:$V$98,$E69)))</f>
        <v/>
      </c>
      <c r="R69" t="str">
        <f>IF($E69="","",IF(INDEX(工数管理!$W$3:$W$98,$E69)="","",INDEX(工数管理!$W$3:$W$98,$E69)))</f>
        <v/>
      </c>
      <c r="S69" t="str">
        <f>IF($E69="","",IF(INDEX(工数管理!$X$3:$X$98,$E69)="","",INDEX(工数管理!$X$3:$X$98,$E69)))</f>
        <v/>
      </c>
      <c r="T69" t="str">
        <f>IF($E69="","",IF(INDEX(工数管理!$Y$3:$Y$98,$E69)="","",INDEX(工数管理!$Y$3:$Y$98,$E69)))</f>
        <v/>
      </c>
      <c r="U69" t="str">
        <f>IF($E69="","",IF(INDEX(工数管理!$Z$3:$Z$98,$E69)="","",INDEX(工数管理!$Z$3:$Z$98,$E69)))</f>
        <v/>
      </c>
      <c r="V69" t="str">
        <f>IF($E69="","",IF(INDEX(工数管理!$AA$3:$AA$98,$E69)="","",INDEX(工数管理!$AA$3:$AA$98,$E69)))</f>
        <v/>
      </c>
      <c r="W69" t="str">
        <f>IF($E69="","",IF(INDEX(工数管理!$AB$3:$AB$98,$E69)="","",INDEX(工数管理!$AB$3:$AB$98,$E69)))</f>
        <v/>
      </c>
      <c r="X69" t="str">
        <f>IF($E69="","",IF(INDEX(工数管理!$AC$3:$AC$98,$E69)="","",INDEX(工数管理!$AC$3:$AC$98,$E69)))</f>
        <v/>
      </c>
      <c r="Y69" t="str">
        <f>IF($E69="","",IF(INDEX(工数管理!$AD$3:$AD$98,$E69)="","",INDEX(工数管理!$AD$3:$AD$98,$E69)))</f>
        <v/>
      </c>
      <c r="Z69" t="str">
        <f>IF($E69="","",IF(INDEX(工数管理!$AE$3:$AE$98,$E69)="","",INDEX(工数管理!$AE$3:$AE$98,$E69)))</f>
        <v/>
      </c>
      <c r="AA69" t="str">
        <f>IF($E69="","",IF(INDEX(工数管理!$AF$3:$AF$98,$E69)="","",INDEX(工数管理!$AF$3:$AF$98,$E69)))</f>
        <v/>
      </c>
      <c r="AB69" t="str">
        <f>IF($E69="","",IF(INDEX(工数管理!$AG$3:$AG$98,$E69)="","",INDEX(工数管理!$AG$3:$AG$98,$E69)))</f>
        <v/>
      </c>
      <c r="AC69" t="str">
        <f>IF($E69="","",IF(INDEX(工数管理!$AH$3:$AH$98,$E69)="","",INDEX(工数管理!$AH$3:$AH$98,$E69)))</f>
        <v/>
      </c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2"/>
      <c r="FB69" s="52"/>
      <c r="FC69" s="52"/>
      <c r="FD69" s="52"/>
      <c r="FE69" s="52"/>
      <c r="FF69" s="52"/>
      <c r="FG69" s="52"/>
      <c r="FH69" s="52"/>
      <c r="FI69" s="52"/>
      <c r="FJ69" s="52"/>
      <c r="FK69" s="52"/>
      <c r="FL69" s="52"/>
      <c r="FM69" s="52"/>
      <c r="FN69" s="52"/>
      <c r="FO69" s="52"/>
      <c r="FP69" s="52"/>
      <c r="FQ69" s="52"/>
      <c r="FR69" s="52"/>
      <c r="FS69" s="52"/>
      <c r="FT69" s="52"/>
      <c r="FU69" s="52"/>
      <c r="FV69" s="52"/>
      <c r="FW69" s="52"/>
      <c r="FX69" s="52"/>
      <c r="FY69" s="52"/>
      <c r="FZ69" s="52"/>
      <c r="GA69" s="52"/>
      <c r="GB69" s="52"/>
      <c r="GC69" s="52"/>
      <c r="GD69" s="52"/>
      <c r="GE69" s="52"/>
      <c r="GF69" s="52"/>
      <c r="GG69" s="52"/>
      <c r="GH69" s="52"/>
      <c r="GI69" s="52"/>
      <c r="GJ69" s="52"/>
      <c r="GK69" s="52"/>
      <c r="GL69" s="52"/>
      <c r="GM69" s="52"/>
      <c r="GN69" s="52"/>
      <c r="GO69" s="52"/>
      <c r="GP69" s="52"/>
      <c r="GQ69" s="52"/>
      <c r="GR69" s="52"/>
      <c r="GS69" s="52"/>
      <c r="GT69" s="52"/>
      <c r="GU69" s="52"/>
      <c r="GV69" s="52"/>
      <c r="GW69" s="52"/>
      <c r="GX69" s="52"/>
      <c r="GY69" s="52"/>
      <c r="GZ69" s="52"/>
      <c r="HA69" s="52"/>
      <c r="HB69" s="52"/>
      <c r="HC69" s="52"/>
      <c r="HD69" s="52"/>
      <c r="HE69" s="52"/>
      <c r="HF69" s="52"/>
      <c r="HG69" s="52"/>
      <c r="HH69" s="52"/>
      <c r="HI69" s="52"/>
      <c r="HJ69" s="52"/>
      <c r="HK69" s="52"/>
      <c r="HL69" s="52"/>
      <c r="HM69" s="52"/>
      <c r="HN69" s="52"/>
      <c r="HO69" s="52"/>
      <c r="HP69" s="52"/>
      <c r="HQ69" s="52"/>
      <c r="HR69" s="52"/>
      <c r="HS69" s="52"/>
      <c r="HT69" s="52"/>
      <c r="HU69" s="52"/>
      <c r="HV69" s="52"/>
      <c r="HW69" s="52"/>
      <c r="HX69" s="52"/>
      <c r="HY69" s="52"/>
      <c r="HZ69" s="52"/>
      <c r="IA69" s="52"/>
      <c r="IB69" s="52"/>
      <c r="IC69" s="52"/>
      <c r="ID69" s="52"/>
      <c r="IE69" s="52"/>
      <c r="IF69" s="52"/>
      <c r="IG69" s="52"/>
      <c r="IH69" s="52"/>
      <c r="II69" s="52"/>
      <c r="IJ69" s="52"/>
      <c r="IK69" s="52"/>
      <c r="IL69" s="52"/>
      <c r="IM69" s="52"/>
      <c r="IN69" s="52"/>
      <c r="IO69" s="52"/>
      <c r="IP69" s="52"/>
      <c r="IQ69" s="52"/>
      <c r="IR69" s="52"/>
      <c r="IS69" s="52"/>
      <c r="IT69" s="52"/>
      <c r="IU69" s="52"/>
      <c r="IV69" s="52"/>
      <c r="IW69" s="52"/>
      <c r="IX69" s="52"/>
      <c r="IY69" s="52"/>
      <c r="IZ69" s="52"/>
      <c r="JA69" s="52"/>
      <c r="JB69" s="52"/>
      <c r="JC69" s="52"/>
      <c r="JD69" s="52"/>
      <c r="JE69" s="52"/>
      <c r="JF69" s="52"/>
      <c r="JG69" s="52"/>
      <c r="JH69" s="52"/>
      <c r="JI69" s="52"/>
      <c r="JL69" t="str">
        <f>IF($E69="","",IF(INDEX(工数管理!$AJ$3:$AJ$98,$E69)&lt;&gt;"",1,0))</f>
        <v/>
      </c>
      <c r="JM69" t="str">
        <f>IF($E69="","",IFERROR(MATCH($A69,祝日!$J$1:$L$1,0),""))</f>
        <v/>
      </c>
    </row>
    <row r="70" spans="1:273" ht="14.25" customHeight="1" x14ac:dyDescent="0.15">
      <c r="A70" s="50" t="str">
        <f>IF($E70="","",IF($JL70=1,INDEX(工数管理!$A$3:$A$98,$E70)&amp;"",IF(INDEX(工数管理!$AK$3:$AK$98,$E70)="","未割当",INDEX(工数管理!$AK$3:$AK$98,$E70))))</f>
        <v/>
      </c>
      <c r="B70" s="51" t="str">
        <f>IF($E70="","",IF($JL70=1,"",INDEX(工数管理!$A$3:$A$98,$E70)&amp;""))</f>
        <v/>
      </c>
      <c r="C70" s="50" t="str">
        <f>IF($E70="","",IF($JL70=1,"",INDEX(工数管理!$B$3:$B$98,$E70)&amp;""))</f>
        <v/>
      </c>
      <c r="D70" s="50" t="str">
        <f>IF($E70="","",INDEX(工数管理!$H$3:$H$98,$E70)&amp;"")</f>
        <v/>
      </c>
      <c r="E70" t="str">
        <f>IFERROR(MATCH(SMALL(工数管理!$BP$3:$BP$98,ROW()-3),工数管理!$BP$3:$BP$98,0),"")</f>
        <v/>
      </c>
      <c r="F70" t="str">
        <f>IF($E70="","",IF(INDEX(工数管理!$K$3:$K$98,$E70)="","",INDEX(工数管理!$K$3:$K$98,$E70)))</f>
        <v/>
      </c>
      <c r="G70" t="str">
        <f>IF($E70="","",IF(INDEX(工数管理!$L$3:$L$98,$E70)="","",INDEX(工数管理!$L$3:$L$98,$E70)))</f>
        <v/>
      </c>
      <c r="H70" t="str">
        <f>IF($E70="","",IF(INDEX(工数管理!$M$3:$M$98,$E70)="","",INDEX(工数管理!$M$3:$M$98,$E70)))</f>
        <v/>
      </c>
      <c r="I70" t="str">
        <f>IF($E70="","",IF(INDEX(工数管理!$N$3:$N$98,$E70)="","",INDEX(工数管理!$N$3:$N$98,$E70)))</f>
        <v/>
      </c>
      <c r="J70" t="str">
        <f>IF($E70="","",IF(INDEX(工数管理!$O$3:$O$98,$E70)="","",INDEX(工数管理!$O$3:$O$98,$E70)))</f>
        <v/>
      </c>
      <c r="K70" t="str">
        <f>IF($E70="","",IF(INDEX(工数管理!$P$3:$P$98,$E70)="","",INDEX(工数管理!$P$3:$P$98,$E70)))</f>
        <v/>
      </c>
      <c r="L70" t="str">
        <f>IF($E70="","",IF(INDEX(工数管理!$Q$3:$Q$98,$E70)="","",INDEX(工数管理!$Q$3:$Q$98,$E70)))</f>
        <v/>
      </c>
      <c r="M70" t="str">
        <f>IF($E70="","",IF(INDEX(工数管理!$R$3:$R$98,$E70)="","",INDEX(工数管理!$R$3:$R$98,$E70)))</f>
        <v/>
      </c>
      <c r="N70" t="str">
        <f>IF($E70="","",IF(INDEX(工数管理!$S$3:$S$98,$E70)="","",INDEX(工数管理!$S$3:$S$98,$E70)))</f>
        <v/>
      </c>
      <c r="O70" t="str">
        <f>IF($E70="","",IF(INDEX(工数管理!$T$3:$T$98,$E70)="","",INDEX(工数管理!$T$3:$T$98,$E70)))</f>
        <v/>
      </c>
      <c r="P70" t="str">
        <f>IF($E70="","",IF(INDEX(工数管理!$U$3:$U$98,$E70)="","",INDEX(工数管理!$U$3:$U$98,$E70)))</f>
        <v/>
      </c>
      <c r="Q70" t="str">
        <f>IF($E70="","",IF(INDEX(工数管理!$V$3:$V$98,$E70)="","",INDEX(工数管理!$V$3:$V$98,$E70)))</f>
        <v/>
      </c>
      <c r="R70" t="str">
        <f>IF($E70="","",IF(INDEX(工数管理!$W$3:$W$98,$E70)="","",INDEX(工数管理!$W$3:$W$98,$E70)))</f>
        <v/>
      </c>
      <c r="S70" t="str">
        <f>IF($E70="","",IF(INDEX(工数管理!$X$3:$X$98,$E70)="","",INDEX(工数管理!$X$3:$X$98,$E70)))</f>
        <v/>
      </c>
      <c r="T70" t="str">
        <f>IF($E70="","",IF(INDEX(工数管理!$Y$3:$Y$98,$E70)="","",INDEX(工数管理!$Y$3:$Y$98,$E70)))</f>
        <v/>
      </c>
      <c r="U70" t="str">
        <f>IF($E70="","",IF(INDEX(工数管理!$Z$3:$Z$98,$E70)="","",INDEX(工数管理!$Z$3:$Z$98,$E70)))</f>
        <v/>
      </c>
      <c r="V70" t="str">
        <f>IF($E70="","",IF(INDEX(工数管理!$AA$3:$AA$98,$E70)="","",INDEX(工数管理!$AA$3:$AA$98,$E70)))</f>
        <v/>
      </c>
      <c r="W70" t="str">
        <f>IF($E70="","",IF(INDEX(工数管理!$AB$3:$AB$98,$E70)="","",INDEX(工数管理!$AB$3:$AB$98,$E70)))</f>
        <v/>
      </c>
      <c r="X70" t="str">
        <f>IF($E70="","",IF(INDEX(工数管理!$AC$3:$AC$98,$E70)="","",INDEX(工数管理!$AC$3:$AC$98,$E70)))</f>
        <v/>
      </c>
      <c r="Y70" t="str">
        <f>IF($E70="","",IF(INDEX(工数管理!$AD$3:$AD$98,$E70)="","",INDEX(工数管理!$AD$3:$AD$98,$E70)))</f>
        <v/>
      </c>
      <c r="Z70" t="str">
        <f>IF($E70="","",IF(INDEX(工数管理!$AE$3:$AE$98,$E70)="","",INDEX(工数管理!$AE$3:$AE$98,$E70)))</f>
        <v/>
      </c>
      <c r="AA70" t="str">
        <f>IF($E70="","",IF(INDEX(工数管理!$AF$3:$AF$98,$E70)="","",INDEX(工数管理!$AF$3:$AF$98,$E70)))</f>
        <v/>
      </c>
      <c r="AB70" t="str">
        <f>IF($E70="","",IF(INDEX(工数管理!$AG$3:$AG$98,$E70)="","",INDEX(工数管理!$AG$3:$AG$98,$E70)))</f>
        <v/>
      </c>
      <c r="AC70" t="str">
        <f>IF($E70="","",IF(INDEX(工数管理!$AH$3:$AH$98,$E70)="","",INDEX(工数管理!$AH$3:$AH$98,$E70)))</f>
        <v/>
      </c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  <c r="FB70" s="52"/>
      <c r="FC70" s="52"/>
      <c r="FD70" s="52"/>
      <c r="FE70" s="52"/>
      <c r="FF70" s="52"/>
      <c r="FG70" s="52"/>
      <c r="FH70" s="52"/>
      <c r="FI70" s="52"/>
      <c r="FJ70" s="52"/>
      <c r="FK70" s="52"/>
      <c r="FL70" s="52"/>
      <c r="FM70" s="52"/>
      <c r="FN70" s="52"/>
      <c r="FO70" s="52"/>
      <c r="FP70" s="52"/>
      <c r="FQ70" s="52"/>
      <c r="FR70" s="52"/>
      <c r="FS70" s="52"/>
      <c r="FT70" s="52"/>
      <c r="FU70" s="52"/>
      <c r="FV70" s="52"/>
      <c r="FW70" s="52"/>
      <c r="FX70" s="52"/>
      <c r="FY70" s="52"/>
      <c r="FZ70" s="52"/>
      <c r="GA70" s="52"/>
      <c r="GB70" s="52"/>
      <c r="GC70" s="52"/>
      <c r="GD70" s="52"/>
      <c r="GE70" s="52"/>
      <c r="GF70" s="52"/>
      <c r="GG70" s="52"/>
      <c r="GH70" s="52"/>
      <c r="GI70" s="52"/>
      <c r="GJ70" s="52"/>
      <c r="GK70" s="52"/>
      <c r="GL70" s="52"/>
      <c r="GM70" s="52"/>
      <c r="GN70" s="52"/>
      <c r="GO70" s="52"/>
      <c r="GP70" s="52"/>
      <c r="GQ70" s="52"/>
      <c r="GR70" s="52"/>
      <c r="GS70" s="52"/>
      <c r="GT70" s="52"/>
      <c r="GU70" s="52"/>
      <c r="GV70" s="52"/>
      <c r="GW70" s="52"/>
      <c r="GX70" s="52"/>
      <c r="GY70" s="52"/>
      <c r="GZ70" s="52"/>
      <c r="HA70" s="52"/>
      <c r="HB70" s="52"/>
      <c r="HC70" s="52"/>
      <c r="HD70" s="52"/>
      <c r="HE70" s="52"/>
      <c r="HF70" s="52"/>
      <c r="HG70" s="52"/>
      <c r="HH70" s="52"/>
      <c r="HI70" s="52"/>
      <c r="HJ70" s="52"/>
      <c r="HK70" s="52"/>
      <c r="HL70" s="52"/>
      <c r="HM70" s="52"/>
      <c r="HN70" s="52"/>
      <c r="HO70" s="52"/>
      <c r="HP70" s="52"/>
      <c r="HQ70" s="52"/>
      <c r="HR70" s="52"/>
      <c r="HS70" s="52"/>
      <c r="HT70" s="52"/>
      <c r="HU70" s="52"/>
      <c r="HV70" s="52"/>
      <c r="HW70" s="52"/>
      <c r="HX70" s="52"/>
      <c r="HY70" s="52"/>
      <c r="HZ70" s="52"/>
      <c r="IA70" s="52"/>
      <c r="IB70" s="52"/>
      <c r="IC70" s="52"/>
      <c r="ID70" s="52"/>
      <c r="IE70" s="52"/>
      <c r="IF70" s="52"/>
      <c r="IG70" s="52"/>
      <c r="IH70" s="52"/>
      <c r="II70" s="52"/>
      <c r="IJ70" s="52"/>
      <c r="IK70" s="52"/>
      <c r="IL70" s="52"/>
      <c r="IM70" s="52"/>
      <c r="IN70" s="52"/>
      <c r="IO70" s="52"/>
      <c r="IP70" s="52"/>
      <c r="IQ70" s="52"/>
      <c r="IR70" s="52"/>
      <c r="IS70" s="52"/>
      <c r="IT70" s="52"/>
      <c r="IU70" s="52"/>
      <c r="IV70" s="52"/>
      <c r="IW70" s="52"/>
      <c r="IX70" s="52"/>
      <c r="IY70" s="52"/>
      <c r="IZ70" s="52"/>
      <c r="JA70" s="52"/>
      <c r="JB70" s="52"/>
      <c r="JC70" s="52"/>
      <c r="JD70" s="52"/>
      <c r="JE70" s="52"/>
      <c r="JF70" s="52"/>
      <c r="JG70" s="52"/>
      <c r="JH70" s="52"/>
      <c r="JI70" s="52"/>
      <c r="JL70" t="str">
        <f>IF($E70="","",IF(INDEX(工数管理!$AJ$3:$AJ$98,$E70)&lt;&gt;"",1,0))</f>
        <v/>
      </c>
      <c r="JM70" t="str">
        <f>IF($E70="","",IFERROR(MATCH($A70,祝日!$J$1:$L$1,0),""))</f>
        <v/>
      </c>
    </row>
    <row r="71" spans="1:273" ht="14.25" customHeight="1" x14ac:dyDescent="0.15">
      <c r="A71" s="50" t="str">
        <f>IF($E71="","",IF($JL71=1,INDEX(工数管理!$A$3:$A$98,$E71)&amp;"",IF(INDEX(工数管理!$AK$3:$AK$98,$E71)="","未割当",INDEX(工数管理!$AK$3:$AK$98,$E71))))</f>
        <v/>
      </c>
      <c r="B71" s="51" t="str">
        <f>IF($E71="","",IF($JL71=1,"",INDEX(工数管理!$A$3:$A$98,$E71)&amp;""))</f>
        <v/>
      </c>
      <c r="C71" s="50" t="str">
        <f>IF($E71="","",IF($JL71=1,"",INDEX(工数管理!$B$3:$B$98,$E71)&amp;""))</f>
        <v/>
      </c>
      <c r="D71" s="50" t="str">
        <f>IF($E71="","",INDEX(工数管理!$H$3:$H$98,$E71)&amp;"")</f>
        <v/>
      </c>
      <c r="E71" t="str">
        <f>IFERROR(MATCH(SMALL(工数管理!$BP$3:$BP$98,ROW()-3),工数管理!$BP$3:$BP$98,0),"")</f>
        <v/>
      </c>
      <c r="F71" t="str">
        <f>IF($E71="","",IF(INDEX(工数管理!$K$3:$K$98,$E71)="","",INDEX(工数管理!$K$3:$K$98,$E71)))</f>
        <v/>
      </c>
      <c r="G71" t="str">
        <f>IF($E71="","",IF(INDEX(工数管理!$L$3:$L$98,$E71)="","",INDEX(工数管理!$L$3:$L$98,$E71)))</f>
        <v/>
      </c>
      <c r="H71" t="str">
        <f>IF($E71="","",IF(INDEX(工数管理!$M$3:$M$98,$E71)="","",INDEX(工数管理!$M$3:$M$98,$E71)))</f>
        <v/>
      </c>
      <c r="I71" t="str">
        <f>IF($E71="","",IF(INDEX(工数管理!$N$3:$N$98,$E71)="","",INDEX(工数管理!$N$3:$N$98,$E71)))</f>
        <v/>
      </c>
      <c r="J71" t="str">
        <f>IF($E71="","",IF(INDEX(工数管理!$O$3:$O$98,$E71)="","",INDEX(工数管理!$O$3:$O$98,$E71)))</f>
        <v/>
      </c>
      <c r="K71" t="str">
        <f>IF($E71="","",IF(INDEX(工数管理!$P$3:$P$98,$E71)="","",INDEX(工数管理!$P$3:$P$98,$E71)))</f>
        <v/>
      </c>
      <c r="L71" t="str">
        <f>IF($E71="","",IF(INDEX(工数管理!$Q$3:$Q$98,$E71)="","",INDEX(工数管理!$Q$3:$Q$98,$E71)))</f>
        <v/>
      </c>
      <c r="M71" t="str">
        <f>IF($E71="","",IF(INDEX(工数管理!$R$3:$R$98,$E71)="","",INDEX(工数管理!$R$3:$R$98,$E71)))</f>
        <v/>
      </c>
      <c r="N71" t="str">
        <f>IF($E71="","",IF(INDEX(工数管理!$S$3:$S$98,$E71)="","",INDEX(工数管理!$S$3:$S$98,$E71)))</f>
        <v/>
      </c>
      <c r="O71" t="str">
        <f>IF($E71="","",IF(INDEX(工数管理!$T$3:$T$98,$E71)="","",INDEX(工数管理!$T$3:$T$98,$E71)))</f>
        <v/>
      </c>
      <c r="P71" t="str">
        <f>IF($E71="","",IF(INDEX(工数管理!$U$3:$U$98,$E71)="","",INDEX(工数管理!$U$3:$U$98,$E71)))</f>
        <v/>
      </c>
      <c r="Q71" t="str">
        <f>IF($E71="","",IF(INDEX(工数管理!$V$3:$V$98,$E71)="","",INDEX(工数管理!$V$3:$V$98,$E71)))</f>
        <v/>
      </c>
      <c r="R71" t="str">
        <f>IF($E71="","",IF(INDEX(工数管理!$W$3:$W$98,$E71)="","",INDEX(工数管理!$W$3:$W$98,$E71)))</f>
        <v/>
      </c>
      <c r="S71" t="str">
        <f>IF($E71="","",IF(INDEX(工数管理!$X$3:$X$98,$E71)="","",INDEX(工数管理!$X$3:$X$98,$E71)))</f>
        <v/>
      </c>
      <c r="T71" t="str">
        <f>IF($E71="","",IF(INDEX(工数管理!$Y$3:$Y$98,$E71)="","",INDEX(工数管理!$Y$3:$Y$98,$E71)))</f>
        <v/>
      </c>
      <c r="U71" t="str">
        <f>IF($E71="","",IF(INDEX(工数管理!$Z$3:$Z$98,$E71)="","",INDEX(工数管理!$Z$3:$Z$98,$E71)))</f>
        <v/>
      </c>
      <c r="V71" t="str">
        <f>IF($E71="","",IF(INDEX(工数管理!$AA$3:$AA$98,$E71)="","",INDEX(工数管理!$AA$3:$AA$98,$E71)))</f>
        <v/>
      </c>
      <c r="W71" t="str">
        <f>IF($E71="","",IF(INDEX(工数管理!$AB$3:$AB$98,$E71)="","",INDEX(工数管理!$AB$3:$AB$98,$E71)))</f>
        <v/>
      </c>
      <c r="X71" t="str">
        <f>IF($E71="","",IF(INDEX(工数管理!$AC$3:$AC$98,$E71)="","",INDEX(工数管理!$AC$3:$AC$98,$E71)))</f>
        <v/>
      </c>
      <c r="Y71" t="str">
        <f>IF($E71="","",IF(INDEX(工数管理!$AD$3:$AD$98,$E71)="","",INDEX(工数管理!$AD$3:$AD$98,$E71)))</f>
        <v/>
      </c>
      <c r="Z71" t="str">
        <f>IF($E71="","",IF(INDEX(工数管理!$AE$3:$AE$98,$E71)="","",INDEX(工数管理!$AE$3:$AE$98,$E71)))</f>
        <v/>
      </c>
      <c r="AA71" t="str">
        <f>IF($E71="","",IF(INDEX(工数管理!$AF$3:$AF$98,$E71)="","",INDEX(工数管理!$AF$3:$AF$98,$E71)))</f>
        <v/>
      </c>
      <c r="AB71" t="str">
        <f>IF($E71="","",IF(INDEX(工数管理!$AG$3:$AG$98,$E71)="","",INDEX(工数管理!$AG$3:$AG$98,$E71)))</f>
        <v/>
      </c>
      <c r="AC71" t="str">
        <f>IF($E71="","",IF(INDEX(工数管理!$AH$3:$AH$98,$E71)="","",INDEX(工数管理!$AH$3:$AH$98,$E71)))</f>
        <v/>
      </c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  <c r="FB71" s="52"/>
      <c r="FC71" s="52"/>
      <c r="FD71" s="52"/>
      <c r="FE71" s="52"/>
      <c r="FF71" s="52"/>
      <c r="FG71" s="52"/>
      <c r="FH71" s="52"/>
      <c r="FI71" s="52"/>
      <c r="FJ71" s="52"/>
      <c r="FK71" s="52"/>
      <c r="FL71" s="52"/>
      <c r="FM71" s="52"/>
      <c r="FN71" s="52"/>
      <c r="FO71" s="52"/>
      <c r="FP71" s="52"/>
      <c r="FQ71" s="52"/>
      <c r="FR71" s="52"/>
      <c r="FS71" s="52"/>
      <c r="FT71" s="52"/>
      <c r="FU71" s="52"/>
      <c r="FV71" s="52"/>
      <c r="FW71" s="52"/>
      <c r="FX71" s="52"/>
      <c r="FY71" s="52"/>
      <c r="FZ71" s="52"/>
      <c r="GA71" s="52"/>
      <c r="GB71" s="52"/>
      <c r="GC71" s="52"/>
      <c r="GD71" s="52"/>
      <c r="GE71" s="52"/>
      <c r="GF71" s="52"/>
      <c r="GG71" s="52"/>
      <c r="GH71" s="52"/>
      <c r="GI71" s="52"/>
      <c r="GJ71" s="52"/>
      <c r="GK71" s="52"/>
      <c r="GL71" s="52"/>
      <c r="GM71" s="52"/>
      <c r="GN71" s="52"/>
      <c r="GO71" s="52"/>
      <c r="GP71" s="52"/>
      <c r="GQ71" s="52"/>
      <c r="GR71" s="52"/>
      <c r="GS71" s="52"/>
      <c r="GT71" s="52"/>
      <c r="GU71" s="52"/>
      <c r="GV71" s="52"/>
      <c r="GW71" s="52"/>
      <c r="GX71" s="52"/>
      <c r="GY71" s="52"/>
      <c r="GZ71" s="52"/>
      <c r="HA71" s="52"/>
      <c r="HB71" s="52"/>
      <c r="HC71" s="52"/>
      <c r="HD71" s="52"/>
      <c r="HE71" s="52"/>
      <c r="HF71" s="52"/>
      <c r="HG71" s="52"/>
      <c r="HH71" s="52"/>
      <c r="HI71" s="52"/>
      <c r="HJ71" s="52"/>
      <c r="HK71" s="52"/>
      <c r="HL71" s="52"/>
      <c r="HM71" s="52"/>
      <c r="HN71" s="52"/>
      <c r="HO71" s="52"/>
      <c r="HP71" s="52"/>
      <c r="HQ71" s="52"/>
      <c r="HR71" s="52"/>
      <c r="HS71" s="52"/>
      <c r="HT71" s="52"/>
      <c r="HU71" s="52"/>
      <c r="HV71" s="52"/>
      <c r="HW71" s="52"/>
      <c r="HX71" s="52"/>
      <c r="HY71" s="52"/>
      <c r="HZ71" s="52"/>
      <c r="IA71" s="52"/>
      <c r="IB71" s="52"/>
      <c r="IC71" s="52"/>
      <c r="ID71" s="52"/>
      <c r="IE71" s="52"/>
      <c r="IF71" s="52"/>
      <c r="IG71" s="52"/>
      <c r="IH71" s="52"/>
      <c r="II71" s="52"/>
      <c r="IJ71" s="52"/>
      <c r="IK71" s="52"/>
      <c r="IL71" s="52"/>
      <c r="IM71" s="52"/>
      <c r="IN71" s="52"/>
      <c r="IO71" s="52"/>
      <c r="IP71" s="52"/>
      <c r="IQ71" s="52"/>
      <c r="IR71" s="52"/>
      <c r="IS71" s="52"/>
      <c r="IT71" s="52"/>
      <c r="IU71" s="52"/>
      <c r="IV71" s="52"/>
      <c r="IW71" s="52"/>
      <c r="IX71" s="52"/>
      <c r="IY71" s="52"/>
      <c r="IZ71" s="52"/>
      <c r="JA71" s="52"/>
      <c r="JB71" s="52"/>
      <c r="JC71" s="52"/>
      <c r="JD71" s="52"/>
      <c r="JE71" s="52"/>
      <c r="JF71" s="52"/>
      <c r="JG71" s="52"/>
      <c r="JH71" s="52"/>
      <c r="JI71" s="52"/>
      <c r="JL71" t="str">
        <f>IF($E71="","",IF(INDEX(工数管理!$AJ$3:$AJ$98,$E71)&lt;&gt;"",1,0))</f>
        <v/>
      </c>
      <c r="JM71" t="str">
        <f>IF($E71="","",IFERROR(MATCH($A71,祝日!$J$1:$L$1,0),""))</f>
        <v/>
      </c>
    </row>
    <row r="72" spans="1:273" ht="14.25" customHeight="1" x14ac:dyDescent="0.15">
      <c r="A72" s="50" t="str">
        <f>IF($E72="","",IF($JL72=1,INDEX(工数管理!$A$3:$A$98,$E72)&amp;"",IF(INDEX(工数管理!$AK$3:$AK$98,$E72)="","未割当",INDEX(工数管理!$AK$3:$AK$98,$E72))))</f>
        <v/>
      </c>
      <c r="B72" s="51" t="str">
        <f>IF($E72="","",IF($JL72=1,"",INDEX(工数管理!$A$3:$A$98,$E72)&amp;""))</f>
        <v/>
      </c>
      <c r="C72" s="50" t="str">
        <f>IF($E72="","",IF($JL72=1,"",INDEX(工数管理!$B$3:$B$98,$E72)&amp;""))</f>
        <v/>
      </c>
      <c r="D72" s="50" t="str">
        <f>IF($E72="","",INDEX(工数管理!$H$3:$H$98,$E72)&amp;"")</f>
        <v/>
      </c>
      <c r="E72" t="str">
        <f>IFERROR(MATCH(SMALL(工数管理!$BP$3:$BP$98,ROW()-3),工数管理!$BP$3:$BP$98,0),"")</f>
        <v/>
      </c>
      <c r="F72" t="str">
        <f>IF($E72="","",IF(INDEX(工数管理!$K$3:$K$98,$E72)="","",INDEX(工数管理!$K$3:$K$98,$E72)))</f>
        <v/>
      </c>
      <c r="G72" t="str">
        <f>IF($E72="","",IF(INDEX(工数管理!$L$3:$L$98,$E72)="","",INDEX(工数管理!$L$3:$L$98,$E72)))</f>
        <v/>
      </c>
      <c r="H72" t="str">
        <f>IF($E72="","",IF(INDEX(工数管理!$M$3:$M$98,$E72)="","",INDEX(工数管理!$M$3:$M$98,$E72)))</f>
        <v/>
      </c>
      <c r="I72" t="str">
        <f>IF($E72="","",IF(INDEX(工数管理!$N$3:$N$98,$E72)="","",INDEX(工数管理!$N$3:$N$98,$E72)))</f>
        <v/>
      </c>
      <c r="J72" t="str">
        <f>IF($E72="","",IF(INDEX(工数管理!$O$3:$O$98,$E72)="","",INDEX(工数管理!$O$3:$O$98,$E72)))</f>
        <v/>
      </c>
      <c r="K72" t="str">
        <f>IF($E72="","",IF(INDEX(工数管理!$P$3:$P$98,$E72)="","",INDEX(工数管理!$P$3:$P$98,$E72)))</f>
        <v/>
      </c>
      <c r="L72" t="str">
        <f>IF($E72="","",IF(INDEX(工数管理!$Q$3:$Q$98,$E72)="","",INDEX(工数管理!$Q$3:$Q$98,$E72)))</f>
        <v/>
      </c>
      <c r="M72" t="str">
        <f>IF($E72="","",IF(INDEX(工数管理!$R$3:$R$98,$E72)="","",INDEX(工数管理!$R$3:$R$98,$E72)))</f>
        <v/>
      </c>
      <c r="N72" t="str">
        <f>IF($E72="","",IF(INDEX(工数管理!$S$3:$S$98,$E72)="","",INDEX(工数管理!$S$3:$S$98,$E72)))</f>
        <v/>
      </c>
      <c r="O72" t="str">
        <f>IF($E72="","",IF(INDEX(工数管理!$T$3:$T$98,$E72)="","",INDEX(工数管理!$T$3:$T$98,$E72)))</f>
        <v/>
      </c>
      <c r="P72" t="str">
        <f>IF($E72="","",IF(INDEX(工数管理!$U$3:$U$98,$E72)="","",INDEX(工数管理!$U$3:$U$98,$E72)))</f>
        <v/>
      </c>
      <c r="Q72" t="str">
        <f>IF($E72="","",IF(INDEX(工数管理!$V$3:$V$98,$E72)="","",INDEX(工数管理!$V$3:$V$98,$E72)))</f>
        <v/>
      </c>
      <c r="R72" t="str">
        <f>IF($E72="","",IF(INDEX(工数管理!$W$3:$W$98,$E72)="","",INDEX(工数管理!$W$3:$W$98,$E72)))</f>
        <v/>
      </c>
      <c r="S72" t="str">
        <f>IF($E72="","",IF(INDEX(工数管理!$X$3:$X$98,$E72)="","",INDEX(工数管理!$X$3:$X$98,$E72)))</f>
        <v/>
      </c>
      <c r="T72" t="str">
        <f>IF($E72="","",IF(INDEX(工数管理!$Y$3:$Y$98,$E72)="","",INDEX(工数管理!$Y$3:$Y$98,$E72)))</f>
        <v/>
      </c>
      <c r="U72" t="str">
        <f>IF($E72="","",IF(INDEX(工数管理!$Z$3:$Z$98,$E72)="","",INDEX(工数管理!$Z$3:$Z$98,$E72)))</f>
        <v/>
      </c>
      <c r="V72" t="str">
        <f>IF($E72="","",IF(INDEX(工数管理!$AA$3:$AA$98,$E72)="","",INDEX(工数管理!$AA$3:$AA$98,$E72)))</f>
        <v/>
      </c>
      <c r="W72" t="str">
        <f>IF($E72="","",IF(INDEX(工数管理!$AB$3:$AB$98,$E72)="","",INDEX(工数管理!$AB$3:$AB$98,$E72)))</f>
        <v/>
      </c>
      <c r="X72" t="str">
        <f>IF($E72="","",IF(INDEX(工数管理!$AC$3:$AC$98,$E72)="","",INDEX(工数管理!$AC$3:$AC$98,$E72)))</f>
        <v/>
      </c>
      <c r="Y72" t="str">
        <f>IF($E72="","",IF(INDEX(工数管理!$AD$3:$AD$98,$E72)="","",INDEX(工数管理!$AD$3:$AD$98,$E72)))</f>
        <v/>
      </c>
      <c r="Z72" t="str">
        <f>IF($E72="","",IF(INDEX(工数管理!$AE$3:$AE$98,$E72)="","",INDEX(工数管理!$AE$3:$AE$98,$E72)))</f>
        <v/>
      </c>
      <c r="AA72" t="str">
        <f>IF($E72="","",IF(INDEX(工数管理!$AF$3:$AF$98,$E72)="","",INDEX(工数管理!$AF$3:$AF$98,$E72)))</f>
        <v/>
      </c>
      <c r="AB72" t="str">
        <f>IF($E72="","",IF(INDEX(工数管理!$AG$3:$AG$98,$E72)="","",INDEX(工数管理!$AG$3:$AG$98,$E72)))</f>
        <v/>
      </c>
      <c r="AC72" t="str">
        <f>IF($E72="","",IF(INDEX(工数管理!$AH$3:$AH$98,$E72)="","",INDEX(工数管理!$AH$3:$AH$98,$E72)))</f>
        <v/>
      </c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  <c r="FB72" s="52"/>
      <c r="FC72" s="52"/>
      <c r="FD72" s="52"/>
      <c r="FE72" s="52"/>
      <c r="FF72" s="52"/>
      <c r="FG72" s="52"/>
      <c r="FH72" s="52"/>
      <c r="FI72" s="52"/>
      <c r="FJ72" s="52"/>
      <c r="FK72" s="52"/>
      <c r="FL72" s="52"/>
      <c r="FM72" s="52"/>
      <c r="FN72" s="52"/>
      <c r="FO72" s="52"/>
      <c r="FP72" s="52"/>
      <c r="FQ72" s="52"/>
      <c r="FR72" s="52"/>
      <c r="FS72" s="52"/>
      <c r="FT72" s="52"/>
      <c r="FU72" s="52"/>
      <c r="FV72" s="52"/>
      <c r="FW72" s="52"/>
      <c r="FX72" s="52"/>
      <c r="FY72" s="52"/>
      <c r="FZ72" s="52"/>
      <c r="GA72" s="52"/>
      <c r="GB72" s="52"/>
      <c r="GC72" s="52"/>
      <c r="GD72" s="52"/>
      <c r="GE72" s="52"/>
      <c r="GF72" s="52"/>
      <c r="GG72" s="52"/>
      <c r="GH72" s="52"/>
      <c r="GI72" s="52"/>
      <c r="GJ72" s="52"/>
      <c r="GK72" s="52"/>
      <c r="GL72" s="52"/>
      <c r="GM72" s="52"/>
      <c r="GN72" s="52"/>
      <c r="GO72" s="52"/>
      <c r="GP72" s="52"/>
      <c r="GQ72" s="52"/>
      <c r="GR72" s="52"/>
      <c r="GS72" s="52"/>
      <c r="GT72" s="52"/>
      <c r="GU72" s="52"/>
      <c r="GV72" s="52"/>
      <c r="GW72" s="52"/>
      <c r="GX72" s="52"/>
      <c r="GY72" s="52"/>
      <c r="GZ72" s="52"/>
      <c r="HA72" s="52"/>
      <c r="HB72" s="52"/>
      <c r="HC72" s="52"/>
      <c r="HD72" s="52"/>
      <c r="HE72" s="52"/>
      <c r="HF72" s="52"/>
      <c r="HG72" s="52"/>
      <c r="HH72" s="52"/>
      <c r="HI72" s="52"/>
      <c r="HJ72" s="52"/>
      <c r="HK72" s="52"/>
      <c r="HL72" s="52"/>
      <c r="HM72" s="52"/>
      <c r="HN72" s="52"/>
      <c r="HO72" s="52"/>
      <c r="HP72" s="52"/>
      <c r="HQ72" s="52"/>
      <c r="HR72" s="52"/>
      <c r="HS72" s="52"/>
      <c r="HT72" s="52"/>
      <c r="HU72" s="52"/>
      <c r="HV72" s="52"/>
      <c r="HW72" s="52"/>
      <c r="HX72" s="52"/>
      <c r="HY72" s="52"/>
      <c r="HZ72" s="52"/>
      <c r="IA72" s="52"/>
      <c r="IB72" s="52"/>
      <c r="IC72" s="52"/>
      <c r="ID72" s="52"/>
      <c r="IE72" s="52"/>
      <c r="IF72" s="52"/>
      <c r="IG72" s="52"/>
      <c r="IH72" s="52"/>
      <c r="II72" s="52"/>
      <c r="IJ72" s="52"/>
      <c r="IK72" s="52"/>
      <c r="IL72" s="52"/>
      <c r="IM72" s="52"/>
      <c r="IN72" s="52"/>
      <c r="IO72" s="52"/>
      <c r="IP72" s="52"/>
      <c r="IQ72" s="52"/>
      <c r="IR72" s="52"/>
      <c r="IS72" s="52"/>
      <c r="IT72" s="52"/>
      <c r="IU72" s="52"/>
      <c r="IV72" s="52"/>
      <c r="IW72" s="52"/>
      <c r="IX72" s="52"/>
      <c r="IY72" s="52"/>
      <c r="IZ72" s="52"/>
      <c r="JA72" s="52"/>
      <c r="JB72" s="52"/>
      <c r="JC72" s="52"/>
      <c r="JD72" s="52"/>
      <c r="JE72" s="52"/>
      <c r="JF72" s="52"/>
      <c r="JG72" s="52"/>
      <c r="JH72" s="52"/>
      <c r="JI72" s="52"/>
      <c r="JL72" t="str">
        <f>IF($E72="","",IF(INDEX(工数管理!$AJ$3:$AJ$98,$E72)&lt;&gt;"",1,0))</f>
        <v/>
      </c>
      <c r="JM72" t="str">
        <f>IF($E72="","",IFERROR(MATCH($A72,祝日!$J$1:$L$1,0),""))</f>
        <v/>
      </c>
    </row>
    <row r="73" spans="1:273" ht="14.25" customHeight="1" x14ac:dyDescent="0.15">
      <c r="A73" s="50" t="str">
        <f>IF($E73="","",IF($JL73=1,INDEX(工数管理!$A$3:$A$98,$E73)&amp;"",IF(INDEX(工数管理!$AK$3:$AK$98,$E73)="","未割当",INDEX(工数管理!$AK$3:$AK$98,$E73))))</f>
        <v/>
      </c>
      <c r="B73" s="51" t="str">
        <f>IF($E73="","",IF($JL73=1,"",INDEX(工数管理!$A$3:$A$98,$E73)&amp;""))</f>
        <v/>
      </c>
      <c r="C73" s="50" t="str">
        <f>IF($E73="","",IF($JL73=1,"",INDEX(工数管理!$B$3:$B$98,$E73)&amp;""))</f>
        <v/>
      </c>
      <c r="D73" s="50" t="str">
        <f>IF($E73="","",INDEX(工数管理!$H$3:$H$98,$E73)&amp;"")</f>
        <v/>
      </c>
      <c r="E73" t="str">
        <f>IFERROR(MATCH(SMALL(工数管理!$BP$3:$BP$98,ROW()-3),工数管理!$BP$3:$BP$98,0),"")</f>
        <v/>
      </c>
      <c r="F73" t="str">
        <f>IF($E73="","",IF(INDEX(工数管理!$K$3:$K$98,$E73)="","",INDEX(工数管理!$K$3:$K$98,$E73)))</f>
        <v/>
      </c>
      <c r="G73" t="str">
        <f>IF($E73="","",IF(INDEX(工数管理!$L$3:$L$98,$E73)="","",INDEX(工数管理!$L$3:$L$98,$E73)))</f>
        <v/>
      </c>
      <c r="H73" t="str">
        <f>IF($E73="","",IF(INDEX(工数管理!$M$3:$M$98,$E73)="","",INDEX(工数管理!$M$3:$M$98,$E73)))</f>
        <v/>
      </c>
      <c r="I73" t="str">
        <f>IF($E73="","",IF(INDEX(工数管理!$N$3:$N$98,$E73)="","",INDEX(工数管理!$N$3:$N$98,$E73)))</f>
        <v/>
      </c>
      <c r="J73" t="str">
        <f>IF($E73="","",IF(INDEX(工数管理!$O$3:$O$98,$E73)="","",INDEX(工数管理!$O$3:$O$98,$E73)))</f>
        <v/>
      </c>
      <c r="K73" t="str">
        <f>IF($E73="","",IF(INDEX(工数管理!$P$3:$P$98,$E73)="","",INDEX(工数管理!$P$3:$P$98,$E73)))</f>
        <v/>
      </c>
      <c r="L73" t="str">
        <f>IF($E73="","",IF(INDEX(工数管理!$Q$3:$Q$98,$E73)="","",INDEX(工数管理!$Q$3:$Q$98,$E73)))</f>
        <v/>
      </c>
      <c r="M73" t="str">
        <f>IF($E73="","",IF(INDEX(工数管理!$R$3:$R$98,$E73)="","",INDEX(工数管理!$R$3:$R$98,$E73)))</f>
        <v/>
      </c>
      <c r="N73" t="str">
        <f>IF($E73="","",IF(INDEX(工数管理!$S$3:$S$98,$E73)="","",INDEX(工数管理!$S$3:$S$98,$E73)))</f>
        <v/>
      </c>
      <c r="O73" t="str">
        <f>IF($E73="","",IF(INDEX(工数管理!$T$3:$T$98,$E73)="","",INDEX(工数管理!$T$3:$T$98,$E73)))</f>
        <v/>
      </c>
      <c r="P73" t="str">
        <f>IF($E73="","",IF(INDEX(工数管理!$U$3:$U$98,$E73)="","",INDEX(工数管理!$U$3:$U$98,$E73)))</f>
        <v/>
      </c>
      <c r="Q73" t="str">
        <f>IF($E73="","",IF(INDEX(工数管理!$V$3:$V$98,$E73)="","",INDEX(工数管理!$V$3:$V$98,$E73)))</f>
        <v/>
      </c>
      <c r="R73" t="str">
        <f>IF($E73="","",IF(INDEX(工数管理!$W$3:$W$98,$E73)="","",INDEX(工数管理!$W$3:$W$98,$E73)))</f>
        <v/>
      </c>
      <c r="S73" t="str">
        <f>IF($E73="","",IF(INDEX(工数管理!$X$3:$X$98,$E73)="","",INDEX(工数管理!$X$3:$X$98,$E73)))</f>
        <v/>
      </c>
      <c r="T73" t="str">
        <f>IF($E73="","",IF(INDEX(工数管理!$Y$3:$Y$98,$E73)="","",INDEX(工数管理!$Y$3:$Y$98,$E73)))</f>
        <v/>
      </c>
      <c r="U73" t="str">
        <f>IF($E73="","",IF(INDEX(工数管理!$Z$3:$Z$98,$E73)="","",INDEX(工数管理!$Z$3:$Z$98,$E73)))</f>
        <v/>
      </c>
      <c r="V73" t="str">
        <f>IF($E73="","",IF(INDEX(工数管理!$AA$3:$AA$98,$E73)="","",INDEX(工数管理!$AA$3:$AA$98,$E73)))</f>
        <v/>
      </c>
      <c r="W73" t="str">
        <f>IF($E73="","",IF(INDEX(工数管理!$AB$3:$AB$98,$E73)="","",INDEX(工数管理!$AB$3:$AB$98,$E73)))</f>
        <v/>
      </c>
      <c r="X73" t="str">
        <f>IF($E73="","",IF(INDEX(工数管理!$AC$3:$AC$98,$E73)="","",INDEX(工数管理!$AC$3:$AC$98,$E73)))</f>
        <v/>
      </c>
      <c r="Y73" t="str">
        <f>IF($E73="","",IF(INDEX(工数管理!$AD$3:$AD$98,$E73)="","",INDEX(工数管理!$AD$3:$AD$98,$E73)))</f>
        <v/>
      </c>
      <c r="Z73" t="str">
        <f>IF($E73="","",IF(INDEX(工数管理!$AE$3:$AE$98,$E73)="","",INDEX(工数管理!$AE$3:$AE$98,$E73)))</f>
        <v/>
      </c>
      <c r="AA73" t="str">
        <f>IF($E73="","",IF(INDEX(工数管理!$AF$3:$AF$98,$E73)="","",INDEX(工数管理!$AF$3:$AF$98,$E73)))</f>
        <v/>
      </c>
      <c r="AB73" t="str">
        <f>IF($E73="","",IF(INDEX(工数管理!$AG$3:$AG$98,$E73)="","",INDEX(工数管理!$AG$3:$AG$98,$E73)))</f>
        <v/>
      </c>
      <c r="AC73" t="str">
        <f>IF($E73="","",IF(INDEX(工数管理!$AH$3:$AH$98,$E73)="","",INDEX(工数管理!$AH$3:$AH$98,$E73)))</f>
        <v/>
      </c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2"/>
      <c r="FB73" s="52"/>
      <c r="FC73" s="52"/>
      <c r="FD73" s="52"/>
      <c r="FE73" s="52"/>
      <c r="FF73" s="52"/>
      <c r="FG73" s="52"/>
      <c r="FH73" s="52"/>
      <c r="FI73" s="52"/>
      <c r="FJ73" s="52"/>
      <c r="FK73" s="52"/>
      <c r="FL73" s="52"/>
      <c r="FM73" s="52"/>
      <c r="FN73" s="52"/>
      <c r="FO73" s="52"/>
      <c r="FP73" s="52"/>
      <c r="FQ73" s="52"/>
      <c r="FR73" s="52"/>
      <c r="FS73" s="52"/>
      <c r="FT73" s="52"/>
      <c r="FU73" s="52"/>
      <c r="FV73" s="52"/>
      <c r="FW73" s="52"/>
      <c r="FX73" s="52"/>
      <c r="FY73" s="52"/>
      <c r="FZ73" s="52"/>
      <c r="GA73" s="52"/>
      <c r="GB73" s="52"/>
      <c r="GC73" s="52"/>
      <c r="GD73" s="52"/>
      <c r="GE73" s="52"/>
      <c r="GF73" s="52"/>
      <c r="GG73" s="52"/>
      <c r="GH73" s="52"/>
      <c r="GI73" s="52"/>
      <c r="GJ73" s="52"/>
      <c r="GK73" s="52"/>
      <c r="GL73" s="52"/>
      <c r="GM73" s="52"/>
      <c r="GN73" s="52"/>
      <c r="GO73" s="52"/>
      <c r="GP73" s="52"/>
      <c r="GQ73" s="52"/>
      <c r="GR73" s="52"/>
      <c r="GS73" s="52"/>
      <c r="GT73" s="52"/>
      <c r="GU73" s="52"/>
      <c r="GV73" s="52"/>
      <c r="GW73" s="52"/>
      <c r="GX73" s="52"/>
      <c r="GY73" s="52"/>
      <c r="GZ73" s="52"/>
      <c r="HA73" s="52"/>
      <c r="HB73" s="52"/>
      <c r="HC73" s="52"/>
      <c r="HD73" s="52"/>
      <c r="HE73" s="52"/>
      <c r="HF73" s="52"/>
      <c r="HG73" s="52"/>
      <c r="HH73" s="52"/>
      <c r="HI73" s="52"/>
      <c r="HJ73" s="52"/>
      <c r="HK73" s="52"/>
      <c r="HL73" s="52"/>
      <c r="HM73" s="52"/>
      <c r="HN73" s="52"/>
      <c r="HO73" s="52"/>
      <c r="HP73" s="52"/>
      <c r="HQ73" s="52"/>
      <c r="HR73" s="52"/>
      <c r="HS73" s="52"/>
      <c r="HT73" s="52"/>
      <c r="HU73" s="52"/>
      <c r="HV73" s="52"/>
      <c r="HW73" s="52"/>
      <c r="HX73" s="52"/>
      <c r="HY73" s="52"/>
      <c r="HZ73" s="52"/>
      <c r="IA73" s="52"/>
      <c r="IB73" s="52"/>
      <c r="IC73" s="52"/>
      <c r="ID73" s="52"/>
      <c r="IE73" s="52"/>
      <c r="IF73" s="52"/>
      <c r="IG73" s="52"/>
      <c r="IH73" s="52"/>
      <c r="II73" s="52"/>
      <c r="IJ73" s="52"/>
      <c r="IK73" s="52"/>
      <c r="IL73" s="52"/>
      <c r="IM73" s="52"/>
      <c r="IN73" s="52"/>
      <c r="IO73" s="52"/>
      <c r="IP73" s="52"/>
      <c r="IQ73" s="52"/>
      <c r="IR73" s="52"/>
      <c r="IS73" s="52"/>
      <c r="IT73" s="52"/>
      <c r="IU73" s="52"/>
      <c r="IV73" s="52"/>
      <c r="IW73" s="52"/>
      <c r="IX73" s="52"/>
      <c r="IY73" s="52"/>
      <c r="IZ73" s="52"/>
      <c r="JA73" s="52"/>
      <c r="JB73" s="52"/>
      <c r="JC73" s="52"/>
      <c r="JD73" s="52"/>
      <c r="JE73" s="52"/>
      <c r="JF73" s="52"/>
      <c r="JG73" s="52"/>
      <c r="JH73" s="52"/>
      <c r="JI73" s="52"/>
      <c r="JL73" t="str">
        <f>IF($E73="","",IF(INDEX(工数管理!$AJ$3:$AJ$98,$E73)&lt;&gt;"",1,0))</f>
        <v/>
      </c>
      <c r="JM73" t="str">
        <f>IF($E73="","",IFERROR(MATCH($A73,祝日!$J$1:$L$1,0),""))</f>
        <v/>
      </c>
    </row>
    <row r="74" spans="1:273" ht="14.25" customHeight="1" x14ac:dyDescent="0.15">
      <c r="A74" s="50" t="str">
        <f>IF($E74="","",IF($JL74=1,INDEX(工数管理!$A$3:$A$98,$E74)&amp;"",IF(INDEX(工数管理!$AK$3:$AK$98,$E74)="","未割当",INDEX(工数管理!$AK$3:$AK$98,$E74))))</f>
        <v/>
      </c>
      <c r="B74" s="51" t="str">
        <f>IF($E74="","",IF($JL74=1,"",INDEX(工数管理!$A$3:$A$98,$E74)&amp;""))</f>
        <v/>
      </c>
      <c r="C74" s="50" t="str">
        <f>IF($E74="","",IF($JL74=1,"",INDEX(工数管理!$B$3:$B$98,$E74)&amp;""))</f>
        <v/>
      </c>
      <c r="D74" s="50" t="str">
        <f>IF($E74="","",INDEX(工数管理!$H$3:$H$98,$E74)&amp;"")</f>
        <v/>
      </c>
      <c r="E74" t="str">
        <f>IFERROR(MATCH(SMALL(工数管理!$BP$3:$BP$98,ROW()-3),工数管理!$BP$3:$BP$98,0),"")</f>
        <v/>
      </c>
      <c r="F74" t="str">
        <f>IF($E74="","",IF(INDEX(工数管理!$K$3:$K$98,$E74)="","",INDEX(工数管理!$K$3:$K$98,$E74)))</f>
        <v/>
      </c>
      <c r="G74" t="str">
        <f>IF($E74="","",IF(INDEX(工数管理!$L$3:$L$98,$E74)="","",INDEX(工数管理!$L$3:$L$98,$E74)))</f>
        <v/>
      </c>
      <c r="H74" t="str">
        <f>IF($E74="","",IF(INDEX(工数管理!$M$3:$M$98,$E74)="","",INDEX(工数管理!$M$3:$M$98,$E74)))</f>
        <v/>
      </c>
      <c r="I74" t="str">
        <f>IF($E74="","",IF(INDEX(工数管理!$N$3:$N$98,$E74)="","",INDEX(工数管理!$N$3:$N$98,$E74)))</f>
        <v/>
      </c>
      <c r="J74" t="str">
        <f>IF($E74="","",IF(INDEX(工数管理!$O$3:$O$98,$E74)="","",INDEX(工数管理!$O$3:$O$98,$E74)))</f>
        <v/>
      </c>
      <c r="K74" t="str">
        <f>IF($E74="","",IF(INDEX(工数管理!$P$3:$P$98,$E74)="","",INDEX(工数管理!$P$3:$P$98,$E74)))</f>
        <v/>
      </c>
      <c r="L74" t="str">
        <f>IF($E74="","",IF(INDEX(工数管理!$Q$3:$Q$98,$E74)="","",INDEX(工数管理!$Q$3:$Q$98,$E74)))</f>
        <v/>
      </c>
      <c r="M74" t="str">
        <f>IF($E74="","",IF(INDEX(工数管理!$R$3:$R$98,$E74)="","",INDEX(工数管理!$R$3:$R$98,$E74)))</f>
        <v/>
      </c>
      <c r="N74" t="str">
        <f>IF($E74="","",IF(INDEX(工数管理!$S$3:$S$98,$E74)="","",INDEX(工数管理!$S$3:$S$98,$E74)))</f>
        <v/>
      </c>
      <c r="O74" t="str">
        <f>IF($E74="","",IF(INDEX(工数管理!$T$3:$T$98,$E74)="","",INDEX(工数管理!$T$3:$T$98,$E74)))</f>
        <v/>
      </c>
      <c r="P74" t="str">
        <f>IF($E74="","",IF(INDEX(工数管理!$U$3:$U$98,$E74)="","",INDEX(工数管理!$U$3:$U$98,$E74)))</f>
        <v/>
      </c>
      <c r="Q74" t="str">
        <f>IF($E74="","",IF(INDEX(工数管理!$V$3:$V$98,$E74)="","",INDEX(工数管理!$V$3:$V$98,$E74)))</f>
        <v/>
      </c>
      <c r="R74" t="str">
        <f>IF($E74="","",IF(INDEX(工数管理!$W$3:$W$98,$E74)="","",INDEX(工数管理!$W$3:$W$98,$E74)))</f>
        <v/>
      </c>
      <c r="S74" t="str">
        <f>IF($E74="","",IF(INDEX(工数管理!$X$3:$X$98,$E74)="","",INDEX(工数管理!$X$3:$X$98,$E74)))</f>
        <v/>
      </c>
      <c r="T74" t="str">
        <f>IF($E74="","",IF(INDEX(工数管理!$Y$3:$Y$98,$E74)="","",INDEX(工数管理!$Y$3:$Y$98,$E74)))</f>
        <v/>
      </c>
      <c r="U74" t="str">
        <f>IF($E74="","",IF(INDEX(工数管理!$Z$3:$Z$98,$E74)="","",INDEX(工数管理!$Z$3:$Z$98,$E74)))</f>
        <v/>
      </c>
      <c r="V74" t="str">
        <f>IF($E74="","",IF(INDEX(工数管理!$AA$3:$AA$98,$E74)="","",INDEX(工数管理!$AA$3:$AA$98,$E74)))</f>
        <v/>
      </c>
      <c r="W74" t="str">
        <f>IF($E74="","",IF(INDEX(工数管理!$AB$3:$AB$98,$E74)="","",INDEX(工数管理!$AB$3:$AB$98,$E74)))</f>
        <v/>
      </c>
      <c r="X74" t="str">
        <f>IF($E74="","",IF(INDEX(工数管理!$AC$3:$AC$98,$E74)="","",INDEX(工数管理!$AC$3:$AC$98,$E74)))</f>
        <v/>
      </c>
      <c r="Y74" t="str">
        <f>IF($E74="","",IF(INDEX(工数管理!$AD$3:$AD$98,$E74)="","",INDEX(工数管理!$AD$3:$AD$98,$E74)))</f>
        <v/>
      </c>
      <c r="Z74" t="str">
        <f>IF($E74="","",IF(INDEX(工数管理!$AE$3:$AE$98,$E74)="","",INDEX(工数管理!$AE$3:$AE$98,$E74)))</f>
        <v/>
      </c>
      <c r="AA74" t="str">
        <f>IF($E74="","",IF(INDEX(工数管理!$AF$3:$AF$98,$E74)="","",INDEX(工数管理!$AF$3:$AF$98,$E74)))</f>
        <v/>
      </c>
      <c r="AB74" t="str">
        <f>IF($E74="","",IF(INDEX(工数管理!$AG$3:$AG$98,$E74)="","",INDEX(工数管理!$AG$3:$AG$98,$E74)))</f>
        <v/>
      </c>
      <c r="AC74" t="str">
        <f>IF($E74="","",IF(INDEX(工数管理!$AH$3:$AH$98,$E74)="","",INDEX(工数管理!$AH$3:$AH$98,$E74)))</f>
        <v/>
      </c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  <c r="FB74" s="52"/>
      <c r="FC74" s="52"/>
      <c r="FD74" s="52"/>
      <c r="FE74" s="52"/>
      <c r="FF74" s="52"/>
      <c r="FG74" s="52"/>
      <c r="FH74" s="52"/>
      <c r="FI74" s="52"/>
      <c r="FJ74" s="52"/>
      <c r="FK74" s="52"/>
      <c r="FL74" s="52"/>
      <c r="FM74" s="52"/>
      <c r="FN74" s="52"/>
      <c r="FO74" s="52"/>
      <c r="FP74" s="52"/>
      <c r="FQ74" s="52"/>
      <c r="FR74" s="52"/>
      <c r="FS74" s="52"/>
      <c r="FT74" s="52"/>
      <c r="FU74" s="52"/>
      <c r="FV74" s="52"/>
      <c r="FW74" s="52"/>
      <c r="FX74" s="52"/>
      <c r="FY74" s="52"/>
      <c r="FZ74" s="52"/>
      <c r="GA74" s="52"/>
      <c r="GB74" s="52"/>
      <c r="GC74" s="52"/>
      <c r="GD74" s="52"/>
      <c r="GE74" s="52"/>
      <c r="GF74" s="52"/>
      <c r="GG74" s="52"/>
      <c r="GH74" s="52"/>
      <c r="GI74" s="52"/>
      <c r="GJ74" s="52"/>
      <c r="GK74" s="52"/>
      <c r="GL74" s="52"/>
      <c r="GM74" s="52"/>
      <c r="GN74" s="52"/>
      <c r="GO74" s="52"/>
      <c r="GP74" s="52"/>
      <c r="GQ74" s="52"/>
      <c r="GR74" s="52"/>
      <c r="GS74" s="52"/>
      <c r="GT74" s="52"/>
      <c r="GU74" s="52"/>
      <c r="GV74" s="52"/>
      <c r="GW74" s="52"/>
      <c r="GX74" s="52"/>
      <c r="GY74" s="52"/>
      <c r="GZ74" s="52"/>
      <c r="HA74" s="52"/>
      <c r="HB74" s="52"/>
      <c r="HC74" s="52"/>
      <c r="HD74" s="52"/>
      <c r="HE74" s="52"/>
      <c r="HF74" s="52"/>
      <c r="HG74" s="52"/>
      <c r="HH74" s="52"/>
      <c r="HI74" s="52"/>
      <c r="HJ74" s="52"/>
      <c r="HK74" s="52"/>
      <c r="HL74" s="52"/>
      <c r="HM74" s="52"/>
      <c r="HN74" s="52"/>
      <c r="HO74" s="52"/>
      <c r="HP74" s="52"/>
      <c r="HQ74" s="52"/>
      <c r="HR74" s="52"/>
      <c r="HS74" s="52"/>
      <c r="HT74" s="52"/>
      <c r="HU74" s="52"/>
      <c r="HV74" s="52"/>
      <c r="HW74" s="52"/>
      <c r="HX74" s="52"/>
      <c r="HY74" s="52"/>
      <c r="HZ74" s="52"/>
      <c r="IA74" s="52"/>
      <c r="IB74" s="52"/>
      <c r="IC74" s="52"/>
      <c r="ID74" s="52"/>
      <c r="IE74" s="52"/>
      <c r="IF74" s="52"/>
      <c r="IG74" s="52"/>
      <c r="IH74" s="52"/>
      <c r="II74" s="52"/>
      <c r="IJ74" s="52"/>
      <c r="IK74" s="52"/>
      <c r="IL74" s="52"/>
      <c r="IM74" s="52"/>
      <c r="IN74" s="52"/>
      <c r="IO74" s="52"/>
      <c r="IP74" s="52"/>
      <c r="IQ74" s="52"/>
      <c r="IR74" s="52"/>
      <c r="IS74" s="52"/>
      <c r="IT74" s="52"/>
      <c r="IU74" s="52"/>
      <c r="IV74" s="52"/>
      <c r="IW74" s="52"/>
      <c r="IX74" s="52"/>
      <c r="IY74" s="52"/>
      <c r="IZ74" s="52"/>
      <c r="JA74" s="52"/>
      <c r="JB74" s="52"/>
      <c r="JC74" s="52"/>
      <c r="JD74" s="52"/>
      <c r="JE74" s="52"/>
      <c r="JF74" s="52"/>
      <c r="JG74" s="52"/>
      <c r="JH74" s="52"/>
      <c r="JI74" s="52"/>
      <c r="JL74" t="str">
        <f>IF($E74="","",IF(INDEX(工数管理!$AJ$3:$AJ$98,$E74)&lt;&gt;"",1,0))</f>
        <v/>
      </c>
      <c r="JM74" t="str">
        <f>IF($E74="","",IFERROR(MATCH($A74,祝日!$J$1:$L$1,0),""))</f>
        <v/>
      </c>
    </row>
    <row r="75" spans="1:273" ht="14.25" customHeight="1" x14ac:dyDescent="0.15">
      <c r="A75" s="50" t="str">
        <f>IF($E75="","",IF($JL75=1,INDEX(工数管理!$A$3:$A$98,$E75)&amp;"",IF(INDEX(工数管理!$AK$3:$AK$98,$E75)="","未割当",INDEX(工数管理!$AK$3:$AK$98,$E75))))</f>
        <v/>
      </c>
      <c r="B75" s="51" t="str">
        <f>IF($E75="","",IF($JL75=1,"",INDEX(工数管理!$A$3:$A$98,$E75)&amp;""))</f>
        <v/>
      </c>
      <c r="C75" s="50" t="str">
        <f>IF($E75="","",IF($JL75=1,"",INDEX(工数管理!$B$3:$B$98,$E75)&amp;""))</f>
        <v/>
      </c>
      <c r="D75" s="50" t="str">
        <f>IF($E75="","",INDEX(工数管理!$H$3:$H$98,$E75)&amp;"")</f>
        <v/>
      </c>
      <c r="E75" t="str">
        <f>IFERROR(MATCH(SMALL(工数管理!$BP$3:$BP$98,ROW()-3),工数管理!$BP$3:$BP$98,0),"")</f>
        <v/>
      </c>
      <c r="F75" t="str">
        <f>IF($E75="","",IF(INDEX(工数管理!$K$3:$K$98,$E75)="","",INDEX(工数管理!$K$3:$K$98,$E75)))</f>
        <v/>
      </c>
      <c r="G75" t="str">
        <f>IF($E75="","",IF(INDEX(工数管理!$L$3:$L$98,$E75)="","",INDEX(工数管理!$L$3:$L$98,$E75)))</f>
        <v/>
      </c>
      <c r="H75" t="str">
        <f>IF($E75="","",IF(INDEX(工数管理!$M$3:$M$98,$E75)="","",INDEX(工数管理!$M$3:$M$98,$E75)))</f>
        <v/>
      </c>
      <c r="I75" t="str">
        <f>IF($E75="","",IF(INDEX(工数管理!$N$3:$N$98,$E75)="","",INDEX(工数管理!$N$3:$N$98,$E75)))</f>
        <v/>
      </c>
      <c r="J75" t="str">
        <f>IF($E75="","",IF(INDEX(工数管理!$O$3:$O$98,$E75)="","",INDEX(工数管理!$O$3:$O$98,$E75)))</f>
        <v/>
      </c>
      <c r="K75" t="str">
        <f>IF($E75="","",IF(INDEX(工数管理!$P$3:$P$98,$E75)="","",INDEX(工数管理!$P$3:$P$98,$E75)))</f>
        <v/>
      </c>
      <c r="L75" t="str">
        <f>IF($E75="","",IF(INDEX(工数管理!$Q$3:$Q$98,$E75)="","",INDEX(工数管理!$Q$3:$Q$98,$E75)))</f>
        <v/>
      </c>
      <c r="M75" t="str">
        <f>IF($E75="","",IF(INDEX(工数管理!$R$3:$R$98,$E75)="","",INDEX(工数管理!$R$3:$R$98,$E75)))</f>
        <v/>
      </c>
      <c r="N75" t="str">
        <f>IF($E75="","",IF(INDEX(工数管理!$S$3:$S$98,$E75)="","",INDEX(工数管理!$S$3:$S$98,$E75)))</f>
        <v/>
      </c>
      <c r="O75" t="str">
        <f>IF($E75="","",IF(INDEX(工数管理!$T$3:$T$98,$E75)="","",INDEX(工数管理!$T$3:$T$98,$E75)))</f>
        <v/>
      </c>
      <c r="P75" t="str">
        <f>IF($E75="","",IF(INDEX(工数管理!$U$3:$U$98,$E75)="","",INDEX(工数管理!$U$3:$U$98,$E75)))</f>
        <v/>
      </c>
      <c r="Q75" t="str">
        <f>IF($E75="","",IF(INDEX(工数管理!$V$3:$V$98,$E75)="","",INDEX(工数管理!$V$3:$V$98,$E75)))</f>
        <v/>
      </c>
      <c r="R75" t="str">
        <f>IF($E75="","",IF(INDEX(工数管理!$W$3:$W$98,$E75)="","",INDEX(工数管理!$W$3:$W$98,$E75)))</f>
        <v/>
      </c>
      <c r="S75" t="str">
        <f>IF($E75="","",IF(INDEX(工数管理!$X$3:$X$98,$E75)="","",INDEX(工数管理!$X$3:$X$98,$E75)))</f>
        <v/>
      </c>
      <c r="T75" t="str">
        <f>IF($E75="","",IF(INDEX(工数管理!$Y$3:$Y$98,$E75)="","",INDEX(工数管理!$Y$3:$Y$98,$E75)))</f>
        <v/>
      </c>
      <c r="U75" t="str">
        <f>IF($E75="","",IF(INDEX(工数管理!$Z$3:$Z$98,$E75)="","",INDEX(工数管理!$Z$3:$Z$98,$E75)))</f>
        <v/>
      </c>
      <c r="V75" t="str">
        <f>IF($E75="","",IF(INDEX(工数管理!$AA$3:$AA$98,$E75)="","",INDEX(工数管理!$AA$3:$AA$98,$E75)))</f>
        <v/>
      </c>
      <c r="W75" t="str">
        <f>IF($E75="","",IF(INDEX(工数管理!$AB$3:$AB$98,$E75)="","",INDEX(工数管理!$AB$3:$AB$98,$E75)))</f>
        <v/>
      </c>
      <c r="X75" t="str">
        <f>IF($E75="","",IF(INDEX(工数管理!$AC$3:$AC$98,$E75)="","",INDEX(工数管理!$AC$3:$AC$98,$E75)))</f>
        <v/>
      </c>
      <c r="Y75" t="str">
        <f>IF($E75="","",IF(INDEX(工数管理!$AD$3:$AD$98,$E75)="","",INDEX(工数管理!$AD$3:$AD$98,$E75)))</f>
        <v/>
      </c>
      <c r="Z75" t="str">
        <f>IF($E75="","",IF(INDEX(工数管理!$AE$3:$AE$98,$E75)="","",INDEX(工数管理!$AE$3:$AE$98,$E75)))</f>
        <v/>
      </c>
      <c r="AA75" t="str">
        <f>IF($E75="","",IF(INDEX(工数管理!$AF$3:$AF$98,$E75)="","",INDEX(工数管理!$AF$3:$AF$98,$E75)))</f>
        <v/>
      </c>
      <c r="AB75" t="str">
        <f>IF($E75="","",IF(INDEX(工数管理!$AG$3:$AG$98,$E75)="","",INDEX(工数管理!$AG$3:$AG$98,$E75)))</f>
        <v/>
      </c>
      <c r="AC75" t="str">
        <f>IF($E75="","",IF(INDEX(工数管理!$AH$3:$AH$98,$E75)="","",INDEX(工数管理!$AH$3:$AH$98,$E75)))</f>
        <v/>
      </c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2"/>
      <c r="FB75" s="52"/>
      <c r="FC75" s="52"/>
      <c r="FD75" s="52"/>
      <c r="FE75" s="52"/>
      <c r="FF75" s="52"/>
      <c r="FG75" s="52"/>
      <c r="FH75" s="52"/>
      <c r="FI75" s="52"/>
      <c r="FJ75" s="52"/>
      <c r="FK75" s="52"/>
      <c r="FL75" s="52"/>
      <c r="FM75" s="52"/>
      <c r="FN75" s="52"/>
      <c r="FO75" s="52"/>
      <c r="FP75" s="52"/>
      <c r="FQ75" s="52"/>
      <c r="FR75" s="52"/>
      <c r="FS75" s="52"/>
      <c r="FT75" s="52"/>
      <c r="FU75" s="52"/>
      <c r="FV75" s="52"/>
      <c r="FW75" s="52"/>
      <c r="FX75" s="52"/>
      <c r="FY75" s="52"/>
      <c r="FZ75" s="52"/>
      <c r="GA75" s="52"/>
      <c r="GB75" s="52"/>
      <c r="GC75" s="52"/>
      <c r="GD75" s="52"/>
      <c r="GE75" s="52"/>
      <c r="GF75" s="52"/>
      <c r="GG75" s="52"/>
      <c r="GH75" s="52"/>
      <c r="GI75" s="52"/>
      <c r="GJ75" s="52"/>
      <c r="GK75" s="52"/>
      <c r="GL75" s="52"/>
      <c r="GM75" s="52"/>
      <c r="GN75" s="52"/>
      <c r="GO75" s="52"/>
      <c r="GP75" s="52"/>
      <c r="GQ75" s="52"/>
      <c r="GR75" s="52"/>
      <c r="GS75" s="52"/>
      <c r="GT75" s="52"/>
      <c r="GU75" s="52"/>
      <c r="GV75" s="52"/>
      <c r="GW75" s="52"/>
      <c r="GX75" s="52"/>
      <c r="GY75" s="52"/>
      <c r="GZ75" s="52"/>
      <c r="HA75" s="52"/>
      <c r="HB75" s="52"/>
      <c r="HC75" s="52"/>
      <c r="HD75" s="52"/>
      <c r="HE75" s="52"/>
      <c r="HF75" s="52"/>
      <c r="HG75" s="52"/>
      <c r="HH75" s="52"/>
      <c r="HI75" s="52"/>
      <c r="HJ75" s="52"/>
      <c r="HK75" s="52"/>
      <c r="HL75" s="52"/>
      <c r="HM75" s="52"/>
      <c r="HN75" s="52"/>
      <c r="HO75" s="52"/>
      <c r="HP75" s="52"/>
      <c r="HQ75" s="52"/>
      <c r="HR75" s="52"/>
      <c r="HS75" s="52"/>
      <c r="HT75" s="52"/>
      <c r="HU75" s="52"/>
      <c r="HV75" s="52"/>
      <c r="HW75" s="52"/>
      <c r="HX75" s="52"/>
      <c r="HY75" s="52"/>
      <c r="HZ75" s="52"/>
      <c r="IA75" s="52"/>
      <c r="IB75" s="52"/>
      <c r="IC75" s="52"/>
      <c r="ID75" s="52"/>
      <c r="IE75" s="52"/>
      <c r="IF75" s="52"/>
      <c r="IG75" s="52"/>
      <c r="IH75" s="52"/>
      <c r="II75" s="52"/>
      <c r="IJ75" s="52"/>
      <c r="IK75" s="52"/>
      <c r="IL75" s="52"/>
      <c r="IM75" s="52"/>
      <c r="IN75" s="52"/>
      <c r="IO75" s="52"/>
      <c r="IP75" s="52"/>
      <c r="IQ75" s="52"/>
      <c r="IR75" s="52"/>
      <c r="IS75" s="52"/>
      <c r="IT75" s="52"/>
      <c r="IU75" s="52"/>
      <c r="IV75" s="52"/>
      <c r="IW75" s="52"/>
      <c r="IX75" s="52"/>
      <c r="IY75" s="52"/>
      <c r="IZ75" s="52"/>
      <c r="JA75" s="52"/>
      <c r="JB75" s="52"/>
      <c r="JC75" s="52"/>
      <c r="JD75" s="52"/>
      <c r="JE75" s="52"/>
      <c r="JF75" s="52"/>
      <c r="JG75" s="52"/>
      <c r="JH75" s="52"/>
      <c r="JI75" s="52"/>
      <c r="JL75" t="str">
        <f>IF($E75="","",IF(INDEX(工数管理!$AJ$3:$AJ$98,$E75)&lt;&gt;"",1,0))</f>
        <v/>
      </c>
      <c r="JM75" t="str">
        <f>IF($E75="","",IFERROR(MATCH($A75,祝日!$J$1:$L$1,0),""))</f>
        <v/>
      </c>
    </row>
    <row r="76" spans="1:273" ht="14.25" customHeight="1" x14ac:dyDescent="0.15">
      <c r="A76" s="50" t="str">
        <f>IF($E76="","",IF($JL76=1,INDEX(工数管理!$A$3:$A$98,$E76)&amp;"",IF(INDEX(工数管理!$AK$3:$AK$98,$E76)="","未割当",INDEX(工数管理!$AK$3:$AK$98,$E76))))</f>
        <v/>
      </c>
      <c r="B76" s="51" t="str">
        <f>IF($E76="","",IF($JL76=1,"",INDEX(工数管理!$A$3:$A$98,$E76)&amp;""))</f>
        <v/>
      </c>
      <c r="C76" s="50" t="str">
        <f>IF($E76="","",IF($JL76=1,"",INDEX(工数管理!$B$3:$B$98,$E76)&amp;""))</f>
        <v/>
      </c>
      <c r="D76" s="50" t="str">
        <f>IF($E76="","",INDEX(工数管理!$H$3:$H$98,$E76)&amp;"")</f>
        <v/>
      </c>
      <c r="E76" t="str">
        <f>IFERROR(MATCH(SMALL(工数管理!$BP$3:$BP$98,ROW()-3),工数管理!$BP$3:$BP$98,0),"")</f>
        <v/>
      </c>
      <c r="F76" t="str">
        <f>IF($E76="","",IF(INDEX(工数管理!$K$3:$K$98,$E76)="","",INDEX(工数管理!$K$3:$K$98,$E76)))</f>
        <v/>
      </c>
      <c r="G76" t="str">
        <f>IF($E76="","",IF(INDEX(工数管理!$L$3:$L$98,$E76)="","",INDEX(工数管理!$L$3:$L$98,$E76)))</f>
        <v/>
      </c>
      <c r="H76" t="str">
        <f>IF($E76="","",IF(INDEX(工数管理!$M$3:$M$98,$E76)="","",INDEX(工数管理!$M$3:$M$98,$E76)))</f>
        <v/>
      </c>
      <c r="I76" t="str">
        <f>IF($E76="","",IF(INDEX(工数管理!$N$3:$N$98,$E76)="","",INDEX(工数管理!$N$3:$N$98,$E76)))</f>
        <v/>
      </c>
      <c r="J76" t="str">
        <f>IF($E76="","",IF(INDEX(工数管理!$O$3:$O$98,$E76)="","",INDEX(工数管理!$O$3:$O$98,$E76)))</f>
        <v/>
      </c>
      <c r="K76" t="str">
        <f>IF($E76="","",IF(INDEX(工数管理!$P$3:$P$98,$E76)="","",INDEX(工数管理!$P$3:$P$98,$E76)))</f>
        <v/>
      </c>
      <c r="L76" t="str">
        <f>IF($E76="","",IF(INDEX(工数管理!$Q$3:$Q$98,$E76)="","",INDEX(工数管理!$Q$3:$Q$98,$E76)))</f>
        <v/>
      </c>
      <c r="M76" t="str">
        <f>IF($E76="","",IF(INDEX(工数管理!$R$3:$R$98,$E76)="","",INDEX(工数管理!$R$3:$R$98,$E76)))</f>
        <v/>
      </c>
      <c r="N76" t="str">
        <f>IF($E76="","",IF(INDEX(工数管理!$S$3:$S$98,$E76)="","",INDEX(工数管理!$S$3:$S$98,$E76)))</f>
        <v/>
      </c>
      <c r="O76" t="str">
        <f>IF($E76="","",IF(INDEX(工数管理!$T$3:$T$98,$E76)="","",INDEX(工数管理!$T$3:$T$98,$E76)))</f>
        <v/>
      </c>
      <c r="P76" t="str">
        <f>IF($E76="","",IF(INDEX(工数管理!$U$3:$U$98,$E76)="","",INDEX(工数管理!$U$3:$U$98,$E76)))</f>
        <v/>
      </c>
      <c r="Q76" t="str">
        <f>IF($E76="","",IF(INDEX(工数管理!$V$3:$V$98,$E76)="","",INDEX(工数管理!$V$3:$V$98,$E76)))</f>
        <v/>
      </c>
      <c r="R76" t="str">
        <f>IF($E76="","",IF(INDEX(工数管理!$W$3:$W$98,$E76)="","",INDEX(工数管理!$W$3:$W$98,$E76)))</f>
        <v/>
      </c>
      <c r="S76" t="str">
        <f>IF($E76="","",IF(INDEX(工数管理!$X$3:$X$98,$E76)="","",INDEX(工数管理!$X$3:$X$98,$E76)))</f>
        <v/>
      </c>
      <c r="T76" t="str">
        <f>IF($E76="","",IF(INDEX(工数管理!$Y$3:$Y$98,$E76)="","",INDEX(工数管理!$Y$3:$Y$98,$E76)))</f>
        <v/>
      </c>
      <c r="U76" t="str">
        <f>IF($E76="","",IF(INDEX(工数管理!$Z$3:$Z$98,$E76)="","",INDEX(工数管理!$Z$3:$Z$98,$E76)))</f>
        <v/>
      </c>
      <c r="V76" t="str">
        <f>IF($E76="","",IF(INDEX(工数管理!$AA$3:$AA$98,$E76)="","",INDEX(工数管理!$AA$3:$AA$98,$E76)))</f>
        <v/>
      </c>
      <c r="W76" t="str">
        <f>IF($E76="","",IF(INDEX(工数管理!$AB$3:$AB$98,$E76)="","",INDEX(工数管理!$AB$3:$AB$98,$E76)))</f>
        <v/>
      </c>
      <c r="X76" t="str">
        <f>IF($E76="","",IF(INDEX(工数管理!$AC$3:$AC$98,$E76)="","",INDEX(工数管理!$AC$3:$AC$98,$E76)))</f>
        <v/>
      </c>
      <c r="Y76" t="str">
        <f>IF($E76="","",IF(INDEX(工数管理!$AD$3:$AD$98,$E76)="","",INDEX(工数管理!$AD$3:$AD$98,$E76)))</f>
        <v/>
      </c>
      <c r="Z76" t="str">
        <f>IF($E76="","",IF(INDEX(工数管理!$AE$3:$AE$98,$E76)="","",INDEX(工数管理!$AE$3:$AE$98,$E76)))</f>
        <v/>
      </c>
      <c r="AA76" t="str">
        <f>IF($E76="","",IF(INDEX(工数管理!$AF$3:$AF$98,$E76)="","",INDEX(工数管理!$AF$3:$AF$98,$E76)))</f>
        <v/>
      </c>
      <c r="AB76" t="str">
        <f>IF($E76="","",IF(INDEX(工数管理!$AG$3:$AG$98,$E76)="","",INDEX(工数管理!$AG$3:$AG$98,$E76)))</f>
        <v/>
      </c>
      <c r="AC76" t="str">
        <f>IF($E76="","",IF(INDEX(工数管理!$AH$3:$AH$98,$E76)="","",INDEX(工数管理!$AH$3:$AH$98,$E76)))</f>
        <v/>
      </c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  <c r="FB76" s="52"/>
      <c r="FC76" s="52"/>
      <c r="FD76" s="52"/>
      <c r="FE76" s="52"/>
      <c r="FF76" s="52"/>
      <c r="FG76" s="52"/>
      <c r="FH76" s="52"/>
      <c r="FI76" s="52"/>
      <c r="FJ76" s="52"/>
      <c r="FK76" s="52"/>
      <c r="FL76" s="52"/>
      <c r="FM76" s="52"/>
      <c r="FN76" s="52"/>
      <c r="FO76" s="52"/>
      <c r="FP76" s="52"/>
      <c r="FQ76" s="52"/>
      <c r="FR76" s="52"/>
      <c r="FS76" s="52"/>
      <c r="FT76" s="52"/>
      <c r="FU76" s="52"/>
      <c r="FV76" s="52"/>
      <c r="FW76" s="52"/>
      <c r="FX76" s="52"/>
      <c r="FY76" s="52"/>
      <c r="FZ76" s="52"/>
      <c r="GA76" s="52"/>
      <c r="GB76" s="52"/>
      <c r="GC76" s="52"/>
      <c r="GD76" s="52"/>
      <c r="GE76" s="52"/>
      <c r="GF76" s="52"/>
      <c r="GG76" s="52"/>
      <c r="GH76" s="52"/>
      <c r="GI76" s="52"/>
      <c r="GJ76" s="52"/>
      <c r="GK76" s="52"/>
      <c r="GL76" s="52"/>
      <c r="GM76" s="52"/>
      <c r="GN76" s="52"/>
      <c r="GO76" s="52"/>
      <c r="GP76" s="52"/>
      <c r="GQ76" s="52"/>
      <c r="GR76" s="52"/>
      <c r="GS76" s="52"/>
      <c r="GT76" s="52"/>
      <c r="GU76" s="52"/>
      <c r="GV76" s="52"/>
      <c r="GW76" s="52"/>
      <c r="GX76" s="52"/>
      <c r="GY76" s="52"/>
      <c r="GZ76" s="52"/>
      <c r="HA76" s="52"/>
      <c r="HB76" s="52"/>
      <c r="HC76" s="52"/>
      <c r="HD76" s="52"/>
      <c r="HE76" s="52"/>
      <c r="HF76" s="52"/>
      <c r="HG76" s="52"/>
      <c r="HH76" s="52"/>
      <c r="HI76" s="52"/>
      <c r="HJ76" s="52"/>
      <c r="HK76" s="52"/>
      <c r="HL76" s="52"/>
      <c r="HM76" s="52"/>
      <c r="HN76" s="52"/>
      <c r="HO76" s="52"/>
      <c r="HP76" s="52"/>
      <c r="HQ76" s="52"/>
      <c r="HR76" s="52"/>
      <c r="HS76" s="52"/>
      <c r="HT76" s="52"/>
      <c r="HU76" s="52"/>
      <c r="HV76" s="52"/>
      <c r="HW76" s="52"/>
      <c r="HX76" s="52"/>
      <c r="HY76" s="52"/>
      <c r="HZ76" s="52"/>
      <c r="IA76" s="52"/>
      <c r="IB76" s="52"/>
      <c r="IC76" s="52"/>
      <c r="ID76" s="52"/>
      <c r="IE76" s="52"/>
      <c r="IF76" s="52"/>
      <c r="IG76" s="52"/>
      <c r="IH76" s="52"/>
      <c r="II76" s="52"/>
      <c r="IJ76" s="52"/>
      <c r="IK76" s="52"/>
      <c r="IL76" s="52"/>
      <c r="IM76" s="52"/>
      <c r="IN76" s="52"/>
      <c r="IO76" s="52"/>
      <c r="IP76" s="52"/>
      <c r="IQ76" s="52"/>
      <c r="IR76" s="52"/>
      <c r="IS76" s="52"/>
      <c r="IT76" s="52"/>
      <c r="IU76" s="52"/>
      <c r="IV76" s="52"/>
      <c r="IW76" s="52"/>
      <c r="IX76" s="52"/>
      <c r="IY76" s="52"/>
      <c r="IZ76" s="52"/>
      <c r="JA76" s="52"/>
      <c r="JB76" s="52"/>
      <c r="JC76" s="52"/>
      <c r="JD76" s="52"/>
      <c r="JE76" s="52"/>
      <c r="JF76" s="52"/>
      <c r="JG76" s="52"/>
      <c r="JH76" s="52"/>
      <c r="JI76" s="52"/>
      <c r="JL76" t="str">
        <f>IF($E76="","",IF(INDEX(工数管理!$AJ$3:$AJ$98,$E76)&lt;&gt;"",1,0))</f>
        <v/>
      </c>
      <c r="JM76" t="str">
        <f>IF($E76="","",IFERROR(MATCH($A76,祝日!$J$1:$L$1,0),""))</f>
        <v/>
      </c>
    </row>
    <row r="77" spans="1:273" ht="14.25" customHeight="1" x14ac:dyDescent="0.15">
      <c r="A77" s="50" t="str">
        <f>IF($E77="","",IF($JL77=1,INDEX(工数管理!$A$3:$A$98,$E77)&amp;"",IF(INDEX(工数管理!$AK$3:$AK$98,$E77)="","未割当",INDEX(工数管理!$AK$3:$AK$98,$E77))))</f>
        <v/>
      </c>
      <c r="B77" s="51" t="str">
        <f>IF($E77="","",IF($JL77=1,"",INDEX(工数管理!$A$3:$A$98,$E77)&amp;""))</f>
        <v/>
      </c>
      <c r="C77" s="50" t="str">
        <f>IF($E77="","",IF($JL77=1,"",INDEX(工数管理!$B$3:$B$98,$E77)&amp;""))</f>
        <v/>
      </c>
      <c r="D77" s="50" t="str">
        <f>IF($E77="","",INDEX(工数管理!$H$3:$H$98,$E77)&amp;"")</f>
        <v/>
      </c>
      <c r="E77" t="str">
        <f>IFERROR(MATCH(SMALL(工数管理!$BP$3:$BP$98,ROW()-3),工数管理!$BP$3:$BP$98,0),"")</f>
        <v/>
      </c>
      <c r="F77" t="str">
        <f>IF($E77="","",IF(INDEX(工数管理!$K$3:$K$98,$E77)="","",INDEX(工数管理!$K$3:$K$98,$E77)))</f>
        <v/>
      </c>
      <c r="G77" t="str">
        <f>IF($E77="","",IF(INDEX(工数管理!$L$3:$L$98,$E77)="","",INDEX(工数管理!$L$3:$L$98,$E77)))</f>
        <v/>
      </c>
      <c r="H77" t="str">
        <f>IF($E77="","",IF(INDEX(工数管理!$M$3:$M$98,$E77)="","",INDEX(工数管理!$M$3:$M$98,$E77)))</f>
        <v/>
      </c>
      <c r="I77" t="str">
        <f>IF($E77="","",IF(INDEX(工数管理!$N$3:$N$98,$E77)="","",INDEX(工数管理!$N$3:$N$98,$E77)))</f>
        <v/>
      </c>
      <c r="J77" t="str">
        <f>IF($E77="","",IF(INDEX(工数管理!$O$3:$O$98,$E77)="","",INDEX(工数管理!$O$3:$O$98,$E77)))</f>
        <v/>
      </c>
      <c r="K77" t="str">
        <f>IF($E77="","",IF(INDEX(工数管理!$P$3:$P$98,$E77)="","",INDEX(工数管理!$P$3:$P$98,$E77)))</f>
        <v/>
      </c>
      <c r="L77" t="str">
        <f>IF($E77="","",IF(INDEX(工数管理!$Q$3:$Q$98,$E77)="","",INDEX(工数管理!$Q$3:$Q$98,$E77)))</f>
        <v/>
      </c>
      <c r="M77" t="str">
        <f>IF($E77="","",IF(INDEX(工数管理!$R$3:$R$98,$E77)="","",INDEX(工数管理!$R$3:$R$98,$E77)))</f>
        <v/>
      </c>
      <c r="N77" t="str">
        <f>IF($E77="","",IF(INDEX(工数管理!$S$3:$S$98,$E77)="","",INDEX(工数管理!$S$3:$S$98,$E77)))</f>
        <v/>
      </c>
      <c r="O77" t="str">
        <f>IF($E77="","",IF(INDEX(工数管理!$T$3:$T$98,$E77)="","",INDEX(工数管理!$T$3:$T$98,$E77)))</f>
        <v/>
      </c>
      <c r="P77" t="str">
        <f>IF($E77="","",IF(INDEX(工数管理!$U$3:$U$98,$E77)="","",INDEX(工数管理!$U$3:$U$98,$E77)))</f>
        <v/>
      </c>
      <c r="Q77" t="str">
        <f>IF($E77="","",IF(INDEX(工数管理!$V$3:$V$98,$E77)="","",INDEX(工数管理!$V$3:$V$98,$E77)))</f>
        <v/>
      </c>
      <c r="R77" t="str">
        <f>IF($E77="","",IF(INDEX(工数管理!$W$3:$W$98,$E77)="","",INDEX(工数管理!$W$3:$W$98,$E77)))</f>
        <v/>
      </c>
      <c r="S77" t="str">
        <f>IF($E77="","",IF(INDEX(工数管理!$X$3:$X$98,$E77)="","",INDEX(工数管理!$X$3:$X$98,$E77)))</f>
        <v/>
      </c>
      <c r="T77" t="str">
        <f>IF($E77="","",IF(INDEX(工数管理!$Y$3:$Y$98,$E77)="","",INDEX(工数管理!$Y$3:$Y$98,$E77)))</f>
        <v/>
      </c>
      <c r="U77" t="str">
        <f>IF($E77="","",IF(INDEX(工数管理!$Z$3:$Z$98,$E77)="","",INDEX(工数管理!$Z$3:$Z$98,$E77)))</f>
        <v/>
      </c>
      <c r="V77" t="str">
        <f>IF($E77="","",IF(INDEX(工数管理!$AA$3:$AA$98,$E77)="","",INDEX(工数管理!$AA$3:$AA$98,$E77)))</f>
        <v/>
      </c>
      <c r="W77" t="str">
        <f>IF($E77="","",IF(INDEX(工数管理!$AB$3:$AB$98,$E77)="","",INDEX(工数管理!$AB$3:$AB$98,$E77)))</f>
        <v/>
      </c>
      <c r="X77" t="str">
        <f>IF($E77="","",IF(INDEX(工数管理!$AC$3:$AC$98,$E77)="","",INDEX(工数管理!$AC$3:$AC$98,$E77)))</f>
        <v/>
      </c>
      <c r="Y77" t="str">
        <f>IF($E77="","",IF(INDEX(工数管理!$AD$3:$AD$98,$E77)="","",INDEX(工数管理!$AD$3:$AD$98,$E77)))</f>
        <v/>
      </c>
      <c r="Z77" t="str">
        <f>IF($E77="","",IF(INDEX(工数管理!$AE$3:$AE$98,$E77)="","",INDEX(工数管理!$AE$3:$AE$98,$E77)))</f>
        <v/>
      </c>
      <c r="AA77" t="str">
        <f>IF($E77="","",IF(INDEX(工数管理!$AF$3:$AF$98,$E77)="","",INDEX(工数管理!$AF$3:$AF$98,$E77)))</f>
        <v/>
      </c>
      <c r="AB77" t="str">
        <f>IF($E77="","",IF(INDEX(工数管理!$AG$3:$AG$98,$E77)="","",INDEX(工数管理!$AG$3:$AG$98,$E77)))</f>
        <v/>
      </c>
      <c r="AC77" t="str">
        <f>IF($E77="","",IF(INDEX(工数管理!$AH$3:$AH$98,$E77)="","",INDEX(工数管理!$AH$3:$AH$98,$E77)))</f>
        <v/>
      </c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  <c r="DJ77" s="52"/>
      <c r="DK77" s="52"/>
      <c r="DL77" s="52"/>
      <c r="DM77" s="52"/>
      <c r="DN77" s="52"/>
      <c r="DO77" s="52"/>
      <c r="DP77" s="52"/>
      <c r="DQ77" s="52"/>
      <c r="DR77" s="52"/>
      <c r="DS77" s="52"/>
      <c r="DT77" s="52"/>
      <c r="DU77" s="52"/>
      <c r="DV77" s="52"/>
      <c r="DW77" s="52"/>
      <c r="DX77" s="52"/>
      <c r="DY77" s="52"/>
      <c r="DZ77" s="52"/>
      <c r="EA77" s="52"/>
      <c r="EB77" s="52"/>
      <c r="EC77" s="52"/>
      <c r="ED77" s="52"/>
      <c r="EE77" s="52"/>
      <c r="EF77" s="52"/>
      <c r="EG77" s="52"/>
      <c r="EH77" s="52"/>
      <c r="EI77" s="52"/>
      <c r="EJ77" s="52"/>
      <c r="EK77" s="52"/>
      <c r="EL77" s="52"/>
      <c r="EM77" s="52"/>
      <c r="EN77" s="52"/>
      <c r="EO77" s="52"/>
      <c r="EP77" s="52"/>
      <c r="EQ77" s="52"/>
      <c r="ER77" s="52"/>
      <c r="ES77" s="52"/>
      <c r="ET77" s="52"/>
      <c r="EU77" s="52"/>
      <c r="EV77" s="52"/>
      <c r="EW77" s="52"/>
      <c r="EX77" s="52"/>
      <c r="EY77" s="52"/>
      <c r="EZ77" s="52"/>
      <c r="FA77" s="52"/>
      <c r="FB77" s="52"/>
      <c r="FC77" s="52"/>
      <c r="FD77" s="52"/>
      <c r="FE77" s="52"/>
      <c r="FF77" s="52"/>
      <c r="FG77" s="52"/>
      <c r="FH77" s="52"/>
      <c r="FI77" s="52"/>
      <c r="FJ77" s="52"/>
      <c r="FK77" s="52"/>
      <c r="FL77" s="52"/>
      <c r="FM77" s="52"/>
      <c r="FN77" s="52"/>
      <c r="FO77" s="52"/>
      <c r="FP77" s="52"/>
      <c r="FQ77" s="52"/>
      <c r="FR77" s="52"/>
      <c r="FS77" s="52"/>
      <c r="FT77" s="52"/>
      <c r="FU77" s="52"/>
      <c r="FV77" s="52"/>
      <c r="FW77" s="52"/>
      <c r="FX77" s="52"/>
      <c r="FY77" s="52"/>
      <c r="FZ77" s="52"/>
      <c r="GA77" s="52"/>
      <c r="GB77" s="52"/>
      <c r="GC77" s="52"/>
      <c r="GD77" s="52"/>
      <c r="GE77" s="52"/>
      <c r="GF77" s="52"/>
      <c r="GG77" s="52"/>
      <c r="GH77" s="52"/>
      <c r="GI77" s="52"/>
      <c r="GJ77" s="52"/>
      <c r="GK77" s="52"/>
      <c r="GL77" s="52"/>
      <c r="GM77" s="52"/>
      <c r="GN77" s="52"/>
      <c r="GO77" s="52"/>
      <c r="GP77" s="52"/>
      <c r="GQ77" s="52"/>
      <c r="GR77" s="52"/>
      <c r="GS77" s="52"/>
      <c r="GT77" s="52"/>
      <c r="GU77" s="52"/>
      <c r="GV77" s="52"/>
      <c r="GW77" s="52"/>
      <c r="GX77" s="52"/>
      <c r="GY77" s="52"/>
      <c r="GZ77" s="52"/>
      <c r="HA77" s="52"/>
      <c r="HB77" s="52"/>
      <c r="HC77" s="52"/>
      <c r="HD77" s="52"/>
      <c r="HE77" s="52"/>
      <c r="HF77" s="52"/>
      <c r="HG77" s="52"/>
      <c r="HH77" s="52"/>
      <c r="HI77" s="52"/>
      <c r="HJ77" s="52"/>
      <c r="HK77" s="52"/>
      <c r="HL77" s="52"/>
      <c r="HM77" s="52"/>
      <c r="HN77" s="52"/>
      <c r="HO77" s="52"/>
      <c r="HP77" s="52"/>
      <c r="HQ77" s="52"/>
      <c r="HR77" s="52"/>
      <c r="HS77" s="52"/>
      <c r="HT77" s="52"/>
      <c r="HU77" s="52"/>
      <c r="HV77" s="52"/>
      <c r="HW77" s="52"/>
      <c r="HX77" s="52"/>
      <c r="HY77" s="52"/>
      <c r="HZ77" s="52"/>
      <c r="IA77" s="52"/>
      <c r="IB77" s="52"/>
      <c r="IC77" s="52"/>
      <c r="ID77" s="52"/>
      <c r="IE77" s="52"/>
      <c r="IF77" s="52"/>
      <c r="IG77" s="52"/>
      <c r="IH77" s="52"/>
      <c r="II77" s="52"/>
      <c r="IJ77" s="52"/>
      <c r="IK77" s="52"/>
      <c r="IL77" s="52"/>
      <c r="IM77" s="52"/>
      <c r="IN77" s="52"/>
      <c r="IO77" s="52"/>
      <c r="IP77" s="52"/>
      <c r="IQ77" s="52"/>
      <c r="IR77" s="52"/>
      <c r="IS77" s="52"/>
      <c r="IT77" s="52"/>
      <c r="IU77" s="52"/>
      <c r="IV77" s="52"/>
      <c r="IW77" s="52"/>
      <c r="IX77" s="52"/>
      <c r="IY77" s="52"/>
      <c r="IZ77" s="52"/>
      <c r="JA77" s="52"/>
      <c r="JB77" s="52"/>
      <c r="JC77" s="52"/>
      <c r="JD77" s="52"/>
      <c r="JE77" s="52"/>
      <c r="JF77" s="52"/>
      <c r="JG77" s="52"/>
      <c r="JH77" s="52"/>
      <c r="JI77" s="52"/>
      <c r="JL77" t="str">
        <f>IF($E77="","",IF(INDEX(工数管理!$AJ$3:$AJ$98,$E77)&lt;&gt;"",1,0))</f>
        <v/>
      </c>
      <c r="JM77" t="str">
        <f>IF($E77="","",IFERROR(MATCH($A77,祝日!$J$1:$L$1,0),""))</f>
        <v/>
      </c>
    </row>
    <row r="78" spans="1:273" ht="14.25" customHeight="1" x14ac:dyDescent="0.15">
      <c r="A78" s="50" t="str">
        <f>IF($E78="","",IF($JL78=1,INDEX(工数管理!$A$3:$A$98,$E78)&amp;"",IF(INDEX(工数管理!$AK$3:$AK$98,$E78)="","未割当",INDEX(工数管理!$AK$3:$AK$98,$E78))))</f>
        <v/>
      </c>
      <c r="B78" s="51" t="str">
        <f>IF($E78="","",IF($JL78=1,"",INDEX(工数管理!$A$3:$A$98,$E78)&amp;""))</f>
        <v/>
      </c>
      <c r="C78" s="50" t="str">
        <f>IF($E78="","",IF($JL78=1,"",INDEX(工数管理!$B$3:$B$98,$E78)&amp;""))</f>
        <v/>
      </c>
      <c r="D78" s="50" t="str">
        <f>IF($E78="","",INDEX(工数管理!$H$3:$H$98,$E78)&amp;"")</f>
        <v/>
      </c>
      <c r="E78" t="str">
        <f>IFERROR(MATCH(SMALL(工数管理!$BP$3:$BP$98,ROW()-3),工数管理!$BP$3:$BP$98,0),"")</f>
        <v/>
      </c>
      <c r="F78" t="str">
        <f>IF($E78="","",IF(INDEX(工数管理!$K$3:$K$98,$E78)="","",INDEX(工数管理!$K$3:$K$98,$E78)))</f>
        <v/>
      </c>
      <c r="G78" t="str">
        <f>IF($E78="","",IF(INDEX(工数管理!$L$3:$L$98,$E78)="","",INDEX(工数管理!$L$3:$L$98,$E78)))</f>
        <v/>
      </c>
      <c r="H78" t="str">
        <f>IF($E78="","",IF(INDEX(工数管理!$M$3:$M$98,$E78)="","",INDEX(工数管理!$M$3:$M$98,$E78)))</f>
        <v/>
      </c>
      <c r="I78" t="str">
        <f>IF($E78="","",IF(INDEX(工数管理!$N$3:$N$98,$E78)="","",INDEX(工数管理!$N$3:$N$98,$E78)))</f>
        <v/>
      </c>
      <c r="J78" t="str">
        <f>IF($E78="","",IF(INDEX(工数管理!$O$3:$O$98,$E78)="","",INDEX(工数管理!$O$3:$O$98,$E78)))</f>
        <v/>
      </c>
      <c r="K78" t="str">
        <f>IF($E78="","",IF(INDEX(工数管理!$P$3:$P$98,$E78)="","",INDEX(工数管理!$P$3:$P$98,$E78)))</f>
        <v/>
      </c>
      <c r="L78" t="str">
        <f>IF($E78="","",IF(INDEX(工数管理!$Q$3:$Q$98,$E78)="","",INDEX(工数管理!$Q$3:$Q$98,$E78)))</f>
        <v/>
      </c>
      <c r="M78" t="str">
        <f>IF($E78="","",IF(INDEX(工数管理!$R$3:$R$98,$E78)="","",INDEX(工数管理!$R$3:$R$98,$E78)))</f>
        <v/>
      </c>
      <c r="N78" t="str">
        <f>IF($E78="","",IF(INDEX(工数管理!$S$3:$S$98,$E78)="","",INDEX(工数管理!$S$3:$S$98,$E78)))</f>
        <v/>
      </c>
      <c r="O78" t="str">
        <f>IF($E78="","",IF(INDEX(工数管理!$T$3:$T$98,$E78)="","",INDEX(工数管理!$T$3:$T$98,$E78)))</f>
        <v/>
      </c>
      <c r="P78" t="str">
        <f>IF($E78="","",IF(INDEX(工数管理!$U$3:$U$98,$E78)="","",INDEX(工数管理!$U$3:$U$98,$E78)))</f>
        <v/>
      </c>
      <c r="Q78" t="str">
        <f>IF($E78="","",IF(INDEX(工数管理!$V$3:$V$98,$E78)="","",INDEX(工数管理!$V$3:$V$98,$E78)))</f>
        <v/>
      </c>
      <c r="R78" t="str">
        <f>IF($E78="","",IF(INDEX(工数管理!$W$3:$W$98,$E78)="","",INDEX(工数管理!$W$3:$W$98,$E78)))</f>
        <v/>
      </c>
      <c r="S78" t="str">
        <f>IF($E78="","",IF(INDEX(工数管理!$X$3:$X$98,$E78)="","",INDEX(工数管理!$X$3:$X$98,$E78)))</f>
        <v/>
      </c>
      <c r="T78" t="str">
        <f>IF($E78="","",IF(INDEX(工数管理!$Y$3:$Y$98,$E78)="","",INDEX(工数管理!$Y$3:$Y$98,$E78)))</f>
        <v/>
      </c>
      <c r="U78" t="str">
        <f>IF($E78="","",IF(INDEX(工数管理!$Z$3:$Z$98,$E78)="","",INDEX(工数管理!$Z$3:$Z$98,$E78)))</f>
        <v/>
      </c>
      <c r="V78" t="str">
        <f>IF($E78="","",IF(INDEX(工数管理!$AA$3:$AA$98,$E78)="","",INDEX(工数管理!$AA$3:$AA$98,$E78)))</f>
        <v/>
      </c>
      <c r="W78" t="str">
        <f>IF($E78="","",IF(INDEX(工数管理!$AB$3:$AB$98,$E78)="","",INDEX(工数管理!$AB$3:$AB$98,$E78)))</f>
        <v/>
      </c>
      <c r="X78" t="str">
        <f>IF($E78="","",IF(INDEX(工数管理!$AC$3:$AC$98,$E78)="","",INDEX(工数管理!$AC$3:$AC$98,$E78)))</f>
        <v/>
      </c>
      <c r="Y78" t="str">
        <f>IF($E78="","",IF(INDEX(工数管理!$AD$3:$AD$98,$E78)="","",INDEX(工数管理!$AD$3:$AD$98,$E78)))</f>
        <v/>
      </c>
      <c r="Z78" t="str">
        <f>IF($E78="","",IF(INDEX(工数管理!$AE$3:$AE$98,$E78)="","",INDEX(工数管理!$AE$3:$AE$98,$E78)))</f>
        <v/>
      </c>
      <c r="AA78" t="str">
        <f>IF($E78="","",IF(INDEX(工数管理!$AF$3:$AF$98,$E78)="","",INDEX(工数管理!$AF$3:$AF$98,$E78)))</f>
        <v/>
      </c>
      <c r="AB78" t="str">
        <f>IF($E78="","",IF(INDEX(工数管理!$AG$3:$AG$98,$E78)="","",INDEX(工数管理!$AG$3:$AG$98,$E78)))</f>
        <v/>
      </c>
      <c r="AC78" t="str">
        <f>IF($E78="","",IF(INDEX(工数管理!$AH$3:$AH$98,$E78)="","",INDEX(工数管理!$AH$3:$AH$98,$E78)))</f>
        <v/>
      </c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2"/>
      <c r="DN78" s="52"/>
      <c r="DO78" s="52"/>
      <c r="DP78" s="52"/>
      <c r="DQ78" s="52"/>
      <c r="DR78" s="52"/>
      <c r="DS78" s="52"/>
      <c r="DT78" s="52"/>
      <c r="DU78" s="52"/>
      <c r="DV78" s="52"/>
      <c r="DW78" s="52"/>
      <c r="DX78" s="52"/>
      <c r="DY78" s="52"/>
      <c r="DZ78" s="52"/>
      <c r="EA78" s="52"/>
      <c r="EB78" s="52"/>
      <c r="EC78" s="52"/>
      <c r="ED78" s="52"/>
      <c r="EE78" s="52"/>
      <c r="EF78" s="52"/>
      <c r="EG78" s="52"/>
      <c r="EH78" s="52"/>
      <c r="EI78" s="52"/>
      <c r="EJ78" s="52"/>
      <c r="EK78" s="52"/>
      <c r="EL78" s="52"/>
      <c r="EM78" s="52"/>
      <c r="EN78" s="52"/>
      <c r="EO78" s="52"/>
      <c r="EP78" s="52"/>
      <c r="EQ78" s="52"/>
      <c r="ER78" s="52"/>
      <c r="ES78" s="52"/>
      <c r="ET78" s="52"/>
      <c r="EU78" s="52"/>
      <c r="EV78" s="52"/>
      <c r="EW78" s="52"/>
      <c r="EX78" s="52"/>
      <c r="EY78" s="52"/>
      <c r="EZ78" s="52"/>
      <c r="FA78" s="52"/>
      <c r="FB78" s="52"/>
      <c r="FC78" s="52"/>
      <c r="FD78" s="52"/>
      <c r="FE78" s="52"/>
      <c r="FF78" s="52"/>
      <c r="FG78" s="52"/>
      <c r="FH78" s="52"/>
      <c r="FI78" s="52"/>
      <c r="FJ78" s="52"/>
      <c r="FK78" s="52"/>
      <c r="FL78" s="52"/>
      <c r="FM78" s="52"/>
      <c r="FN78" s="52"/>
      <c r="FO78" s="52"/>
      <c r="FP78" s="52"/>
      <c r="FQ78" s="52"/>
      <c r="FR78" s="52"/>
      <c r="FS78" s="52"/>
      <c r="FT78" s="52"/>
      <c r="FU78" s="52"/>
      <c r="FV78" s="52"/>
      <c r="FW78" s="52"/>
      <c r="FX78" s="52"/>
      <c r="FY78" s="52"/>
      <c r="FZ78" s="52"/>
      <c r="GA78" s="52"/>
      <c r="GB78" s="52"/>
      <c r="GC78" s="52"/>
      <c r="GD78" s="52"/>
      <c r="GE78" s="52"/>
      <c r="GF78" s="52"/>
      <c r="GG78" s="52"/>
      <c r="GH78" s="52"/>
      <c r="GI78" s="52"/>
      <c r="GJ78" s="52"/>
      <c r="GK78" s="52"/>
      <c r="GL78" s="52"/>
      <c r="GM78" s="52"/>
      <c r="GN78" s="52"/>
      <c r="GO78" s="52"/>
      <c r="GP78" s="52"/>
      <c r="GQ78" s="52"/>
      <c r="GR78" s="52"/>
      <c r="GS78" s="52"/>
      <c r="GT78" s="52"/>
      <c r="GU78" s="52"/>
      <c r="GV78" s="52"/>
      <c r="GW78" s="52"/>
      <c r="GX78" s="52"/>
      <c r="GY78" s="52"/>
      <c r="GZ78" s="52"/>
      <c r="HA78" s="52"/>
      <c r="HB78" s="52"/>
      <c r="HC78" s="52"/>
      <c r="HD78" s="52"/>
      <c r="HE78" s="52"/>
      <c r="HF78" s="52"/>
      <c r="HG78" s="52"/>
      <c r="HH78" s="52"/>
      <c r="HI78" s="52"/>
      <c r="HJ78" s="52"/>
      <c r="HK78" s="52"/>
      <c r="HL78" s="52"/>
      <c r="HM78" s="52"/>
      <c r="HN78" s="52"/>
      <c r="HO78" s="52"/>
      <c r="HP78" s="52"/>
      <c r="HQ78" s="52"/>
      <c r="HR78" s="52"/>
      <c r="HS78" s="52"/>
      <c r="HT78" s="52"/>
      <c r="HU78" s="52"/>
      <c r="HV78" s="52"/>
      <c r="HW78" s="52"/>
      <c r="HX78" s="52"/>
      <c r="HY78" s="52"/>
      <c r="HZ78" s="52"/>
      <c r="IA78" s="52"/>
      <c r="IB78" s="52"/>
      <c r="IC78" s="52"/>
      <c r="ID78" s="52"/>
      <c r="IE78" s="52"/>
      <c r="IF78" s="52"/>
      <c r="IG78" s="52"/>
      <c r="IH78" s="52"/>
      <c r="II78" s="52"/>
      <c r="IJ78" s="52"/>
      <c r="IK78" s="52"/>
      <c r="IL78" s="52"/>
      <c r="IM78" s="52"/>
      <c r="IN78" s="52"/>
      <c r="IO78" s="52"/>
      <c r="IP78" s="52"/>
      <c r="IQ78" s="52"/>
      <c r="IR78" s="52"/>
      <c r="IS78" s="52"/>
      <c r="IT78" s="52"/>
      <c r="IU78" s="52"/>
      <c r="IV78" s="52"/>
      <c r="IW78" s="52"/>
      <c r="IX78" s="52"/>
      <c r="IY78" s="52"/>
      <c r="IZ78" s="52"/>
      <c r="JA78" s="52"/>
      <c r="JB78" s="52"/>
      <c r="JC78" s="52"/>
      <c r="JD78" s="52"/>
      <c r="JE78" s="52"/>
      <c r="JF78" s="52"/>
      <c r="JG78" s="52"/>
      <c r="JH78" s="52"/>
      <c r="JI78" s="52"/>
      <c r="JL78" t="str">
        <f>IF($E78="","",IF(INDEX(工数管理!$AJ$3:$AJ$98,$E78)&lt;&gt;"",1,0))</f>
        <v/>
      </c>
      <c r="JM78" t="str">
        <f>IF($E78="","",IFERROR(MATCH($A78,祝日!$J$1:$L$1,0),""))</f>
        <v/>
      </c>
    </row>
    <row r="79" spans="1:273" ht="14.25" customHeight="1" x14ac:dyDescent="0.15">
      <c r="A79" s="50" t="str">
        <f>IF($E79="","",IF($JL79=1,INDEX(工数管理!$A$3:$A$98,$E79)&amp;"",IF(INDEX(工数管理!$AK$3:$AK$98,$E79)="","未割当",INDEX(工数管理!$AK$3:$AK$98,$E79))))</f>
        <v/>
      </c>
      <c r="B79" s="51" t="str">
        <f>IF($E79="","",IF($JL79=1,"",INDEX(工数管理!$A$3:$A$98,$E79)&amp;""))</f>
        <v/>
      </c>
      <c r="C79" s="50" t="str">
        <f>IF($E79="","",IF($JL79=1,"",INDEX(工数管理!$B$3:$B$98,$E79)&amp;""))</f>
        <v/>
      </c>
      <c r="D79" s="50" t="str">
        <f>IF($E79="","",INDEX(工数管理!$H$3:$H$98,$E79)&amp;"")</f>
        <v/>
      </c>
      <c r="E79" t="str">
        <f>IFERROR(MATCH(SMALL(工数管理!$BP$3:$BP$98,ROW()-3),工数管理!$BP$3:$BP$98,0),"")</f>
        <v/>
      </c>
      <c r="F79" t="str">
        <f>IF($E79="","",IF(INDEX(工数管理!$K$3:$K$98,$E79)="","",INDEX(工数管理!$K$3:$K$98,$E79)))</f>
        <v/>
      </c>
      <c r="G79" t="str">
        <f>IF($E79="","",IF(INDEX(工数管理!$L$3:$L$98,$E79)="","",INDEX(工数管理!$L$3:$L$98,$E79)))</f>
        <v/>
      </c>
      <c r="H79" t="str">
        <f>IF($E79="","",IF(INDEX(工数管理!$M$3:$M$98,$E79)="","",INDEX(工数管理!$M$3:$M$98,$E79)))</f>
        <v/>
      </c>
      <c r="I79" t="str">
        <f>IF($E79="","",IF(INDEX(工数管理!$N$3:$N$98,$E79)="","",INDEX(工数管理!$N$3:$N$98,$E79)))</f>
        <v/>
      </c>
      <c r="J79" t="str">
        <f>IF($E79="","",IF(INDEX(工数管理!$O$3:$O$98,$E79)="","",INDEX(工数管理!$O$3:$O$98,$E79)))</f>
        <v/>
      </c>
      <c r="K79" t="str">
        <f>IF($E79="","",IF(INDEX(工数管理!$P$3:$P$98,$E79)="","",INDEX(工数管理!$P$3:$P$98,$E79)))</f>
        <v/>
      </c>
      <c r="L79" t="str">
        <f>IF($E79="","",IF(INDEX(工数管理!$Q$3:$Q$98,$E79)="","",INDEX(工数管理!$Q$3:$Q$98,$E79)))</f>
        <v/>
      </c>
      <c r="M79" t="str">
        <f>IF($E79="","",IF(INDEX(工数管理!$R$3:$R$98,$E79)="","",INDEX(工数管理!$R$3:$R$98,$E79)))</f>
        <v/>
      </c>
      <c r="N79" t="str">
        <f>IF($E79="","",IF(INDEX(工数管理!$S$3:$S$98,$E79)="","",INDEX(工数管理!$S$3:$S$98,$E79)))</f>
        <v/>
      </c>
      <c r="O79" t="str">
        <f>IF($E79="","",IF(INDEX(工数管理!$T$3:$T$98,$E79)="","",INDEX(工数管理!$T$3:$T$98,$E79)))</f>
        <v/>
      </c>
      <c r="P79" t="str">
        <f>IF($E79="","",IF(INDEX(工数管理!$U$3:$U$98,$E79)="","",INDEX(工数管理!$U$3:$U$98,$E79)))</f>
        <v/>
      </c>
      <c r="Q79" t="str">
        <f>IF($E79="","",IF(INDEX(工数管理!$V$3:$V$98,$E79)="","",INDEX(工数管理!$V$3:$V$98,$E79)))</f>
        <v/>
      </c>
      <c r="R79" t="str">
        <f>IF($E79="","",IF(INDEX(工数管理!$W$3:$W$98,$E79)="","",INDEX(工数管理!$W$3:$W$98,$E79)))</f>
        <v/>
      </c>
      <c r="S79" t="str">
        <f>IF($E79="","",IF(INDEX(工数管理!$X$3:$X$98,$E79)="","",INDEX(工数管理!$X$3:$X$98,$E79)))</f>
        <v/>
      </c>
      <c r="T79" t="str">
        <f>IF($E79="","",IF(INDEX(工数管理!$Y$3:$Y$98,$E79)="","",INDEX(工数管理!$Y$3:$Y$98,$E79)))</f>
        <v/>
      </c>
      <c r="U79" t="str">
        <f>IF($E79="","",IF(INDEX(工数管理!$Z$3:$Z$98,$E79)="","",INDEX(工数管理!$Z$3:$Z$98,$E79)))</f>
        <v/>
      </c>
      <c r="V79" t="str">
        <f>IF($E79="","",IF(INDEX(工数管理!$AA$3:$AA$98,$E79)="","",INDEX(工数管理!$AA$3:$AA$98,$E79)))</f>
        <v/>
      </c>
      <c r="W79" t="str">
        <f>IF($E79="","",IF(INDEX(工数管理!$AB$3:$AB$98,$E79)="","",INDEX(工数管理!$AB$3:$AB$98,$E79)))</f>
        <v/>
      </c>
      <c r="X79" t="str">
        <f>IF($E79="","",IF(INDEX(工数管理!$AC$3:$AC$98,$E79)="","",INDEX(工数管理!$AC$3:$AC$98,$E79)))</f>
        <v/>
      </c>
      <c r="Y79" t="str">
        <f>IF($E79="","",IF(INDEX(工数管理!$AD$3:$AD$98,$E79)="","",INDEX(工数管理!$AD$3:$AD$98,$E79)))</f>
        <v/>
      </c>
      <c r="Z79" t="str">
        <f>IF($E79="","",IF(INDEX(工数管理!$AE$3:$AE$98,$E79)="","",INDEX(工数管理!$AE$3:$AE$98,$E79)))</f>
        <v/>
      </c>
      <c r="AA79" t="str">
        <f>IF($E79="","",IF(INDEX(工数管理!$AF$3:$AF$98,$E79)="","",INDEX(工数管理!$AF$3:$AF$98,$E79)))</f>
        <v/>
      </c>
      <c r="AB79" t="str">
        <f>IF($E79="","",IF(INDEX(工数管理!$AG$3:$AG$98,$E79)="","",INDEX(工数管理!$AG$3:$AG$98,$E79)))</f>
        <v/>
      </c>
      <c r="AC79" t="str">
        <f>IF($E79="","",IF(INDEX(工数管理!$AH$3:$AH$98,$E79)="","",INDEX(工数管理!$AH$3:$AH$98,$E79)))</f>
        <v/>
      </c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  <c r="DJ79" s="52"/>
      <c r="DK79" s="52"/>
      <c r="DL79" s="52"/>
      <c r="DM79" s="52"/>
      <c r="DN79" s="52"/>
      <c r="DO79" s="52"/>
      <c r="DP79" s="52"/>
      <c r="DQ79" s="52"/>
      <c r="DR79" s="52"/>
      <c r="DS79" s="52"/>
      <c r="DT79" s="52"/>
      <c r="DU79" s="52"/>
      <c r="DV79" s="52"/>
      <c r="DW79" s="52"/>
      <c r="DX79" s="52"/>
      <c r="DY79" s="52"/>
      <c r="DZ79" s="52"/>
      <c r="EA79" s="52"/>
      <c r="EB79" s="52"/>
      <c r="EC79" s="52"/>
      <c r="ED79" s="52"/>
      <c r="EE79" s="52"/>
      <c r="EF79" s="52"/>
      <c r="EG79" s="52"/>
      <c r="EH79" s="52"/>
      <c r="EI79" s="52"/>
      <c r="EJ79" s="52"/>
      <c r="EK79" s="52"/>
      <c r="EL79" s="52"/>
      <c r="EM79" s="52"/>
      <c r="EN79" s="52"/>
      <c r="EO79" s="52"/>
      <c r="EP79" s="52"/>
      <c r="EQ79" s="52"/>
      <c r="ER79" s="52"/>
      <c r="ES79" s="52"/>
      <c r="ET79" s="52"/>
      <c r="EU79" s="52"/>
      <c r="EV79" s="52"/>
      <c r="EW79" s="52"/>
      <c r="EX79" s="52"/>
      <c r="EY79" s="52"/>
      <c r="EZ79" s="52"/>
      <c r="FA79" s="52"/>
      <c r="FB79" s="52"/>
      <c r="FC79" s="52"/>
      <c r="FD79" s="52"/>
      <c r="FE79" s="52"/>
      <c r="FF79" s="52"/>
      <c r="FG79" s="52"/>
      <c r="FH79" s="52"/>
      <c r="FI79" s="52"/>
      <c r="FJ79" s="52"/>
      <c r="FK79" s="52"/>
      <c r="FL79" s="52"/>
      <c r="FM79" s="52"/>
      <c r="FN79" s="52"/>
      <c r="FO79" s="52"/>
      <c r="FP79" s="52"/>
      <c r="FQ79" s="52"/>
      <c r="FR79" s="52"/>
      <c r="FS79" s="52"/>
      <c r="FT79" s="52"/>
      <c r="FU79" s="52"/>
      <c r="FV79" s="52"/>
      <c r="FW79" s="52"/>
      <c r="FX79" s="52"/>
      <c r="FY79" s="52"/>
      <c r="FZ79" s="52"/>
      <c r="GA79" s="52"/>
      <c r="GB79" s="52"/>
      <c r="GC79" s="52"/>
      <c r="GD79" s="52"/>
      <c r="GE79" s="52"/>
      <c r="GF79" s="52"/>
      <c r="GG79" s="52"/>
      <c r="GH79" s="52"/>
      <c r="GI79" s="52"/>
      <c r="GJ79" s="52"/>
      <c r="GK79" s="52"/>
      <c r="GL79" s="52"/>
      <c r="GM79" s="52"/>
      <c r="GN79" s="52"/>
      <c r="GO79" s="52"/>
      <c r="GP79" s="52"/>
      <c r="GQ79" s="52"/>
      <c r="GR79" s="52"/>
      <c r="GS79" s="52"/>
      <c r="GT79" s="52"/>
      <c r="GU79" s="52"/>
      <c r="GV79" s="52"/>
      <c r="GW79" s="52"/>
      <c r="GX79" s="52"/>
      <c r="GY79" s="52"/>
      <c r="GZ79" s="52"/>
      <c r="HA79" s="52"/>
      <c r="HB79" s="52"/>
      <c r="HC79" s="52"/>
      <c r="HD79" s="52"/>
      <c r="HE79" s="52"/>
      <c r="HF79" s="52"/>
      <c r="HG79" s="52"/>
      <c r="HH79" s="52"/>
      <c r="HI79" s="52"/>
      <c r="HJ79" s="52"/>
      <c r="HK79" s="52"/>
      <c r="HL79" s="52"/>
      <c r="HM79" s="52"/>
      <c r="HN79" s="52"/>
      <c r="HO79" s="52"/>
      <c r="HP79" s="52"/>
      <c r="HQ79" s="52"/>
      <c r="HR79" s="52"/>
      <c r="HS79" s="52"/>
      <c r="HT79" s="52"/>
      <c r="HU79" s="52"/>
      <c r="HV79" s="52"/>
      <c r="HW79" s="52"/>
      <c r="HX79" s="52"/>
      <c r="HY79" s="52"/>
      <c r="HZ79" s="52"/>
      <c r="IA79" s="52"/>
      <c r="IB79" s="52"/>
      <c r="IC79" s="52"/>
      <c r="ID79" s="52"/>
      <c r="IE79" s="52"/>
      <c r="IF79" s="52"/>
      <c r="IG79" s="52"/>
      <c r="IH79" s="52"/>
      <c r="II79" s="52"/>
      <c r="IJ79" s="52"/>
      <c r="IK79" s="52"/>
      <c r="IL79" s="52"/>
      <c r="IM79" s="52"/>
      <c r="IN79" s="52"/>
      <c r="IO79" s="52"/>
      <c r="IP79" s="52"/>
      <c r="IQ79" s="52"/>
      <c r="IR79" s="52"/>
      <c r="IS79" s="52"/>
      <c r="IT79" s="52"/>
      <c r="IU79" s="52"/>
      <c r="IV79" s="52"/>
      <c r="IW79" s="52"/>
      <c r="IX79" s="52"/>
      <c r="IY79" s="52"/>
      <c r="IZ79" s="52"/>
      <c r="JA79" s="52"/>
      <c r="JB79" s="52"/>
      <c r="JC79" s="52"/>
      <c r="JD79" s="52"/>
      <c r="JE79" s="52"/>
      <c r="JF79" s="52"/>
      <c r="JG79" s="52"/>
      <c r="JH79" s="52"/>
      <c r="JI79" s="52"/>
      <c r="JL79" t="str">
        <f>IF($E79="","",IF(INDEX(工数管理!$AJ$3:$AJ$98,$E79)&lt;&gt;"",1,0))</f>
        <v/>
      </c>
      <c r="JM79" t="str">
        <f>IF($E79="","",IFERROR(MATCH($A79,祝日!$J$1:$L$1,0),""))</f>
        <v/>
      </c>
    </row>
    <row r="80" spans="1:273" ht="14.25" customHeight="1" x14ac:dyDescent="0.15">
      <c r="A80" s="50" t="str">
        <f>IF($E80="","",IF($JL80=1,INDEX(工数管理!$A$3:$A$98,$E80)&amp;"",IF(INDEX(工数管理!$AK$3:$AK$98,$E80)="","未割当",INDEX(工数管理!$AK$3:$AK$98,$E80))))</f>
        <v/>
      </c>
      <c r="B80" s="51" t="str">
        <f>IF($E80="","",IF($JL80=1,"",INDEX(工数管理!$A$3:$A$98,$E80)&amp;""))</f>
        <v/>
      </c>
      <c r="C80" s="50" t="str">
        <f>IF($E80="","",IF($JL80=1,"",INDEX(工数管理!$B$3:$B$98,$E80)&amp;""))</f>
        <v/>
      </c>
      <c r="D80" s="50" t="str">
        <f>IF($E80="","",INDEX(工数管理!$H$3:$H$98,$E80)&amp;"")</f>
        <v/>
      </c>
      <c r="E80" t="str">
        <f>IFERROR(MATCH(SMALL(工数管理!$BP$3:$BP$98,ROW()-3),工数管理!$BP$3:$BP$98,0),"")</f>
        <v/>
      </c>
      <c r="F80" t="str">
        <f>IF($E80="","",IF(INDEX(工数管理!$K$3:$K$98,$E80)="","",INDEX(工数管理!$K$3:$K$98,$E80)))</f>
        <v/>
      </c>
      <c r="G80" t="str">
        <f>IF($E80="","",IF(INDEX(工数管理!$L$3:$L$98,$E80)="","",INDEX(工数管理!$L$3:$L$98,$E80)))</f>
        <v/>
      </c>
      <c r="H80" t="str">
        <f>IF($E80="","",IF(INDEX(工数管理!$M$3:$M$98,$E80)="","",INDEX(工数管理!$M$3:$M$98,$E80)))</f>
        <v/>
      </c>
      <c r="I80" t="str">
        <f>IF($E80="","",IF(INDEX(工数管理!$N$3:$N$98,$E80)="","",INDEX(工数管理!$N$3:$N$98,$E80)))</f>
        <v/>
      </c>
      <c r="J80" t="str">
        <f>IF($E80="","",IF(INDEX(工数管理!$O$3:$O$98,$E80)="","",INDEX(工数管理!$O$3:$O$98,$E80)))</f>
        <v/>
      </c>
      <c r="K80" t="str">
        <f>IF($E80="","",IF(INDEX(工数管理!$P$3:$P$98,$E80)="","",INDEX(工数管理!$P$3:$P$98,$E80)))</f>
        <v/>
      </c>
      <c r="L80" t="str">
        <f>IF($E80="","",IF(INDEX(工数管理!$Q$3:$Q$98,$E80)="","",INDEX(工数管理!$Q$3:$Q$98,$E80)))</f>
        <v/>
      </c>
      <c r="M80" t="str">
        <f>IF($E80="","",IF(INDEX(工数管理!$R$3:$R$98,$E80)="","",INDEX(工数管理!$R$3:$R$98,$E80)))</f>
        <v/>
      </c>
      <c r="N80" t="str">
        <f>IF($E80="","",IF(INDEX(工数管理!$S$3:$S$98,$E80)="","",INDEX(工数管理!$S$3:$S$98,$E80)))</f>
        <v/>
      </c>
      <c r="O80" t="str">
        <f>IF($E80="","",IF(INDEX(工数管理!$T$3:$T$98,$E80)="","",INDEX(工数管理!$T$3:$T$98,$E80)))</f>
        <v/>
      </c>
      <c r="P80" t="str">
        <f>IF($E80="","",IF(INDEX(工数管理!$U$3:$U$98,$E80)="","",INDEX(工数管理!$U$3:$U$98,$E80)))</f>
        <v/>
      </c>
      <c r="Q80" t="str">
        <f>IF($E80="","",IF(INDEX(工数管理!$V$3:$V$98,$E80)="","",INDEX(工数管理!$V$3:$V$98,$E80)))</f>
        <v/>
      </c>
      <c r="R80" t="str">
        <f>IF($E80="","",IF(INDEX(工数管理!$W$3:$W$98,$E80)="","",INDEX(工数管理!$W$3:$W$98,$E80)))</f>
        <v/>
      </c>
      <c r="S80" t="str">
        <f>IF($E80="","",IF(INDEX(工数管理!$X$3:$X$98,$E80)="","",INDEX(工数管理!$X$3:$X$98,$E80)))</f>
        <v/>
      </c>
      <c r="T80" t="str">
        <f>IF($E80="","",IF(INDEX(工数管理!$Y$3:$Y$98,$E80)="","",INDEX(工数管理!$Y$3:$Y$98,$E80)))</f>
        <v/>
      </c>
      <c r="U80" t="str">
        <f>IF($E80="","",IF(INDEX(工数管理!$Z$3:$Z$98,$E80)="","",INDEX(工数管理!$Z$3:$Z$98,$E80)))</f>
        <v/>
      </c>
      <c r="V80" t="str">
        <f>IF($E80="","",IF(INDEX(工数管理!$AA$3:$AA$98,$E80)="","",INDEX(工数管理!$AA$3:$AA$98,$E80)))</f>
        <v/>
      </c>
      <c r="W80" t="str">
        <f>IF($E80="","",IF(INDEX(工数管理!$AB$3:$AB$98,$E80)="","",INDEX(工数管理!$AB$3:$AB$98,$E80)))</f>
        <v/>
      </c>
      <c r="X80" t="str">
        <f>IF($E80="","",IF(INDEX(工数管理!$AC$3:$AC$98,$E80)="","",INDEX(工数管理!$AC$3:$AC$98,$E80)))</f>
        <v/>
      </c>
      <c r="Y80" t="str">
        <f>IF($E80="","",IF(INDEX(工数管理!$AD$3:$AD$98,$E80)="","",INDEX(工数管理!$AD$3:$AD$98,$E80)))</f>
        <v/>
      </c>
      <c r="Z80" t="str">
        <f>IF($E80="","",IF(INDEX(工数管理!$AE$3:$AE$98,$E80)="","",INDEX(工数管理!$AE$3:$AE$98,$E80)))</f>
        <v/>
      </c>
      <c r="AA80" t="str">
        <f>IF($E80="","",IF(INDEX(工数管理!$AF$3:$AF$98,$E80)="","",INDEX(工数管理!$AF$3:$AF$98,$E80)))</f>
        <v/>
      </c>
      <c r="AB80" t="str">
        <f>IF($E80="","",IF(INDEX(工数管理!$AG$3:$AG$98,$E80)="","",INDEX(工数管理!$AG$3:$AG$98,$E80)))</f>
        <v/>
      </c>
      <c r="AC80" t="str">
        <f>IF($E80="","",IF(INDEX(工数管理!$AH$3:$AH$98,$E80)="","",INDEX(工数管理!$AH$3:$AH$98,$E80)))</f>
        <v/>
      </c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2"/>
      <c r="DN80" s="52"/>
      <c r="DO80" s="52"/>
      <c r="DP80" s="52"/>
      <c r="DQ80" s="52"/>
      <c r="DR80" s="52"/>
      <c r="DS80" s="52"/>
      <c r="DT80" s="52"/>
      <c r="DU80" s="52"/>
      <c r="DV80" s="52"/>
      <c r="DW80" s="52"/>
      <c r="DX80" s="52"/>
      <c r="DY80" s="52"/>
      <c r="DZ80" s="52"/>
      <c r="EA80" s="52"/>
      <c r="EB80" s="52"/>
      <c r="EC80" s="52"/>
      <c r="ED80" s="52"/>
      <c r="EE80" s="52"/>
      <c r="EF80" s="52"/>
      <c r="EG80" s="52"/>
      <c r="EH80" s="52"/>
      <c r="EI80" s="52"/>
      <c r="EJ80" s="52"/>
      <c r="EK80" s="52"/>
      <c r="EL80" s="52"/>
      <c r="EM80" s="52"/>
      <c r="EN80" s="52"/>
      <c r="EO80" s="52"/>
      <c r="EP80" s="52"/>
      <c r="EQ80" s="52"/>
      <c r="ER80" s="52"/>
      <c r="ES80" s="52"/>
      <c r="ET80" s="52"/>
      <c r="EU80" s="52"/>
      <c r="EV80" s="52"/>
      <c r="EW80" s="52"/>
      <c r="EX80" s="52"/>
      <c r="EY80" s="52"/>
      <c r="EZ80" s="52"/>
      <c r="FA80" s="52"/>
      <c r="FB80" s="52"/>
      <c r="FC80" s="52"/>
      <c r="FD80" s="52"/>
      <c r="FE80" s="52"/>
      <c r="FF80" s="52"/>
      <c r="FG80" s="52"/>
      <c r="FH80" s="52"/>
      <c r="FI80" s="52"/>
      <c r="FJ80" s="52"/>
      <c r="FK80" s="52"/>
      <c r="FL80" s="52"/>
      <c r="FM80" s="52"/>
      <c r="FN80" s="52"/>
      <c r="FO80" s="52"/>
      <c r="FP80" s="52"/>
      <c r="FQ80" s="52"/>
      <c r="FR80" s="52"/>
      <c r="FS80" s="52"/>
      <c r="FT80" s="52"/>
      <c r="FU80" s="52"/>
      <c r="FV80" s="52"/>
      <c r="FW80" s="52"/>
      <c r="FX80" s="52"/>
      <c r="FY80" s="52"/>
      <c r="FZ80" s="52"/>
      <c r="GA80" s="52"/>
      <c r="GB80" s="52"/>
      <c r="GC80" s="52"/>
      <c r="GD80" s="52"/>
      <c r="GE80" s="52"/>
      <c r="GF80" s="52"/>
      <c r="GG80" s="52"/>
      <c r="GH80" s="52"/>
      <c r="GI80" s="52"/>
      <c r="GJ80" s="52"/>
      <c r="GK80" s="52"/>
      <c r="GL80" s="52"/>
      <c r="GM80" s="52"/>
      <c r="GN80" s="52"/>
      <c r="GO80" s="52"/>
      <c r="GP80" s="52"/>
      <c r="GQ80" s="52"/>
      <c r="GR80" s="52"/>
      <c r="GS80" s="52"/>
      <c r="GT80" s="52"/>
      <c r="GU80" s="52"/>
      <c r="GV80" s="52"/>
      <c r="GW80" s="52"/>
      <c r="GX80" s="52"/>
      <c r="GY80" s="52"/>
      <c r="GZ80" s="52"/>
      <c r="HA80" s="52"/>
      <c r="HB80" s="52"/>
      <c r="HC80" s="52"/>
      <c r="HD80" s="52"/>
      <c r="HE80" s="52"/>
      <c r="HF80" s="52"/>
      <c r="HG80" s="52"/>
      <c r="HH80" s="52"/>
      <c r="HI80" s="52"/>
      <c r="HJ80" s="52"/>
      <c r="HK80" s="52"/>
      <c r="HL80" s="52"/>
      <c r="HM80" s="52"/>
      <c r="HN80" s="52"/>
      <c r="HO80" s="52"/>
      <c r="HP80" s="52"/>
      <c r="HQ80" s="52"/>
      <c r="HR80" s="52"/>
      <c r="HS80" s="52"/>
      <c r="HT80" s="52"/>
      <c r="HU80" s="52"/>
      <c r="HV80" s="52"/>
      <c r="HW80" s="52"/>
      <c r="HX80" s="52"/>
      <c r="HY80" s="52"/>
      <c r="HZ80" s="52"/>
      <c r="IA80" s="52"/>
      <c r="IB80" s="52"/>
      <c r="IC80" s="52"/>
      <c r="ID80" s="52"/>
      <c r="IE80" s="52"/>
      <c r="IF80" s="52"/>
      <c r="IG80" s="52"/>
      <c r="IH80" s="52"/>
      <c r="II80" s="52"/>
      <c r="IJ80" s="52"/>
      <c r="IK80" s="52"/>
      <c r="IL80" s="52"/>
      <c r="IM80" s="52"/>
      <c r="IN80" s="52"/>
      <c r="IO80" s="52"/>
      <c r="IP80" s="52"/>
      <c r="IQ80" s="52"/>
      <c r="IR80" s="52"/>
      <c r="IS80" s="52"/>
      <c r="IT80" s="52"/>
      <c r="IU80" s="52"/>
      <c r="IV80" s="52"/>
      <c r="IW80" s="52"/>
      <c r="IX80" s="52"/>
      <c r="IY80" s="52"/>
      <c r="IZ80" s="52"/>
      <c r="JA80" s="52"/>
      <c r="JB80" s="52"/>
      <c r="JC80" s="52"/>
      <c r="JD80" s="52"/>
      <c r="JE80" s="52"/>
      <c r="JF80" s="52"/>
      <c r="JG80" s="52"/>
      <c r="JH80" s="52"/>
      <c r="JI80" s="52"/>
      <c r="JL80" t="str">
        <f>IF($E80="","",IF(INDEX(工数管理!$AJ$3:$AJ$98,$E80)&lt;&gt;"",1,0))</f>
        <v/>
      </c>
      <c r="JM80" t="str">
        <f>IF($E80="","",IFERROR(MATCH($A80,祝日!$J$1:$L$1,0),""))</f>
        <v/>
      </c>
    </row>
    <row r="81" spans="1:273" ht="14.25" customHeight="1" x14ac:dyDescent="0.15">
      <c r="A81" s="50" t="str">
        <f>IF($E81="","",IF($JL81=1,INDEX(工数管理!$A$3:$A$98,$E81)&amp;"",IF(INDEX(工数管理!$AK$3:$AK$98,$E81)="","未割当",INDEX(工数管理!$AK$3:$AK$98,$E81))))</f>
        <v/>
      </c>
      <c r="B81" s="51" t="str">
        <f>IF($E81="","",IF($JL81=1,"",INDEX(工数管理!$A$3:$A$98,$E81)&amp;""))</f>
        <v/>
      </c>
      <c r="C81" s="50" t="str">
        <f>IF($E81="","",IF($JL81=1,"",INDEX(工数管理!$B$3:$B$98,$E81)&amp;""))</f>
        <v/>
      </c>
      <c r="D81" s="50" t="str">
        <f>IF($E81="","",INDEX(工数管理!$H$3:$H$98,$E81)&amp;"")</f>
        <v/>
      </c>
      <c r="E81" t="str">
        <f>IFERROR(MATCH(SMALL(工数管理!$BP$3:$BP$98,ROW()-3),工数管理!$BP$3:$BP$98,0),"")</f>
        <v/>
      </c>
      <c r="F81" t="str">
        <f>IF($E81="","",IF(INDEX(工数管理!$K$3:$K$98,$E81)="","",INDEX(工数管理!$K$3:$K$98,$E81)))</f>
        <v/>
      </c>
      <c r="G81" t="str">
        <f>IF($E81="","",IF(INDEX(工数管理!$L$3:$L$98,$E81)="","",INDEX(工数管理!$L$3:$L$98,$E81)))</f>
        <v/>
      </c>
      <c r="H81" t="str">
        <f>IF($E81="","",IF(INDEX(工数管理!$M$3:$M$98,$E81)="","",INDEX(工数管理!$M$3:$M$98,$E81)))</f>
        <v/>
      </c>
      <c r="I81" t="str">
        <f>IF($E81="","",IF(INDEX(工数管理!$N$3:$N$98,$E81)="","",INDEX(工数管理!$N$3:$N$98,$E81)))</f>
        <v/>
      </c>
      <c r="J81" t="str">
        <f>IF($E81="","",IF(INDEX(工数管理!$O$3:$O$98,$E81)="","",INDEX(工数管理!$O$3:$O$98,$E81)))</f>
        <v/>
      </c>
      <c r="K81" t="str">
        <f>IF($E81="","",IF(INDEX(工数管理!$P$3:$P$98,$E81)="","",INDEX(工数管理!$P$3:$P$98,$E81)))</f>
        <v/>
      </c>
      <c r="L81" t="str">
        <f>IF($E81="","",IF(INDEX(工数管理!$Q$3:$Q$98,$E81)="","",INDEX(工数管理!$Q$3:$Q$98,$E81)))</f>
        <v/>
      </c>
      <c r="M81" t="str">
        <f>IF($E81="","",IF(INDEX(工数管理!$R$3:$R$98,$E81)="","",INDEX(工数管理!$R$3:$R$98,$E81)))</f>
        <v/>
      </c>
      <c r="N81" t="str">
        <f>IF($E81="","",IF(INDEX(工数管理!$S$3:$S$98,$E81)="","",INDEX(工数管理!$S$3:$S$98,$E81)))</f>
        <v/>
      </c>
      <c r="O81" t="str">
        <f>IF($E81="","",IF(INDEX(工数管理!$T$3:$T$98,$E81)="","",INDEX(工数管理!$T$3:$T$98,$E81)))</f>
        <v/>
      </c>
      <c r="P81" t="str">
        <f>IF($E81="","",IF(INDEX(工数管理!$U$3:$U$98,$E81)="","",INDEX(工数管理!$U$3:$U$98,$E81)))</f>
        <v/>
      </c>
      <c r="Q81" t="str">
        <f>IF($E81="","",IF(INDEX(工数管理!$V$3:$V$98,$E81)="","",INDEX(工数管理!$V$3:$V$98,$E81)))</f>
        <v/>
      </c>
      <c r="R81" t="str">
        <f>IF($E81="","",IF(INDEX(工数管理!$W$3:$W$98,$E81)="","",INDEX(工数管理!$W$3:$W$98,$E81)))</f>
        <v/>
      </c>
      <c r="S81" t="str">
        <f>IF($E81="","",IF(INDEX(工数管理!$X$3:$X$98,$E81)="","",INDEX(工数管理!$X$3:$X$98,$E81)))</f>
        <v/>
      </c>
      <c r="T81" t="str">
        <f>IF($E81="","",IF(INDEX(工数管理!$Y$3:$Y$98,$E81)="","",INDEX(工数管理!$Y$3:$Y$98,$E81)))</f>
        <v/>
      </c>
      <c r="U81" t="str">
        <f>IF($E81="","",IF(INDEX(工数管理!$Z$3:$Z$98,$E81)="","",INDEX(工数管理!$Z$3:$Z$98,$E81)))</f>
        <v/>
      </c>
      <c r="V81" t="str">
        <f>IF($E81="","",IF(INDEX(工数管理!$AA$3:$AA$98,$E81)="","",INDEX(工数管理!$AA$3:$AA$98,$E81)))</f>
        <v/>
      </c>
      <c r="W81" t="str">
        <f>IF($E81="","",IF(INDEX(工数管理!$AB$3:$AB$98,$E81)="","",INDEX(工数管理!$AB$3:$AB$98,$E81)))</f>
        <v/>
      </c>
      <c r="X81" t="str">
        <f>IF($E81="","",IF(INDEX(工数管理!$AC$3:$AC$98,$E81)="","",INDEX(工数管理!$AC$3:$AC$98,$E81)))</f>
        <v/>
      </c>
      <c r="Y81" t="str">
        <f>IF($E81="","",IF(INDEX(工数管理!$AD$3:$AD$98,$E81)="","",INDEX(工数管理!$AD$3:$AD$98,$E81)))</f>
        <v/>
      </c>
      <c r="Z81" t="str">
        <f>IF($E81="","",IF(INDEX(工数管理!$AE$3:$AE$98,$E81)="","",INDEX(工数管理!$AE$3:$AE$98,$E81)))</f>
        <v/>
      </c>
      <c r="AA81" t="str">
        <f>IF($E81="","",IF(INDEX(工数管理!$AF$3:$AF$98,$E81)="","",INDEX(工数管理!$AF$3:$AF$98,$E81)))</f>
        <v/>
      </c>
      <c r="AB81" t="str">
        <f>IF($E81="","",IF(INDEX(工数管理!$AG$3:$AG$98,$E81)="","",INDEX(工数管理!$AG$3:$AG$98,$E81)))</f>
        <v/>
      </c>
      <c r="AC81" t="str">
        <f>IF($E81="","",IF(INDEX(工数管理!$AH$3:$AH$98,$E81)="","",INDEX(工数管理!$AH$3:$AH$98,$E81)))</f>
        <v/>
      </c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/>
      <c r="DV81" s="52"/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  <c r="EM81" s="52"/>
      <c r="EN81" s="52"/>
      <c r="EO81" s="52"/>
      <c r="EP81" s="52"/>
      <c r="EQ81" s="52"/>
      <c r="ER81" s="52"/>
      <c r="ES81" s="52"/>
      <c r="ET81" s="52"/>
      <c r="EU81" s="52"/>
      <c r="EV81" s="52"/>
      <c r="EW81" s="52"/>
      <c r="EX81" s="52"/>
      <c r="EY81" s="52"/>
      <c r="EZ81" s="52"/>
      <c r="FA81" s="52"/>
      <c r="FB81" s="52"/>
      <c r="FC81" s="52"/>
      <c r="FD81" s="52"/>
      <c r="FE81" s="52"/>
      <c r="FF81" s="52"/>
      <c r="FG81" s="52"/>
      <c r="FH81" s="52"/>
      <c r="FI81" s="52"/>
      <c r="FJ81" s="52"/>
      <c r="FK81" s="52"/>
      <c r="FL81" s="52"/>
      <c r="FM81" s="52"/>
      <c r="FN81" s="52"/>
      <c r="FO81" s="52"/>
      <c r="FP81" s="52"/>
      <c r="FQ81" s="52"/>
      <c r="FR81" s="52"/>
      <c r="FS81" s="52"/>
      <c r="FT81" s="52"/>
      <c r="FU81" s="52"/>
      <c r="FV81" s="52"/>
      <c r="FW81" s="52"/>
      <c r="FX81" s="52"/>
      <c r="FY81" s="52"/>
      <c r="FZ81" s="52"/>
      <c r="GA81" s="52"/>
      <c r="GB81" s="52"/>
      <c r="GC81" s="52"/>
      <c r="GD81" s="52"/>
      <c r="GE81" s="52"/>
      <c r="GF81" s="52"/>
      <c r="GG81" s="52"/>
      <c r="GH81" s="52"/>
      <c r="GI81" s="52"/>
      <c r="GJ81" s="52"/>
      <c r="GK81" s="52"/>
      <c r="GL81" s="52"/>
      <c r="GM81" s="52"/>
      <c r="GN81" s="52"/>
      <c r="GO81" s="52"/>
      <c r="GP81" s="52"/>
      <c r="GQ81" s="52"/>
      <c r="GR81" s="52"/>
      <c r="GS81" s="52"/>
      <c r="GT81" s="52"/>
      <c r="GU81" s="52"/>
      <c r="GV81" s="52"/>
      <c r="GW81" s="52"/>
      <c r="GX81" s="52"/>
      <c r="GY81" s="52"/>
      <c r="GZ81" s="52"/>
      <c r="HA81" s="52"/>
      <c r="HB81" s="52"/>
      <c r="HC81" s="52"/>
      <c r="HD81" s="52"/>
      <c r="HE81" s="52"/>
      <c r="HF81" s="52"/>
      <c r="HG81" s="52"/>
      <c r="HH81" s="52"/>
      <c r="HI81" s="52"/>
      <c r="HJ81" s="52"/>
      <c r="HK81" s="52"/>
      <c r="HL81" s="52"/>
      <c r="HM81" s="52"/>
      <c r="HN81" s="52"/>
      <c r="HO81" s="52"/>
      <c r="HP81" s="52"/>
      <c r="HQ81" s="52"/>
      <c r="HR81" s="52"/>
      <c r="HS81" s="52"/>
      <c r="HT81" s="52"/>
      <c r="HU81" s="52"/>
      <c r="HV81" s="52"/>
      <c r="HW81" s="52"/>
      <c r="HX81" s="52"/>
      <c r="HY81" s="52"/>
      <c r="HZ81" s="52"/>
      <c r="IA81" s="52"/>
      <c r="IB81" s="52"/>
      <c r="IC81" s="52"/>
      <c r="ID81" s="52"/>
      <c r="IE81" s="52"/>
      <c r="IF81" s="52"/>
      <c r="IG81" s="52"/>
      <c r="IH81" s="52"/>
      <c r="II81" s="52"/>
      <c r="IJ81" s="52"/>
      <c r="IK81" s="52"/>
      <c r="IL81" s="52"/>
      <c r="IM81" s="52"/>
      <c r="IN81" s="52"/>
      <c r="IO81" s="52"/>
      <c r="IP81" s="52"/>
      <c r="IQ81" s="52"/>
      <c r="IR81" s="52"/>
      <c r="IS81" s="52"/>
      <c r="IT81" s="52"/>
      <c r="IU81" s="52"/>
      <c r="IV81" s="52"/>
      <c r="IW81" s="52"/>
      <c r="IX81" s="52"/>
      <c r="IY81" s="52"/>
      <c r="IZ81" s="52"/>
      <c r="JA81" s="52"/>
      <c r="JB81" s="52"/>
      <c r="JC81" s="52"/>
      <c r="JD81" s="52"/>
      <c r="JE81" s="52"/>
      <c r="JF81" s="52"/>
      <c r="JG81" s="52"/>
      <c r="JH81" s="52"/>
      <c r="JI81" s="52"/>
      <c r="JL81" t="str">
        <f>IF($E81="","",IF(INDEX(工数管理!$AJ$3:$AJ$98,$E81)&lt;&gt;"",1,0))</f>
        <v/>
      </c>
      <c r="JM81" t="str">
        <f>IF($E81="","",IFERROR(MATCH($A81,祝日!$J$1:$L$1,0),""))</f>
        <v/>
      </c>
    </row>
    <row r="82" spans="1:273" ht="14.25" customHeight="1" x14ac:dyDescent="0.15">
      <c r="A82" s="50" t="str">
        <f>IF($E82="","",IF($JL82=1,INDEX(工数管理!$A$3:$A$98,$E82)&amp;"",IF(INDEX(工数管理!$AK$3:$AK$98,$E82)="","未割当",INDEX(工数管理!$AK$3:$AK$98,$E82))))</f>
        <v/>
      </c>
      <c r="B82" s="51" t="str">
        <f>IF($E82="","",IF($JL82=1,"",INDEX(工数管理!$A$3:$A$98,$E82)&amp;""))</f>
        <v/>
      </c>
      <c r="C82" s="50" t="str">
        <f>IF($E82="","",IF($JL82=1,"",INDEX(工数管理!$B$3:$B$98,$E82)&amp;""))</f>
        <v/>
      </c>
      <c r="D82" s="50" t="str">
        <f>IF($E82="","",INDEX(工数管理!$H$3:$H$98,$E82)&amp;"")</f>
        <v/>
      </c>
      <c r="E82" t="str">
        <f>IFERROR(MATCH(SMALL(工数管理!$BP$3:$BP$98,ROW()-3),工数管理!$BP$3:$BP$98,0),"")</f>
        <v/>
      </c>
      <c r="F82" t="str">
        <f>IF($E82="","",IF(INDEX(工数管理!$K$3:$K$98,$E82)="","",INDEX(工数管理!$K$3:$K$98,$E82)))</f>
        <v/>
      </c>
      <c r="G82" t="str">
        <f>IF($E82="","",IF(INDEX(工数管理!$L$3:$L$98,$E82)="","",INDEX(工数管理!$L$3:$L$98,$E82)))</f>
        <v/>
      </c>
      <c r="H82" t="str">
        <f>IF($E82="","",IF(INDEX(工数管理!$M$3:$M$98,$E82)="","",INDEX(工数管理!$M$3:$M$98,$E82)))</f>
        <v/>
      </c>
      <c r="I82" t="str">
        <f>IF($E82="","",IF(INDEX(工数管理!$N$3:$N$98,$E82)="","",INDEX(工数管理!$N$3:$N$98,$E82)))</f>
        <v/>
      </c>
      <c r="J82" t="str">
        <f>IF($E82="","",IF(INDEX(工数管理!$O$3:$O$98,$E82)="","",INDEX(工数管理!$O$3:$O$98,$E82)))</f>
        <v/>
      </c>
      <c r="K82" t="str">
        <f>IF($E82="","",IF(INDEX(工数管理!$P$3:$P$98,$E82)="","",INDEX(工数管理!$P$3:$P$98,$E82)))</f>
        <v/>
      </c>
      <c r="L82" t="str">
        <f>IF($E82="","",IF(INDEX(工数管理!$Q$3:$Q$98,$E82)="","",INDEX(工数管理!$Q$3:$Q$98,$E82)))</f>
        <v/>
      </c>
      <c r="M82" t="str">
        <f>IF($E82="","",IF(INDEX(工数管理!$R$3:$R$98,$E82)="","",INDEX(工数管理!$R$3:$R$98,$E82)))</f>
        <v/>
      </c>
      <c r="N82" t="str">
        <f>IF($E82="","",IF(INDEX(工数管理!$S$3:$S$98,$E82)="","",INDEX(工数管理!$S$3:$S$98,$E82)))</f>
        <v/>
      </c>
      <c r="O82" t="str">
        <f>IF($E82="","",IF(INDEX(工数管理!$T$3:$T$98,$E82)="","",INDEX(工数管理!$T$3:$T$98,$E82)))</f>
        <v/>
      </c>
      <c r="P82" t="str">
        <f>IF($E82="","",IF(INDEX(工数管理!$U$3:$U$98,$E82)="","",INDEX(工数管理!$U$3:$U$98,$E82)))</f>
        <v/>
      </c>
      <c r="Q82" t="str">
        <f>IF($E82="","",IF(INDEX(工数管理!$V$3:$V$98,$E82)="","",INDEX(工数管理!$V$3:$V$98,$E82)))</f>
        <v/>
      </c>
      <c r="R82" t="str">
        <f>IF($E82="","",IF(INDEX(工数管理!$W$3:$W$98,$E82)="","",INDEX(工数管理!$W$3:$W$98,$E82)))</f>
        <v/>
      </c>
      <c r="S82" t="str">
        <f>IF($E82="","",IF(INDEX(工数管理!$X$3:$X$98,$E82)="","",INDEX(工数管理!$X$3:$X$98,$E82)))</f>
        <v/>
      </c>
      <c r="T82" t="str">
        <f>IF($E82="","",IF(INDEX(工数管理!$Y$3:$Y$98,$E82)="","",INDEX(工数管理!$Y$3:$Y$98,$E82)))</f>
        <v/>
      </c>
      <c r="U82" t="str">
        <f>IF($E82="","",IF(INDEX(工数管理!$Z$3:$Z$98,$E82)="","",INDEX(工数管理!$Z$3:$Z$98,$E82)))</f>
        <v/>
      </c>
      <c r="V82" t="str">
        <f>IF($E82="","",IF(INDEX(工数管理!$AA$3:$AA$98,$E82)="","",INDEX(工数管理!$AA$3:$AA$98,$E82)))</f>
        <v/>
      </c>
      <c r="W82" t="str">
        <f>IF($E82="","",IF(INDEX(工数管理!$AB$3:$AB$98,$E82)="","",INDEX(工数管理!$AB$3:$AB$98,$E82)))</f>
        <v/>
      </c>
      <c r="X82" t="str">
        <f>IF($E82="","",IF(INDEX(工数管理!$AC$3:$AC$98,$E82)="","",INDEX(工数管理!$AC$3:$AC$98,$E82)))</f>
        <v/>
      </c>
      <c r="Y82" t="str">
        <f>IF($E82="","",IF(INDEX(工数管理!$AD$3:$AD$98,$E82)="","",INDEX(工数管理!$AD$3:$AD$98,$E82)))</f>
        <v/>
      </c>
      <c r="Z82" t="str">
        <f>IF($E82="","",IF(INDEX(工数管理!$AE$3:$AE$98,$E82)="","",INDEX(工数管理!$AE$3:$AE$98,$E82)))</f>
        <v/>
      </c>
      <c r="AA82" t="str">
        <f>IF($E82="","",IF(INDEX(工数管理!$AF$3:$AF$98,$E82)="","",INDEX(工数管理!$AF$3:$AF$98,$E82)))</f>
        <v/>
      </c>
      <c r="AB82" t="str">
        <f>IF($E82="","",IF(INDEX(工数管理!$AG$3:$AG$98,$E82)="","",INDEX(工数管理!$AG$3:$AG$98,$E82)))</f>
        <v/>
      </c>
      <c r="AC82" t="str">
        <f>IF($E82="","",IF(INDEX(工数管理!$AH$3:$AH$98,$E82)="","",INDEX(工数管理!$AH$3:$AH$98,$E82)))</f>
        <v/>
      </c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/>
      <c r="DR82" s="52"/>
      <c r="DS82" s="52"/>
      <c r="DT82" s="52"/>
      <c r="DU82" s="52"/>
      <c r="DV82" s="52"/>
      <c r="DW82" s="52"/>
      <c r="DX82" s="52"/>
      <c r="DY82" s="52"/>
      <c r="DZ82" s="52"/>
      <c r="EA82" s="52"/>
      <c r="EB82" s="52"/>
      <c r="EC82" s="52"/>
      <c r="ED82" s="52"/>
      <c r="EE82" s="52"/>
      <c r="EF82" s="52"/>
      <c r="EG82" s="52"/>
      <c r="EH82" s="52"/>
      <c r="EI82" s="52"/>
      <c r="EJ82" s="52"/>
      <c r="EK82" s="52"/>
      <c r="EL82" s="52"/>
      <c r="EM82" s="52"/>
      <c r="EN82" s="52"/>
      <c r="EO82" s="52"/>
      <c r="EP82" s="52"/>
      <c r="EQ82" s="52"/>
      <c r="ER82" s="52"/>
      <c r="ES82" s="52"/>
      <c r="ET82" s="52"/>
      <c r="EU82" s="52"/>
      <c r="EV82" s="52"/>
      <c r="EW82" s="52"/>
      <c r="EX82" s="52"/>
      <c r="EY82" s="52"/>
      <c r="EZ82" s="52"/>
      <c r="FA82" s="52"/>
      <c r="FB82" s="52"/>
      <c r="FC82" s="52"/>
      <c r="FD82" s="52"/>
      <c r="FE82" s="52"/>
      <c r="FF82" s="52"/>
      <c r="FG82" s="52"/>
      <c r="FH82" s="52"/>
      <c r="FI82" s="52"/>
      <c r="FJ82" s="52"/>
      <c r="FK82" s="52"/>
      <c r="FL82" s="52"/>
      <c r="FM82" s="52"/>
      <c r="FN82" s="52"/>
      <c r="FO82" s="52"/>
      <c r="FP82" s="52"/>
      <c r="FQ82" s="52"/>
      <c r="FR82" s="52"/>
      <c r="FS82" s="52"/>
      <c r="FT82" s="52"/>
      <c r="FU82" s="52"/>
      <c r="FV82" s="52"/>
      <c r="FW82" s="52"/>
      <c r="FX82" s="52"/>
      <c r="FY82" s="52"/>
      <c r="FZ82" s="52"/>
      <c r="GA82" s="52"/>
      <c r="GB82" s="52"/>
      <c r="GC82" s="52"/>
      <c r="GD82" s="52"/>
      <c r="GE82" s="52"/>
      <c r="GF82" s="52"/>
      <c r="GG82" s="52"/>
      <c r="GH82" s="52"/>
      <c r="GI82" s="52"/>
      <c r="GJ82" s="52"/>
      <c r="GK82" s="52"/>
      <c r="GL82" s="52"/>
      <c r="GM82" s="52"/>
      <c r="GN82" s="52"/>
      <c r="GO82" s="52"/>
      <c r="GP82" s="52"/>
      <c r="GQ82" s="52"/>
      <c r="GR82" s="52"/>
      <c r="GS82" s="52"/>
      <c r="GT82" s="52"/>
      <c r="GU82" s="52"/>
      <c r="GV82" s="52"/>
      <c r="GW82" s="52"/>
      <c r="GX82" s="52"/>
      <c r="GY82" s="52"/>
      <c r="GZ82" s="52"/>
      <c r="HA82" s="52"/>
      <c r="HB82" s="52"/>
      <c r="HC82" s="52"/>
      <c r="HD82" s="52"/>
      <c r="HE82" s="52"/>
      <c r="HF82" s="52"/>
      <c r="HG82" s="52"/>
      <c r="HH82" s="52"/>
      <c r="HI82" s="52"/>
      <c r="HJ82" s="52"/>
      <c r="HK82" s="52"/>
      <c r="HL82" s="52"/>
      <c r="HM82" s="52"/>
      <c r="HN82" s="52"/>
      <c r="HO82" s="52"/>
      <c r="HP82" s="52"/>
      <c r="HQ82" s="52"/>
      <c r="HR82" s="52"/>
      <c r="HS82" s="52"/>
      <c r="HT82" s="52"/>
      <c r="HU82" s="52"/>
      <c r="HV82" s="52"/>
      <c r="HW82" s="52"/>
      <c r="HX82" s="52"/>
      <c r="HY82" s="52"/>
      <c r="HZ82" s="52"/>
      <c r="IA82" s="52"/>
      <c r="IB82" s="52"/>
      <c r="IC82" s="52"/>
      <c r="ID82" s="52"/>
      <c r="IE82" s="52"/>
      <c r="IF82" s="52"/>
      <c r="IG82" s="52"/>
      <c r="IH82" s="52"/>
      <c r="II82" s="52"/>
      <c r="IJ82" s="52"/>
      <c r="IK82" s="52"/>
      <c r="IL82" s="52"/>
      <c r="IM82" s="52"/>
      <c r="IN82" s="52"/>
      <c r="IO82" s="52"/>
      <c r="IP82" s="52"/>
      <c r="IQ82" s="52"/>
      <c r="IR82" s="52"/>
      <c r="IS82" s="52"/>
      <c r="IT82" s="52"/>
      <c r="IU82" s="52"/>
      <c r="IV82" s="52"/>
      <c r="IW82" s="52"/>
      <c r="IX82" s="52"/>
      <c r="IY82" s="52"/>
      <c r="IZ82" s="52"/>
      <c r="JA82" s="52"/>
      <c r="JB82" s="52"/>
      <c r="JC82" s="52"/>
      <c r="JD82" s="52"/>
      <c r="JE82" s="52"/>
      <c r="JF82" s="52"/>
      <c r="JG82" s="52"/>
      <c r="JH82" s="52"/>
      <c r="JI82" s="52"/>
      <c r="JL82" t="str">
        <f>IF($E82="","",IF(INDEX(工数管理!$AJ$3:$AJ$98,$E82)&lt;&gt;"",1,0))</f>
        <v/>
      </c>
      <c r="JM82" t="str">
        <f>IF($E82="","",IFERROR(MATCH($A82,祝日!$J$1:$L$1,0),""))</f>
        <v/>
      </c>
    </row>
    <row r="83" spans="1:273" ht="14.25" customHeight="1" x14ac:dyDescent="0.15">
      <c r="A83" s="50" t="str">
        <f>IF($E83="","",IF($JL83=1,INDEX(工数管理!$A$3:$A$98,$E83)&amp;"",IF(INDEX(工数管理!$AK$3:$AK$98,$E83)="","未割当",INDEX(工数管理!$AK$3:$AK$98,$E83))))</f>
        <v/>
      </c>
      <c r="B83" s="51" t="str">
        <f>IF($E83="","",IF($JL83=1,"",INDEX(工数管理!$A$3:$A$98,$E83)&amp;""))</f>
        <v/>
      </c>
      <c r="C83" s="50" t="str">
        <f>IF($E83="","",IF($JL83=1,"",INDEX(工数管理!$B$3:$B$98,$E83)&amp;""))</f>
        <v/>
      </c>
      <c r="D83" s="50" t="str">
        <f>IF($E83="","",INDEX(工数管理!$H$3:$H$98,$E83)&amp;"")</f>
        <v/>
      </c>
      <c r="E83" t="str">
        <f>IFERROR(MATCH(SMALL(工数管理!$BP$3:$BP$98,ROW()-3),工数管理!$BP$3:$BP$98,0),"")</f>
        <v/>
      </c>
      <c r="F83" t="str">
        <f>IF($E83="","",IF(INDEX(工数管理!$K$3:$K$98,$E83)="","",INDEX(工数管理!$K$3:$K$98,$E83)))</f>
        <v/>
      </c>
      <c r="G83" t="str">
        <f>IF($E83="","",IF(INDEX(工数管理!$L$3:$L$98,$E83)="","",INDEX(工数管理!$L$3:$L$98,$E83)))</f>
        <v/>
      </c>
      <c r="H83" t="str">
        <f>IF($E83="","",IF(INDEX(工数管理!$M$3:$M$98,$E83)="","",INDEX(工数管理!$M$3:$M$98,$E83)))</f>
        <v/>
      </c>
      <c r="I83" t="str">
        <f>IF($E83="","",IF(INDEX(工数管理!$N$3:$N$98,$E83)="","",INDEX(工数管理!$N$3:$N$98,$E83)))</f>
        <v/>
      </c>
      <c r="J83" t="str">
        <f>IF($E83="","",IF(INDEX(工数管理!$O$3:$O$98,$E83)="","",INDEX(工数管理!$O$3:$O$98,$E83)))</f>
        <v/>
      </c>
      <c r="K83" t="str">
        <f>IF($E83="","",IF(INDEX(工数管理!$P$3:$P$98,$E83)="","",INDEX(工数管理!$P$3:$P$98,$E83)))</f>
        <v/>
      </c>
      <c r="L83" t="str">
        <f>IF($E83="","",IF(INDEX(工数管理!$Q$3:$Q$98,$E83)="","",INDEX(工数管理!$Q$3:$Q$98,$E83)))</f>
        <v/>
      </c>
      <c r="M83" t="str">
        <f>IF($E83="","",IF(INDEX(工数管理!$R$3:$R$98,$E83)="","",INDEX(工数管理!$R$3:$R$98,$E83)))</f>
        <v/>
      </c>
      <c r="N83" t="str">
        <f>IF($E83="","",IF(INDEX(工数管理!$S$3:$S$98,$E83)="","",INDEX(工数管理!$S$3:$S$98,$E83)))</f>
        <v/>
      </c>
      <c r="O83" t="str">
        <f>IF($E83="","",IF(INDEX(工数管理!$T$3:$T$98,$E83)="","",INDEX(工数管理!$T$3:$T$98,$E83)))</f>
        <v/>
      </c>
      <c r="P83" t="str">
        <f>IF($E83="","",IF(INDEX(工数管理!$U$3:$U$98,$E83)="","",INDEX(工数管理!$U$3:$U$98,$E83)))</f>
        <v/>
      </c>
      <c r="Q83" t="str">
        <f>IF($E83="","",IF(INDEX(工数管理!$V$3:$V$98,$E83)="","",INDEX(工数管理!$V$3:$V$98,$E83)))</f>
        <v/>
      </c>
      <c r="R83" t="str">
        <f>IF($E83="","",IF(INDEX(工数管理!$W$3:$W$98,$E83)="","",INDEX(工数管理!$W$3:$W$98,$E83)))</f>
        <v/>
      </c>
      <c r="S83" t="str">
        <f>IF($E83="","",IF(INDEX(工数管理!$X$3:$X$98,$E83)="","",INDEX(工数管理!$X$3:$X$98,$E83)))</f>
        <v/>
      </c>
      <c r="T83" t="str">
        <f>IF($E83="","",IF(INDEX(工数管理!$Y$3:$Y$98,$E83)="","",INDEX(工数管理!$Y$3:$Y$98,$E83)))</f>
        <v/>
      </c>
      <c r="U83" t="str">
        <f>IF($E83="","",IF(INDEX(工数管理!$Z$3:$Z$98,$E83)="","",INDEX(工数管理!$Z$3:$Z$98,$E83)))</f>
        <v/>
      </c>
      <c r="V83" t="str">
        <f>IF($E83="","",IF(INDEX(工数管理!$AA$3:$AA$98,$E83)="","",INDEX(工数管理!$AA$3:$AA$98,$E83)))</f>
        <v/>
      </c>
      <c r="W83" t="str">
        <f>IF($E83="","",IF(INDEX(工数管理!$AB$3:$AB$98,$E83)="","",INDEX(工数管理!$AB$3:$AB$98,$E83)))</f>
        <v/>
      </c>
      <c r="X83" t="str">
        <f>IF($E83="","",IF(INDEX(工数管理!$AC$3:$AC$98,$E83)="","",INDEX(工数管理!$AC$3:$AC$98,$E83)))</f>
        <v/>
      </c>
      <c r="Y83" t="str">
        <f>IF($E83="","",IF(INDEX(工数管理!$AD$3:$AD$98,$E83)="","",INDEX(工数管理!$AD$3:$AD$98,$E83)))</f>
        <v/>
      </c>
      <c r="Z83" t="str">
        <f>IF($E83="","",IF(INDEX(工数管理!$AE$3:$AE$98,$E83)="","",INDEX(工数管理!$AE$3:$AE$98,$E83)))</f>
        <v/>
      </c>
      <c r="AA83" t="str">
        <f>IF($E83="","",IF(INDEX(工数管理!$AF$3:$AF$98,$E83)="","",INDEX(工数管理!$AF$3:$AF$98,$E83)))</f>
        <v/>
      </c>
      <c r="AB83" t="str">
        <f>IF($E83="","",IF(INDEX(工数管理!$AG$3:$AG$98,$E83)="","",INDEX(工数管理!$AG$3:$AG$98,$E83)))</f>
        <v/>
      </c>
      <c r="AC83" t="str">
        <f>IF($E83="","",IF(INDEX(工数管理!$AH$3:$AH$98,$E83)="","",INDEX(工数管理!$AH$3:$AH$98,$E83)))</f>
        <v/>
      </c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  <c r="EN83" s="52"/>
      <c r="EO83" s="52"/>
      <c r="EP83" s="52"/>
      <c r="EQ83" s="52"/>
      <c r="ER83" s="52"/>
      <c r="ES83" s="52"/>
      <c r="ET83" s="52"/>
      <c r="EU83" s="52"/>
      <c r="EV83" s="52"/>
      <c r="EW83" s="52"/>
      <c r="EX83" s="52"/>
      <c r="EY83" s="52"/>
      <c r="EZ83" s="52"/>
      <c r="FA83" s="52"/>
      <c r="FB83" s="52"/>
      <c r="FC83" s="52"/>
      <c r="FD83" s="52"/>
      <c r="FE83" s="52"/>
      <c r="FF83" s="52"/>
      <c r="FG83" s="52"/>
      <c r="FH83" s="52"/>
      <c r="FI83" s="52"/>
      <c r="FJ83" s="52"/>
      <c r="FK83" s="52"/>
      <c r="FL83" s="52"/>
      <c r="FM83" s="52"/>
      <c r="FN83" s="52"/>
      <c r="FO83" s="52"/>
      <c r="FP83" s="52"/>
      <c r="FQ83" s="52"/>
      <c r="FR83" s="52"/>
      <c r="FS83" s="52"/>
      <c r="FT83" s="52"/>
      <c r="FU83" s="52"/>
      <c r="FV83" s="52"/>
      <c r="FW83" s="52"/>
      <c r="FX83" s="52"/>
      <c r="FY83" s="52"/>
      <c r="FZ83" s="52"/>
      <c r="GA83" s="52"/>
      <c r="GB83" s="52"/>
      <c r="GC83" s="52"/>
      <c r="GD83" s="52"/>
      <c r="GE83" s="52"/>
      <c r="GF83" s="52"/>
      <c r="GG83" s="52"/>
      <c r="GH83" s="52"/>
      <c r="GI83" s="52"/>
      <c r="GJ83" s="52"/>
      <c r="GK83" s="52"/>
      <c r="GL83" s="52"/>
      <c r="GM83" s="52"/>
      <c r="GN83" s="52"/>
      <c r="GO83" s="52"/>
      <c r="GP83" s="52"/>
      <c r="GQ83" s="52"/>
      <c r="GR83" s="52"/>
      <c r="GS83" s="52"/>
      <c r="GT83" s="52"/>
      <c r="GU83" s="52"/>
      <c r="GV83" s="52"/>
      <c r="GW83" s="52"/>
      <c r="GX83" s="52"/>
      <c r="GY83" s="52"/>
      <c r="GZ83" s="52"/>
      <c r="HA83" s="52"/>
      <c r="HB83" s="52"/>
      <c r="HC83" s="52"/>
      <c r="HD83" s="52"/>
      <c r="HE83" s="52"/>
      <c r="HF83" s="52"/>
      <c r="HG83" s="52"/>
      <c r="HH83" s="52"/>
      <c r="HI83" s="52"/>
      <c r="HJ83" s="52"/>
      <c r="HK83" s="52"/>
      <c r="HL83" s="52"/>
      <c r="HM83" s="52"/>
      <c r="HN83" s="52"/>
      <c r="HO83" s="52"/>
      <c r="HP83" s="52"/>
      <c r="HQ83" s="52"/>
      <c r="HR83" s="52"/>
      <c r="HS83" s="52"/>
      <c r="HT83" s="52"/>
      <c r="HU83" s="52"/>
      <c r="HV83" s="52"/>
      <c r="HW83" s="52"/>
      <c r="HX83" s="52"/>
      <c r="HY83" s="52"/>
      <c r="HZ83" s="52"/>
      <c r="IA83" s="52"/>
      <c r="IB83" s="52"/>
      <c r="IC83" s="52"/>
      <c r="ID83" s="52"/>
      <c r="IE83" s="52"/>
      <c r="IF83" s="52"/>
      <c r="IG83" s="52"/>
      <c r="IH83" s="52"/>
      <c r="II83" s="52"/>
      <c r="IJ83" s="52"/>
      <c r="IK83" s="52"/>
      <c r="IL83" s="52"/>
      <c r="IM83" s="52"/>
      <c r="IN83" s="52"/>
      <c r="IO83" s="52"/>
      <c r="IP83" s="52"/>
      <c r="IQ83" s="52"/>
      <c r="IR83" s="52"/>
      <c r="IS83" s="52"/>
      <c r="IT83" s="52"/>
      <c r="IU83" s="52"/>
      <c r="IV83" s="52"/>
      <c r="IW83" s="52"/>
      <c r="IX83" s="52"/>
      <c r="IY83" s="52"/>
      <c r="IZ83" s="52"/>
      <c r="JA83" s="52"/>
      <c r="JB83" s="52"/>
      <c r="JC83" s="52"/>
      <c r="JD83" s="52"/>
      <c r="JE83" s="52"/>
      <c r="JF83" s="52"/>
      <c r="JG83" s="52"/>
      <c r="JH83" s="52"/>
      <c r="JI83" s="52"/>
      <c r="JL83" t="str">
        <f>IF($E83="","",IF(INDEX(工数管理!$AJ$3:$AJ$98,$E83)&lt;&gt;"",1,0))</f>
        <v/>
      </c>
      <c r="JM83" t="str">
        <f>IF($E83="","",IFERROR(MATCH($A83,祝日!$J$1:$L$1,0),""))</f>
        <v/>
      </c>
    </row>
    <row r="84" spans="1:273" ht="14.25" customHeight="1" x14ac:dyDescent="0.15">
      <c r="A84" s="50" t="str">
        <f>IF($E84="","",IF($JL84=1,INDEX(工数管理!$A$3:$A$98,$E84)&amp;"",IF(INDEX(工数管理!$AK$3:$AK$98,$E84)="","未割当",INDEX(工数管理!$AK$3:$AK$98,$E84))))</f>
        <v/>
      </c>
      <c r="B84" s="51" t="str">
        <f>IF($E84="","",IF($JL84=1,"",INDEX(工数管理!$A$3:$A$98,$E84)&amp;""))</f>
        <v/>
      </c>
      <c r="C84" s="50" t="str">
        <f>IF($E84="","",IF($JL84=1,"",INDEX(工数管理!$B$3:$B$98,$E84)&amp;""))</f>
        <v/>
      </c>
      <c r="D84" s="50" t="str">
        <f>IF($E84="","",INDEX(工数管理!$H$3:$H$98,$E84)&amp;"")</f>
        <v/>
      </c>
      <c r="E84" t="str">
        <f>IFERROR(MATCH(SMALL(工数管理!$BP$3:$BP$98,ROW()-3),工数管理!$BP$3:$BP$98,0),"")</f>
        <v/>
      </c>
      <c r="F84" t="str">
        <f>IF($E84="","",IF(INDEX(工数管理!$K$3:$K$98,$E84)="","",INDEX(工数管理!$K$3:$K$98,$E84)))</f>
        <v/>
      </c>
      <c r="G84" t="str">
        <f>IF($E84="","",IF(INDEX(工数管理!$L$3:$L$98,$E84)="","",INDEX(工数管理!$L$3:$L$98,$E84)))</f>
        <v/>
      </c>
      <c r="H84" t="str">
        <f>IF($E84="","",IF(INDEX(工数管理!$M$3:$M$98,$E84)="","",INDEX(工数管理!$M$3:$M$98,$E84)))</f>
        <v/>
      </c>
      <c r="I84" t="str">
        <f>IF($E84="","",IF(INDEX(工数管理!$N$3:$N$98,$E84)="","",INDEX(工数管理!$N$3:$N$98,$E84)))</f>
        <v/>
      </c>
      <c r="J84" t="str">
        <f>IF($E84="","",IF(INDEX(工数管理!$O$3:$O$98,$E84)="","",INDEX(工数管理!$O$3:$O$98,$E84)))</f>
        <v/>
      </c>
      <c r="K84" t="str">
        <f>IF($E84="","",IF(INDEX(工数管理!$P$3:$P$98,$E84)="","",INDEX(工数管理!$P$3:$P$98,$E84)))</f>
        <v/>
      </c>
      <c r="L84" t="str">
        <f>IF($E84="","",IF(INDEX(工数管理!$Q$3:$Q$98,$E84)="","",INDEX(工数管理!$Q$3:$Q$98,$E84)))</f>
        <v/>
      </c>
      <c r="M84" t="str">
        <f>IF($E84="","",IF(INDEX(工数管理!$R$3:$R$98,$E84)="","",INDEX(工数管理!$R$3:$R$98,$E84)))</f>
        <v/>
      </c>
      <c r="N84" t="str">
        <f>IF($E84="","",IF(INDEX(工数管理!$S$3:$S$98,$E84)="","",INDEX(工数管理!$S$3:$S$98,$E84)))</f>
        <v/>
      </c>
      <c r="O84" t="str">
        <f>IF($E84="","",IF(INDEX(工数管理!$T$3:$T$98,$E84)="","",INDEX(工数管理!$T$3:$T$98,$E84)))</f>
        <v/>
      </c>
      <c r="P84" t="str">
        <f>IF($E84="","",IF(INDEX(工数管理!$U$3:$U$98,$E84)="","",INDEX(工数管理!$U$3:$U$98,$E84)))</f>
        <v/>
      </c>
      <c r="Q84" t="str">
        <f>IF($E84="","",IF(INDEX(工数管理!$V$3:$V$98,$E84)="","",INDEX(工数管理!$V$3:$V$98,$E84)))</f>
        <v/>
      </c>
      <c r="R84" t="str">
        <f>IF($E84="","",IF(INDEX(工数管理!$W$3:$W$98,$E84)="","",INDEX(工数管理!$W$3:$W$98,$E84)))</f>
        <v/>
      </c>
      <c r="S84" t="str">
        <f>IF($E84="","",IF(INDEX(工数管理!$X$3:$X$98,$E84)="","",INDEX(工数管理!$X$3:$X$98,$E84)))</f>
        <v/>
      </c>
      <c r="T84" t="str">
        <f>IF($E84="","",IF(INDEX(工数管理!$Y$3:$Y$98,$E84)="","",INDEX(工数管理!$Y$3:$Y$98,$E84)))</f>
        <v/>
      </c>
      <c r="U84" t="str">
        <f>IF($E84="","",IF(INDEX(工数管理!$Z$3:$Z$98,$E84)="","",INDEX(工数管理!$Z$3:$Z$98,$E84)))</f>
        <v/>
      </c>
      <c r="V84" t="str">
        <f>IF($E84="","",IF(INDEX(工数管理!$AA$3:$AA$98,$E84)="","",INDEX(工数管理!$AA$3:$AA$98,$E84)))</f>
        <v/>
      </c>
      <c r="W84" t="str">
        <f>IF($E84="","",IF(INDEX(工数管理!$AB$3:$AB$98,$E84)="","",INDEX(工数管理!$AB$3:$AB$98,$E84)))</f>
        <v/>
      </c>
      <c r="X84" t="str">
        <f>IF($E84="","",IF(INDEX(工数管理!$AC$3:$AC$98,$E84)="","",INDEX(工数管理!$AC$3:$AC$98,$E84)))</f>
        <v/>
      </c>
      <c r="Y84" t="str">
        <f>IF($E84="","",IF(INDEX(工数管理!$AD$3:$AD$98,$E84)="","",INDEX(工数管理!$AD$3:$AD$98,$E84)))</f>
        <v/>
      </c>
      <c r="Z84" t="str">
        <f>IF($E84="","",IF(INDEX(工数管理!$AE$3:$AE$98,$E84)="","",INDEX(工数管理!$AE$3:$AE$98,$E84)))</f>
        <v/>
      </c>
      <c r="AA84" t="str">
        <f>IF($E84="","",IF(INDEX(工数管理!$AF$3:$AF$98,$E84)="","",INDEX(工数管理!$AF$3:$AF$98,$E84)))</f>
        <v/>
      </c>
      <c r="AB84" t="str">
        <f>IF($E84="","",IF(INDEX(工数管理!$AG$3:$AG$98,$E84)="","",INDEX(工数管理!$AG$3:$AG$98,$E84)))</f>
        <v/>
      </c>
      <c r="AC84" t="str">
        <f>IF($E84="","",IF(INDEX(工数管理!$AH$3:$AH$98,$E84)="","",INDEX(工数管理!$AH$3:$AH$98,$E84)))</f>
        <v/>
      </c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  <c r="DJ84" s="52"/>
      <c r="DK84" s="52"/>
      <c r="DL84" s="52"/>
      <c r="DM84" s="52"/>
      <c r="DN84" s="52"/>
      <c r="DO84" s="52"/>
      <c r="DP84" s="52"/>
      <c r="DQ84" s="52"/>
      <c r="DR84" s="52"/>
      <c r="DS84" s="52"/>
      <c r="DT84" s="52"/>
      <c r="DU84" s="52"/>
      <c r="DV84" s="52"/>
      <c r="DW84" s="52"/>
      <c r="DX84" s="52"/>
      <c r="DY84" s="52"/>
      <c r="DZ84" s="52"/>
      <c r="EA84" s="52"/>
      <c r="EB84" s="52"/>
      <c r="EC84" s="52"/>
      <c r="ED84" s="52"/>
      <c r="EE84" s="52"/>
      <c r="EF84" s="52"/>
      <c r="EG84" s="52"/>
      <c r="EH84" s="52"/>
      <c r="EI84" s="52"/>
      <c r="EJ84" s="52"/>
      <c r="EK84" s="52"/>
      <c r="EL84" s="52"/>
      <c r="EM84" s="52"/>
      <c r="EN84" s="52"/>
      <c r="EO84" s="52"/>
      <c r="EP84" s="52"/>
      <c r="EQ84" s="52"/>
      <c r="ER84" s="52"/>
      <c r="ES84" s="52"/>
      <c r="ET84" s="52"/>
      <c r="EU84" s="52"/>
      <c r="EV84" s="52"/>
      <c r="EW84" s="52"/>
      <c r="EX84" s="52"/>
      <c r="EY84" s="52"/>
      <c r="EZ84" s="52"/>
      <c r="FA84" s="52"/>
      <c r="FB84" s="52"/>
      <c r="FC84" s="52"/>
      <c r="FD84" s="52"/>
      <c r="FE84" s="52"/>
      <c r="FF84" s="52"/>
      <c r="FG84" s="52"/>
      <c r="FH84" s="52"/>
      <c r="FI84" s="52"/>
      <c r="FJ84" s="52"/>
      <c r="FK84" s="52"/>
      <c r="FL84" s="52"/>
      <c r="FM84" s="52"/>
      <c r="FN84" s="52"/>
      <c r="FO84" s="52"/>
      <c r="FP84" s="52"/>
      <c r="FQ84" s="52"/>
      <c r="FR84" s="52"/>
      <c r="FS84" s="52"/>
      <c r="FT84" s="52"/>
      <c r="FU84" s="52"/>
      <c r="FV84" s="52"/>
      <c r="FW84" s="52"/>
      <c r="FX84" s="52"/>
      <c r="FY84" s="52"/>
      <c r="FZ84" s="52"/>
      <c r="GA84" s="52"/>
      <c r="GB84" s="52"/>
      <c r="GC84" s="52"/>
      <c r="GD84" s="52"/>
      <c r="GE84" s="52"/>
      <c r="GF84" s="52"/>
      <c r="GG84" s="52"/>
      <c r="GH84" s="52"/>
      <c r="GI84" s="52"/>
      <c r="GJ84" s="52"/>
      <c r="GK84" s="52"/>
      <c r="GL84" s="52"/>
      <c r="GM84" s="52"/>
      <c r="GN84" s="52"/>
      <c r="GO84" s="52"/>
      <c r="GP84" s="52"/>
      <c r="GQ84" s="52"/>
      <c r="GR84" s="52"/>
      <c r="GS84" s="52"/>
      <c r="GT84" s="52"/>
      <c r="GU84" s="52"/>
      <c r="GV84" s="52"/>
      <c r="GW84" s="52"/>
      <c r="GX84" s="52"/>
      <c r="GY84" s="52"/>
      <c r="GZ84" s="52"/>
      <c r="HA84" s="52"/>
      <c r="HB84" s="52"/>
      <c r="HC84" s="52"/>
      <c r="HD84" s="52"/>
      <c r="HE84" s="52"/>
      <c r="HF84" s="52"/>
      <c r="HG84" s="52"/>
      <c r="HH84" s="52"/>
      <c r="HI84" s="52"/>
      <c r="HJ84" s="52"/>
      <c r="HK84" s="52"/>
      <c r="HL84" s="52"/>
      <c r="HM84" s="52"/>
      <c r="HN84" s="52"/>
      <c r="HO84" s="52"/>
      <c r="HP84" s="52"/>
      <c r="HQ84" s="52"/>
      <c r="HR84" s="52"/>
      <c r="HS84" s="52"/>
      <c r="HT84" s="52"/>
      <c r="HU84" s="52"/>
      <c r="HV84" s="52"/>
      <c r="HW84" s="52"/>
      <c r="HX84" s="52"/>
      <c r="HY84" s="52"/>
      <c r="HZ84" s="52"/>
      <c r="IA84" s="52"/>
      <c r="IB84" s="52"/>
      <c r="IC84" s="52"/>
      <c r="ID84" s="52"/>
      <c r="IE84" s="52"/>
      <c r="IF84" s="52"/>
      <c r="IG84" s="52"/>
      <c r="IH84" s="52"/>
      <c r="II84" s="52"/>
      <c r="IJ84" s="52"/>
      <c r="IK84" s="52"/>
      <c r="IL84" s="52"/>
      <c r="IM84" s="52"/>
      <c r="IN84" s="52"/>
      <c r="IO84" s="52"/>
      <c r="IP84" s="52"/>
      <c r="IQ84" s="52"/>
      <c r="IR84" s="52"/>
      <c r="IS84" s="52"/>
      <c r="IT84" s="52"/>
      <c r="IU84" s="52"/>
      <c r="IV84" s="52"/>
      <c r="IW84" s="52"/>
      <c r="IX84" s="52"/>
      <c r="IY84" s="52"/>
      <c r="IZ84" s="52"/>
      <c r="JA84" s="52"/>
      <c r="JB84" s="52"/>
      <c r="JC84" s="52"/>
      <c r="JD84" s="52"/>
      <c r="JE84" s="52"/>
      <c r="JF84" s="52"/>
      <c r="JG84" s="52"/>
      <c r="JH84" s="52"/>
      <c r="JI84" s="52"/>
      <c r="JL84" t="str">
        <f>IF($E84="","",IF(INDEX(工数管理!$AJ$3:$AJ$98,$E84)&lt;&gt;"",1,0))</f>
        <v/>
      </c>
      <c r="JM84" t="str">
        <f>IF($E84="","",IFERROR(MATCH($A84,祝日!$J$1:$L$1,0),""))</f>
        <v/>
      </c>
    </row>
    <row r="85" spans="1:273" ht="14.25" customHeight="1" x14ac:dyDescent="0.15">
      <c r="A85" s="50" t="str">
        <f>IF($E85="","",IF($JL85=1,INDEX(工数管理!$A$3:$A$98,$E85)&amp;"",IF(INDEX(工数管理!$AK$3:$AK$98,$E85)="","未割当",INDEX(工数管理!$AK$3:$AK$98,$E85))))</f>
        <v/>
      </c>
      <c r="B85" s="51" t="str">
        <f>IF($E85="","",IF($JL85=1,"",INDEX(工数管理!$A$3:$A$98,$E85)&amp;""))</f>
        <v/>
      </c>
      <c r="C85" s="50" t="str">
        <f>IF($E85="","",IF($JL85=1,"",INDEX(工数管理!$B$3:$B$98,$E85)&amp;""))</f>
        <v/>
      </c>
      <c r="D85" s="50" t="str">
        <f>IF($E85="","",INDEX(工数管理!$H$3:$H$98,$E85)&amp;"")</f>
        <v/>
      </c>
      <c r="E85" t="str">
        <f>IFERROR(MATCH(SMALL(工数管理!$BP$3:$BP$98,ROW()-3),工数管理!$BP$3:$BP$98,0),"")</f>
        <v/>
      </c>
      <c r="F85" t="str">
        <f>IF($E85="","",IF(INDEX(工数管理!$K$3:$K$98,$E85)="","",INDEX(工数管理!$K$3:$K$98,$E85)))</f>
        <v/>
      </c>
      <c r="G85" t="str">
        <f>IF($E85="","",IF(INDEX(工数管理!$L$3:$L$98,$E85)="","",INDEX(工数管理!$L$3:$L$98,$E85)))</f>
        <v/>
      </c>
      <c r="H85" t="str">
        <f>IF($E85="","",IF(INDEX(工数管理!$M$3:$M$98,$E85)="","",INDEX(工数管理!$M$3:$M$98,$E85)))</f>
        <v/>
      </c>
      <c r="I85" t="str">
        <f>IF($E85="","",IF(INDEX(工数管理!$N$3:$N$98,$E85)="","",INDEX(工数管理!$N$3:$N$98,$E85)))</f>
        <v/>
      </c>
      <c r="J85" t="str">
        <f>IF($E85="","",IF(INDEX(工数管理!$O$3:$O$98,$E85)="","",INDEX(工数管理!$O$3:$O$98,$E85)))</f>
        <v/>
      </c>
      <c r="K85" t="str">
        <f>IF($E85="","",IF(INDEX(工数管理!$P$3:$P$98,$E85)="","",INDEX(工数管理!$P$3:$P$98,$E85)))</f>
        <v/>
      </c>
      <c r="L85" t="str">
        <f>IF($E85="","",IF(INDEX(工数管理!$Q$3:$Q$98,$E85)="","",INDEX(工数管理!$Q$3:$Q$98,$E85)))</f>
        <v/>
      </c>
      <c r="M85" t="str">
        <f>IF($E85="","",IF(INDEX(工数管理!$R$3:$R$98,$E85)="","",INDEX(工数管理!$R$3:$R$98,$E85)))</f>
        <v/>
      </c>
      <c r="N85" t="str">
        <f>IF($E85="","",IF(INDEX(工数管理!$S$3:$S$98,$E85)="","",INDEX(工数管理!$S$3:$S$98,$E85)))</f>
        <v/>
      </c>
      <c r="O85" t="str">
        <f>IF($E85="","",IF(INDEX(工数管理!$T$3:$T$98,$E85)="","",INDEX(工数管理!$T$3:$T$98,$E85)))</f>
        <v/>
      </c>
      <c r="P85" t="str">
        <f>IF($E85="","",IF(INDEX(工数管理!$U$3:$U$98,$E85)="","",INDEX(工数管理!$U$3:$U$98,$E85)))</f>
        <v/>
      </c>
      <c r="Q85" t="str">
        <f>IF($E85="","",IF(INDEX(工数管理!$V$3:$V$98,$E85)="","",INDEX(工数管理!$V$3:$V$98,$E85)))</f>
        <v/>
      </c>
      <c r="R85" t="str">
        <f>IF($E85="","",IF(INDEX(工数管理!$W$3:$W$98,$E85)="","",INDEX(工数管理!$W$3:$W$98,$E85)))</f>
        <v/>
      </c>
      <c r="S85" t="str">
        <f>IF($E85="","",IF(INDEX(工数管理!$X$3:$X$98,$E85)="","",INDEX(工数管理!$X$3:$X$98,$E85)))</f>
        <v/>
      </c>
      <c r="T85" t="str">
        <f>IF($E85="","",IF(INDEX(工数管理!$Y$3:$Y$98,$E85)="","",INDEX(工数管理!$Y$3:$Y$98,$E85)))</f>
        <v/>
      </c>
      <c r="U85" t="str">
        <f>IF($E85="","",IF(INDEX(工数管理!$Z$3:$Z$98,$E85)="","",INDEX(工数管理!$Z$3:$Z$98,$E85)))</f>
        <v/>
      </c>
      <c r="V85" t="str">
        <f>IF($E85="","",IF(INDEX(工数管理!$AA$3:$AA$98,$E85)="","",INDEX(工数管理!$AA$3:$AA$98,$E85)))</f>
        <v/>
      </c>
      <c r="W85" t="str">
        <f>IF($E85="","",IF(INDEX(工数管理!$AB$3:$AB$98,$E85)="","",INDEX(工数管理!$AB$3:$AB$98,$E85)))</f>
        <v/>
      </c>
      <c r="X85" t="str">
        <f>IF($E85="","",IF(INDEX(工数管理!$AC$3:$AC$98,$E85)="","",INDEX(工数管理!$AC$3:$AC$98,$E85)))</f>
        <v/>
      </c>
      <c r="Y85" t="str">
        <f>IF($E85="","",IF(INDEX(工数管理!$AD$3:$AD$98,$E85)="","",INDEX(工数管理!$AD$3:$AD$98,$E85)))</f>
        <v/>
      </c>
      <c r="Z85" t="str">
        <f>IF($E85="","",IF(INDEX(工数管理!$AE$3:$AE$98,$E85)="","",INDEX(工数管理!$AE$3:$AE$98,$E85)))</f>
        <v/>
      </c>
      <c r="AA85" t="str">
        <f>IF($E85="","",IF(INDEX(工数管理!$AF$3:$AF$98,$E85)="","",INDEX(工数管理!$AF$3:$AF$98,$E85)))</f>
        <v/>
      </c>
      <c r="AB85" t="str">
        <f>IF($E85="","",IF(INDEX(工数管理!$AG$3:$AG$98,$E85)="","",INDEX(工数管理!$AG$3:$AG$98,$E85)))</f>
        <v/>
      </c>
      <c r="AC85" t="str">
        <f>IF($E85="","",IF(INDEX(工数管理!$AH$3:$AH$98,$E85)="","",INDEX(工数管理!$AH$3:$AH$98,$E85)))</f>
        <v/>
      </c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  <c r="DJ85" s="52"/>
      <c r="DK85" s="52"/>
      <c r="DL85" s="52"/>
      <c r="DM85" s="52"/>
      <c r="DN85" s="52"/>
      <c r="DO85" s="52"/>
      <c r="DP85" s="52"/>
      <c r="DQ85" s="52"/>
      <c r="DR85" s="52"/>
      <c r="DS85" s="52"/>
      <c r="DT85" s="52"/>
      <c r="DU85" s="52"/>
      <c r="DV85" s="52"/>
      <c r="DW85" s="52"/>
      <c r="DX85" s="52"/>
      <c r="DY85" s="52"/>
      <c r="DZ85" s="52"/>
      <c r="EA85" s="52"/>
      <c r="EB85" s="52"/>
      <c r="EC85" s="52"/>
      <c r="ED85" s="52"/>
      <c r="EE85" s="52"/>
      <c r="EF85" s="52"/>
      <c r="EG85" s="52"/>
      <c r="EH85" s="52"/>
      <c r="EI85" s="52"/>
      <c r="EJ85" s="52"/>
      <c r="EK85" s="52"/>
      <c r="EL85" s="52"/>
      <c r="EM85" s="52"/>
      <c r="EN85" s="52"/>
      <c r="EO85" s="52"/>
      <c r="EP85" s="52"/>
      <c r="EQ85" s="52"/>
      <c r="ER85" s="52"/>
      <c r="ES85" s="52"/>
      <c r="ET85" s="52"/>
      <c r="EU85" s="52"/>
      <c r="EV85" s="52"/>
      <c r="EW85" s="52"/>
      <c r="EX85" s="52"/>
      <c r="EY85" s="52"/>
      <c r="EZ85" s="52"/>
      <c r="FA85" s="52"/>
      <c r="FB85" s="52"/>
      <c r="FC85" s="52"/>
      <c r="FD85" s="52"/>
      <c r="FE85" s="52"/>
      <c r="FF85" s="52"/>
      <c r="FG85" s="52"/>
      <c r="FH85" s="52"/>
      <c r="FI85" s="52"/>
      <c r="FJ85" s="52"/>
      <c r="FK85" s="52"/>
      <c r="FL85" s="52"/>
      <c r="FM85" s="52"/>
      <c r="FN85" s="52"/>
      <c r="FO85" s="52"/>
      <c r="FP85" s="52"/>
      <c r="FQ85" s="52"/>
      <c r="FR85" s="52"/>
      <c r="FS85" s="52"/>
      <c r="FT85" s="52"/>
      <c r="FU85" s="52"/>
      <c r="FV85" s="52"/>
      <c r="FW85" s="52"/>
      <c r="FX85" s="52"/>
      <c r="FY85" s="52"/>
      <c r="FZ85" s="52"/>
      <c r="GA85" s="52"/>
      <c r="GB85" s="52"/>
      <c r="GC85" s="52"/>
      <c r="GD85" s="52"/>
      <c r="GE85" s="52"/>
      <c r="GF85" s="52"/>
      <c r="GG85" s="52"/>
      <c r="GH85" s="52"/>
      <c r="GI85" s="52"/>
      <c r="GJ85" s="52"/>
      <c r="GK85" s="52"/>
      <c r="GL85" s="52"/>
      <c r="GM85" s="52"/>
      <c r="GN85" s="52"/>
      <c r="GO85" s="52"/>
      <c r="GP85" s="52"/>
      <c r="GQ85" s="52"/>
      <c r="GR85" s="52"/>
      <c r="GS85" s="52"/>
      <c r="GT85" s="52"/>
      <c r="GU85" s="52"/>
      <c r="GV85" s="52"/>
      <c r="GW85" s="52"/>
      <c r="GX85" s="52"/>
      <c r="GY85" s="52"/>
      <c r="GZ85" s="52"/>
      <c r="HA85" s="52"/>
      <c r="HB85" s="52"/>
      <c r="HC85" s="52"/>
      <c r="HD85" s="52"/>
      <c r="HE85" s="52"/>
      <c r="HF85" s="52"/>
      <c r="HG85" s="52"/>
      <c r="HH85" s="52"/>
      <c r="HI85" s="52"/>
      <c r="HJ85" s="52"/>
      <c r="HK85" s="52"/>
      <c r="HL85" s="52"/>
      <c r="HM85" s="52"/>
      <c r="HN85" s="52"/>
      <c r="HO85" s="52"/>
      <c r="HP85" s="52"/>
      <c r="HQ85" s="52"/>
      <c r="HR85" s="52"/>
      <c r="HS85" s="52"/>
      <c r="HT85" s="52"/>
      <c r="HU85" s="52"/>
      <c r="HV85" s="52"/>
      <c r="HW85" s="52"/>
      <c r="HX85" s="52"/>
      <c r="HY85" s="52"/>
      <c r="HZ85" s="52"/>
      <c r="IA85" s="52"/>
      <c r="IB85" s="52"/>
      <c r="IC85" s="52"/>
      <c r="ID85" s="52"/>
      <c r="IE85" s="52"/>
      <c r="IF85" s="52"/>
      <c r="IG85" s="52"/>
      <c r="IH85" s="52"/>
      <c r="II85" s="52"/>
      <c r="IJ85" s="52"/>
      <c r="IK85" s="52"/>
      <c r="IL85" s="52"/>
      <c r="IM85" s="52"/>
      <c r="IN85" s="52"/>
      <c r="IO85" s="52"/>
      <c r="IP85" s="52"/>
      <c r="IQ85" s="52"/>
      <c r="IR85" s="52"/>
      <c r="IS85" s="52"/>
      <c r="IT85" s="52"/>
      <c r="IU85" s="52"/>
      <c r="IV85" s="52"/>
      <c r="IW85" s="52"/>
      <c r="IX85" s="52"/>
      <c r="IY85" s="52"/>
      <c r="IZ85" s="52"/>
      <c r="JA85" s="52"/>
      <c r="JB85" s="52"/>
      <c r="JC85" s="52"/>
      <c r="JD85" s="52"/>
      <c r="JE85" s="52"/>
      <c r="JF85" s="52"/>
      <c r="JG85" s="52"/>
      <c r="JH85" s="52"/>
      <c r="JI85" s="52"/>
      <c r="JL85" t="str">
        <f>IF($E85="","",IF(INDEX(工数管理!$AJ$3:$AJ$98,$E85)&lt;&gt;"",1,0))</f>
        <v/>
      </c>
      <c r="JM85" t="str">
        <f>IF($E85="","",IFERROR(MATCH($A85,祝日!$J$1:$L$1,0),""))</f>
        <v/>
      </c>
    </row>
    <row r="86" spans="1:273" ht="14.25" customHeight="1" x14ac:dyDescent="0.15">
      <c r="A86" s="50" t="str">
        <f>IF($E86="","",IF($JL86=1,INDEX(工数管理!$A$3:$A$98,$E86)&amp;"",IF(INDEX(工数管理!$AK$3:$AK$98,$E86)="","未割当",INDEX(工数管理!$AK$3:$AK$98,$E86))))</f>
        <v/>
      </c>
      <c r="B86" s="51" t="str">
        <f>IF($E86="","",IF($JL86=1,"",INDEX(工数管理!$A$3:$A$98,$E86)&amp;""))</f>
        <v/>
      </c>
      <c r="C86" s="50" t="str">
        <f>IF($E86="","",IF($JL86=1,"",INDEX(工数管理!$B$3:$B$98,$E86)&amp;""))</f>
        <v/>
      </c>
      <c r="D86" s="50" t="str">
        <f>IF($E86="","",INDEX(工数管理!$H$3:$H$98,$E86)&amp;"")</f>
        <v/>
      </c>
      <c r="E86" t="str">
        <f>IFERROR(MATCH(SMALL(工数管理!$BP$3:$BP$98,ROW()-3),工数管理!$BP$3:$BP$98,0),"")</f>
        <v/>
      </c>
      <c r="F86" t="str">
        <f>IF($E86="","",IF(INDEX(工数管理!$K$3:$K$98,$E86)="","",INDEX(工数管理!$K$3:$K$98,$E86)))</f>
        <v/>
      </c>
      <c r="G86" t="str">
        <f>IF($E86="","",IF(INDEX(工数管理!$L$3:$L$98,$E86)="","",INDEX(工数管理!$L$3:$L$98,$E86)))</f>
        <v/>
      </c>
      <c r="H86" t="str">
        <f>IF($E86="","",IF(INDEX(工数管理!$M$3:$M$98,$E86)="","",INDEX(工数管理!$M$3:$M$98,$E86)))</f>
        <v/>
      </c>
      <c r="I86" t="str">
        <f>IF($E86="","",IF(INDEX(工数管理!$N$3:$N$98,$E86)="","",INDEX(工数管理!$N$3:$N$98,$E86)))</f>
        <v/>
      </c>
      <c r="J86" t="str">
        <f>IF($E86="","",IF(INDEX(工数管理!$O$3:$O$98,$E86)="","",INDEX(工数管理!$O$3:$O$98,$E86)))</f>
        <v/>
      </c>
      <c r="K86" t="str">
        <f>IF($E86="","",IF(INDEX(工数管理!$P$3:$P$98,$E86)="","",INDEX(工数管理!$P$3:$P$98,$E86)))</f>
        <v/>
      </c>
      <c r="L86" t="str">
        <f>IF($E86="","",IF(INDEX(工数管理!$Q$3:$Q$98,$E86)="","",INDEX(工数管理!$Q$3:$Q$98,$E86)))</f>
        <v/>
      </c>
      <c r="M86" t="str">
        <f>IF($E86="","",IF(INDEX(工数管理!$R$3:$R$98,$E86)="","",INDEX(工数管理!$R$3:$R$98,$E86)))</f>
        <v/>
      </c>
      <c r="N86" t="str">
        <f>IF($E86="","",IF(INDEX(工数管理!$S$3:$S$98,$E86)="","",INDEX(工数管理!$S$3:$S$98,$E86)))</f>
        <v/>
      </c>
      <c r="O86" t="str">
        <f>IF($E86="","",IF(INDEX(工数管理!$T$3:$T$98,$E86)="","",INDEX(工数管理!$T$3:$T$98,$E86)))</f>
        <v/>
      </c>
      <c r="P86" t="str">
        <f>IF($E86="","",IF(INDEX(工数管理!$U$3:$U$98,$E86)="","",INDEX(工数管理!$U$3:$U$98,$E86)))</f>
        <v/>
      </c>
      <c r="Q86" t="str">
        <f>IF($E86="","",IF(INDEX(工数管理!$V$3:$V$98,$E86)="","",INDEX(工数管理!$V$3:$V$98,$E86)))</f>
        <v/>
      </c>
      <c r="R86" t="str">
        <f>IF($E86="","",IF(INDEX(工数管理!$W$3:$W$98,$E86)="","",INDEX(工数管理!$W$3:$W$98,$E86)))</f>
        <v/>
      </c>
      <c r="S86" t="str">
        <f>IF($E86="","",IF(INDEX(工数管理!$X$3:$X$98,$E86)="","",INDEX(工数管理!$X$3:$X$98,$E86)))</f>
        <v/>
      </c>
      <c r="T86" t="str">
        <f>IF($E86="","",IF(INDEX(工数管理!$Y$3:$Y$98,$E86)="","",INDEX(工数管理!$Y$3:$Y$98,$E86)))</f>
        <v/>
      </c>
      <c r="U86" t="str">
        <f>IF($E86="","",IF(INDEX(工数管理!$Z$3:$Z$98,$E86)="","",INDEX(工数管理!$Z$3:$Z$98,$E86)))</f>
        <v/>
      </c>
      <c r="V86" t="str">
        <f>IF($E86="","",IF(INDEX(工数管理!$AA$3:$AA$98,$E86)="","",INDEX(工数管理!$AA$3:$AA$98,$E86)))</f>
        <v/>
      </c>
      <c r="W86" t="str">
        <f>IF($E86="","",IF(INDEX(工数管理!$AB$3:$AB$98,$E86)="","",INDEX(工数管理!$AB$3:$AB$98,$E86)))</f>
        <v/>
      </c>
      <c r="X86" t="str">
        <f>IF($E86="","",IF(INDEX(工数管理!$AC$3:$AC$98,$E86)="","",INDEX(工数管理!$AC$3:$AC$98,$E86)))</f>
        <v/>
      </c>
      <c r="Y86" t="str">
        <f>IF($E86="","",IF(INDEX(工数管理!$AD$3:$AD$98,$E86)="","",INDEX(工数管理!$AD$3:$AD$98,$E86)))</f>
        <v/>
      </c>
      <c r="Z86" t="str">
        <f>IF($E86="","",IF(INDEX(工数管理!$AE$3:$AE$98,$E86)="","",INDEX(工数管理!$AE$3:$AE$98,$E86)))</f>
        <v/>
      </c>
      <c r="AA86" t="str">
        <f>IF($E86="","",IF(INDEX(工数管理!$AF$3:$AF$98,$E86)="","",INDEX(工数管理!$AF$3:$AF$98,$E86)))</f>
        <v/>
      </c>
      <c r="AB86" t="str">
        <f>IF($E86="","",IF(INDEX(工数管理!$AG$3:$AG$98,$E86)="","",INDEX(工数管理!$AG$3:$AG$98,$E86)))</f>
        <v/>
      </c>
      <c r="AC86" t="str">
        <f>IF($E86="","",IF(INDEX(工数管理!$AH$3:$AH$98,$E86)="","",INDEX(工数管理!$AH$3:$AH$98,$E86)))</f>
        <v/>
      </c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/>
      <c r="DM86" s="52"/>
      <c r="DN86" s="52"/>
      <c r="DO86" s="52"/>
      <c r="DP86" s="52"/>
      <c r="DQ86" s="52"/>
      <c r="DR86" s="52"/>
      <c r="DS86" s="52"/>
      <c r="DT86" s="52"/>
      <c r="DU86" s="52"/>
      <c r="DV86" s="52"/>
      <c r="DW86" s="52"/>
      <c r="DX86" s="52"/>
      <c r="DY86" s="52"/>
      <c r="DZ86" s="52"/>
      <c r="EA86" s="52"/>
      <c r="EB86" s="52"/>
      <c r="EC86" s="52"/>
      <c r="ED86" s="52"/>
      <c r="EE86" s="52"/>
      <c r="EF86" s="52"/>
      <c r="EG86" s="52"/>
      <c r="EH86" s="52"/>
      <c r="EI86" s="52"/>
      <c r="EJ86" s="52"/>
      <c r="EK86" s="52"/>
      <c r="EL86" s="52"/>
      <c r="EM86" s="52"/>
      <c r="EN86" s="52"/>
      <c r="EO86" s="52"/>
      <c r="EP86" s="52"/>
      <c r="EQ86" s="52"/>
      <c r="ER86" s="52"/>
      <c r="ES86" s="52"/>
      <c r="ET86" s="52"/>
      <c r="EU86" s="52"/>
      <c r="EV86" s="52"/>
      <c r="EW86" s="52"/>
      <c r="EX86" s="52"/>
      <c r="EY86" s="52"/>
      <c r="EZ86" s="52"/>
      <c r="FA86" s="52"/>
      <c r="FB86" s="52"/>
      <c r="FC86" s="52"/>
      <c r="FD86" s="52"/>
      <c r="FE86" s="52"/>
      <c r="FF86" s="52"/>
      <c r="FG86" s="52"/>
      <c r="FH86" s="52"/>
      <c r="FI86" s="52"/>
      <c r="FJ86" s="52"/>
      <c r="FK86" s="52"/>
      <c r="FL86" s="52"/>
      <c r="FM86" s="52"/>
      <c r="FN86" s="52"/>
      <c r="FO86" s="52"/>
      <c r="FP86" s="52"/>
      <c r="FQ86" s="52"/>
      <c r="FR86" s="52"/>
      <c r="FS86" s="52"/>
      <c r="FT86" s="52"/>
      <c r="FU86" s="52"/>
      <c r="FV86" s="52"/>
      <c r="FW86" s="52"/>
      <c r="FX86" s="52"/>
      <c r="FY86" s="52"/>
      <c r="FZ86" s="52"/>
      <c r="GA86" s="52"/>
      <c r="GB86" s="52"/>
      <c r="GC86" s="52"/>
      <c r="GD86" s="52"/>
      <c r="GE86" s="52"/>
      <c r="GF86" s="52"/>
      <c r="GG86" s="52"/>
      <c r="GH86" s="52"/>
      <c r="GI86" s="52"/>
      <c r="GJ86" s="52"/>
      <c r="GK86" s="52"/>
      <c r="GL86" s="52"/>
      <c r="GM86" s="52"/>
      <c r="GN86" s="52"/>
      <c r="GO86" s="52"/>
      <c r="GP86" s="52"/>
      <c r="GQ86" s="52"/>
      <c r="GR86" s="52"/>
      <c r="GS86" s="52"/>
      <c r="GT86" s="52"/>
      <c r="GU86" s="52"/>
      <c r="GV86" s="52"/>
      <c r="GW86" s="52"/>
      <c r="GX86" s="52"/>
      <c r="GY86" s="52"/>
      <c r="GZ86" s="52"/>
      <c r="HA86" s="52"/>
      <c r="HB86" s="52"/>
      <c r="HC86" s="52"/>
      <c r="HD86" s="52"/>
      <c r="HE86" s="52"/>
      <c r="HF86" s="52"/>
      <c r="HG86" s="52"/>
      <c r="HH86" s="52"/>
      <c r="HI86" s="52"/>
      <c r="HJ86" s="52"/>
      <c r="HK86" s="52"/>
      <c r="HL86" s="52"/>
      <c r="HM86" s="52"/>
      <c r="HN86" s="52"/>
      <c r="HO86" s="52"/>
      <c r="HP86" s="52"/>
      <c r="HQ86" s="52"/>
      <c r="HR86" s="52"/>
      <c r="HS86" s="52"/>
      <c r="HT86" s="52"/>
      <c r="HU86" s="52"/>
      <c r="HV86" s="52"/>
      <c r="HW86" s="52"/>
      <c r="HX86" s="52"/>
      <c r="HY86" s="52"/>
      <c r="HZ86" s="52"/>
      <c r="IA86" s="52"/>
      <c r="IB86" s="52"/>
      <c r="IC86" s="52"/>
      <c r="ID86" s="52"/>
      <c r="IE86" s="52"/>
      <c r="IF86" s="52"/>
      <c r="IG86" s="52"/>
      <c r="IH86" s="52"/>
      <c r="II86" s="52"/>
      <c r="IJ86" s="52"/>
      <c r="IK86" s="52"/>
      <c r="IL86" s="52"/>
      <c r="IM86" s="52"/>
      <c r="IN86" s="52"/>
      <c r="IO86" s="52"/>
      <c r="IP86" s="52"/>
      <c r="IQ86" s="52"/>
      <c r="IR86" s="52"/>
      <c r="IS86" s="52"/>
      <c r="IT86" s="52"/>
      <c r="IU86" s="52"/>
      <c r="IV86" s="52"/>
      <c r="IW86" s="52"/>
      <c r="IX86" s="52"/>
      <c r="IY86" s="52"/>
      <c r="IZ86" s="52"/>
      <c r="JA86" s="52"/>
      <c r="JB86" s="52"/>
      <c r="JC86" s="52"/>
      <c r="JD86" s="52"/>
      <c r="JE86" s="52"/>
      <c r="JF86" s="52"/>
      <c r="JG86" s="52"/>
      <c r="JH86" s="52"/>
      <c r="JI86" s="52"/>
      <c r="JL86" t="str">
        <f>IF($E86="","",IF(INDEX(工数管理!$AJ$3:$AJ$98,$E86)&lt;&gt;"",1,0))</f>
        <v/>
      </c>
      <c r="JM86" t="str">
        <f>IF($E86="","",IFERROR(MATCH($A86,祝日!$J$1:$L$1,0),""))</f>
        <v/>
      </c>
    </row>
    <row r="87" spans="1:273" ht="14.25" customHeight="1" x14ac:dyDescent="0.15">
      <c r="A87" s="50" t="str">
        <f>IF($E87="","",IF($JL87=1,INDEX(工数管理!$A$3:$A$98,$E87)&amp;"",IF(INDEX(工数管理!$AK$3:$AK$98,$E87)="","未割当",INDEX(工数管理!$AK$3:$AK$98,$E87))))</f>
        <v/>
      </c>
      <c r="B87" s="51" t="str">
        <f>IF($E87="","",IF($JL87=1,"",INDEX(工数管理!$A$3:$A$98,$E87)&amp;""))</f>
        <v/>
      </c>
      <c r="C87" s="50" t="str">
        <f>IF($E87="","",IF($JL87=1,"",INDEX(工数管理!$B$3:$B$98,$E87)&amp;""))</f>
        <v/>
      </c>
      <c r="D87" s="50" t="str">
        <f>IF($E87="","",INDEX(工数管理!$H$3:$H$98,$E87)&amp;"")</f>
        <v/>
      </c>
      <c r="E87" t="str">
        <f>IFERROR(MATCH(SMALL(工数管理!$BP$3:$BP$98,ROW()-3),工数管理!$BP$3:$BP$98,0),"")</f>
        <v/>
      </c>
      <c r="F87" t="str">
        <f>IF($E87="","",IF(INDEX(工数管理!$K$3:$K$98,$E87)="","",INDEX(工数管理!$K$3:$K$98,$E87)))</f>
        <v/>
      </c>
      <c r="G87" t="str">
        <f>IF($E87="","",IF(INDEX(工数管理!$L$3:$L$98,$E87)="","",INDEX(工数管理!$L$3:$L$98,$E87)))</f>
        <v/>
      </c>
      <c r="H87" t="str">
        <f>IF($E87="","",IF(INDEX(工数管理!$M$3:$M$98,$E87)="","",INDEX(工数管理!$M$3:$M$98,$E87)))</f>
        <v/>
      </c>
      <c r="I87" t="str">
        <f>IF($E87="","",IF(INDEX(工数管理!$N$3:$N$98,$E87)="","",INDEX(工数管理!$N$3:$N$98,$E87)))</f>
        <v/>
      </c>
      <c r="J87" t="str">
        <f>IF($E87="","",IF(INDEX(工数管理!$O$3:$O$98,$E87)="","",INDEX(工数管理!$O$3:$O$98,$E87)))</f>
        <v/>
      </c>
      <c r="K87" t="str">
        <f>IF($E87="","",IF(INDEX(工数管理!$P$3:$P$98,$E87)="","",INDEX(工数管理!$P$3:$P$98,$E87)))</f>
        <v/>
      </c>
      <c r="L87" t="str">
        <f>IF($E87="","",IF(INDEX(工数管理!$Q$3:$Q$98,$E87)="","",INDEX(工数管理!$Q$3:$Q$98,$E87)))</f>
        <v/>
      </c>
      <c r="M87" t="str">
        <f>IF($E87="","",IF(INDEX(工数管理!$R$3:$R$98,$E87)="","",INDEX(工数管理!$R$3:$R$98,$E87)))</f>
        <v/>
      </c>
      <c r="N87" t="str">
        <f>IF($E87="","",IF(INDEX(工数管理!$S$3:$S$98,$E87)="","",INDEX(工数管理!$S$3:$S$98,$E87)))</f>
        <v/>
      </c>
      <c r="O87" t="str">
        <f>IF($E87="","",IF(INDEX(工数管理!$T$3:$T$98,$E87)="","",INDEX(工数管理!$T$3:$T$98,$E87)))</f>
        <v/>
      </c>
      <c r="P87" t="str">
        <f>IF($E87="","",IF(INDEX(工数管理!$U$3:$U$98,$E87)="","",INDEX(工数管理!$U$3:$U$98,$E87)))</f>
        <v/>
      </c>
      <c r="Q87" t="str">
        <f>IF($E87="","",IF(INDEX(工数管理!$V$3:$V$98,$E87)="","",INDEX(工数管理!$V$3:$V$98,$E87)))</f>
        <v/>
      </c>
      <c r="R87" t="str">
        <f>IF($E87="","",IF(INDEX(工数管理!$W$3:$W$98,$E87)="","",INDEX(工数管理!$W$3:$W$98,$E87)))</f>
        <v/>
      </c>
      <c r="S87" t="str">
        <f>IF($E87="","",IF(INDEX(工数管理!$X$3:$X$98,$E87)="","",INDEX(工数管理!$X$3:$X$98,$E87)))</f>
        <v/>
      </c>
      <c r="T87" t="str">
        <f>IF($E87="","",IF(INDEX(工数管理!$Y$3:$Y$98,$E87)="","",INDEX(工数管理!$Y$3:$Y$98,$E87)))</f>
        <v/>
      </c>
      <c r="U87" t="str">
        <f>IF($E87="","",IF(INDEX(工数管理!$Z$3:$Z$98,$E87)="","",INDEX(工数管理!$Z$3:$Z$98,$E87)))</f>
        <v/>
      </c>
      <c r="V87" t="str">
        <f>IF($E87="","",IF(INDEX(工数管理!$AA$3:$AA$98,$E87)="","",INDEX(工数管理!$AA$3:$AA$98,$E87)))</f>
        <v/>
      </c>
      <c r="W87" t="str">
        <f>IF($E87="","",IF(INDEX(工数管理!$AB$3:$AB$98,$E87)="","",INDEX(工数管理!$AB$3:$AB$98,$E87)))</f>
        <v/>
      </c>
      <c r="X87" t="str">
        <f>IF($E87="","",IF(INDEX(工数管理!$AC$3:$AC$98,$E87)="","",INDEX(工数管理!$AC$3:$AC$98,$E87)))</f>
        <v/>
      </c>
      <c r="Y87" t="str">
        <f>IF($E87="","",IF(INDEX(工数管理!$AD$3:$AD$98,$E87)="","",INDEX(工数管理!$AD$3:$AD$98,$E87)))</f>
        <v/>
      </c>
      <c r="Z87" t="str">
        <f>IF($E87="","",IF(INDEX(工数管理!$AE$3:$AE$98,$E87)="","",INDEX(工数管理!$AE$3:$AE$98,$E87)))</f>
        <v/>
      </c>
      <c r="AA87" t="str">
        <f>IF($E87="","",IF(INDEX(工数管理!$AF$3:$AF$98,$E87)="","",INDEX(工数管理!$AF$3:$AF$98,$E87)))</f>
        <v/>
      </c>
      <c r="AB87" t="str">
        <f>IF($E87="","",IF(INDEX(工数管理!$AG$3:$AG$98,$E87)="","",INDEX(工数管理!$AG$3:$AG$98,$E87)))</f>
        <v/>
      </c>
      <c r="AC87" t="str">
        <f>IF($E87="","",IF(INDEX(工数管理!$AH$3:$AH$98,$E87)="","",INDEX(工数管理!$AH$3:$AH$98,$E87)))</f>
        <v/>
      </c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  <c r="DK87" s="52"/>
      <c r="DL87" s="52"/>
      <c r="DM87" s="52"/>
      <c r="DN87" s="52"/>
      <c r="DO87" s="52"/>
      <c r="DP87" s="52"/>
      <c r="DQ87" s="52"/>
      <c r="DR87" s="52"/>
      <c r="DS87" s="52"/>
      <c r="DT87" s="52"/>
      <c r="DU87" s="52"/>
      <c r="DV87" s="52"/>
      <c r="DW87" s="52"/>
      <c r="DX87" s="52"/>
      <c r="DY87" s="52"/>
      <c r="DZ87" s="52"/>
      <c r="EA87" s="52"/>
      <c r="EB87" s="52"/>
      <c r="EC87" s="52"/>
      <c r="ED87" s="52"/>
      <c r="EE87" s="52"/>
      <c r="EF87" s="52"/>
      <c r="EG87" s="52"/>
      <c r="EH87" s="52"/>
      <c r="EI87" s="52"/>
      <c r="EJ87" s="52"/>
      <c r="EK87" s="52"/>
      <c r="EL87" s="52"/>
      <c r="EM87" s="52"/>
      <c r="EN87" s="52"/>
      <c r="EO87" s="52"/>
      <c r="EP87" s="52"/>
      <c r="EQ87" s="52"/>
      <c r="ER87" s="52"/>
      <c r="ES87" s="52"/>
      <c r="ET87" s="52"/>
      <c r="EU87" s="52"/>
      <c r="EV87" s="52"/>
      <c r="EW87" s="52"/>
      <c r="EX87" s="52"/>
      <c r="EY87" s="52"/>
      <c r="EZ87" s="52"/>
      <c r="FA87" s="52"/>
      <c r="FB87" s="52"/>
      <c r="FC87" s="52"/>
      <c r="FD87" s="52"/>
      <c r="FE87" s="52"/>
      <c r="FF87" s="52"/>
      <c r="FG87" s="52"/>
      <c r="FH87" s="52"/>
      <c r="FI87" s="52"/>
      <c r="FJ87" s="52"/>
      <c r="FK87" s="52"/>
      <c r="FL87" s="52"/>
      <c r="FM87" s="52"/>
      <c r="FN87" s="52"/>
      <c r="FO87" s="52"/>
      <c r="FP87" s="52"/>
      <c r="FQ87" s="52"/>
      <c r="FR87" s="52"/>
      <c r="FS87" s="52"/>
      <c r="FT87" s="52"/>
      <c r="FU87" s="52"/>
      <c r="FV87" s="52"/>
      <c r="FW87" s="52"/>
      <c r="FX87" s="52"/>
      <c r="FY87" s="52"/>
      <c r="FZ87" s="52"/>
      <c r="GA87" s="52"/>
      <c r="GB87" s="52"/>
      <c r="GC87" s="52"/>
      <c r="GD87" s="52"/>
      <c r="GE87" s="52"/>
      <c r="GF87" s="52"/>
      <c r="GG87" s="52"/>
      <c r="GH87" s="52"/>
      <c r="GI87" s="52"/>
      <c r="GJ87" s="52"/>
      <c r="GK87" s="52"/>
      <c r="GL87" s="52"/>
      <c r="GM87" s="52"/>
      <c r="GN87" s="52"/>
      <c r="GO87" s="52"/>
      <c r="GP87" s="52"/>
      <c r="GQ87" s="52"/>
      <c r="GR87" s="52"/>
      <c r="GS87" s="52"/>
      <c r="GT87" s="52"/>
      <c r="GU87" s="52"/>
      <c r="GV87" s="52"/>
      <c r="GW87" s="52"/>
      <c r="GX87" s="52"/>
      <c r="GY87" s="52"/>
      <c r="GZ87" s="52"/>
      <c r="HA87" s="52"/>
      <c r="HB87" s="52"/>
      <c r="HC87" s="52"/>
      <c r="HD87" s="52"/>
      <c r="HE87" s="52"/>
      <c r="HF87" s="52"/>
      <c r="HG87" s="52"/>
      <c r="HH87" s="52"/>
      <c r="HI87" s="52"/>
      <c r="HJ87" s="52"/>
      <c r="HK87" s="52"/>
      <c r="HL87" s="52"/>
      <c r="HM87" s="52"/>
      <c r="HN87" s="52"/>
      <c r="HO87" s="52"/>
      <c r="HP87" s="52"/>
      <c r="HQ87" s="52"/>
      <c r="HR87" s="52"/>
      <c r="HS87" s="52"/>
      <c r="HT87" s="52"/>
      <c r="HU87" s="52"/>
      <c r="HV87" s="52"/>
      <c r="HW87" s="52"/>
      <c r="HX87" s="52"/>
      <c r="HY87" s="52"/>
      <c r="HZ87" s="52"/>
      <c r="IA87" s="52"/>
      <c r="IB87" s="52"/>
      <c r="IC87" s="52"/>
      <c r="ID87" s="52"/>
      <c r="IE87" s="52"/>
      <c r="IF87" s="52"/>
      <c r="IG87" s="52"/>
      <c r="IH87" s="52"/>
      <c r="II87" s="52"/>
      <c r="IJ87" s="52"/>
      <c r="IK87" s="52"/>
      <c r="IL87" s="52"/>
      <c r="IM87" s="52"/>
      <c r="IN87" s="52"/>
      <c r="IO87" s="52"/>
      <c r="IP87" s="52"/>
      <c r="IQ87" s="52"/>
      <c r="IR87" s="52"/>
      <c r="IS87" s="52"/>
      <c r="IT87" s="52"/>
      <c r="IU87" s="52"/>
      <c r="IV87" s="52"/>
      <c r="IW87" s="52"/>
      <c r="IX87" s="52"/>
      <c r="IY87" s="52"/>
      <c r="IZ87" s="52"/>
      <c r="JA87" s="52"/>
      <c r="JB87" s="52"/>
      <c r="JC87" s="52"/>
      <c r="JD87" s="52"/>
      <c r="JE87" s="52"/>
      <c r="JF87" s="52"/>
      <c r="JG87" s="52"/>
      <c r="JH87" s="52"/>
      <c r="JI87" s="52"/>
      <c r="JL87" t="str">
        <f>IF($E87="","",IF(INDEX(工数管理!$AJ$3:$AJ$98,$E87)&lt;&gt;"",1,0))</f>
        <v/>
      </c>
      <c r="JM87" t="str">
        <f>IF($E87="","",IFERROR(MATCH($A87,祝日!$J$1:$L$1,0),""))</f>
        <v/>
      </c>
    </row>
    <row r="88" spans="1:273" ht="14.25" customHeight="1" x14ac:dyDescent="0.15">
      <c r="A88" s="50" t="str">
        <f>IF($E88="","",IF($JL88=1,INDEX(工数管理!$A$3:$A$98,$E88)&amp;"",IF(INDEX(工数管理!$AK$3:$AK$98,$E88)="","未割当",INDEX(工数管理!$AK$3:$AK$98,$E88))))</f>
        <v/>
      </c>
      <c r="B88" s="51" t="str">
        <f>IF($E88="","",IF($JL88=1,"",INDEX(工数管理!$A$3:$A$98,$E88)&amp;""))</f>
        <v/>
      </c>
      <c r="C88" s="50" t="str">
        <f>IF($E88="","",IF($JL88=1,"",INDEX(工数管理!$B$3:$B$98,$E88)&amp;""))</f>
        <v/>
      </c>
      <c r="D88" s="50" t="str">
        <f>IF($E88="","",INDEX(工数管理!$H$3:$H$98,$E88)&amp;"")</f>
        <v/>
      </c>
      <c r="E88" t="str">
        <f>IFERROR(MATCH(SMALL(工数管理!$BP$3:$BP$98,ROW()-3),工数管理!$BP$3:$BP$98,0),"")</f>
        <v/>
      </c>
      <c r="F88" t="str">
        <f>IF($E88="","",IF(INDEX(工数管理!$K$3:$K$98,$E88)="","",INDEX(工数管理!$K$3:$K$98,$E88)))</f>
        <v/>
      </c>
      <c r="G88" t="str">
        <f>IF($E88="","",IF(INDEX(工数管理!$L$3:$L$98,$E88)="","",INDEX(工数管理!$L$3:$L$98,$E88)))</f>
        <v/>
      </c>
      <c r="H88" t="str">
        <f>IF($E88="","",IF(INDEX(工数管理!$M$3:$M$98,$E88)="","",INDEX(工数管理!$M$3:$M$98,$E88)))</f>
        <v/>
      </c>
      <c r="I88" t="str">
        <f>IF($E88="","",IF(INDEX(工数管理!$N$3:$N$98,$E88)="","",INDEX(工数管理!$N$3:$N$98,$E88)))</f>
        <v/>
      </c>
      <c r="J88" t="str">
        <f>IF($E88="","",IF(INDEX(工数管理!$O$3:$O$98,$E88)="","",INDEX(工数管理!$O$3:$O$98,$E88)))</f>
        <v/>
      </c>
      <c r="K88" t="str">
        <f>IF($E88="","",IF(INDEX(工数管理!$P$3:$P$98,$E88)="","",INDEX(工数管理!$P$3:$P$98,$E88)))</f>
        <v/>
      </c>
      <c r="L88" t="str">
        <f>IF($E88="","",IF(INDEX(工数管理!$Q$3:$Q$98,$E88)="","",INDEX(工数管理!$Q$3:$Q$98,$E88)))</f>
        <v/>
      </c>
      <c r="M88" t="str">
        <f>IF($E88="","",IF(INDEX(工数管理!$R$3:$R$98,$E88)="","",INDEX(工数管理!$R$3:$R$98,$E88)))</f>
        <v/>
      </c>
      <c r="N88" t="str">
        <f>IF($E88="","",IF(INDEX(工数管理!$S$3:$S$98,$E88)="","",INDEX(工数管理!$S$3:$S$98,$E88)))</f>
        <v/>
      </c>
      <c r="O88" t="str">
        <f>IF($E88="","",IF(INDEX(工数管理!$T$3:$T$98,$E88)="","",INDEX(工数管理!$T$3:$T$98,$E88)))</f>
        <v/>
      </c>
      <c r="P88" t="str">
        <f>IF($E88="","",IF(INDEX(工数管理!$U$3:$U$98,$E88)="","",INDEX(工数管理!$U$3:$U$98,$E88)))</f>
        <v/>
      </c>
      <c r="Q88" t="str">
        <f>IF($E88="","",IF(INDEX(工数管理!$V$3:$V$98,$E88)="","",INDEX(工数管理!$V$3:$V$98,$E88)))</f>
        <v/>
      </c>
      <c r="R88" t="str">
        <f>IF($E88="","",IF(INDEX(工数管理!$W$3:$W$98,$E88)="","",INDEX(工数管理!$W$3:$W$98,$E88)))</f>
        <v/>
      </c>
      <c r="S88" t="str">
        <f>IF($E88="","",IF(INDEX(工数管理!$X$3:$X$98,$E88)="","",INDEX(工数管理!$X$3:$X$98,$E88)))</f>
        <v/>
      </c>
      <c r="T88" t="str">
        <f>IF($E88="","",IF(INDEX(工数管理!$Y$3:$Y$98,$E88)="","",INDEX(工数管理!$Y$3:$Y$98,$E88)))</f>
        <v/>
      </c>
      <c r="U88" t="str">
        <f>IF($E88="","",IF(INDEX(工数管理!$Z$3:$Z$98,$E88)="","",INDEX(工数管理!$Z$3:$Z$98,$E88)))</f>
        <v/>
      </c>
      <c r="V88" t="str">
        <f>IF($E88="","",IF(INDEX(工数管理!$AA$3:$AA$98,$E88)="","",INDEX(工数管理!$AA$3:$AA$98,$E88)))</f>
        <v/>
      </c>
      <c r="W88" t="str">
        <f>IF($E88="","",IF(INDEX(工数管理!$AB$3:$AB$98,$E88)="","",INDEX(工数管理!$AB$3:$AB$98,$E88)))</f>
        <v/>
      </c>
      <c r="X88" t="str">
        <f>IF($E88="","",IF(INDEX(工数管理!$AC$3:$AC$98,$E88)="","",INDEX(工数管理!$AC$3:$AC$98,$E88)))</f>
        <v/>
      </c>
      <c r="Y88" t="str">
        <f>IF($E88="","",IF(INDEX(工数管理!$AD$3:$AD$98,$E88)="","",INDEX(工数管理!$AD$3:$AD$98,$E88)))</f>
        <v/>
      </c>
      <c r="Z88" t="str">
        <f>IF($E88="","",IF(INDEX(工数管理!$AE$3:$AE$98,$E88)="","",INDEX(工数管理!$AE$3:$AE$98,$E88)))</f>
        <v/>
      </c>
      <c r="AA88" t="str">
        <f>IF($E88="","",IF(INDEX(工数管理!$AF$3:$AF$98,$E88)="","",INDEX(工数管理!$AF$3:$AF$98,$E88)))</f>
        <v/>
      </c>
      <c r="AB88" t="str">
        <f>IF($E88="","",IF(INDEX(工数管理!$AG$3:$AG$98,$E88)="","",INDEX(工数管理!$AG$3:$AG$98,$E88)))</f>
        <v/>
      </c>
      <c r="AC88" t="str">
        <f>IF($E88="","",IF(INDEX(工数管理!$AH$3:$AH$98,$E88)="","",INDEX(工数管理!$AH$3:$AH$98,$E88)))</f>
        <v/>
      </c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  <c r="DJ88" s="52"/>
      <c r="DK88" s="52"/>
      <c r="DL88" s="52"/>
      <c r="DM88" s="52"/>
      <c r="DN88" s="52"/>
      <c r="DO88" s="52"/>
      <c r="DP88" s="52"/>
      <c r="DQ88" s="52"/>
      <c r="DR88" s="52"/>
      <c r="DS88" s="52"/>
      <c r="DT88" s="52"/>
      <c r="DU88" s="52"/>
      <c r="DV88" s="52"/>
      <c r="DW88" s="52"/>
      <c r="DX88" s="52"/>
      <c r="DY88" s="52"/>
      <c r="DZ88" s="52"/>
      <c r="EA88" s="52"/>
      <c r="EB88" s="52"/>
      <c r="EC88" s="52"/>
      <c r="ED88" s="52"/>
      <c r="EE88" s="52"/>
      <c r="EF88" s="52"/>
      <c r="EG88" s="52"/>
      <c r="EH88" s="52"/>
      <c r="EI88" s="52"/>
      <c r="EJ88" s="52"/>
      <c r="EK88" s="52"/>
      <c r="EL88" s="52"/>
      <c r="EM88" s="52"/>
      <c r="EN88" s="52"/>
      <c r="EO88" s="52"/>
      <c r="EP88" s="52"/>
      <c r="EQ88" s="52"/>
      <c r="ER88" s="52"/>
      <c r="ES88" s="52"/>
      <c r="ET88" s="52"/>
      <c r="EU88" s="52"/>
      <c r="EV88" s="52"/>
      <c r="EW88" s="52"/>
      <c r="EX88" s="52"/>
      <c r="EY88" s="52"/>
      <c r="EZ88" s="52"/>
      <c r="FA88" s="52"/>
      <c r="FB88" s="52"/>
      <c r="FC88" s="52"/>
      <c r="FD88" s="52"/>
      <c r="FE88" s="52"/>
      <c r="FF88" s="52"/>
      <c r="FG88" s="52"/>
      <c r="FH88" s="52"/>
      <c r="FI88" s="52"/>
      <c r="FJ88" s="52"/>
      <c r="FK88" s="52"/>
      <c r="FL88" s="52"/>
      <c r="FM88" s="52"/>
      <c r="FN88" s="52"/>
      <c r="FO88" s="52"/>
      <c r="FP88" s="52"/>
      <c r="FQ88" s="52"/>
      <c r="FR88" s="52"/>
      <c r="FS88" s="52"/>
      <c r="FT88" s="52"/>
      <c r="FU88" s="52"/>
      <c r="FV88" s="52"/>
      <c r="FW88" s="52"/>
      <c r="FX88" s="52"/>
      <c r="FY88" s="52"/>
      <c r="FZ88" s="52"/>
      <c r="GA88" s="52"/>
      <c r="GB88" s="52"/>
      <c r="GC88" s="52"/>
      <c r="GD88" s="52"/>
      <c r="GE88" s="52"/>
      <c r="GF88" s="52"/>
      <c r="GG88" s="52"/>
      <c r="GH88" s="52"/>
      <c r="GI88" s="52"/>
      <c r="GJ88" s="52"/>
      <c r="GK88" s="52"/>
      <c r="GL88" s="52"/>
      <c r="GM88" s="52"/>
      <c r="GN88" s="52"/>
      <c r="GO88" s="52"/>
      <c r="GP88" s="52"/>
      <c r="GQ88" s="52"/>
      <c r="GR88" s="52"/>
      <c r="GS88" s="52"/>
      <c r="GT88" s="52"/>
      <c r="GU88" s="52"/>
      <c r="GV88" s="52"/>
      <c r="GW88" s="52"/>
      <c r="GX88" s="52"/>
      <c r="GY88" s="52"/>
      <c r="GZ88" s="52"/>
      <c r="HA88" s="52"/>
      <c r="HB88" s="52"/>
      <c r="HC88" s="52"/>
      <c r="HD88" s="52"/>
      <c r="HE88" s="52"/>
      <c r="HF88" s="52"/>
      <c r="HG88" s="52"/>
      <c r="HH88" s="52"/>
      <c r="HI88" s="52"/>
      <c r="HJ88" s="52"/>
      <c r="HK88" s="52"/>
      <c r="HL88" s="52"/>
      <c r="HM88" s="52"/>
      <c r="HN88" s="52"/>
      <c r="HO88" s="52"/>
      <c r="HP88" s="52"/>
      <c r="HQ88" s="52"/>
      <c r="HR88" s="52"/>
      <c r="HS88" s="52"/>
      <c r="HT88" s="52"/>
      <c r="HU88" s="52"/>
      <c r="HV88" s="52"/>
      <c r="HW88" s="52"/>
      <c r="HX88" s="52"/>
      <c r="HY88" s="52"/>
      <c r="HZ88" s="52"/>
      <c r="IA88" s="52"/>
      <c r="IB88" s="52"/>
      <c r="IC88" s="52"/>
      <c r="ID88" s="52"/>
      <c r="IE88" s="52"/>
      <c r="IF88" s="52"/>
      <c r="IG88" s="52"/>
      <c r="IH88" s="52"/>
      <c r="II88" s="52"/>
      <c r="IJ88" s="52"/>
      <c r="IK88" s="52"/>
      <c r="IL88" s="52"/>
      <c r="IM88" s="52"/>
      <c r="IN88" s="52"/>
      <c r="IO88" s="52"/>
      <c r="IP88" s="52"/>
      <c r="IQ88" s="52"/>
      <c r="IR88" s="52"/>
      <c r="IS88" s="52"/>
      <c r="IT88" s="52"/>
      <c r="IU88" s="52"/>
      <c r="IV88" s="52"/>
      <c r="IW88" s="52"/>
      <c r="IX88" s="52"/>
      <c r="IY88" s="52"/>
      <c r="IZ88" s="52"/>
      <c r="JA88" s="52"/>
      <c r="JB88" s="52"/>
      <c r="JC88" s="52"/>
      <c r="JD88" s="52"/>
      <c r="JE88" s="52"/>
      <c r="JF88" s="52"/>
      <c r="JG88" s="52"/>
      <c r="JH88" s="52"/>
      <c r="JI88" s="52"/>
      <c r="JL88" t="str">
        <f>IF($E88="","",IF(INDEX(工数管理!$AJ$3:$AJ$98,$E88)&lt;&gt;"",1,0))</f>
        <v/>
      </c>
      <c r="JM88" t="str">
        <f>IF($E88="","",IFERROR(MATCH($A88,祝日!$J$1:$L$1,0),""))</f>
        <v/>
      </c>
    </row>
    <row r="89" spans="1:273" ht="14.25" customHeight="1" x14ac:dyDescent="0.15">
      <c r="A89" s="50" t="str">
        <f>IF($E89="","",IF($JL89=1,INDEX(工数管理!$A$3:$A$98,$E89)&amp;"",IF(INDEX(工数管理!$AK$3:$AK$98,$E89)="","未割当",INDEX(工数管理!$AK$3:$AK$98,$E89))))</f>
        <v/>
      </c>
      <c r="B89" s="51" t="str">
        <f>IF($E89="","",IF($JL89=1,"",INDEX(工数管理!$A$3:$A$98,$E89)&amp;""))</f>
        <v/>
      </c>
      <c r="C89" s="50" t="str">
        <f>IF($E89="","",IF($JL89=1,"",INDEX(工数管理!$B$3:$B$98,$E89)&amp;""))</f>
        <v/>
      </c>
      <c r="D89" s="50" t="str">
        <f>IF($E89="","",INDEX(工数管理!$H$3:$H$98,$E89)&amp;"")</f>
        <v/>
      </c>
      <c r="E89" t="str">
        <f>IFERROR(MATCH(SMALL(工数管理!$BP$3:$BP$98,ROW()-3),工数管理!$BP$3:$BP$98,0),"")</f>
        <v/>
      </c>
      <c r="F89" t="str">
        <f>IF($E89="","",IF(INDEX(工数管理!$K$3:$K$98,$E89)="","",INDEX(工数管理!$K$3:$K$98,$E89)))</f>
        <v/>
      </c>
      <c r="G89" t="str">
        <f>IF($E89="","",IF(INDEX(工数管理!$L$3:$L$98,$E89)="","",INDEX(工数管理!$L$3:$L$98,$E89)))</f>
        <v/>
      </c>
      <c r="H89" t="str">
        <f>IF($E89="","",IF(INDEX(工数管理!$M$3:$M$98,$E89)="","",INDEX(工数管理!$M$3:$M$98,$E89)))</f>
        <v/>
      </c>
      <c r="I89" t="str">
        <f>IF($E89="","",IF(INDEX(工数管理!$N$3:$N$98,$E89)="","",INDEX(工数管理!$N$3:$N$98,$E89)))</f>
        <v/>
      </c>
      <c r="J89" t="str">
        <f>IF($E89="","",IF(INDEX(工数管理!$O$3:$O$98,$E89)="","",INDEX(工数管理!$O$3:$O$98,$E89)))</f>
        <v/>
      </c>
      <c r="K89" t="str">
        <f>IF($E89="","",IF(INDEX(工数管理!$P$3:$P$98,$E89)="","",INDEX(工数管理!$P$3:$P$98,$E89)))</f>
        <v/>
      </c>
      <c r="L89" t="str">
        <f>IF($E89="","",IF(INDEX(工数管理!$Q$3:$Q$98,$E89)="","",INDEX(工数管理!$Q$3:$Q$98,$E89)))</f>
        <v/>
      </c>
      <c r="M89" t="str">
        <f>IF($E89="","",IF(INDEX(工数管理!$R$3:$R$98,$E89)="","",INDEX(工数管理!$R$3:$R$98,$E89)))</f>
        <v/>
      </c>
      <c r="N89" t="str">
        <f>IF($E89="","",IF(INDEX(工数管理!$S$3:$S$98,$E89)="","",INDEX(工数管理!$S$3:$S$98,$E89)))</f>
        <v/>
      </c>
      <c r="O89" t="str">
        <f>IF($E89="","",IF(INDEX(工数管理!$T$3:$T$98,$E89)="","",INDEX(工数管理!$T$3:$T$98,$E89)))</f>
        <v/>
      </c>
      <c r="P89" t="str">
        <f>IF($E89="","",IF(INDEX(工数管理!$U$3:$U$98,$E89)="","",INDEX(工数管理!$U$3:$U$98,$E89)))</f>
        <v/>
      </c>
      <c r="Q89" t="str">
        <f>IF($E89="","",IF(INDEX(工数管理!$V$3:$V$98,$E89)="","",INDEX(工数管理!$V$3:$V$98,$E89)))</f>
        <v/>
      </c>
      <c r="R89" t="str">
        <f>IF($E89="","",IF(INDEX(工数管理!$W$3:$W$98,$E89)="","",INDEX(工数管理!$W$3:$W$98,$E89)))</f>
        <v/>
      </c>
      <c r="S89" t="str">
        <f>IF($E89="","",IF(INDEX(工数管理!$X$3:$X$98,$E89)="","",INDEX(工数管理!$X$3:$X$98,$E89)))</f>
        <v/>
      </c>
      <c r="T89" t="str">
        <f>IF($E89="","",IF(INDEX(工数管理!$Y$3:$Y$98,$E89)="","",INDEX(工数管理!$Y$3:$Y$98,$E89)))</f>
        <v/>
      </c>
      <c r="U89" t="str">
        <f>IF($E89="","",IF(INDEX(工数管理!$Z$3:$Z$98,$E89)="","",INDEX(工数管理!$Z$3:$Z$98,$E89)))</f>
        <v/>
      </c>
      <c r="V89" t="str">
        <f>IF($E89="","",IF(INDEX(工数管理!$AA$3:$AA$98,$E89)="","",INDEX(工数管理!$AA$3:$AA$98,$E89)))</f>
        <v/>
      </c>
      <c r="W89" t="str">
        <f>IF($E89="","",IF(INDEX(工数管理!$AB$3:$AB$98,$E89)="","",INDEX(工数管理!$AB$3:$AB$98,$E89)))</f>
        <v/>
      </c>
      <c r="X89" t="str">
        <f>IF($E89="","",IF(INDEX(工数管理!$AC$3:$AC$98,$E89)="","",INDEX(工数管理!$AC$3:$AC$98,$E89)))</f>
        <v/>
      </c>
      <c r="Y89" t="str">
        <f>IF($E89="","",IF(INDEX(工数管理!$AD$3:$AD$98,$E89)="","",INDEX(工数管理!$AD$3:$AD$98,$E89)))</f>
        <v/>
      </c>
      <c r="Z89" t="str">
        <f>IF($E89="","",IF(INDEX(工数管理!$AE$3:$AE$98,$E89)="","",INDEX(工数管理!$AE$3:$AE$98,$E89)))</f>
        <v/>
      </c>
      <c r="AA89" t="str">
        <f>IF($E89="","",IF(INDEX(工数管理!$AF$3:$AF$98,$E89)="","",INDEX(工数管理!$AF$3:$AF$98,$E89)))</f>
        <v/>
      </c>
      <c r="AB89" t="str">
        <f>IF($E89="","",IF(INDEX(工数管理!$AG$3:$AG$98,$E89)="","",INDEX(工数管理!$AG$3:$AG$98,$E89)))</f>
        <v/>
      </c>
      <c r="AC89" t="str">
        <f>IF($E89="","",IF(INDEX(工数管理!$AH$3:$AH$98,$E89)="","",INDEX(工数管理!$AH$3:$AH$98,$E89)))</f>
        <v/>
      </c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  <c r="EM89" s="52"/>
      <c r="EN89" s="52"/>
      <c r="EO89" s="52"/>
      <c r="EP89" s="52"/>
      <c r="EQ89" s="52"/>
      <c r="ER89" s="52"/>
      <c r="ES89" s="52"/>
      <c r="ET89" s="52"/>
      <c r="EU89" s="52"/>
      <c r="EV89" s="52"/>
      <c r="EW89" s="52"/>
      <c r="EX89" s="52"/>
      <c r="EY89" s="52"/>
      <c r="EZ89" s="52"/>
      <c r="FA89" s="52"/>
      <c r="FB89" s="52"/>
      <c r="FC89" s="52"/>
      <c r="FD89" s="52"/>
      <c r="FE89" s="52"/>
      <c r="FF89" s="52"/>
      <c r="FG89" s="52"/>
      <c r="FH89" s="52"/>
      <c r="FI89" s="52"/>
      <c r="FJ89" s="52"/>
      <c r="FK89" s="52"/>
      <c r="FL89" s="52"/>
      <c r="FM89" s="52"/>
      <c r="FN89" s="52"/>
      <c r="FO89" s="52"/>
      <c r="FP89" s="52"/>
      <c r="FQ89" s="52"/>
      <c r="FR89" s="52"/>
      <c r="FS89" s="52"/>
      <c r="FT89" s="52"/>
      <c r="FU89" s="52"/>
      <c r="FV89" s="52"/>
      <c r="FW89" s="52"/>
      <c r="FX89" s="52"/>
      <c r="FY89" s="52"/>
      <c r="FZ89" s="52"/>
      <c r="GA89" s="52"/>
      <c r="GB89" s="52"/>
      <c r="GC89" s="52"/>
      <c r="GD89" s="52"/>
      <c r="GE89" s="52"/>
      <c r="GF89" s="52"/>
      <c r="GG89" s="52"/>
      <c r="GH89" s="52"/>
      <c r="GI89" s="52"/>
      <c r="GJ89" s="52"/>
      <c r="GK89" s="52"/>
      <c r="GL89" s="52"/>
      <c r="GM89" s="52"/>
      <c r="GN89" s="52"/>
      <c r="GO89" s="52"/>
      <c r="GP89" s="52"/>
      <c r="GQ89" s="52"/>
      <c r="GR89" s="52"/>
      <c r="GS89" s="52"/>
      <c r="GT89" s="52"/>
      <c r="GU89" s="52"/>
      <c r="GV89" s="52"/>
      <c r="GW89" s="52"/>
      <c r="GX89" s="52"/>
      <c r="GY89" s="52"/>
      <c r="GZ89" s="52"/>
      <c r="HA89" s="52"/>
      <c r="HB89" s="52"/>
      <c r="HC89" s="52"/>
      <c r="HD89" s="52"/>
      <c r="HE89" s="52"/>
      <c r="HF89" s="52"/>
      <c r="HG89" s="52"/>
      <c r="HH89" s="52"/>
      <c r="HI89" s="52"/>
      <c r="HJ89" s="52"/>
      <c r="HK89" s="52"/>
      <c r="HL89" s="52"/>
      <c r="HM89" s="52"/>
      <c r="HN89" s="52"/>
      <c r="HO89" s="52"/>
      <c r="HP89" s="52"/>
      <c r="HQ89" s="52"/>
      <c r="HR89" s="52"/>
      <c r="HS89" s="52"/>
      <c r="HT89" s="52"/>
      <c r="HU89" s="52"/>
      <c r="HV89" s="52"/>
      <c r="HW89" s="52"/>
      <c r="HX89" s="52"/>
      <c r="HY89" s="52"/>
      <c r="HZ89" s="52"/>
      <c r="IA89" s="52"/>
      <c r="IB89" s="52"/>
      <c r="IC89" s="52"/>
      <c r="ID89" s="52"/>
      <c r="IE89" s="52"/>
      <c r="IF89" s="52"/>
      <c r="IG89" s="52"/>
      <c r="IH89" s="52"/>
      <c r="II89" s="52"/>
      <c r="IJ89" s="52"/>
      <c r="IK89" s="52"/>
      <c r="IL89" s="52"/>
      <c r="IM89" s="52"/>
      <c r="IN89" s="52"/>
      <c r="IO89" s="52"/>
      <c r="IP89" s="52"/>
      <c r="IQ89" s="52"/>
      <c r="IR89" s="52"/>
      <c r="IS89" s="52"/>
      <c r="IT89" s="52"/>
      <c r="IU89" s="52"/>
      <c r="IV89" s="52"/>
      <c r="IW89" s="52"/>
      <c r="IX89" s="52"/>
      <c r="IY89" s="52"/>
      <c r="IZ89" s="52"/>
      <c r="JA89" s="52"/>
      <c r="JB89" s="52"/>
      <c r="JC89" s="52"/>
      <c r="JD89" s="52"/>
      <c r="JE89" s="52"/>
      <c r="JF89" s="52"/>
      <c r="JG89" s="52"/>
      <c r="JH89" s="52"/>
      <c r="JI89" s="52"/>
      <c r="JL89" t="str">
        <f>IF($E89="","",IF(INDEX(工数管理!$AJ$3:$AJ$98,$E89)&lt;&gt;"",1,0))</f>
        <v/>
      </c>
      <c r="JM89" t="str">
        <f>IF($E89="","",IFERROR(MATCH($A89,祝日!$J$1:$L$1,0),""))</f>
        <v/>
      </c>
    </row>
    <row r="90" spans="1:273" ht="14.25" customHeight="1" x14ac:dyDescent="0.15">
      <c r="A90" s="50" t="str">
        <f>IF($E90="","",IF($JL90=1,INDEX(工数管理!$A$3:$A$98,$E90)&amp;"",IF(INDEX(工数管理!$AK$3:$AK$98,$E90)="","未割当",INDEX(工数管理!$AK$3:$AK$98,$E90))))</f>
        <v/>
      </c>
      <c r="B90" s="51" t="str">
        <f>IF($E90="","",IF($JL90=1,"",INDEX(工数管理!$A$3:$A$98,$E90)&amp;""))</f>
        <v/>
      </c>
      <c r="C90" s="50" t="str">
        <f>IF($E90="","",IF($JL90=1,"",INDEX(工数管理!$B$3:$B$98,$E90)&amp;""))</f>
        <v/>
      </c>
      <c r="D90" s="50" t="str">
        <f>IF($E90="","",INDEX(工数管理!$H$3:$H$98,$E90)&amp;"")</f>
        <v/>
      </c>
      <c r="E90" t="str">
        <f>IFERROR(MATCH(SMALL(工数管理!$BP$3:$BP$98,ROW()-3),工数管理!$BP$3:$BP$98,0),"")</f>
        <v/>
      </c>
      <c r="F90" t="str">
        <f>IF($E90="","",IF(INDEX(工数管理!$K$3:$K$98,$E90)="","",INDEX(工数管理!$K$3:$K$98,$E90)))</f>
        <v/>
      </c>
      <c r="G90" t="str">
        <f>IF($E90="","",IF(INDEX(工数管理!$L$3:$L$98,$E90)="","",INDEX(工数管理!$L$3:$L$98,$E90)))</f>
        <v/>
      </c>
      <c r="H90" t="str">
        <f>IF($E90="","",IF(INDEX(工数管理!$M$3:$M$98,$E90)="","",INDEX(工数管理!$M$3:$M$98,$E90)))</f>
        <v/>
      </c>
      <c r="I90" t="str">
        <f>IF($E90="","",IF(INDEX(工数管理!$N$3:$N$98,$E90)="","",INDEX(工数管理!$N$3:$N$98,$E90)))</f>
        <v/>
      </c>
      <c r="J90" t="str">
        <f>IF($E90="","",IF(INDEX(工数管理!$O$3:$O$98,$E90)="","",INDEX(工数管理!$O$3:$O$98,$E90)))</f>
        <v/>
      </c>
      <c r="K90" t="str">
        <f>IF($E90="","",IF(INDEX(工数管理!$P$3:$P$98,$E90)="","",INDEX(工数管理!$P$3:$P$98,$E90)))</f>
        <v/>
      </c>
      <c r="L90" t="str">
        <f>IF($E90="","",IF(INDEX(工数管理!$Q$3:$Q$98,$E90)="","",INDEX(工数管理!$Q$3:$Q$98,$E90)))</f>
        <v/>
      </c>
      <c r="M90" t="str">
        <f>IF($E90="","",IF(INDEX(工数管理!$R$3:$R$98,$E90)="","",INDEX(工数管理!$R$3:$R$98,$E90)))</f>
        <v/>
      </c>
      <c r="N90" t="str">
        <f>IF($E90="","",IF(INDEX(工数管理!$S$3:$S$98,$E90)="","",INDEX(工数管理!$S$3:$S$98,$E90)))</f>
        <v/>
      </c>
      <c r="O90" t="str">
        <f>IF($E90="","",IF(INDEX(工数管理!$T$3:$T$98,$E90)="","",INDEX(工数管理!$T$3:$T$98,$E90)))</f>
        <v/>
      </c>
      <c r="P90" t="str">
        <f>IF($E90="","",IF(INDEX(工数管理!$U$3:$U$98,$E90)="","",INDEX(工数管理!$U$3:$U$98,$E90)))</f>
        <v/>
      </c>
      <c r="Q90" t="str">
        <f>IF($E90="","",IF(INDEX(工数管理!$V$3:$V$98,$E90)="","",INDEX(工数管理!$V$3:$V$98,$E90)))</f>
        <v/>
      </c>
      <c r="R90" t="str">
        <f>IF($E90="","",IF(INDEX(工数管理!$W$3:$W$98,$E90)="","",INDEX(工数管理!$W$3:$W$98,$E90)))</f>
        <v/>
      </c>
      <c r="S90" t="str">
        <f>IF($E90="","",IF(INDEX(工数管理!$X$3:$X$98,$E90)="","",INDEX(工数管理!$X$3:$X$98,$E90)))</f>
        <v/>
      </c>
      <c r="T90" t="str">
        <f>IF($E90="","",IF(INDEX(工数管理!$Y$3:$Y$98,$E90)="","",INDEX(工数管理!$Y$3:$Y$98,$E90)))</f>
        <v/>
      </c>
      <c r="U90" t="str">
        <f>IF($E90="","",IF(INDEX(工数管理!$Z$3:$Z$98,$E90)="","",INDEX(工数管理!$Z$3:$Z$98,$E90)))</f>
        <v/>
      </c>
      <c r="V90" t="str">
        <f>IF($E90="","",IF(INDEX(工数管理!$AA$3:$AA$98,$E90)="","",INDEX(工数管理!$AA$3:$AA$98,$E90)))</f>
        <v/>
      </c>
      <c r="W90" t="str">
        <f>IF($E90="","",IF(INDEX(工数管理!$AB$3:$AB$98,$E90)="","",INDEX(工数管理!$AB$3:$AB$98,$E90)))</f>
        <v/>
      </c>
      <c r="X90" t="str">
        <f>IF($E90="","",IF(INDEX(工数管理!$AC$3:$AC$98,$E90)="","",INDEX(工数管理!$AC$3:$AC$98,$E90)))</f>
        <v/>
      </c>
      <c r="Y90" t="str">
        <f>IF($E90="","",IF(INDEX(工数管理!$AD$3:$AD$98,$E90)="","",INDEX(工数管理!$AD$3:$AD$98,$E90)))</f>
        <v/>
      </c>
      <c r="Z90" t="str">
        <f>IF($E90="","",IF(INDEX(工数管理!$AE$3:$AE$98,$E90)="","",INDEX(工数管理!$AE$3:$AE$98,$E90)))</f>
        <v/>
      </c>
      <c r="AA90" t="str">
        <f>IF($E90="","",IF(INDEX(工数管理!$AF$3:$AF$98,$E90)="","",INDEX(工数管理!$AF$3:$AF$98,$E90)))</f>
        <v/>
      </c>
      <c r="AB90" t="str">
        <f>IF($E90="","",IF(INDEX(工数管理!$AG$3:$AG$98,$E90)="","",INDEX(工数管理!$AG$3:$AG$98,$E90)))</f>
        <v/>
      </c>
      <c r="AC90" t="str">
        <f>IF($E90="","",IF(INDEX(工数管理!$AH$3:$AH$98,$E90)="","",INDEX(工数管理!$AH$3:$AH$98,$E90)))</f>
        <v/>
      </c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  <c r="EM90" s="52"/>
      <c r="EN90" s="52"/>
      <c r="EO90" s="52"/>
      <c r="EP90" s="52"/>
      <c r="EQ90" s="52"/>
      <c r="ER90" s="52"/>
      <c r="ES90" s="52"/>
      <c r="ET90" s="52"/>
      <c r="EU90" s="52"/>
      <c r="EV90" s="52"/>
      <c r="EW90" s="52"/>
      <c r="EX90" s="52"/>
      <c r="EY90" s="52"/>
      <c r="EZ90" s="52"/>
      <c r="FA90" s="52"/>
      <c r="FB90" s="52"/>
      <c r="FC90" s="52"/>
      <c r="FD90" s="52"/>
      <c r="FE90" s="52"/>
      <c r="FF90" s="52"/>
      <c r="FG90" s="52"/>
      <c r="FH90" s="52"/>
      <c r="FI90" s="52"/>
      <c r="FJ90" s="52"/>
      <c r="FK90" s="52"/>
      <c r="FL90" s="52"/>
      <c r="FM90" s="52"/>
      <c r="FN90" s="52"/>
      <c r="FO90" s="52"/>
      <c r="FP90" s="52"/>
      <c r="FQ90" s="52"/>
      <c r="FR90" s="52"/>
      <c r="FS90" s="52"/>
      <c r="FT90" s="52"/>
      <c r="FU90" s="52"/>
      <c r="FV90" s="52"/>
      <c r="FW90" s="52"/>
      <c r="FX90" s="52"/>
      <c r="FY90" s="52"/>
      <c r="FZ90" s="52"/>
      <c r="GA90" s="52"/>
      <c r="GB90" s="52"/>
      <c r="GC90" s="52"/>
      <c r="GD90" s="52"/>
      <c r="GE90" s="52"/>
      <c r="GF90" s="52"/>
      <c r="GG90" s="52"/>
      <c r="GH90" s="52"/>
      <c r="GI90" s="52"/>
      <c r="GJ90" s="52"/>
      <c r="GK90" s="52"/>
      <c r="GL90" s="52"/>
      <c r="GM90" s="52"/>
      <c r="GN90" s="52"/>
      <c r="GO90" s="52"/>
      <c r="GP90" s="52"/>
      <c r="GQ90" s="52"/>
      <c r="GR90" s="52"/>
      <c r="GS90" s="52"/>
      <c r="GT90" s="52"/>
      <c r="GU90" s="52"/>
      <c r="GV90" s="52"/>
      <c r="GW90" s="52"/>
      <c r="GX90" s="52"/>
      <c r="GY90" s="52"/>
      <c r="GZ90" s="52"/>
      <c r="HA90" s="52"/>
      <c r="HB90" s="52"/>
      <c r="HC90" s="52"/>
      <c r="HD90" s="52"/>
      <c r="HE90" s="52"/>
      <c r="HF90" s="52"/>
      <c r="HG90" s="52"/>
      <c r="HH90" s="52"/>
      <c r="HI90" s="52"/>
      <c r="HJ90" s="52"/>
      <c r="HK90" s="52"/>
      <c r="HL90" s="52"/>
      <c r="HM90" s="52"/>
      <c r="HN90" s="52"/>
      <c r="HO90" s="52"/>
      <c r="HP90" s="52"/>
      <c r="HQ90" s="52"/>
      <c r="HR90" s="52"/>
      <c r="HS90" s="52"/>
      <c r="HT90" s="52"/>
      <c r="HU90" s="52"/>
      <c r="HV90" s="52"/>
      <c r="HW90" s="52"/>
      <c r="HX90" s="52"/>
      <c r="HY90" s="52"/>
      <c r="HZ90" s="52"/>
      <c r="IA90" s="52"/>
      <c r="IB90" s="52"/>
      <c r="IC90" s="52"/>
      <c r="ID90" s="52"/>
      <c r="IE90" s="52"/>
      <c r="IF90" s="52"/>
      <c r="IG90" s="52"/>
      <c r="IH90" s="52"/>
      <c r="II90" s="52"/>
      <c r="IJ90" s="52"/>
      <c r="IK90" s="52"/>
      <c r="IL90" s="52"/>
      <c r="IM90" s="52"/>
      <c r="IN90" s="52"/>
      <c r="IO90" s="52"/>
      <c r="IP90" s="52"/>
      <c r="IQ90" s="52"/>
      <c r="IR90" s="52"/>
      <c r="IS90" s="52"/>
      <c r="IT90" s="52"/>
      <c r="IU90" s="52"/>
      <c r="IV90" s="52"/>
      <c r="IW90" s="52"/>
      <c r="IX90" s="52"/>
      <c r="IY90" s="52"/>
      <c r="IZ90" s="52"/>
      <c r="JA90" s="52"/>
      <c r="JB90" s="52"/>
      <c r="JC90" s="52"/>
      <c r="JD90" s="52"/>
      <c r="JE90" s="52"/>
      <c r="JF90" s="52"/>
      <c r="JG90" s="52"/>
      <c r="JH90" s="52"/>
      <c r="JI90" s="52"/>
      <c r="JL90" t="str">
        <f>IF($E90="","",IF(INDEX(工数管理!$AJ$3:$AJ$98,$E90)&lt;&gt;"",1,0))</f>
        <v/>
      </c>
      <c r="JM90" t="str">
        <f>IF($E90="","",IFERROR(MATCH($A90,祝日!$J$1:$L$1,0),""))</f>
        <v/>
      </c>
    </row>
    <row r="91" spans="1:273" ht="14.25" customHeight="1" x14ac:dyDescent="0.15">
      <c r="A91" s="50" t="str">
        <f>IF($E91="","",IF($JL91=1,INDEX(工数管理!$A$3:$A$98,$E91)&amp;"",IF(INDEX(工数管理!$AK$3:$AK$98,$E91)="","未割当",INDEX(工数管理!$AK$3:$AK$98,$E91))))</f>
        <v/>
      </c>
      <c r="B91" s="51" t="str">
        <f>IF($E91="","",IF($JL91=1,"",INDEX(工数管理!$A$3:$A$98,$E91)&amp;""))</f>
        <v/>
      </c>
      <c r="C91" s="50" t="str">
        <f>IF($E91="","",IF($JL91=1,"",INDEX(工数管理!$B$3:$B$98,$E91)&amp;""))</f>
        <v/>
      </c>
      <c r="D91" s="50" t="str">
        <f>IF($E91="","",INDEX(工数管理!$H$3:$H$98,$E91)&amp;"")</f>
        <v/>
      </c>
      <c r="E91" t="str">
        <f>IFERROR(MATCH(SMALL(工数管理!$BP$3:$BP$98,ROW()-3),工数管理!$BP$3:$BP$98,0),"")</f>
        <v/>
      </c>
      <c r="F91" t="str">
        <f>IF($E91="","",IF(INDEX(工数管理!$K$3:$K$98,$E91)="","",INDEX(工数管理!$K$3:$K$98,$E91)))</f>
        <v/>
      </c>
      <c r="G91" t="str">
        <f>IF($E91="","",IF(INDEX(工数管理!$L$3:$L$98,$E91)="","",INDEX(工数管理!$L$3:$L$98,$E91)))</f>
        <v/>
      </c>
      <c r="H91" t="str">
        <f>IF($E91="","",IF(INDEX(工数管理!$M$3:$M$98,$E91)="","",INDEX(工数管理!$M$3:$M$98,$E91)))</f>
        <v/>
      </c>
      <c r="I91" t="str">
        <f>IF($E91="","",IF(INDEX(工数管理!$N$3:$N$98,$E91)="","",INDEX(工数管理!$N$3:$N$98,$E91)))</f>
        <v/>
      </c>
      <c r="J91" t="str">
        <f>IF($E91="","",IF(INDEX(工数管理!$O$3:$O$98,$E91)="","",INDEX(工数管理!$O$3:$O$98,$E91)))</f>
        <v/>
      </c>
      <c r="K91" t="str">
        <f>IF($E91="","",IF(INDEX(工数管理!$P$3:$P$98,$E91)="","",INDEX(工数管理!$P$3:$P$98,$E91)))</f>
        <v/>
      </c>
      <c r="L91" t="str">
        <f>IF($E91="","",IF(INDEX(工数管理!$Q$3:$Q$98,$E91)="","",INDEX(工数管理!$Q$3:$Q$98,$E91)))</f>
        <v/>
      </c>
      <c r="M91" t="str">
        <f>IF($E91="","",IF(INDEX(工数管理!$R$3:$R$98,$E91)="","",INDEX(工数管理!$R$3:$R$98,$E91)))</f>
        <v/>
      </c>
      <c r="N91" t="str">
        <f>IF($E91="","",IF(INDEX(工数管理!$S$3:$S$98,$E91)="","",INDEX(工数管理!$S$3:$S$98,$E91)))</f>
        <v/>
      </c>
      <c r="O91" t="str">
        <f>IF($E91="","",IF(INDEX(工数管理!$T$3:$T$98,$E91)="","",INDEX(工数管理!$T$3:$T$98,$E91)))</f>
        <v/>
      </c>
      <c r="P91" t="str">
        <f>IF($E91="","",IF(INDEX(工数管理!$U$3:$U$98,$E91)="","",INDEX(工数管理!$U$3:$U$98,$E91)))</f>
        <v/>
      </c>
      <c r="Q91" t="str">
        <f>IF($E91="","",IF(INDEX(工数管理!$V$3:$V$98,$E91)="","",INDEX(工数管理!$V$3:$V$98,$E91)))</f>
        <v/>
      </c>
      <c r="R91" t="str">
        <f>IF($E91="","",IF(INDEX(工数管理!$W$3:$W$98,$E91)="","",INDEX(工数管理!$W$3:$W$98,$E91)))</f>
        <v/>
      </c>
      <c r="S91" t="str">
        <f>IF($E91="","",IF(INDEX(工数管理!$X$3:$X$98,$E91)="","",INDEX(工数管理!$X$3:$X$98,$E91)))</f>
        <v/>
      </c>
      <c r="T91" t="str">
        <f>IF($E91="","",IF(INDEX(工数管理!$Y$3:$Y$98,$E91)="","",INDEX(工数管理!$Y$3:$Y$98,$E91)))</f>
        <v/>
      </c>
      <c r="U91" t="str">
        <f>IF($E91="","",IF(INDEX(工数管理!$Z$3:$Z$98,$E91)="","",INDEX(工数管理!$Z$3:$Z$98,$E91)))</f>
        <v/>
      </c>
      <c r="V91" t="str">
        <f>IF($E91="","",IF(INDEX(工数管理!$AA$3:$AA$98,$E91)="","",INDEX(工数管理!$AA$3:$AA$98,$E91)))</f>
        <v/>
      </c>
      <c r="W91" t="str">
        <f>IF($E91="","",IF(INDEX(工数管理!$AB$3:$AB$98,$E91)="","",INDEX(工数管理!$AB$3:$AB$98,$E91)))</f>
        <v/>
      </c>
      <c r="X91" t="str">
        <f>IF($E91="","",IF(INDEX(工数管理!$AC$3:$AC$98,$E91)="","",INDEX(工数管理!$AC$3:$AC$98,$E91)))</f>
        <v/>
      </c>
      <c r="Y91" t="str">
        <f>IF($E91="","",IF(INDEX(工数管理!$AD$3:$AD$98,$E91)="","",INDEX(工数管理!$AD$3:$AD$98,$E91)))</f>
        <v/>
      </c>
      <c r="Z91" t="str">
        <f>IF($E91="","",IF(INDEX(工数管理!$AE$3:$AE$98,$E91)="","",INDEX(工数管理!$AE$3:$AE$98,$E91)))</f>
        <v/>
      </c>
      <c r="AA91" t="str">
        <f>IF($E91="","",IF(INDEX(工数管理!$AF$3:$AF$98,$E91)="","",INDEX(工数管理!$AF$3:$AF$98,$E91)))</f>
        <v/>
      </c>
      <c r="AB91" t="str">
        <f>IF($E91="","",IF(INDEX(工数管理!$AG$3:$AG$98,$E91)="","",INDEX(工数管理!$AG$3:$AG$98,$E91)))</f>
        <v/>
      </c>
      <c r="AC91" t="str">
        <f>IF($E91="","",IF(INDEX(工数管理!$AH$3:$AH$98,$E91)="","",INDEX(工数管理!$AH$3:$AH$98,$E91)))</f>
        <v/>
      </c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/>
      <c r="DR91" s="52"/>
      <c r="DS91" s="52"/>
      <c r="DT91" s="52"/>
      <c r="DU91" s="52"/>
      <c r="DV91" s="52"/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  <c r="EM91" s="52"/>
      <c r="EN91" s="52"/>
      <c r="EO91" s="52"/>
      <c r="EP91" s="52"/>
      <c r="EQ91" s="52"/>
      <c r="ER91" s="52"/>
      <c r="ES91" s="52"/>
      <c r="ET91" s="52"/>
      <c r="EU91" s="52"/>
      <c r="EV91" s="52"/>
      <c r="EW91" s="52"/>
      <c r="EX91" s="52"/>
      <c r="EY91" s="52"/>
      <c r="EZ91" s="52"/>
      <c r="FA91" s="52"/>
      <c r="FB91" s="52"/>
      <c r="FC91" s="52"/>
      <c r="FD91" s="52"/>
      <c r="FE91" s="52"/>
      <c r="FF91" s="52"/>
      <c r="FG91" s="52"/>
      <c r="FH91" s="52"/>
      <c r="FI91" s="52"/>
      <c r="FJ91" s="52"/>
      <c r="FK91" s="52"/>
      <c r="FL91" s="52"/>
      <c r="FM91" s="52"/>
      <c r="FN91" s="52"/>
      <c r="FO91" s="52"/>
      <c r="FP91" s="52"/>
      <c r="FQ91" s="52"/>
      <c r="FR91" s="52"/>
      <c r="FS91" s="52"/>
      <c r="FT91" s="52"/>
      <c r="FU91" s="52"/>
      <c r="FV91" s="52"/>
      <c r="FW91" s="52"/>
      <c r="FX91" s="52"/>
      <c r="FY91" s="52"/>
      <c r="FZ91" s="52"/>
      <c r="GA91" s="52"/>
      <c r="GB91" s="52"/>
      <c r="GC91" s="52"/>
      <c r="GD91" s="52"/>
      <c r="GE91" s="52"/>
      <c r="GF91" s="52"/>
      <c r="GG91" s="52"/>
      <c r="GH91" s="52"/>
      <c r="GI91" s="52"/>
      <c r="GJ91" s="52"/>
      <c r="GK91" s="52"/>
      <c r="GL91" s="52"/>
      <c r="GM91" s="52"/>
      <c r="GN91" s="52"/>
      <c r="GO91" s="52"/>
      <c r="GP91" s="52"/>
      <c r="GQ91" s="52"/>
      <c r="GR91" s="52"/>
      <c r="GS91" s="52"/>
      <c r="GT91" s="52"/>
      <c r="GU91" s="52"/>
      <c r="GV91" s="52"/>
      <c r="GW91" s="52"/>
      <c r="GX91" s="52"/>
      <c r="GY91" s="52"/>
      <c r="GZ91" s="52"/>
      <c r="HA91" s="52"/>
      <c r="HB91" s="52"/>
      <c r="HC91" s="52"/>
      <c r="HD91" s="52"/>
      <c r="HE91" s="52"/>
      <c r="HF91" s="52"/>
      <c r="HG91" s="52"/>
      <c r="HH91" s="52"/>
      <c r="HI91" s="52"/>
      <c r="HJ91" s="52"/>
      <c r="HK91" s="52"/>
      <c r="HL91" s="52"/>
      <c r="HM91" s="52"/>
      <c r="HN91" s="52"/>
      <c r="HO91" s="52"/>
      <c r="HP91" s="52"/>
      <c r="HQ91" s="52"/>
      <c r="HR91" s="52"/>
      <c r="HS91" s="52"/>
      <c r="HT91" s="52"/>
      <c r="HU91" s="52"/>
      <c r="HV91" s="52"/>
      <c r="HW91" s="52"/>
      <c r="HX91" s="52"/>
      <c r="HY91" s="52"/>
      <c r="HZ91" s="52"/>
      <c r="IA91" s="52"/>
      <c r="IB91" s="52"/>
      <c r="IC91" s="52"/>
      <c r="ID91" s="52"/>
      <c r="IE91" s="52"/>
      <c r="IF91" s="52"/>
      <c r="IG91" s="52"/>
      <c r="IH91" s="52"/>
      <c r="II91" s="52"/>
      <c r="IJ91" s="52"/>
      <c r="IK91" s="52"/>
      <c r="IL91" s="52"/>
      <c r="IM91" s="52"/>
      <c r="IN91" s="52"/>
      <c r="IO91" s="52"/>
      <c r="IP91" s="52"/>
      <c r="IQ91" s="52"/>
      <c r="IR91" s="52"/>
      <c r="IS91" s="52"/>
      <c r="IT91" s="52"/>
      <c r="IU91" s="52"/>
      <c r="IV91" s="52"/>
      <c r="IW91" s="52"/>
      <c r="IX91" s="52"/>
      <c r="IY91" s="52"/>
      <c r="IZ91" s="52"/>
      <c r="JA91" s="52"/>
      <c r="JB91" s="52"/>
      <c r="JC91" s="52"/>
      <c r="JD91" s="52"/>
      <c r="JE91" s="52"/>
      <c r="JF91" s="52"/>
      <c r="JG91" s="52"/>
      <c r="JH91" s="52"/>
      <c r="JI91" s="52"/>
      <c r="JL91" t="str">
        <f>IF($E91="","",IF(INDEX(工数管理!$AJ$3:$AJ$98,$E91)&lt;&gt;"",1,0))</f>
        <v/>
      </c>
      <c r="JM91" t="str">
        <f>IF($E91="","",IFERROR(MATCH($A91,祝日!$J$1:$L$1,0),""))</f>
        <v/>
      </c>
    </row>
    <row r="92" spans="1:273" ht="14.25" customHeight="1" x14ac:dyDescent="0.15">
      <c r="A92" s="50" t="str">
        <f>IF($E92="","",IF($JL92=1,INDEX(工数管理!$A$3:$A$98,$E92)&amp;"",IF(INDEX(工数管理!$AK$3:$AK$98,$E92)="","未割当",INDEX(工数管理!$AK$3:$AK$98,$E92))))</f>
        <v/>
      </c>
      <c r="B92" s="51" t="str">
        <f>IF($E92="","",IF($JL92=1,"",INDEX(工数管理!$A$3:$A$98,$E92)&amp;""))</f>
        <v/>
      </c>
      <c r="C92" s="50" t="str">
        <f>IF($E92="","",IF($JL92=1,"",INDEX(工数管理!$B$3:$B$98,$E92)&amp;""))</f>
        <v/>
      </c>
      <c r="D92" s="50" t="str">
        <f>IF($E92="","",INDEX(工数管理!$H$3:$H$98,$E92)&amp;"")</f>
        <v/>
      </c>
      <c r="E92" t="str">
        <f>IFERROR(MATCH(SMALL(工数管理!$BP$3:$BP$98,ROW()-3),工数管理!$BP$3:$BP$98,0),"")</f>
        <v/>
      </c>
      <c r="F92" t="str">
        <f>IF($E92="","",IF(INDEX(工数管理!$K$3:$K$98,$E92)="","",INDEX(工数管理!$K$3:$K$98,$E92)))</f>
        <v/>
      </c>
      <c r="G92" t="str">
        <f>IF($E92="","",IF(INDEX(工数管理!$L$3:$L$98,$E92)="","",INDEX(工数管理!$L$3:$L$98,$E92)))</f>
        <v/>
      </c>
      <c r="H92" t="str">
        <f>IF($E92="","",IF(INDEX(工数管理!$M$3:$M$98,$E92)="","",INDEX(工数管理!$M$3:$M$98,$E92)))</f>
        <v/>
      </c>
      <c r="I92" t="str">
        <f>IF($E92="","",IF(INDEX(工数管理!$N$3:$N$98,$E92)="","",INDEX(工数管理!$N$3:$N$98,$E92)))</f>
        <v/>
      </c>
      <c r="J92" t="str">
        <f>IF($E92="","",IF(INDEX(工数管理!$O$3:$O$98,$E92)="","",INDEX(工数管理!$O$3:$O$98,$E92)))</f>
        <v/>
      </c>
      <c r="K92" t="str">
        <f>IF($E92="","",IF(INDEX(工数管理!$P$3:$P$98,$E92)="","",INDEX(工数管理!$P$3:$P$98,$E92)))</f>
        <v/>
      </c>
      <c r="L92" t="str">
        <f>IF($E92="","",IF(INDEX(工数管理!$Q$3:$Q$98,$E92)="","",INDEX(工数管理!$Q$3:$Q$98,$E92)))</f>
        <v/>
      </c>
      <c r="M92" t="str">
        <f>IF($E92="","",IF(INDEX(工数管理!$R$3:$R$98,$E92)="","",INDEX(工数管理!$R$3:$R$98,$E92)))</f>
        <v/>
      </c>
      <c r="N92" t="str">
        <f>IF($E92="","",IF(INDEX(工数管理!$S$3:$S$98,$E92)="","",INDEX(工数管理!$S$3:$S$98,$E92)))</f>
        <v/>
      </c>
      <c r="O92" t="str">
        <f>IF($E92="","",IF(INDEX(工数管理!$T$3:$T$98,$E92)="","",INDEX(工数管理!$T$3:$T$98,$E92)))</f>
        <v/>
      </c>
      <c r="P92" t="str">
        <f>IF($E92="","",IF(INDEX(工数管理!$U$3:$U$98,$E92)="","",INDEX(工数管理!$U$3:$U$98,$E92)))</f>
        <v/>
      </c>
      <c r="Q92" t="str">
        <f>IF($E92="","",IF(INDEX(工数管理!$V$3:$V$98,$E92)="","",INDEX(工数管理!$V$3:$V$98,$E92)))</f>
        <v/>
      </c>
      <c r="R92" t="str">
        <f>IF($E92="","",IF(INDEX(工数管理!$W$3:$W$98,$E92)="","",INDEX(工数管理!$W$3:$W$98,$E92)))</f>
        <v/>
      </c>
      <c r="S92" t="str">
        <f>IF($E92="","",IF(INDEX(工数管理!$X$3:$X$98,$E92)="","",INDEX(工数管理!$X$3:$X$98,$E92)))</f>
        <v/>
      </c>
      <c r="T92" t="str">
        <f>IF($E92="","",IF(INDEX(工数管理!$Y$3:$Y$98,$E92)="","",INDEX(工数管理!$Y$3:$Y$98,$E92)))</f>
        <v/>
      </c>
      <c r="U92" t="str">
        <f>IF($E92="","",IF(INDEX(工数管理!$Z$3:$Z$98,$E92)="","",INDEX(工数管理!$Z$3:$Z$98,$E92)))</f>
        <v/>
      </c>
      <c r="V92" t="str">
        <f>IF($E92="","",IF(INDEX(工数管理!$AA$3:$AA$98,$E92)="","",INDEX(工数管理!$AA$3:$AA$98,$E92)))</f>
        <v/>
      </c>
      <c r="W92" t="str">
        <f>IF($E92="","",IF(INDEX(工数管理!$AB$3:$AB$98,$E92)="","",INDEX(工数管理!$AB$3:$AB$98,$E92)))</f>
        <v/>
      </c>
      <c r="X92" t="str">
        <f>IF($E92="","",IF(INDEX(工数管理!$AC$3:$AC$98,$E92)="","",INDEX(工数管理!$AC$3:$AC$98,$E92)))</f>
        <v/>
      </c>
      <c r="Y92" t="str">
        <f>IF($E92="","",IF(INDEX(工数管理!$AD$3:$AD$98,$E92)="","",INDEX(工数管理!$AD$3:$AD$98,$E92)))</f>
        <v/>
      </c>
      <c r="Z92" t="str">
        <f>IF($E92="","",IF(INDEX(工数管理!$AE$3:$AE$98,$E92)="","",INDEX(工数管理!$AE$3:$AE$98,$E92)))</f>
        <v/>
      </c>
      <c r="AA92" t="str">
        <f>IF($E92="","",IF(INDEX(工数管理!$AF$3:$AF$98,$E92)="","",INDEX(工数管理!$AF$3:$AF$98,$E92)))</f>
        <v/>
      </c>
      <c r="AB92" t="str">
        <f>IF($E92="","",IF(INDEX(工数管理!$AG$3:$AG$98,$E92)="","",INDEX(工数管理!$AG$3:$AG$98,$E92)))</f>
        <v/>
      </c>
      <c r="AC92" t="str">
        <f>IF($E92="","",IF(INDEX(工数管理!$AH$3:$AH$98,$E92)="","",INDEX(工数管理!$AH$3:$AH$98,$E92)))</f>
        <v/>
      </c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/>
      <c r="DR92" s="52"/>
      <c r="DS92" s="52"/>
      <c r="DT92" s="52"/>
      <c r="DU92" s="52"/>
      <c r="DV92" s="52"/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  <c r="EM92" s="52"/>
      <c r="EN92" s="52"/>
      <c r="EO92" s="52"/>
      <c r="EP92" s="52"/>
      <c r="EQ92" s="52"/>
      <c r="ER92" s="52"/>
      <c r="ES92" s="52"/>
      <c r="ET92" s="52"/>
      <c r="EU92" s="52"/>
      <c r="EV92" s="52"/>
      <c r="EW92" s="52"/>
      <c r="EX92" s="52"/>
      <c r="EY92" s="52"/>
      <c r="EZ92" s="52"/>
      <c r="FA92" s="52"/>
      <c r="FB92" s="52"/>
      <c r="FC92" s="52"/>
      <c r="FD92" s="52"/>
      <c r="FE92" s="52"/>
      <c r="FF92" s="52"/>
      <c r="FG92" s="52"/>
      <c r="FH92" s="52"/>
      <c r="FI92" s="52"/>
      <c r="FJ92" s="52"/>
      <c r="FK92" s="52"/>
      <c r="FL92" s="52"/>
      <c r="FM92" s="52"/>
      <c r="FN92" s="52"/>
      <c r="FO92" s="52"/>
      <c r="FP92" s="52"/>
      <c r="FQ92" s="52"/>
      <c r="FR92" s="52"/>
      <c r="FS92" s="52"/>
      <c r="FT92" s="52"/>
      <c r="FU92" s="52"/>
      <c r="FV92" s="52"/>
      <c r="FW92" s="52"/>
      <c r="FX92" s="52"/>
      <c r="FY92" s="52"/>
      <c r="FZ92" s="52"/>
      <c r="GA92" s="52"/>
      <c r="GB92" s="52"/>
      <c r="GC92" s="52"/>
      <c r="GD92" s="52"/>
      <c r="GE92" s="52"/>
      <c r="GF92" s="52"/>
      <c r="GG92" s="52"/>
      <c r="GH92" s="52"/>
      <c r="GI92" s="52"/>
      <c r="GJ92" s="52"/>
      <c r="GK92" s="52"/>
      <c r="GL92" s="52"/>
      <c r="GM92" s="52"/>
      <c r="GN92" s="52"/>
      <c r="GO92" s="52"/>
      <c r="GP92" s="52"/>
      <c r="GQ92" s="52"/>
      <c r="GR92" s="52"/>
      <c r="GS92" s="52"/>
      <c r="GT92" s="52"/>
      <c r="GU92" s="52"/>
      <c r="GV92" s="52"/>
      <c r="GW92" s="52"/>
      <c r="GX92" s="52"/>
      <c r="GY92" s="52"/>
      <c r="GZ92" s="52"/>
      <c r="HA92" s="52"/>
      <c r="HB92" s="52"/>
      <c r="HC92" s="52"/>
      <c r="HD92" s="52"/>
      <c r="HE92" s="52"/>
      <c r="HF92" s="52"/>
      <c r="HG92" s="52"/>
      <c r="HH92" s="52"/>
      <c r="HI92" s="52"/>
      <c r="HJ92" s="52"/>
      <c r="HK92" s="52"/>
      <c r="HL92" s="52"/>
      <c r="HM92" s="52"/>
      <c r="HN92" s="52"/>
      <c r="HO92" s="52"/>
      <c r="HP92" s="52"/>
      <c r="HQ92" s="52"/>
      <c r="HR92" s="52"/>
      <c r="HS92" s="52"/>
      <c r="HT92" s="52"/>
      <c r="HU92" s="52"/>
      <c r="HV92" s="52"/>
      <c r="HW92" s="52"/>
      <c r="HX92" s="52"/>
      <c r="HY92" s="52"/>
      <c r="HZ92" s="52"/>
      <c r="IA92" s="52"/>
      <c r="IB92" s="52"/>
      <c r="IC92" s="52"/>
      <c r="ID92" s="52"/>
      <c r="IE92" s="52"/>
      <c r="IF92" s="52"/>
      <c r="IG92" s="52"/>
      <c r="IH92" s="52"/>
      <c r="II92" s="52"/>
      <c r="IJ92" s="52"/>
      <c r="IK92" s="52"/>
      <c r="IL92" s="52"/>
      <c r="IM92" s="52"/>
      <c r="IN92" s="52"/>
      <c r="IO92" s="52"/>
      <c r="IP92" s="52"/>
      <c r="IQ92" s="52"/>
      <c r="IR92" s="52"/>
      <c r="IS92" s="52"/>
      <c r="IT92" s="52"/>
      <c r="IU92" s="52"/>
      <c r="IV92" s="52"/>
      <c r="IW92" s="52"/>
      <c r="IX92" s="52"/>
      <c r="IY92" s="52"/>
      <c r="IZ92" s="52"/>
      <c r="JA92" s="52"/>
      <c r="JB92" s="52"/>
      <c r="JC92" s="52"/>
      <c r="JD92" s="52"/>
      <c r="JE92" s="52"/>
      <c r="JF92" s="52"/>
      <c r="JG92" s="52"/>
      <c r="JH92" s="52"/>
      <c r="JI92" s="52"/>
      <c r="JL92" t="str">
        <f>IF($E92="","",IF(INDEX(工数管理!$AJ$3:$AJ$98,$E92)&lt;&gt;"",1,0))</f>
        <v/>
      </c>
      <c r="JM92" t="str">
        <f>IF($E92="","",IFERROR(MATCH($A92,祝日!$J$1:$L$1,0),""))</f>
        <v/>
      </c>
    </row>
    <row r="93" spans="1:273" ht="14.25" customHeight="1" x14ac:dyDescent="0.15">
      <c r="A93" s="50" t="str">
        <f>IF($E93="","",IF($JL93=1,INDEX(工数管理!$A$3:$A$98,$E93)&amp;"",IF(INDEX(工数管理!$AK$3:$AK$98,$E93)="","未割当",INDEX(工数管理!$AK$3:$AK$98,$E93))))</f>
        <v/>
      </c>
      <c r="B93" s="51" t="str">
        <f>IF($E93="","",IF($JL93=1,"",INDEX(工数管理!$A$3:$A$98,$E93)&amp;""))</f>
        <v/>
      </c>
      <c r="C93" s="50" t="str">
        <f>IF($E93="","",IF($JL93=1,"",INDEX(工数管理!$B$3:$B$98,$E93)&amp;""))</f>
        <v/>
      </c>
      <c r="D93" s="50" t="str">
        <f>IF($E93="","",INDEX(工数管理!$H$3:$H$98,$E93)&amp;"")</f>
        <v/>
      </c>
      <c r="E93" t="str">
        <f>IFERROR(MATCH(SMALL(工数管理!$BP$3:$BP$98,ROW()-3),工数管理!$BP$3:$BP$98,0),"")</f>
        <v/>
      </c>
      <c r="F93" t="str">
        <f>IF($E93="","",IF(INDEX(工数管理!$K$3:$K$98,$E93)="","",INDEX(工数管理!$K$3:$K$98,$E93)))</f>
        <v/>
      </c>
      <c r="G93" t="str">
        <f>IF($E93="","",IF(INDEX(工数管理!$L$3:$L$98,$E93)="","",INDEX(工数管理!$L$3:$L$98,$E93)))</f>
        <v/>
      </c>
      <c r="H93" t="str">
        <f>IF($E93="","",IF(INDEX(工数管理!$M$3:$M$98,$E93)="","",INDEX(工数管理!$M$3:$M$98,$E93)))</f>
        <v/>
      </c>
      <c r="I93" t="str">
        <f>IF($E93="","",IF(INDEX(工数管理!$N$3:$N$98,$E93)="","",INDEX(工数管理!$N$3:$N$98,$E93)))</f>
        <v/>
      </c>
      <c r="J93" t="str">
        <f>IF($E93="","",IF(INDEX(工数管理!$O$3:$O$98,$E93)="","",INDEX(工数管理!$O$3:$O$98,$E93)))</f>
        <v/>
      </c>
      <c r="K93" t="str">
        <f>IF($E93="","",IF(INDEX(工数管理!$P$3:$P$98,$E93)="","",INDEX(工数管理!$P$3:$P$98,$E93)))</f>
        <v/>
      </c>
      <c r="L93" t="str">
        <f>IF($E93="","",IF(INDEX(工数管理!$Q$3:$Q$98,$E93)="","",INDEX(工数管理!$Q$3:$Q$98,$E93)))</f>
        <v/>
      </c>
      <c r="M93" t="str">
        <f>IF($E93="","",IF(INDEX(工数管理!$R$3:$R$98,$E93)="","",INDEX(工数管理!$R$3:$R$98,$E93)))</f>
        <v/>
      </c>
      <c r="N93" t="str">
        <f>IF($E93="","",IF(INDEX(工数管理!$S$3:$S$98,$E93)="","",INDEX(工数管理!$S$3:$S$98,$E93)))</f>
        <v/>
      </c>
      <c r="O93" t="str">
        <f>IF($E93="","",IF(INDEX(工数管理!$T$3:$T$98,$E93)="","",INDEX(工数管理!$T$3:$T$98,$E93)))</f>
        <v/>
      </c>
      <c r="P93" t="str">
        <f>IF($E93="","",IF(INDEX(工数管理!$U$3:$U$98,$E93)="","",INDEX(工数管理!$U$3:$U$98,$E93)))</f>
        <v/>
      </c>
      <c r="Q93" t="str">
        <f>IF($E93="","",IF(INDEX(工数管理!$V$3:$V$98,$E93)="","",INDEX(工数管理!$V$3:$V$98,$E93)))</f>
        <v/>
      </c>
      <c r="R93" t="str">
        <f>IF($E93="","",IF(INDEX(工数管理!$W$3:$W$98,$E93)="","",INDEX(工数管理!$W$3:$W$98,$E93)))</f>
        <v/>
      </c>
      <c r="S93" t="str">
        <f>IF($E93="","",IF(INDEX(工数管理!$X$3:$X$98,$E93)="","",INDEX(工数管理!$X$3:$X$98,$E93)))</f>
        <v/>
      </c>
      <c r="T93" t="str">
        <f>IF($E93="","",IF(INDEX(工数管理!$Y$3:$Y$98,$E93)="","",INDEX(工数管理!$Y$3:$Y$98,$E93)))</f>
        <v/>
      </c>
      <c r="U93" t="str">
        <f>IF($E93="","",IF(INDEX(工数管理!$Z$3:$Z$98,$E93)="","",INDEX(工数管理!$Z$3:$Z$98,$E93)))</f>
        <v/>
      </c>
      <c r="V93" t="str">
        <f>IF($E93="","",IF(INDEX(工数管理!$AA$3:$AA$98,$E93)="","",INDEX(工数管理!$AA$3:$AA$98,$E93)))</f>
        <v/>
      </c>
      <c r="W93" t="str">
        <f>IF($E93="","",IF(INDEX(工数管理!$AB$3:$AB$98,$E93)="","",INDEX(工数管理!$AB$3:$AB$98,$E93)))</f>
        <v/>
      </c>
      <c r="X93" t="str">
        <f>IF($E93="","",IF(INDEX(工数管理!$AC$3:$AC$98,$E93)="","",INDEX(工数管理!$AC$3:$AC$98,$E93)))</f>
        <v/>
      </c>
      <c r="Y93" t="str">
        <f>IF($E93="","",IF(INDEX(工数管理!$AD$3:$AD$98,$E93)="","",INDEX(工数管理!$AD$3:$AD$98,$E93)))</f>
        <v/>
      </c>
      <c r="Z93" t="str">
        <f>IF($E93="","",IF(INDEX(工数管理!$AE$3:$AE$98,$E93)="","",INDEX(工数管理!$AE$3:$AE$98,$E93)))</f>
        <v/>
      </c>
      <c r="AA93" t="str">
        <f>IF($E93="","",IF(INDEX(工数管理!$AF$3:$AF$98,$E93)="","",INDEX(工数管理!$AF$3:$AF$98,$E93)))</f>
        <v/>
      </c>
      <c r="AB93" t="str">
        <f>IF($E93="","",IF(INDEX(工数管理!$AG$3:$AG$98,$E93)="","",INDEX(工数管理!$AG$3:$AG$98,$E93)))</f>
        <v/>
      </c>
      <c r="AC93" t="str">
        <f>IF($E93="","",IF(INDEX(工数管理!$AH$3:$AH$98,$E93)="","",INDEX(工数管理!$AH$3:$AH$98,$E93)))</f>
        <v/>
      </c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/>
      <c r="DR93" s="52"/>
      <c r="DS93" s="52"/>
      <c r="DT93" s="52"/>
      <c r="DU93" s="52"/>
      <c r="DV93" s="52"/>
      <c r="DW93" s="52"/>
      <c r="DX93" s="52"/>
      <c r="DY93" s="52"/>
      <c r="DZ93" s="52"/>
      <c r="EA93" s="52"/>
      <c r="EB93" s="52"/>
      <c r="EC93" s="52"/>
      <c r="ED93" s="52"/>
      <c r="EE93" s="52"/>
      <c r="EF93" s="52"/>
      <c r="EG93" s="52"/>
      <c r="EH93" s="52"/>
      <c r="EI93" s="52"/>
      <c r="EJ93" s="52"/>
      <c r="EK93" s="52"/>
      <c r="EL93" s="52"/>
      <c r="EM93" s="52"/>
      <c r="EN93" s="52"/>
      <c r="EO93" s="52"/>
      <c r="EP93" s="52"/>
      <c r="EQ93" s="52"/>
      <c r="ER93" s="52"/>
      <c r="ES93" s="52"/>
      <c r="ET93" s="52"/>
      <c r="EU93" s="52"/>
      <c r="EV93" s="52"/>
      <c r="EW93" s="52"/>
      <c r="EX93" s="52"/>
      <c r="EY93" s="52"/>
      <c r="EZ93" s="52"/>
      <c r="FA93" s="52"/>
      <c r="FB93" s="52"/>
      <c r="FC93" s="52"/>
      <c r="FD93" s="52"/>
      <c r="FE93" s="52"/>
      <c r="FF93" s="52"/>
      <c r="FG93" s="52"/>
      <c r="FH93" s="52"/>
      <c r="FI93" s="52"/>
      <c r="FJ93" s="52"/>
      <c r="FK93" s="52"/>
      <c r="FL93" s="52"/>
      <c r="FM93" s="52"/>
      <c r="FN93" s="52"/>
      <c r="FO93" s="52"/>
      <c r="FP93" s="52"/>
      <c r="FQ93" s="52"/>
      <c r="FR93" s="52"/>
      <c r="FS93" s="52"/>
      <c r="FT93" s="52"/>
      <c r="FU93" s="52"/>
      <c r="FV93" s="52"/>
      <c r="FW93" s="52"/>
      <c r="FX93" s="52"/>
      <c r="FY93" s="52"/>
      <c r="FZ93" s="52"/>
      <c r="GA93" s="52"/>
      <c r="GB93" s="52"/>
      <c r="GC93" s="52"/>
      <c r="GD93" s="52"/>
      <c r="GE93" s="52"/>
      <c r="GF93" s="52"/>
      <c r="GG93" s="52"/>
      <c r="GH93" s="52"/>
      <c r="GI93" s="52"/>
      <c r="GJ93" s="52"/>
      <c r="GK93" s="52"/>
      <c r="GL93" s="52"/>
      <c r="GM93" s="52"/>
      <c r="GN93" s="52"/>
      <c r="GO93" s="52"/>
      <c r="GP93" s="52"/>
      <c r="GQ93" s="52"/>
      <c r="GR93" s="52"/>
      <c r="GS93" s="52"/>
      <c r="GT93" s="52"/>
      <c r="GU93" s="52"/>
      <c r="GV93" s="52"/>
      <c r="GW93" s="52"/>
      <c r="GX93" s="52"/>
      <c r="GY93" s="52"/>
      <c r="GZ93" s="52"/>
      <c r="HA93" s="52"/>
      <c r="HB93" s="52"/>
      <c r="HC93" s="52"/>
      <c r="HD93" s="52"/>
      <c r="HE93" s="52"/>
      <c r="HF93" s="52"/>
      <c r="HG93" s="52"/>
      <c r="HH93" s="52"/>
      <c r="HI93" s="52"/>
      <c r="HJ93" s="52"/>
      <c r="HK93" s="52"/>
      <c r="HL93" s="52"/>
      <c r="HM93" s="52"/>
      <c r="HN93" s="52"/>
      <c r="HO93" s="52"/>
      <c r="HP93" s="52"/>
      <c r="HQ93" s="52"/>
      <c r="HR93" s="52"/>
      <c r="HS93" s="52"/>
      <c r="HT93" s="52"/>
      <c r="HU93" s="52"/>
      <c r="HV93" s="52"/>
      <c r="HW93" s="52"/>
      <c r="HX93" s="52"/>
      <c r="HY93" s="52"/>
      <c r="HZ93" s="52"/>
      <c r="IA93" s="52"/>
      <c r="IB93" s="52"/>
      <c r="IC93" s="52"/>
      <c r="ID93" s="52"/>
      <c r="IE93" s="52"/>
      <c r="IF93" s="52"/>
      <c r="IG93" s="52"/>
      <c r="IH93" s="52"/>
      <c r="II93" s="52"/>
      <c r="IJ93" s="52"/>
      <c r="IK93" s="52"/>
      <c r="IL93" s="52"/>
      <c r="IM93" s="52"/>
      <c r="IN93" s="52"/>
      <c r="IO93" s="52"/>
      <c r="IP93" s="52"/>
      <c r="IQ93" s="52"/>
      <c r="IR93" s="52"/>
      <c r="IS93" s="52"/>
      <c r="IT93" s="52"/>
      <c r="IU93" s="52"/>
      <c r="IV93" s="52"/>
      <c r="IW93" s="52"/>
      <c r="IX93" s="52"/>
      <c r="IY93" s="52"/>
      <c r="IZ93" s="52"/>
      <c r="JA93" s="52"/>
      <c r="JB93" s="52"/>
      <c r="JC93" s="52"/>
      <c r="JD93" s="52"/>
      <c r="JE93" s="52"/>
      <c r="JF93" s="52"/>
      <c r="JG93" s="52"/>
      <c r="JH93" s="52"/>
      <c r="JI93" s="52"/>
      <c r="JL93" t="str">
        <f>IF($E93="","",IF(INDEX(工数管理!$AJ$3:$AJ$98,$E93)&lt;&gt;"",1,0))</f>
        <v/>
      </c>
      <c r="JM93" t="str">
        <f>IF($E93="","",IFERROR(MATCH($A93,祝日!$J$1:$L$1,0),""))</f>
        <v/>
      </c>
    </row>
    <row r="94" spans="1:273" ht="14.25" customHeight="1" x14ac:dyDescent="0.15">
      <c r="A94" s="50" t="str">
        <f>IF($E94="","",IF($JL94=1,INDEX(工数管理!$A$3:$A$98,$E94)&amp;"",IF(INDEX(工数管理!$AK$3:$AK$98,$E94)="","未割当",INDEX(工数管理!$AK$3:$AK$98,$E94))))</f>
        <v/>
      </c>
      <c r="B94" s="51" t="str">
        <f>IF($E94="","",IF($JL94=1,"",INDEX(工数管理!$A$3:$A$98,$E94)&amp;""))</f>
        <v/>
      </c>
      <c r="C94" s="50" t="str">
        <f>IF($E94="","",IF($JL94=1,"",INDEX(工数管理!$B$3:$B$98,$E94)&amp;""))</f>
        <v/>
      </c>
      <c r="D94" s="50" t="str">
        <f>IF($E94="","",INDEX(工数管理!$H$3:$H$98,$E94)&amp;"")</f>
        <v/>
      </c>
      <c r="E94" t="str">
        <f>IFERROR(MATCH(SMALL(工数管理!$BP$3:$BP$98,ROW()-3),工数管理!$BP$3:$BP$98,0),"")</f>
        <v/>
      </c>
      <c r="F94" t="str">
        <f>IF($E94="","",IF(INDEX(工数管理!$K$3:$K$98,$E94)="","",INDEX(工数管理!$K$3:$K$98,$E94)))</f>
        <v/>
      </c>
      <c r="G94" t="str">
        <f>IF($E94="","",IF(INDEX(工数管理!$L$3:$L$98,$E94)="","",INDEX(工数管理!$L$3:$L$98,$E94)))</f>
        <v/>
      </c>
      <c r="H94" t="str">
        <f>IF($E94="","",IF(INDEX(工数管理!$M$3:$M$98,$E94)="","",INDEX(工数管理!$M$3:$M$98,$E94)))</f>
        <v/>
      </c>
      <c r="I94" t="str">
        <f>IF($E94="","",IF(INDEX(工数管理!$N$3:$N$98,$E94)="","",INDEX(工数管理!$N$3:$N$98,$E94)))</f>
        <v/>
      </c>
      <c r="J94" t="str">
        <f>IF($E94="","",IF(INDEX(工数管理!$O$3:$O$98,$E94)="","",INDEX(工数管理!$O$3:$O$98,$E94)))</f>
        <v/>
      </c>
      <c r="K94" t="str">
        <f>IF($E94="","",IF(INDEX(工数管理!$P$3:$P$98,$E94)="","",INDEX(工数管理!$P$3:$P$98,$E94)))</f>
        <v/>
      </c>
      <c r="L94" t="str">
        <f>IF($E94="","",IF(INDEX(工数管理!$Q$3:$Q$98,$E94)="","",INDEX(工数管理!$Q$3:$Q$98,$E94)))</f>
        <v/>
      </c>
      <c r="M94" t="str">
        <f>IF($E94="","",IF(INDEX(工数管理!$R$3:$R$98,$E94)="","",INDEX(工数管理!$R$3:$R$98,$E94)))</f>
        <v/>
      </c>
      <c r="N94" t="str">
        <f>IF($E94="","",IF(INDEX(工数管理!$S$3:$S$98,$E94)="","",INDEX(工数管理!$S$3:$S$98,$E94)))</f>
        <v/>
      </c>
      <c r="O94" t="str">
        <f>IF($E94="","",IF(INDEX(工数管理!$T$3:$T$98,$E94)="","",INDEX(工数管理!$T$3:$T$98,$E94)))</f>
        <v/>
      </c>
      <c r="P94" t="str">
        <f>IF($E94="","",IF(INDEX(工数管理!$U$3:$U$98,$E94)="","",INDEX(工数管理!$U$3:$U$98,$E94)))</f>
        <v/>
      </c>
      <c r="Q94" t="str">
        <f>IF($E94="","",IF(INDEX(工数管理!$V$3:$V$98,$E94)="","",INDEX(工数管理!$V$3:$V$98,$E94)))</f>
        <v/>
      </c>
      <c r="R94" t="str">
        <f>IF($E94="","",IF(INDEX(工数管理!$W$3:$W$98,$E94)="","",INDEX(工数管理!$W$3:$W$98,$E94)))</f>
        <v/>
      </c>
      <c r="S94" t="str">
        <f>IF($E94="","",IF(INDEX(工数管理!$X$3:$X$98,$E94)="","",INDEX(工数管理!$X$3:$X$98,$E94)))</f>
        <v/>
      </c>
      <c r="T94" t="str">
        <f>IF($E94="","",IF(INDEX(工数管理!$Y$3:$Y$98,$E94)="","",INDEX(工数管理!$Y$3:$Y$98,$E94)))</f>
        <v/>
      </c>
      <c r="U94" t="str">
        <f>IF($E94="","",IF(INDEX(工数管理!$Z$3:$Z$98,$E94)="","",INDEX(工数管理!$Z$3:$Z$98,$E94)))</f>
        <v/>
      </c>
      <c r="V94" t="str">
        <f>IF($E94="","",IF(INDEX(工数管理!$AA$3:$AA$98,$E94)="","",INDEX(工数管理!$AA$3:$AA$98,$E94)))</f>
        <v/>
      </c>
      <c r="W94" t="str">
        <f>IF($E94="","",IF(INDEX(工数管理!$AB$3:$AB$98,$E94)="","",INDEX(工数管理!$AB$3:$AB$98,$E94)))</f>
        <v/>
      </c>
      <c r="X94" t="str">
        <f>IF($E94="","",IF(INDEX(工数管理!$AC$3:$AC$98,$E94)="","",INDEX(工数管理!$AC$3:$AC$98,$E94)))</f>
        <v/>
      </c>
      <c r="Y94" t="str">
        <f>IF($E94="","",IF(INDEX(工数管理!$AD$3:$AD$98,$E94)="","",INDEX(工数管理!$AD$3:$AD$98,$E94)))</f>
        <v/>
      </c>
      <c r="Z94" t="str">
        <f>IF($E94="","",IF(INDEX(工数管理!$AE$3:$AE$98,$E94)="","",INDEX(工数管理!$AE$3:$AE$98,$E94)))</f>
        <v/>
      </c>
      <c r="AA94" t="str">
        <f>IF($E94="","",IF(INDEX(工数管理!$AF$3:$AF$98,$E94)="","",INDEX(工数管理!$AF$3:$AF$98,$E94)))</f>
        <v/>
      </c>
      <c r="AB94" t="str">
        <f>IF($E94="","",IF(INDEX(工数管理!$AG$3:$AG$98,$E94)="","",INDEX(工数管理!$AG$3:$AG$98,$E94)))</f>
        <v/>
      </c>
      <c r="AC94" t="str">
        <f>IF($E94="","",IF(INDEX(工数管理!$AH$3:$AH$98,$E94)="","",INDEX(工数管理!$AH$3:$AH$98,$E94)))</f>
        <v/>
      </c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  <c r="DN94" s="52"/>
      <c r="DO94" s="52"/>
      <c r="DP94" s="52"/>
      <c r="DQ94" s="52"/>
      <c r="DR94" s="52"/>
      <c r="DS94" s="52"/>
      <c r="DT94" s="52"/>
      <c r="DU94" s="52"/>
      <c r="DV94" s="52"/>
      <c r="DW94" s="52"/>
      <c r="DX94" s="52"/>
      <c r="DY94" s="52"/>
      <c r="DZ94" s="52"/>
      <c r="EA94" s="52"/>
      <c r="EB94" s="52"/>
      <c r="EC94" s="52"/>
      <c r="ED94" s="52"/>
      <c r="EE94" s="52"/>
      <c r="EF94" s="52"/>
      <c r="EG94" s="52"/>
      <c r="EH94" s="52"/>
      <c r="EI94" s="52"/>
      <c r="EJ94" s="52"/>
      <c r="EK94" s="52"/>
      <c r="EL94" s="52"/>
      <c r="EM94" s="52"/>
      <c r="EN94" s="52"/>
      <c r="EO94" s="52"/>
      <c r="EP94" s="52"/>
      <c r="EQ94" s="52"/>
      <c r="ER94" s="52"/>
      <c r="ES94" s="52"/>
      <c r="ET94" s="52"/>
      <c r="EU94" s="52"/>
      <c r="EV94" s="52"/>
      <c r="EW94" s="52"/>
      <c r="EX94" s="52"/>
      <c r="EY94" s="52"/>
      <c r="EZ94" s="52"/>
      <c r="FA94" s="52"/>
      <c r="FB94" s="52"/>
      <c r="FC94" s="52"/>
      <c r="FD94" s="52"/>
      <c r="FE94" s="52"/>
      <c r="FF94" s="52"/>
      <c r="FG94" s="52"/>
      <c r="FH94" s="52"/>
      <c r="FI94" s="52"/>
      <c r="FJ94" s="52"/>
      <c r="FK94" s="52"/>
      <c r="FL94" s="52"/>
      <c r="FM94" s="52"/>
      <c r="FN94" s="52"/>
      <c r="FO94" s="52"/>
      <c r="FP94" s="52"/>
      <c r="FQ94" s="52"/>
      <c r="FR94" s="52"/>
      <c r="FS94" s="52"/>
      <c r="FT94" s="52"/>
      <c r="FU94" s="52"/>
      <c r="FV94" s="52"/>
      <c r="FW94" s="52"/>
      <c r="FX94" s="52"/>
      <c r="FY94" s="52"/>
      <c r="FZ94" s="52"/>
      <c r="GA94" s="52"/>
      <c r="GB94" s="52"/>
      <c r="GC94" s="52"/>
      <c r="GD94" s="52"/>
      <c r="GE94" s="52"/>
      <c r="GF94" s="52"/>
      <c r="GG94" s="52"/>
      <c r="GH94" s="52"/>
      <c r="GI94" s="52"/>
      <c r="GJ94" s="52"/>
      <c r="GK94" s="52"/>
      <c r="GL94" s="52"/>
      <c r="GM94" s="52"/>
      <c r="GN94" s="52"/>
      <c r="GO94" s="52"/>
      <c r="GP94" s="52"/>
      <c r="GQ94" s="52"/>
      <c r="GR94" s="52"/>
      <c r="GS94" s="52"/>
      <c r="GT94" s="52"/>
      <c r="GU94" s="52"/>
      <c r="GV94" s="52"/>
      <c r="GW94" s="52"/>
      <c r="GX94" s="52"/>
      <c r="GY94" s="52"/>
      <c r="GZ94" s="52"/>
      <c r="HA94" s="52"/>
      <c r="HB94" s="52"/>
      <c r="HC94" s="52"/>
      <c r="HD94" s="52"/>
      <c r="HE94" s="52"/>
      <c r="HF94" s="52"/>
      <c r="HG94" s="52"/>
      <c r="HH94" s="52"/>
      <c r="HI94" s="52"/>
      <c r="HJ94" s="52"/>
      <c r="HK94" s="52"/>
      <c r="HL94" s="52"/>
      <c r="HM94" s="52"/>
      <c r="HN94" s="52"/>
      <c r="HO94" s="52"/>
      <c r="HP94" s="52"/>
      <c r="HQ94" s="52"/>
      <c r="HR94" s="52"/>
      <c r="HS94" s="52"/>
      <c r="HT94" s="52"/>
      <c r="HU94" s="52"/>
      <c r="HV94" s="52"/>
      <c r="HW94" s="52"/>
      <c r="HX94" s="52"/>
      <c r="HY94" s="52"/>
      <c r="HZ94" s="52"/>
      <c r="IA94" s="52"/>
      <c r="IB94" s="52"/>
      <c r="IC94" s="52"/>
      <c r="ID94" s="52"/>
      <c r="IE94" s="52"/>
      <c r="IF94" s="52"/>
      <c r="IG94" s="52"/>
      <c r="IH94" s="52"/>
      <c r="II94" s="52"/>
      <c r="IJ94" s="52"/>
      <c r="IK94" s="52"/>
      <c r="IL94" s="52"/>
      <c r="IM94" s="52"/>
      <c r="IN94" s="52"/>
      <c r="IO94" s="52"/>
      <c r="IP94" s="52"/>
      <c r="IQ94" s="52"/>
      <c r="IR94" s="52"/>
      <c r="IS94" s="52"/>
      <c r="IT94" s="52"/>
      <c r="IU94" s="52"/>
      <c r="IV94" s="52"/>
      <c r="IW94" s="52"/>
      <c r="IX94" s="52"/>
      <c r="IY94" s="52"/>
      <c r="IZ94" s="52"/>
      <c r="JA94" s="52"/>
      <c r="JB94" s="52"/>
      <c r="JC94" s="52"/>
      <c r="JD94" s="52"/>
      <c r="JE94" s="52"/>
      <c r="JF94" s="52"/>
      <c r="JG94" s="52"/>
      <c r="JH94" s="52"/>
      <c r="JI94" s="52"/>
      <c r="JL94" t="str">
        <f>IF($E94="","",IF(INDEX(工数管理!$AJ$3:$AJ$98,$E94)&lt;&gt;"",1,0))</f>
        <v/>
      </c>
      <c r="JM94" t="str">
        <f>IF($E94="","",IFERROR(MATCH($A94,祝日!$J$1:$L$1,0),""))</f>
        <v/>
      </c>
    </row>
    <row r="95" spans="1:273" ht="14.25" customHeight="1" x14ac:dyDescent="0.15">
      <c r="A95" s="50" t="str">
        <f>IF($E95="","",IF($JL95=1,INDEX(工数管理!$A$3:$A$98,$E95)&amp;"",IF(INDEX(工数管理!$AK$3:$AK$98,$E95)="","未割当",INDEX(工数管理!$AK$3:$AK$98,$E95))))</f>
        <v/>
      </c>
      <c r="B95" s="51" t="str">
        <f>IF($E95="","",IF($JL95=1,"",INDEX(工数管理!$A$3:$A$98,$E95)&amp;""))</f>
        <v/>
      </c>
      <c r="C95" s="50" t="str">
        <f>IF($E95="","",IF($JL95=1,"",INDEX(工数管理!$B$3:$B$98,$E95)&amp;""))</f>
        <v/>
      </c>
      <c r="D95" s="50" t="str">
        <f>IF($E95="","",INDEX(工数管理!$H$3:$H$98,$E95)&amp;"")</f>
        <v/>
      </c>
      <c r="E95" t="str">
        <f>IFERROR(MATCH(SMALL(工数管理!$BP$3:$BP$98,ROW()-3),工数管理!$BP$3:$BP$98,0),"")</f>
        <v/>
      </c>
      <c r="F95" t="str">
        <f>IF($E95="","",IF(INDEX(工数管理!$K$3:$K$98,$E95)="","",INDEX(工数管理!$K$3:$K$98,$E95)))</f>
        <v/>
      </c>
      <c r="G95" t="str">
        <f>IF($E95="","",IF(INDEX(工数管理!$L$3:$L$98,$E95)="","",INDEX(工数管理!$L$3:$L$98,$E95)))</f>
        <v/>
      </c>
      <c r="H95" t="str">
        <f>IF($E95="","",IF(INDEX(工数管理!$M$3:$M$98,$E95)="","",INDEX(工数管理!$M$3:$M$98,$E95)))</f>
        <v/>
      </c>
      <c r="I95" t="str">
        <f>IF($E95="","",IF(INDEX(工数管理!$N$3:$N$98,$E95)="","",INDEX(工数管理!$N$3:$N$98,$E95)))</f>
        <v/>
      </c>
      <c r="J95" t="str">
        <f>IF($E95="","",IF(INDEX(工数管理!$O$3:$O$98,$E95)="","",INDEX(工数管理!$O$3:$O$98,$E95)))</f>
        <v/>
      </c>
      <c r="K95" t="str">
        <f>IF($E95="","",IF(INDEX(工数管理!$P$3:$P$98,$E95)="","",INDEX(工数管理!$P$3:$P$98,$E95)))</f>
        <v/>
      </c>
      <c r="L95" t="str">
        <f>IF($E95="","",IF(INDEX(工数管理!$Q$3:$Q$98,$E95)="","",INDEX(工数管理!$Q$3:$Q$98,$E95)))</f>
        <v/>
      </c>
      <c r="M95" t="str">
        <f>IF($E95="","",IF(INDEX(工数管理!$R$3:$R$98,$E95)="","",INDEX(工数管理!$R$3:$R$98,$E95)))</f>
        <v/>
      </c>
      <c r="N95" t="str">
        <f>IF($E95="","",IF(INDEX(工数管理!$S$3:$S$98,$E95)="","",INDEX(工数管理!$S$3:$S$98,$E95)))</f>
        <v/>
      </c>
      <c r="O95" t="str">
        <f>IF($E95="","",IF(INDEX(工数管理!$T$3:$T$98,$E95)="","",INDEX(工数管理!$T$3:$T$98,$E95)))</f>
        <v/>
      </c>
      <c r="P95" t="str">
        <f>IF($E95="","",IF(INDEX(工数管理!$U$3:$U$98,$E95)="","",INDEX(工数管理!$U$3:$U$98,$E95)))</f>
        <v/>
      </c>
      <c r="Q95" t="str">
        <f>IF($E95="","",IF(INDEX(工数管理!$V$3:$V$98,$E95)="","",INDEX(工数管理!$V$3:$V$98,$E95)))</f>
        <v/>
      </c>
      <c r="R95" t="str">
        <f>IF($E95="","",IF(INDEX(工数管理!$W$3:$W$98,$E95)="","",INDEX(工数管理!$W$3:$W$98,$E95)))</f>
        <v/>
      </c>
      <c r="S95" t="str">
        <f>IF($E95="","",IF(INDEX(工数管理!$X$3:$X$98,$E95)="","",INDEX(工数管理!$X$3:$X$98,$E95)))</f>
        <v/>
      </c>
      <c r="T95" t="str">
        <f>IF($E95="","",IF(INDEX(工数管理!$Y$3:$Y$98,$E95)="","",INDEX(工数管理!$Y$3:$Y$98,$E95)))</f>
        <v/>
      </c>
      <c r="U95" t="str">
        <f>IF($E95="","",IF(INDEX(工数管理!$Z$3:$Z$98,$E95)="","",INDEX(工数管理!$Z$3:$Z$98,$E95)))</f>
        <v/>
      </c>
      <c r="V95" t="str">
        <f>IF($E95="","",IF(INDEX(工数管理!$AA$3:$AA$98,$E95)="","",INDEX(工数管理!$AA$3:$AA$98,$E95)))</f>
        <v/>
      </c>
      <c r="W95" t="str">
        <f>IF($E95="","",IF(INDEX(工数管理!$AB$3:$AB$98,$E95)="","",INDEX(工数管理!$AB$3:$AB$98,$E95)))</f>
        <v/>
      </c>
      <c r="X95" t="str">
        <f>IF($E95="","",IF(INDEX(工数管理!$AC$3:$AC$98,$E95)="","",INDEX(工数管理!$AC$3:$AC$98,$E95)))</f>
        <v/>
      </c>
      <c r="Y95" t="str">
        <f>IF($E95="","",IF(INDEX(工数管理!$AD$3:$AD$98,$E95)="","",INDEX(工数管理!$AD$3:$AD$98,$E95)))</f>
        <v/>
      </c>
      <c r="Z95" t="str">
        <f>IF($E95="","",IF(INDEX(工数管理!$AE$3:$AE$98,$E95)="","",INDEX(工数管理!$AE$3:$AE$98,$E95)))</f>
        <v/>
      </c>
      <c r="AA95" t="str">
        <f>IF($E95="","",IF(INDEX(工数管理!$AF$3:$AF$98,$E95)="","",INDEX(工数管理!$AF$3:$AF$98,$E95)))</f>
        <v/>
      </c>
      <c r="AB95" t="str">
        <f>IF($E95="","",IF(INDEX(工数管理!$AG$3:$AG$98,$E95)="","",INDEX(工数管理!$AG$3:$AG$98,$E95)))</f>
        <v/>
      </c>
      <c r="AC95" t="str">
        <f>IF($E95="","",IF(INDEX(工数管理!$AH$3:$AH$98,$E95)="","",INDEX(工数管理!$AH$3:$AH$98,$E95)))</f>
        <v/>
      </c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  <c r="DN95" s="52"/>
      <c r="DO95" s="52"/>
      <c r="DP95" s="52"/>
      <c r="DQ95" s="52"/>
      <c r="DR95" s="52"/>
      <c r="DS95" s="52"/>
      <c r="DT95" s="52"/>
      <c r="DU95" s="52"/>
      <c r="DV95" s="52"/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  <c r="EM95" s="52"/>
      <c r="EN95" s="52"/>
      <c r="EO95" s="52"/>
      <c r="EP95" s="52"/>
      <c r="EQ95" s="52"/>
      <c r="ER95" s="52"/>
      <c r="ES95" s="52"/>
      <c r="ET95" s="52"/>
      <c r="EU95" s="52"/>
      <c r="EV95" s="52"/>
      <c r="EW95" s="52"/>
      <c r="EX95" s="52"/>
      <c r="EY95" s="52"/>
      <c r="EZ95" s="52"/>
      <c r="FA95" s="52"/>
      <c r="FB95" s="52"/>
      <c r="FC95" s="52"/>
      <c r="FD95" s="52"/>
      <c r="FE95" s="52"/>
      <c r="FF95" s="52"/>
      <c r="FG95" s="52"/>
      <c r="FH95" s="52"/>
      <c r="FI95" s="52"/>
      <c r="FJ95" s="52"/>
      <c r="FK95" s="52"/>
      <c r="FL95" s="52"/>
      <c r="FM95" s="52"/>
      <c r="FN95" s="52"/>
      <c r="FO95" s="52"/>
      <c r="FP95" s="52"/>
      <c r="FQ95" s="52"/>
      <c r="FR95" s="52"/>
      <c r="FS95" s="52"/>
      <c r="FT95" s="52"/>
      <c r="FU95" s="52"/>
      <c r="FV95" s="52"/>
      <c r="FW95" s="52"/>
      <c r="FX95" s="52"/>
      <c r="FY95" s="52"/>
      <c r="FZ95" s="52"/>
      <c r="GA95" s="52"/>
      <c r="GB95" s="52"/>
      <c r="GC95" s="52"/>
      <c r="GD95" s="52"/>
      <c r="GE95" s="52"/>
      <c r="GF95" s="52"/>
      <c r="GG95" s="52"/>
      <c r="GH95" s="52"/>
      <c r="GI95" s="52"/>
      <c r="GJ95" s="52"/>
      <c r="GK95" s="52"/>
      <c r="GL95" s="52"/>
      <c r="GM95" s="52"/>
      <c r="GN95" s="52"/>
      <c r="GO95" s="52"/>
      <c r="GP95" s="52"/>
      <c r="GQ95" s="52"/>
      <c r="GR95" s="52"/>
      <c r="GS95" s="52"/>
      <c r="GT95" s="52"/>
      <c r="GU95" s="52"/>
      <c r="GV95" s="52"/>
      <c r="GW95" s="52"/>
      <c r="GX95" s="52"/>
      <c r="GY95" s="52"/>
      <c r="GZ95" s="52"/>
      <c r="HA95" s="52"/>
      <c r="HB95" s="52"/>
      <c r="HC95" s="52"/>
      <c r="HD95" s="52"/>
      <c r="HE95" s="52"/>
      <c r="HF95" s="52"/>
      <c r="HG95" s="52"/>
      <c r="HH95" s="52"/>
      <c r="HI95" s="52"/>
      <c r="HJ95" s="52"/>
      <c r="HK95" s="52"/>
      <c r="HL95" s="52"/>
      <c r="HM95" s="52"/>
      <c r="HN95" s="52"/>
      <c r="HO95" s="52"/>
      <c r="HP95" s="52"/>
      <c r="HQ95" s="52"/>
      <c r="HR95" s="52"/>
      <c r="HS95" s="52"/>
      <c r="HT95" s="52"/>
      <c r="HU95" s="52"/>
      <c r="HV95" s="52"/>
      <c r="HW95" s="52"/>
      <c r="HX95" s="52"/>
      <c r="HY95" s="52"/>
      <c r="HZ95" s="52"/>
      <c r="IA95" s="52"/>
      <c r="IB95" s="52"/>
      <c r="IC95" s="52"/>
      <c r="ID95" s="52"/>
      <c r="IE95" s="52"/>
      <c r="IF95" s="52"/>
      <c r="IG95" s="52"/>
      <c r="IH95" s="52"/>
      <c r="II95" s="52"/>
      <c r="IJ95" s="52"/>
      <c r="IK95" s="52"/>
      <c r="IL95" s="52"/>
      <c r="IM95" s="52"/>
      <c r="IN95" s="52"/>
      <c r="IO95" s="52"/>
      <c r="IP95" s="52"/>
      <c r="IQ95" s="52"/>
      <c r="IR95" s="52"/>
      <c r="IS95" s="52"/>
      <c r="IT95" s="52"/>
      <c r="IU95" s="52"/>
      <c r="IV95" s="52"/>
      <c r="IW95" s="52"/>
      <c r="IX95" s="52"/>
      <c r="IY95" s="52"/>
      <c r="IZ95" s="52"/>
      <c r="JA95" s="52"/>
      <c r="JB95" s="52"/>
      <c r="JC95" s="52"/>
      <c r="JD95" s="52"/>
      <c r="JE95" s="52"/>
      <c r="JF95" s="52"/>
      <c r="JG95" s="52"/>
      <c r="JH95" s="52"/>
      <c r="JI95" s="52"/>
      <c r="JL95" t="str">
        <f>IF($E95="","",IF(INDEX(工数管理!$AJ$3:$AJ$98,$E95)&lt;&gt;"",1,0))</f>
        <v/>
      </c>
      <c r="JM95" t="str">
        <f>IF($E95="","",IFERROR(MATCH($A95,祝日!$J$1:$L$1,0),""))</f>
        <v/>
      </c>
    </row>
    <row r="96" spans="1:273" ht="14.25" customHeight="1" x14ac:dyDescent="0.15">
      <c r="A96" s="50" t="str">
        <f>IF($E96="","",IF($JL96=1,INDEX(工数管理!$A$3:$A$98,$E96)&amp;"",IF(INDEX(工数管理!$AK$3:$AK$98,$E96)="","未割当",INDEX(工数管理!$AK$3:$AK$98,$E96))))</f>
        <v/>
      </c>
      <c r="B96" s="51" t="str">
        <f>IF($E96="","",IF($JL96=1,"",INDEX(工数管理!$A$3:$A$98,$E96)&amp;""))</f>
        <v/>
      </c>
      <c r="C96" s="50" t="str">
        <f>IF($E96="","",IF($JL96=1,"",INDEX(工数管理!$B$3:$B$98,$E96)&amp;""))</f>
        <v/>
      </c>
      <c r="D96" s="50" t="str">
        <f>IF($E96="","",INDEX(工数管理!$H$3:$H$98,$E96)&amp;"")</f>
        <v/>
      </c>
      <c r="E96" t="str">
        <f>IFERROR(MATCH(SMALL(工数管理!$BP$3:$BP$98,ROW()-3),工数管理!$BP$3:$BP$98,0),"")</f>
        <v/>
      </c>
      <c r="F96" t="str">
        <f>IF($E96="","",IF(INDEX(工数管理!$K$3:$K$98,$E96)="","",INDEX(工数管理!$K$3:$K$98,$E96)))</f>
        <v/>
      </c>
      <c r="G96" t="str">
        <f>IF($E96="","",IF(INDEX(工数管理!$L$3:$L$98,$E96)="","",INDEX(工数管理!$L$3:$L$98,$E96)))</f>
        <v/>
      </c>
      <c r="H96" t="str">
        <f>IF($E96="","",IF(INDEX(工数管理!$M$3:$M$98,$E96)="","",INDEX(工数管理!$M$3:$M$98,$E96)))</f>
        <v/>
      </c>
      <c r="I96" t="str">
        <f>IF($E96="","",IF(INDEX(工数管理!$N$3:$N$98,$E96)="","",INDEX(工数管理!$N$3:$N$98,$E96)))</f>
        <v/>
      </c>
      <c r="J96" t="str">
        <f>IF($E96="","",IF(INDEX(工数管理!$O$3:$O$98,$E96)="","",INDEX(工数管理!$O$3:$O$98,$E96)))</f>
        <v/>
      </c>
      <c r="K96" t="str">
        <f>IF($E96="","",IF(INDEX(工数管理!$P$3:$P$98,$E96)="","",INDEX(工数管理!$P$3:$P$98,$E96)))</f>
        <v/>
      </c>
      <c r="L96" t="str">
        <f>IF($E96="","",IF(INDEX(工数管理!$Q$3:$Q$98,$E96)="","",INDEX(工数管理!$Q$3:$Q$98,$E96)))</f>
        <v/>
      </c>
      <c r="M96" t="str">
        <f>IF($E96="","",IF(INDEX(工数管理!$R$3:$R$98,$E96)="","",INDEX(工数管理!$R$3:$R$98,$E96)))</f>
        <v/>
      </c>
      <c r="N96" t="str">
        <f>IF($E96="","",IF(INDEX(工数管理!$S$3:$S$98,$E96)="","",INDEX(工数管理!$S$3:$S$98,$E96)))</f>
        <v/>
      </c>
      <c r="O96" t="str">
        <f>IF($E96="","",IF(INDEX(工数管理!$T$3:$T$98,$E96)="","",INDEX(工数管理!$T$3:$T$98,$E96)))</f>
        <v/>
      </c>
      <c r="P96" t="str">
        <f>IF($E96="","",IF(INDEX(工数管理!$U$3:$U$98,$E96)="","",INDEX(工数管理!$U$3:$U$98,$E96)))</f>
        <v/>
      </c>
      <c r="Q96" t="str">
        <f>IF($E96="","",IF(INDEX(工数管理!$V$3:$V$98,$E96)="","",INDEX(工数管理!$V$3:$V$98,$E96)))</f>
        <v/>
      </c>
      <c r="R96" t="str">
        <f>IF($E96="","",IF(INDEX(工数管理!$W$3:$W$98,$E96)="","",INDEX(工数管理!$W$3:$W$98,$E96)))</f>
        <v/>
      </c>
      <c r="S96" t="str">
        <f>IF($E96="","",IF(INDEX(工数管理!$X$3:$X$98,$E96)="","",INDEX(工数管理!$X$3:$X$98,$E96)))</f>
        <v/>
      </c>
      <c r="T96" t="str">
        <f>IF($E96="","",IF(INDEX(工数管理!$Y$3:$Y$98,$E96)="","",INDEX(工数管理!$Y$3:$Y$98,$E96)))</f>
        <v/>
      </c>
      <c r="U96" t="str">
        <f>IF($E96="","",IF(INDEX(工数管理!$Z$3:$Z$98,$E96)="","",INDEX(工数管理!$Z$3:$Z$98,$E96)))</f>
        <v/>
      </c>
      <c r="V96" t="str">
        <f>IF($E96="","",IF(INDEX(工数管理!$AA$3:$AA$98,$E96)="","",INDEX(工数管理!$AA$3:$AA$98,$E96)))</f>
        <v/>
      </c>
      <c r="W96" t="str">
        <f>IF($E96="","",IF(INDEX(工数管理!$AB$3:$AB$98,$E96)="","",INDEX(工数管理!$AB$3:$AB$98,$E96)))</f>
        <v/>
      </c>
      <c r="X96" t="str">
        <f>IF($E96="","",IF(INDEX(工数管理!$AC$3:$AC$98,$E96)="","",INDEX(工数管理!$AC$3:$AC$98,$E96)))</f>
        <v/>
      </c>
      <c r="Y96" t="str">
        <f>IF($E96="","",IF(INDEX(工数管理!$AD$3:$AD$98,$E96)="","",INDEX(工数管理!$AD$3:$AD$98,$E96)))</f>
        <v/>
      </c>
      <c r="Z96" t="str">
        <f>IF($E96="","",IF(INDEX(工数管理!$AE$3:$AE$98,$E96)="","",INDEX(工数管理!$AE$3:$AE$98,$E96)))</f>
        <v/>
      </c>
      <c r="AA96" t="str">
        <f>IF($E96="","",IF(INDEX(工数管理!$AF$3:$AF$98,$E96)="","",INDEX(工数管理!$AF$3:$AF$98,$E96)))</f>
        <v/>
      </c>
      <c r="AB96" t="str">
        <f>IF($E96="","",IF(INDEX(工数管理!$AG$3:$AG$98,$E96)="","",INDEX(工数管理!$AG$3:$AG$98,$E96)))</f>
        <v/>
      </c>
      <c r="AC96" t="str">
        <f>IF($E96="","",IF(INDEX(工数管理!$AH$3:$AH$98,$E96)="","",INDEX(工数管理!$AH$3:$AH$98,$E96)))</f>
        <v/>
      </c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/>
      <c r="DQ96" s="52"/>
      <c r="DR96" s="52"/>
      <c r="DS96" s="52"/>
      <c r="DT96" s="52"/>
      <c r="DU96" s="52"/>
      <c r="DV96" s="52"/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  <c r="EM96" s="52"/>
      <c r="EN96" s="52"/>
      <c r="EO96" s="52"/>
      <c r="EP96" s="52"/>
      <c r="EQ96" s="52"/>
      <c r="ER96" s="52"/>
      <c r="ES96" s="52"/>
      <c r="ET96" s="52"/>
      <c r="EU96" s="52"/>
      <c r="EV96" s="52"/>
      <c r="EW96" s="52"/>
      <c r="EX96" s="52"/>
      <c r="EY96" s="52"/>
      <c r="EZ96" s="52"/>
      <c r="FA96" s="52"/>
      <c r="FB96" s="52"/>
      <c r="FC96" s="52"/>
      <c r="FD96" s="52"/>
      <c r="FE96" s="52"/>
      <c r="FF96" s="52"/>
      <c r="FG96" s="52"/>
      <c r="FH96" s="52"/>
      <c r="FI96" s="52"/>
      <c r="FJ96" s="52"/>
      <c r="FK96" s="52"/>
      <c r="FL96" s="52"/>
      <c r="FM96" s="52"/>
      <c r="FN96" s="52"/>
      <c r="FO96" s="52"/>
      <c r="FP96" s="52"/>
      <c r="FQ96" s="52"/>
      <c r="FR96" s="52"/>
      <c r="FS96" s="52"/>
      <c r="FT96" s="52"/>
      <c r="FU96" s="52"/>
      <c r="FV96" s="52"/>
      <c r="FW96" s="52"/>
      <c r="FX96" s="52"/>
      <c r="FY96" s="52"/>
      <c r="FZ96" s="52"/>
      <c r="GA96" s="52"/>
      <c r="GB96" s="52"/>
      <c r="GC96" s="52"/>
      <c r="GD96" s="52"/>
      <c r="GE96" s="52"/>
      <c r="GF96" s="52"/>
      <c r="GG96" s="52"/>
      <c r="GH96" s="52"/>
      <c r="GI96" s="52"/>
      <c r="GJ96" s="52"/>
      <c r="GK96" s="52"/>
      <c r="GL96" s="52"/>
      <c r="GM96" s="52"/>
      <c r="GN96" s="52"/>
      <c r="GO96" s="52"/>
      <c r="GP96" s="52"/>
      <c r="GQ96" s="52"/>
      <c r="GR96" s="52"/>
      <c r="GS96" s="52"/>
      <c r="GT96" s="52"/>
      <c r="GU96" s="52"/>
      <c r="GV96" s="52"/>
      <c r="GW96" s="52"/>
      <c r="GX96" s="52"/>
      <c r="GY96" s="52"/>
      <c r="GZ96" s="52"/>
      <c r="HA96" s="52"/>
      <c r="HB96" s="52"/>
      <c r="HC96" s="52"/>
      <c r="HD96" s="52"/>
      <c r="HE96" s="52"/>
      <c r="HF96" s="52"/>
      <c r="HG96" s="52"/>
      <c r="HH96" s="52"/>
      <c r="HI96" s="52"/>
      <c r="HJ96" s="52"/>
      <c r="HK96" s="52"/>
      <c r="HL96" s="52"/>
      <c r="HM96" s="52"/>
      <c r="HN96" s="52"/>
      <c r="HO96" s="52"/>
      <c r="HP96" s="52"/>
      <c r="HQ96" s="52"/>
      <c r="HR96" s="52"/>
      <c r="HS96" s="52"/>
      <c r="HT96" s="52"/>
      <c r="HU96" s="52"/>
      <c r="HV96" s="52"/>
      <c r="HW96" s="52"/>
      <c r="HX96" s="52"/>
      <c r="HY96" s="52"/>
      <c r="HZ96" s="52"/>
      <c r="IA96" s="52"/>
      <c r="IB96" s="52"/>
      <c r="IC96" s="52"/>
      <c r="ID96" s="52"/>
      <c r="IE96" s="52"/>
      <c r="IF96" s="52"/>
      <c r="IG96" s="52"/>
      <c r="IH96" s="52"/>
      <c r="II96" s="52"/>
      <c r="IJ96" s="52"/>
      <c r="IK96" s="52"/>
      <c r="IL96" s="52"/>
      <c r="IM96" s="52"/>
      <c r="IN96" s="52"/>
      <c r="IO96" s="52"/>
      <c r="IP96" s="52"/>
      <c r="IQ96" s="52"/>
      <c r="IR96" s="52"/>
      <c r="IS96" s="52"/>
      <c r="IT96" s="52"/>
      <c r="IU96" s="52"/>
      <c r="IV96" s="52"/>
      <c r="IW96" s="52"/>
      <c r="IX96" s="52"/>
      <c r="IY96" s="52"/>
      <c r="IZ96" s="52"/>
      <c r="JA96" s="52"/>
      <c r="JB96" s="52"/>
      <c r="JC96" s="52"/>
      <c r="JD96" s="52"/>
      <c r="JE96" s="52"/>
      <c r="JF96" s="52"/>
      <c r="JG96" s="52"/>
      <c r="JH96" s="52"/>
      <c r="JI96" s="52"/>
      <c r="JL96" t="str">
        <f>IF($E96="","",IF(INDEX(工数管理!$AJ$3:$AJ$98,$E96)&lt;&gt;"",1,0))</f>
        <v/>
      </c>
      <c r="JM96" t="str">
        <f>IF($E96="","",IFERROR(MATCH($A96,祝日!$J$1:$L$1,0),""))</f>
        <v/>
      </c>
    </row>
    <row r="97" spans="1:273" ht="14.25" customHeight="1" x14ac:dyDescent="0.15">
      <c r="A97" s="50" t="str">
        <f>IF($E97="","",IF($JL97=1,INDEX(工数管理!$A$3:$A$98,$E97)&amp;"",IF(INDEX(工数管理!$AK$3:$AK$98,$E97)="","未割当",INDEX(工数管理!$AK$3:$AK$98,$E97))))</f>
        <v/>
      </c>
      <c r="B97" s="51" t="str">
        <f>IF($E97="","",IF($JL97=1,"",INDEX(工数管理!$A$3:$A$98,$E97)&amp;""))</f>
        <v/>
      </c>
      <c r="C97" s="50" t="str">
        <f>IF($E97="","",IF($JL97=1,"",INDEX(工数管理!$B$3:$B$98,$E97)&amp;""))</f>
        <v/>
      </c>
      <c r="D97" s="50" t="str">
        <f>IF($E97="","",INDEX(工数管理!$H$3:$H$98,$E97)&amp;"")</f>
        <v/>
      </c>
      <c r="E97" t="str">
        <f>IFERROR(MATCH(SMALL(工数管理!$BP$3:$BP$98,ROW()-3),工数管理!$BP$3:$BP$98,0),"")</f>
        <v/>
      </c>
      <c r="F97" t="str">
        <f>IF($E97="","",IF(INDEX(工数管理!$K$3:$K$98,$E97)="","",INDEX(工数管理!$K$3:$K$98,$E97)))</f>
        <v/>
      </c>
      <c r="G97" t="str">
        <f>IF($E97="","",IF(INDEX(工数管理!$L$3:$L$98,$E97)="","",INDEX(工数管理!$L$3:$L$98,$E97)))</f>
        <v/>
      </c>
      <c r="H97" t="str">
        <f>IF($E97="","",IF(INDEX(工数管理!$M$3:$M$98,$E97)="","",INDEX(工数管理!$M$3:$M$98,$E97)))</f>
        <v/>
      </c>
      <c r="I97" t="str">
        <f>IF($E97="","",IF(INDEX(工数管理!$N$3:$N$98,$E97)="","",INDEX(工数管理!$N$3:$N$98,$E97)))</f>
        <v/>
      </c>
      <c r="J97" t="str">
        <f>IF($E97="","",IF(INDEX(工数管理!$O$3:$O$98,$E97)="","",INDEX(工数管理!$O$3:$O$98,$E97)))</f>
        <v/>
      </c>
      <c r="K97" t="str">
        <f>IF($E97="","",IF(INDEX(工数管理!$P$3:$P$98,$E97)="","",INDEX(工数管理!$P$3:$P$98,$E97)))</f>
        <v/>
      </c>
      <c r="L97" t="str">
        <f>IF($E97="","",IF(INDEX(工数管理!$Q$3:$Q$98,$E97)="","",INDEX(工数管理!$Q$3:$Q$98,$E97)))</f>
        <v/>
      </c>
      <c r="M97" t="str">
        <f>IF($E97="","",IF(INDEX(工数管理!$R$3:$R$98,$E97)="","",INDEX(工数管理!$R$3:$R$98,$E97)))</f>
        <v/>
      </c>
      <c r="N97" t="str">
        <f>IF($E97="","",IF(INDEX(工数管理!$S$3:$S$98,$E97)="","",INDEX(工数管理!$S$3:$S$98,$E97)))</f>
        <v/>
      </c>
      <c r="O97" t="str">
        <f>IF($E97="","",IF(INDEX(工数管理!$T$3:$T$98,$E97)="","",INDEX(工数管理!$T$3:$T$98,$E97)))</f>
        <v/>
      </c>
      <c r="P97" t="str">
        <f>IF($E97="","",IF(INDEX(工数管理!$U$3:$U$98,$E97)="","",INDEX(工数管理!$U$3:$U$98,$E97)))</f>
        <v/>
      </c>
      <c r="Q97" t="str">
        <f>IF($E97="","",IF(INDEX(工数管理!$V$3:$V$98,$E97)="","",INDEX(工数管理!$V$3:$V$98,$E97)))</f>
        <v/>
      </c>
      <c r="R97" t="str">
        <f>IF($E97="","",IF(INDEX(工数管理!$W$3:$W$98,$E97)="","",INDEX(工数管理!$W$3:$W$98,$E97)))</f>
        <v/>
      </c>
      <c r="S97" t="str">
        <f>IF($E97="","",IF(INDEX(工数管理!$X$3:$X$98,$E97)="","",INDEX(工数管理!$X$3:$X$98,$E97)))</f>
        <v/>
      </c>
      <c r="T97" t="str">
        <f>IF($E97="","",IF(INDEX(工数管理!$Y$3:$Y$98,$E97)="","",INDEX(工数管理!$Y$3:$Y$98,$E97)))</f>
        <v/>
      </c>
      <c r="U97" t="str">
        <f>IF($E97="","",IF(INDEX(工数管理!$Z$3:$Z$98,$E97)="","",INDEX(工数管理!$Z$3:$Z$98,$E97)))</f>
        <v/>
      </c>
      <c r="V97" t="str">
        <f>IF($E97="","",IF(INDEX(工数管理!$AA$3:$AA$98,$E97)="","",INDEX(工数管理!$AA$3:$AA$98,$E97)))</f>
        <v/>
      </c>
      <c r="W97" t="str">
        <f>IF($E97="","",IF(INDEX(工数管理!$AB$3:$AB$98,$E97)="","",INDEX(工数管理!$AB$3:$AB$98,$E97)))</f>
        <v/>
      </c>
      <c r="X97" t="str">
        <f>IF($E97="","",IF(INDEX(工数管理!$AC$3:$AC$98,$E97)="","",INDEX(工数管理!$AC$3:$AC$98,$E97)))</f>
        <v/>
      </c>
      <c r="Y97" t="str">
        <f>IF($E97="","",IF(INDEX(工数管理!$AD$3:$AD$98,$E97)="","",INDEX(工数管理!$AD$3:$AD$98,$E97)))</f>
        <v/>
      </c>
      <c r="Z97" t="str">
        <f>IF($E97="","",IF(INDEX(工数管理!$AE$3:$AE$98,$E97)="","",INDEX(工数管理!$AE$3:$AE$98,$E97)))</f>
        <v/>
      </c>
      <c r="AA97" t="str">
        <f>IF($E97="","",IF(INDEX(工数管理!$AF$3:$AF$98,$E97)="","",INDEX(工数管理!$AF$3:$AF$98,$E97)))</f>
        <v/>
      </c>
      <c r="AB97" t="str">
        <f>IF($E97="","",IF(INDEX(工数管理!$AG$3:$AG$98,$E97)="","",INDEX(工数管理!$AG$3:$AG$98,$E97)))</f>
        <v/>
      </c>
      <c r="AC97" t="str">
        <f>IF($E97="","",IF(INDEX(工数管理!$AH$3:$AH$98,$E97)="","",INDEX(工数管理!$AH$3:$AH$98,$E97)))</f>
        <v/>
      </c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/>
      <c r="DQ97" s="52"/>
      <c r="DR97" s="52"/>
      <c r="DS97" s="52"/>
      <c r="DT97" s="52"/>
      <c r="DU97" s="52"/>
      <c r="DV97" s="52"/>
      <c r="DW97" s="52"/>
      <c r="DX97" s="52"/>
      <c r="DY97" s="52"/>
      <c r="DZ97" s="52"/>
      <c r="EA97" s="52"/>
      <c r="EB97" s="52"/>
      <c r="EC97" s="52"/>
      <c r="ED97" s="52"/>
      <c r="EE97" s="52"/>
      <c r="EF97" s="52"/>
      <c r="EG97" s="52"/>
      <c r="EH97" s="52"/>
      <c r="EI97" s="52"/>
      <c r="EJ97" s="52"/>
      <c r="EK97" s="52"/>
      <c r="EL97" s="52"/>
      <c r="EM97" s="52"/>
      <c r="EN97" s="52"/>
      <c r="EO97" s="52"/>
      <c r="EP97" s="52"/>
      <c r="EQ97" s="52"/>
      <c r="ER97" s="52"/>
      <c r="ES97" s="52"/>
      <c r="ET97" s="52"/>
      <c r="EU97" s="52"/>
      <c r="EV97" s="52"/>
      <c r="EW97" s="52"/>
      <c r="EX97" s="52"/>
      <c r="EY97" s="52"/>
      <c r="EZ97" s="52"/>
      <c r="FA97" s="52"/>
      <c r="FB97" s="52"/>
      <c r="FC97" s="52"/>
      <c r="FD97" s="52"/>
      <c r="FE97" s="52"/>
      <c r="FF97" s="52"/>
      <c r="FG97" s="52"/>
      <c r="FH97" s="52"/>
      <c r="FI97" s="52"/>
      <c r="FJ97" s="52"/>
      <c r="FK97" s="52"/>
      <c r="FL97" s="52"/>
      <c r="FM97" s="52"/>
      <c r="FN97" s="52"/>
      <c r="FO97" s="52"/>
      <c r="FP97" s="52"/>
      <c r="FQ97" s="52"/>
      <c r="FR97" s="52"/>
      <c r="FS97" s="52"/>
      <c r="FT97" s="52"/>
      <c r="FU97" s="52"/>
      <c r="FV97" s="52"/>
      <c r="FW97" s="52"/>
      <c r="FX97" s="52"/>
      <c r="FY97" s="52"/>
      <c r="FZ97" s="52"/>
      <c r="GA97" s="52"/>
      <c r="GB97" s="52"/>
      <c r="GC97" s="52"/>
      <c r="GD97" s="52"/>
      <c r="GE97" s="52"/>
      <c r="GF97" s="52"/>
      <c r="GG97" s="52"/>
      <c r="GH97" s="52"/>
      <c r="GI97" s="52"/>
      <c r="GJ97" s="52"/>
      <c r="GK97" s="52"/>
      <c r="GL97" s="52"/>
      <c r="GM97" s="52"/>
      <c r="GN97" s="52"/>
      <c r="GO97" s="52"/>
      <c r="GP97" s="52"/>
      <c r="GQ97" s="52"/>
      <c r="GR97" s="52"/>
      <c r="GS97" s="52"/>
      <c r="GT97" s="52"/>
      <c r="GU97" s="52"/>
      <c r="GV97" s="52"/>
      <c r="GW97" s="52"/>
      <c r="GX97" s="52"/>
      <c r="GY97" s="52"/>
      <c r="GZ97" s="52"/>
      <c r="HA97" s="52"/>
      <c r="HB97" s="52"/>
      <c r="HC97" s="52"/>
      <c r="HD97" s="52"/>
      <c r="HE97" s="52"/>
      <c r="HF97" s="52"/>
      <c r="HG97" s="52"/>
      <c r="HH97" s="52"/>
      <c r="HI97" s="52"/>
      <c r="HJ97" s="52"/>
      <c r="HK97" s="52"/>
      <c r="HL97" s="52"/>
      <c r="HM97" s="52"/>
      <c r="HN97" s="52"/>
      <c r="HO97" s="52"/>
      <c r="HP97" s="52"/>
      <c r="HQ97" s="52"/>
      <c r="HR97" s="52"/>
      <c r="HS97" s="52"/>
      <c r="HT97" s="52"/>
      <c r="HU97" s="52"/>
      <c r="HV97" s="52"/>
      <c r="HW97" s="52"/>
      <c r="HX97" s="52"/>
      <c r="HY97" s="52"/>
      <c r="HZ97" s="52"/>
      <c r="IA97" s="52"/>
      <c r="IB97" s="52"/>
      <c r="IC97" s="52"/>
      <c r="ID97" s="52"/>
      <c r="IE97" s="52"/>
      <c r="IF97" s="52"/>
      <c r="IG97" s="52"/>
      <c r="IH97" s="52"/>
      <c r="II97" s="52"/>
      <c r="IJ97" s="52"/>
      <c r="IK97" s="52"/>
      <c r="IL97" s="52"/>
      <c r="IM97" s="52"/>
      <c r="IN97" s="52"/>
      <c r="IO97" s="52"/>
      <c r="IP97" s="52"/>
      <c r="IQ97" s="52"/>
      <c r="IR97" s="52"/>
      <c r="IS97" s="52"/>
      <c r="IT97" s="52"/>
      <c r="IU97" s="52"/>
      <c r="IV97" s="52"/>
      <c r="IW97" s="52"/>
      <c r="IX97" s="52"/>
      <c r="IY97" s="52"/>
      <c r="IZ97" s="52"/>
      <c r="JA97" s="52"/>
      <c r="JB97" s="52"/>
      <c r="JC97" s="52"/>
      <c r="JD97" s="52"/>
      <c r="JE97" s="52"/>
      <c r="JF97" s="52"/>
      <c r="JG97" s="52"/>
      <c r="JH97" s="52"/>
      <c r="JI97" s="52"/>
      <c r="JL97" t="str">
        <f>IF($E97="","",IF(INDEX(工数管理!$AJ$3:$AJ$98,$E97)&lt;&gt;"",1,0))</f>
        <v/>
      </c>
      <c r="JM97" t="str">
        <f>IF($E97="","",IFERROR(MATCH($A97,祝日!$J$1:$L$1,0),""))</f>
        <v/>
      </c>
    </row>
    <row r="98" spans="1:273" ht="14.25" customHeight="1" x14ac:dyDescent="0.15">
      <c r="A98" s="50" t="str">
        <f>IF($E98="","",IF($JL98=1,INDEX(工数管理!$A$3:$A$98,$E98)&amp;"",IF(INDEX(工数管理!$AK$3:$AK$98,$E98)="","未割当",INDEX(工数管理!$AK$3:$AK$98,$E98))))</f>
        <v/>
      </c>
      <c r="B98" s="51" t="str">
        <f>IF($E98="","",IF($JL98=1,"",INDEX(工数管理!$A$3:$A$98,$E98)&amp;""))</f>
        <v/>
      </c>
      <c r="C98" s="50" t="str">
        <f>IF($E98="","",IF($JL98=1,"",INDEX(工数管理!$B$3:$B$98,$E98)&amp;""))</f>
        <v/>
      </c>
      <c r="D98" s="50" t="str">
        <f>IF($E98="","",INDEX(工数管理!$H$3:$H$98,$E98)&amp;"")</f>
        <v/>
      </c>
      <c r="E98" t="str">
        <f>IFERROR(MATCH(SMALL(工数管理!$BP$3:$BP$98,ROW()-3),工数管理!$BP$3:$BP$98,0),"")</f>
        <v/>
      </c>
      <c r="F98" t="str">
        <f>IF($E98="","",IF(INDEX(工数管理!$K$3:$K$98,$E98)="","",INDEX(工数管理!$K$3:$K$98,$E98)))</f>
        <v/>
      </c>
      <c r="G98" t="str">
        <f>IF($E98="","",IF(INDEX(工数管理!$L$3:$L$98,$E98)="","",INDEX(工数管理!$L$3:$L$98,$E98)))</f>
        <v/>
      </c>
      <c r="H98" t="str">
        <f>IF($E98="","",IF(INDEX(工数管理!$M$3:$M$98,$E98)="","",INDEX(工数管理!$M$3:$M$98,$E98)))</f>
        <v/>
      </c>
      <c r="I98" t="str">
        <f>IF($E98="","",IF(INDEX(工数管理!$N$3:$N$98,$E98)="","",INDEX(工数管理!$N$3:$N$98,$E98)))</f>
        <v/>
      </c>
      <c r="J98" t="str">
        <f>IF($E98="","",IF(INDEX(工数管理!$O$3:$O$98,$E98)="","",INDEX(工数管理!$O$3:$O$98,$E98)))</f>
        <v/>
      </c>
      <c r="K98" t="str">
        <f>IF($E98="","",IF(INDEX(工数管理!$P$3:$P$98,$E98)="","",INDEX(工数管理!$P$3:$P$98,$E98)))</f>
        <v/>
      </c>
      <c r="L98" t="str">
        <f>IF($E98="","",IF(INDEX(工数管理!$Q$3:$Q$98,$E98)="","",INDEX(工数管理!$Q$3:$Q$98,$E98)))</f>
        <v/>
      </c>
      <c r="M98" t="str">
        <f>IF($E98="","",IF(INDEX(工数管理!$R$3:$R$98,$E98)="","",INDEX(工数管理!$R$3:$R$98,$E98)))</f>
        <v/>
      </c>
      <c r="N98" t="str">
        <f>IF($E98="","",IF(INDEX(工数管理!$S$3:$S$98,$E98)="","",INDEX(工数管理!$S$3:$S$98,$E98)))</f>
        <v/>
      </c>
      <c r="O98" t="str">
        <f>IF($E98="","",IF(INDEX(工数管理!$T$3:$T$98,$E98)="","",INDEX(工数管理!$T$3:$T$98,$E98)))</f>
        <v/>
      </c>
      <c r="P98" t="str">
        <f>IF($E98="","",IF(INDEX(工数管理!$U$3:$U$98,$E98)="","",INDEX(工数管理!$U$3:$U$98,$E98)))</f>
        <v/>
      </c>
      <c r="Q98" t="str">
        <f>IF($E98="","",IF(INDEX(工数管理!$V$3:$V$98,$E98)="","",INDEX(工数管理!$V$3:$V$98,$E98)))</f>
        <v/>
      </c>
      <c r="R98" t="str">
        <f>IF($E98="","",IF(INDEX(工数管理!$W$3:$W$98,$E98)="","",INDEX(工数管理!$W$3:$W$98,$E98)))</f>
        <v/>
      </c>
      <c r="S98" t="str">
        <f>IF($E98="","",IF(INDEX(工数管理!$X$3:$X$98,$E98)="","",INDEX(工数管理!$X$3:$X$98,$E98)))</f>
        <v/>
      </c>
      <c r="T98" t="str">
        <f>IF($E98="","",IF(INDEX(工数管理!$Y$3:$Y$98,$E98)="","",INDEX(工数管理!$Y$3:$Y$98,$E98)))</f>
        <v/>
      </c>
      <c r="U98" t="str">
        <f>IF($E98="","",IF(INDEX(工数管理!$Z$3:$Z$98,$E98)="","",INDEX(工数管理!$Z$3:$Z$98,$E98)))</f>
        <v/>
      </c>
      <c r="V98" t="str">
        <f>IF($E98="","",IF(INDEX(工数管理!$AA$3:$AA$98,$E98)="","",INDEX(工数管理!$AA$3:$AA$98,$E98)))</f>
        <v/>
      </c>
      <c r="W98" t="str">
        <f>IF($E98="","",IF(INDEX(工数管理!$AB$3:$AB$98,$E98)="","",INDEX(工数管理!$AB$3:$AB$98,$E98)))</f>
        <v/>
      </c>
      <c r="X98" t="str">
        <f>IF($E98="","",IF(INDEX(工数管理!$AC$3:$AC$98,$E98)="","",INDEX(工数管理!$AC$3:$AC$98,$E98)))</f>
        <v/>
      </c>
      <c r="Y98" t="str">
        <f>IF($E98="","",IF(INDEX(工数管理!$AD$3:$AD$98,$E98)="","",INDEX(工数管理!$AD$3:$AD$98,$E98)))</f>
        <v/>
      </c>
      <c r="Z98" t="str">
        <f>IF($E98="","",IF(INDEX(工数管理!$AE$3:$AE$98,$E98)="","",INDEX(工数管理!$AE$3:$AE$98,$E98)))</f>
        <v/>
      </c>
      <c r="AA98" t="str">
        <f>IF($E98="","",IF(INDEX(工数管理!$AF$3:$AF$98,$E98)="","",INDEX(工数管理!$AF$3:$AF$98,$E98)))</f>
        <v/>
      </c>
      <c r="AB98" t="str">
        <f>IF($E98="","",IF(INDEX(工数管理!$AG$3:$AG$98,$E98)="","",INDEX(工数管理!$AG$3:$AG$98,$E98)))</f>
        <v/>
      </c>
      <c r="AC98" t="str">
        <f>IF($E98="","",IF(INDEX(工数管理!$AH$3:$AH$98,$E98)="","",INDEX(工数管理!$AH$3:$AH$98,$E98)))</f>
        <v/>
      </c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2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  <c r="EM98" s="52"/>
      <c r="EN98" s="52"/>
      <c r="EO98" s="52"/>
      <c r="EP98" s="52"/>
      <c r="EQ98" s="52"/>
      <c r="ER98" s="52"/>
      <c r="ES98" s="52"/>
      <c r="ET98" s="52"/>
      <c r="EU98" s="52"/>
      <c r="EV98" s="52"/>
      <c r="EW98" s="52"/>
      <c r="EX98" s="52"/>
      <c r="EY98" s="52"/>
      <c r="EZ98" s="52"/>
      <c r="FA98" s="52"/>
      <c r="FB98" s="52"/>
      <c r="FC98" s="52"/>
      <c r="FD98" s="52"/>
      <c r="FE98" s="52"/>
      <c r="FF98" s="52"/>
      <c r="FG98" s="52"/>
      <c r="FH98" s="52"/>
      <c r="FI98" s="52"/>
      <c r="FJ98" s="52"/>
      <c r="FK98" s="52"/>
      <c r="FL98" s="52"/>
      <c r="FM98" s="52"/>
      <c r="FN98" s="52"/>
      <c r="FO98" s="52"/>
      <c r="FP98" s="52"/>
      <c r="FQ98" s="52"/>
      <c r="FR98" s="52"/>
      <c r="FS98" s="52"/>
      <c r="FT98" s="52"/>
      <c r="FU98" s="52"/>
      <c r="FV98" s="52"/>
      <c r="FW98" s="52"/>
      <c r="FX98" s="52"/>
      <c r="FY98" s="52"/>
      <c r="FZ98" s="52"/>
      <c r="GA98" s="52"/>
      <c r="GB98" s="52"/>
      <c r="GC98" s="52"/>
      <c r="GD98" s="52"/>
      <c r="GE98" s="52"/>
      <c r="GF98" s="52"/>
      <c r="GG98" s="52"/>
      <c r="GH98" s="52"/>
      <c r="GI98" s="52"/>
      <c r="GJ98" s="52"/>
      <c r="GK98" s="52"/>
      <c r="GL98" s="52"/>
      <c r="GM98" s="52"/>
      <c r="GN98" s="52"/>
      <c r="GO98" s="52"/>
      <c r="GP98" s="52"/>
      <c r="GQ98" s="52"/>
      <c r="GR98" s="52"/>
      <c r="GS98" s="52"/>
      <c r="GT98" s="52"/>
      <c r="GU98" s="52"/>
      <c r="GV98" s="52"/>
      <c r="GW98" s="52"/>
      <c r="GX98" s="52"/>
      <c r="GY98" s="52"/>
      <c r="GZ98" s="52"/>
      <c r="HA98" s="52"/>
      <c r="HB98" s="52"/>
      <c r="HC98" s="52"/>
      <c r="HD98" s="52"/>
      <c r="HE98" s="52"/>
      <c r="HF98" s="52"/>
      <c r="HG98" s="52"/>
      <c r="HH98" s="52"/>
      <c r="HI98" s="52"/>
      <c r="HJ98" s="52"/>
      <c r="HK98" s="52"/>
      <c r="HL98" s="52"/>
      <c r="HM98" s="52"/>
      <c r="HN98" s="52"/>
      <c r="HO98" s="52"/>
      <c r="HP98" s="52"/>
      <c r="HQ98" s="52"/>
      <c r="HR98" s="52"/>
      <c r="HS98" s="52"/>
      <c r="HT98" s="52"/>
      <c r="HU98" s="52"/>
      <c r="HV98" s="52"/>
      <c r="HW98" s="52"/>
      <c r="HX98" s="52"/>
      <c r="HY98" s="52"/>
      <c r="HZ98" s="52"/>
      <c r="IA98" s="52"/>
      <c r="IB98" s="52"/>
      <c r="IC98" s="52"/>
      <c r="ID98" s="52"/>
      <c r="IE98" s="52"/>
      <c r="IF98" s="52"/>
      <c r="IG98" s="52"/>
      <c r="IH98" s="52"/>
      <c r="II98" s="52"/>
      <c r="IJ98" s="52"/>
      <c r="IK98" s="52"/>
      <c r="IL98" s="52"/>
      <c r="IM98" s="52"/>
      <c r="IN98" s="52"/>
      <c r="IO98" s="52"/>
      <c r="IP98" s="52"/>
      <c r="IQ98" s="52"/>
      <c r="IR98" s="52"/>
      <c r="IS98" s="52"/>
      <c r="IT98" s="52"/>
      <c r="IU98" s="52"/>
      <c r="IV98" s="52"/>
      <c r="IW98" s="52"/>
      <c r="IX98" s="52"/>
      <c r="IY98" s="52"/>
      <c r="IZ98" s="52"/>
      <c r="JA98" s="52"/>
      <c r="JB98" s="52"/>
      <c r="JC98" s="52"/>
      <c r="JD98" s="52"/>
      <c r="JE98" s="52"/>
      <c r="JF98" s="52"/>
      <c r="JG98" s="52"/>
      <c r="JH98" s="52"/>
      <c r="JI98" s="52"/>
      <c r="JL98" t="str">
        <f>IF($E98="","",IF(INDEX(工数管理!$AJ$3:$AJ$98,$E98)&lt;&gt;"",1,0))</f>
        <v/>
      </c>
      <c r="JM98" t="str">
        <f>IF($E98="","",IFERROR(MATCH($A98,祝日!$J$1:$L$1,0),""))</f>
        <v/>
      </c>
    </row>
    <row r="99" spans="1:273" ht="14.25" customHeight="1" x14ac:dyDescent="0.15">
      <c r="A99" s="50" t="str">
        <f>IF($E99="","",IF($JL99=1,INDEX(工数管理!$A$3:$A$98,$E99)&amp;"",IF(INDEX(工数管理!$AK$3:$AK$98,$E99)="","未割当",INDEX(工数管理!$AK$3:$AK$98,$E99))))</f>
        <v/>
      </c>
      <c r="B99" s="51" t="str">
        <f>IF($E99="","",IF($JL99=1,"",INDEX(工数管理!$A$3:$A$98,$E99)&amp;""))</f>
        <v/>
      </c>
      <c r="C99" s="50" t="str">
        <f>IF($E99="","",IF($JL99=1,"",INDEX(工数管理!$B$3:$B$98,$E99)&amp;""))</f>
        <v/>
      </c>
      <c r="D99" s="50" t="str">
        <f>IF($E99="","",INDEX(工数管理!$H$3:$H$98,$E99)&amp;"")</f>
        <v/>
      </c>
      <c r="E99" t="str">
        <f>IFERROR(MATCH(SMALL(工数管理!$BP$3:$BP$98,ROW()-3),工数管理!$BP$3:$BP$98,0),"")</f>
        <v/>
      </c>
      <c r="F99" t="str">
        <f>IF($E99="","",IF(INDEX(工数管理!$K$3:$K$98,$E99)="","",INDEX(工数管理!$K$3:$K$98,$E99)))</f>
        <v/>
      </c>
      <c r="G99" t="str">
        <f>IF($E99="","",IF(INDEX(工数管理!$L$3:$L$98,$E99)="","",INDEX(工数管理!$L$3:$L$98,$E99)))</f>
        <v/>
      </c>
      <c r="H99" t="str">
        <f>IF($E99="","",IF(INDEX(工数管理!$M$3:$M$98,$E99)="","",INDEX(工数管理!$M$3:$M$98,$E99)))</f>
        <v/>
      </c>
      <c r="I99" t="str">
        <f>IF($E99="","",IF(INDEX(工数管理!$N$3:$N$98,$E99)="","",INDEX(工数管理!$N$3:$N$98,$E99)))</f>
        <v/>
      </c>
      <c r="J99" t="str">
        <f>IF($E99="","",IF(INDEX(工数管理!$O$3:$O$98,$E99)="","",INDEX(工数管理!$O$3:$O$98,$E99)))</f>
        <v/>
      </c>
      <c r="K99" t="str">
        <f>IF($E99="","",IF(INDEX(工数管理!$P$3:$P$98,$E99)="","",INDEX(工数管理!$P$3:$P$98,$E99)))</f>
        <v/>
      </c>
      <c r="L99" t="str">
        <f>IF($E99="","",IF(INDEX(工数管理!$Q$3:$Q$98,$E99)="","",INDEX(工数管理!$Q$3:$Q$98,$E99)))</f>
        <v/>
      </c>
      <c r="M99" t="str">
        <f>IF($E99="","",IF(INDEX(工数管理!$R$3:$R$98,$E99)="","",INDEX(工数管理!$R$3:$R$98,$E99)))</f>
        <v/>
      </c>
      <c r="N99" t="str">
        <f>IF($E99="","",IF(INDEX(工数管理!$S$3:$S$98,$E99)="","",INDEX(工数管理!$S$3:$S$98,$E99)))</f>
        <v/>
      </c>
      <c r="O99" t="str">
        <f>IF($E99="","",IF(INDEX(工数管理!$T$3:$T$98,$E99)="","",INDEX(工数管理!$T$3:$T$98,$E99)))</f>
        <v/>
      </c>
      <c r="P99" t="str">
        <f>IF($E99="","",IF(INDEX(工数管理!$U$3:$U$98,$E99)="","",INDEX(工数管理!$U$3:$U$98,$E99)))</f>
        <v/>
      </c>
      <c r="Q99" t="str">
        <f>IF($E99="","",IF(INDEX(工数管理!$V$3:$V$98,$E99)="","",INDEX(工数管理!$V$3:$V$98,$E99)))</f>
        <v/>
      </c>
      <c r="R99" t="str">
        <f>IF($E99="","",IF(INDEX(工数管理!$W$3:$W$98,$E99)="","",INDEX(工数管理!$W$3:$W$98,$E99)))</f>
        <v/>
      </c>
      <c r="S99" t="str">
        <f>IF($E99="","",IF(INDEX(工数管理!$X$3:$X$98,$E99)="","",INDEX(工数管理!$X$3:$X$98,$E99)))</f>
        <v/>
      </c>
      <c r="T99" t="str">
        <f>IF($E99="","",IF(INDEX(工数管理!$Y$3:$Y$98,$E99)="","",INDEX(工数管理!$Y$3:$Y$98,$E99)))</f>
        <v/>
      </c>
      <c r="U99" t="str">
        <f>IF($E99="","",IF(INDEX(工数管理!$Z$3:$Z$98,$E99)="","",INDEX(工数管理!$Z$3:$Z$98,$E99)))</f>
        <v/>
      </c>
      <c r="V99" t="str">
        <f>IF($E99="","",IF(INDEX(工数管理!$AA$3:$AA$98,$E99)="","",INDEX(工数管理!$AA$3:$AA$98,$E99)))</f>
        <v/>
      </c>
      <c r="W99" t="str">
        <f>IF($E99="","",IF(INDEX(工数管理!$AB$3:$AB$98,$E99)="","",INDEX(工数管理!$AB$3:$AB$98,$E99)))</f>
        <v/>
      </c>
      <c r="X99" t="str">
        <f>IF($E99="","",IF(INDEX(工数管理!$AC$3:$AC$98,$E99)="","",INDEX(工数管理!$AC$3:$AC$98,$E99)))</f>
        <v/>
      </c>
      <c r="Y99" t="str">
        <f>IF($E99="","",IF(INDEX(工数管理!$AD$3:$AD$98,$E99)="","",INDEX(工数管理!$AD$3:$AD$98,$E99)))</f>
        <v/>
      </c>
      <c r="Z99" t="str">
        <f>IF($E99="","",IF(INDEX(工数管理!$AE$3:$AE$98,$E99)="","",INDEX(工数管理!$AE$3:$AE$98,$E99)))</f>
        <v/>
      </c>
      <c r="AA99" t="str">
        <f>IF($E99="","",IF(INDEX(工数管理!$AF$3:$AF$98,$E99)="","",INDEX(工数管理!$AF$3:$AF$98,$E99)))</f>
        <v/>
      </c>
      <c r="AB99" t="str">
        <f>IF($E99="","",IF(INDEX(工数管理!$AG$3:$AG$98,$E99)="","",INDEX(工数管理!$AG$3:$AG$98,$E99)))</f>
        <v/>
      </c>
      <c r="AC99" t="str">
        <f>IF($E99="","",IF(INDEX(工数管理!$AH$3:$AH$98,$E99)="","",INDEX(工数管理!$AH$3:$AH$98,$E99)))</f>
        <v/>
      </c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/>
      <c r="DQ99" s="52"/>
      <c r="DR99" s="52"/>
      <c r="DS99" s="52"/>
      <c r="DT99" s="52"/>
      <c r="DU99" s="52"/>
      <c r="DV99" s="52"/>
      <c r="DW99" s="52"/>
      <c r="DX99" s="52"/>
      <c r="DY99" s="52"/>
      <c r="DZ99" s="52"/>
      <c r="EA99" s="52"/>
      <c r="EB99" s="52"/>
      <c r="EC99" s="52"/>
      <c r="ED99" s="52"/>
      <c r="EE99" s="52"/>
      <c r="EF99" s="52"/>
      <c r="EG99" s="52"/>
      <c r="EH99" s="52"/>
      <c r="EI99" s="52"/>
      <c r="EJ99" s="52"/>
      <c r="EK99" s="52"/>
      <c r="EL99" s="52"/>
      <c r="EM99" s="52"/>
      <c r="EN99" s="52"/>
      <c r="EO99" s="52"/>
      <c r="EP99" s="52"/>
      <c r="EQ99" s="52"/>
      <c r="ER99" s="52"/>
      <c r="ES99" s="52"/>
      <c r="ET99" s="52"/>
      <c r="EU99" s="52"/>
      <c r="EV99" s="52"/>
      <c r="EW99" s="52"/>
      <c r="EX99" s="52"/>
      <c r="EY99" s="52"/>
      <c r="EZ99" s="52"/>
      <c r="FA99" s="52"/>
      <c r="FB99" s="52"/>
      <c r="FC99" s="52"/>
      <c r="FD99" s="52"/>
      <c r="FE99" s="52"/>
      <c r="FF99" s="52"/>
      <c r="FG99" s="52"/>
      <c r="FH99" s="52"/>
      <c r="FI99" s="52"/>
      <c r="FJ99" s="52"/>
      <c r="FK99" s="52"/>
      <c r="FL99" s="52"/>
      <c r="FM99" s="52"/>
      <c r="FN99" s="52"/>
      <c r="FO99" s="52"/>
      <c r="FP99" s="52"/>
      <c r="FQ99" s="52"/>
      <c r="FR99" s="52"/>
      <c r="FS99" s="52"/>
      <c r="FT99" s="52"/>
      <c r="FU99" s="52"/>
      <c r="FV99" s="52"/>
      <c r="FW99" s="52"/>
      <c r="FX99" s="52"/>
      <c r="FY99" s="52"/>
      <c r="FZ99" s="52"/>
      <c r="GA99" s="52"/>
      <c r="GB99" s="52"/>
      <c r="GC99" s="52"/>
      <c r="GD99" s="52"/>
      <c r="GE99" s="52"/>
      <c r="GF99" s="52"/>
      <c r="GG99" s="52"/>
      <c r="GH99" s="52"/>
      <c r="GI99" s="52"/>
      <c r="GJ99" s="52"/>
      <c r="GK99" s="52"/>
      <c r="GL99" s="52"/>
      <c r="GM99" s="52"/>
      <c r="GN99" s="52"/>
      <c r="GO99" s="52"/>
      <c r="GP99" s="52"/>
      <c r="GQ99" s="52"/>
      <c r="GR99" s="52"/>
      <c r="GS99" s="52"/>
      <c r="GT99" s="52"/>
      <c r="GU99" s="52"/>
      <c r="GV99" s="52"/>
      <c r="GW99" s="52"/>
      <c r="GX99" s="52"/>
      <c r="GY99" s="52"/>
      <c r="GZ99" s="52"/>
      <c r="HA99" s="52"/>
      <c r="HB99" s="52"/>
      <c r="HC99" s="52"/>
      <c r="HD99" s="52"/>
      <c r="HE99" s="52"/>
      <c r="HF99" s="52"/>
      <c r="HG99" s="52"/>
      <c r="HH99" s="52"/>
      <c r="HI99" s="52"/>
      <c r="HJ99" s="52"/>
      <c r="HK99" s="52"/>
      <c r="HL99" s="52"/>
      <c r="HM99" s="52"/>
      <c r="HN99" s="52"/>
      <c r="HO99" s="52"/>
      <c r="HP99" s="52"/>
      <c r="HQ99" s="52"/>
      <c r="HR99" s="52"/>
      <c r="HS99" s="52"/>
      <c r="HT99" s="52"/>
      <c r="HU99" s="52"/>
      <c r="HV99" s="52"/>
      <c r="HW99" s="52"/>
      <c r="HX99" s="52"/>
      <c r="HY99" s="52"/>
      <c r="HZ99" s="52"/>
      <c r="IA99" s="52"/>
      <c r="IB99" s="52"/>
      <c r="IC99" s="52"/>
      <c r="ID99" s="52"/>
      <c r="IE99" s="52"/>
      <c r="IF99" s="52"/>
      <c r="IG99" s="52"/>
      <c r="IH99" s="52"/>
      <c r="II99" s="52"/>
      <c r="IJ99" s="52"/>
      <c r="IK99" s="52"/>
      <c r="IL99" s="52"/>
      <c r="IM99" s="52"/>
      <c r="IN99" s="52"/>
      <c r="IO99" s="52"/>
      <c r="IP99" s="52"/>
      <c r="IQ99" s="52"/>
      <c r="IR99" s="52"/>
      <c r="IS99" s="52"/>
      <c r="IT99" s="52"/>
      <c r="IU99" s="52"/>
      <c r="IV99" s="52"/>
      <c r="IW99" s="52"/>
      <c r="IX99" s="52"/>
      <c r="IY99" s="52"/>
      <c r="IZ99" s="52"/>
      <c r="JA99" s="52"/>
      <c r="JB99" s="52"/>
      <c r="JC99" s="52"/>
      <c r="JD99" s="52"/>
      <c r="JE99" s="52"/>
      <c r="JF99" s="52"/>
      <c r="JG99" s="52"/>
      <c r="JH99" s="52"/>
      <c r="JI99" s="52"/>
      <c r="JL99" t="str">
        <f>IF($E99="","",IF(INDEX(工数管理!$AJ$3:$AJ$98,$E99)&lt;&gt;"",1,0))</f>
        <v/>
      </c>
      <c r="JM99" t="str">
        <f>IF($E99="","",IFERROR(MATCH($A99,祝日!$J$1:$L$1,0),""))</f>
        <v/>
      </c>
    </row>
    <row r="100" spans="1:273" ht="14.25" customHeight="1" x14ac:dyDescent="0.15">
      <c r="A100" s="50" t="str">
        <f>IF($E100="","",IF($JL100=1,INDEX(工数管理!$A$3:$A$98,$E100)&amp;"",IF(INDEX(工数管理!$AK$3:$AK$98,$E100)="","未割当",INDEX(工数管理!$AK$3:$AK$98,$E100))))</f>
        <v/>
      </c>
      <c r="B100" s="51" t="str">
        <f>IF($E100="","",IF($JL100=1,"",INDEX(工数管理!$A$3:$A$98,$E100)&amp;""))</f>
        <v/>
      </c>
      <c r="C100" s="50" t="str">
        <f>IF($E100="","",IF($JL100=1,"",INDEX(工数管理!$B$3:$B$98,$E100)&amp;""))</f>
        <v/>
      </c>
      <c r="D100" s="50" t="str">
        <f>IF($E100="","",INDEX(工数管理!$H$3:$H$98,$E100)&amp;"")</f>
        <v/>
      </c>
      <c r="E100" t="str">
        <f>IFERROR(MATCH(SMALL(工数管理!$BP$3:$BP$98,ROW()-3),工数管理!$BP$3:$BP$98,0),"")</f>
        <v/>
      </c>
      <c r="F100" t="str">
        <f>IF($E100="","",IF(INDEX(工数管理!$K$3:$K$98,$E100)="","",INDEX(工数管理!$K$3:$K$98,$E100)))</f>
        <v/>
      </c>
      <c r="G100" t="str">
        <f>IF($E100="","",IF(INDEX(工数管理!$L$3:$L$98,$E100)="","",INDEX(工数管理!$L$3:$L$98,$E100)))</f>
        <v/>
      </c>
      <c r="H100" t="str">
        <f>IF($E100="","",IF(INDEX(工数管理!$M$3:$M$98,$E100)="","",INDEX(工数管理!$M$3:$M$98,$E100)))</f>
        <v/>
      </c>
      <c r="I100" t="str">
        <f>IF($E100="","",IF(INDEX(工数管理!$N$3:$N$98,$E100)="","",INDEX(工数管理!$N$3:$N$98,$E100)))</f>
        <v/>
      </c>
      <c r="J100" t="str">
        <f>IF($E100="","",IF(INDEX(工数管理!$O$3:$O$98,$E100)="","",INDEX(工数管理!$O$3:$O$98,$E100)))</f>
        <v/>
      </c>
      <c r="K100" t="str">
        <f>IF($E100="","",IF(INDEX(工数管理!$P$3:$P$98,$E100)="","",INDEX(工数管理!$P$3:$P$98,$E100)))</f>
        <v/>
      </c>
      <c r="L100" t="str">
        <f>IF($E100="","",IF(INDEX(工数管理!$Q$3:$Q$98,$E100)="","",INDEX(工数管理!$Q$3:$Q$98,$E100)))</f>
        <v/>
      </c>
      <c r="M100" t="str">
        <f>IF($E100="","",IF(INDEX(工数管理!$R$3:$R$98,$E100)="","",INDEX(工数管理!$R$3:$R$98,$E100)))</f>
        <v/>
      </c>
      <c r="N100" t="str">
        <f>IF($E100="","",IF(INDEX(工数管理!$S$3:$S$98,$E100)="","",INDEX(工数管理!$S$3:$S$98,$E100)))</f>
        <v/>
      </c>
      <c r="O100" t="str">
        <f>IF($E100="","",IF(INDEX(工数管理!$T$3:$T$98,$E100)="","",INDEX(工数管理!$T$3:$T$98,$E100)))</f>
        <v/>
      </c>
      <c r="P100" t="str">
        <f>IF($E100="","",IF(INDEX(工数管理!$U$3:$U$98,$E100)="","",INDEX(工数管理!$U$3:$U$98,$E100)))</f>
        <v/>
      </c>
      <c r="Q100" t="str">
        <f>IF($E100="","",IF(INDEX(工数管理!$V$3:$V$98,$E100)="","",INDEX(工数管理!$V$3:$V$98,$E100)))</f>
        <v/>
      </c>
      <c r="R100" t="str">
        <f>IF($E100="","",IF(INDEX(工数管理!$W$3:$W$98,$E100)="","",INDEX(工数管理!$W$3:$W$98,$E100)))</f>
        <v/>
      </c>
      <c r="S100" t="str">
        <f>IF($E100="","",IF(INDEX(工数管理!$X$3:$X$98,$E100)="","",INDEX(工数管理!$X$3:$X$98,$E100)))</f>
        <v/>
      </c>
      <c r="T100" t="str">
        <f>IF($E100="","",IF(INDEX(工数管理!$Y$3:$Y$98,$E100)="","",INDEX(工数管理!$Y$3:$Y$98,$E100)))</f>
        <v/>
      </c>
      <c r="U100" t="str">
        <f>IF($E100="","",IF(INDEX(工数管理!$Z$3:$Z$98,$E100)="","",INDEX(工数管理!$Z$3:$Z$98,$E100)))</f>
        <v/>
      </c>
      <c r="V100" t="str">
        <f>IF($E100="","",IF(INDEX(工数管理!$AA$3:$AA$98,$E100)="","",INDEX(工数管理!$AA$3:$AA$98,$E100)))</f>
        <v/>
      </c>
      <c r="W100" t="str">
        <f>IF($E100="","",IF(INDEX(工数管理!$AB$3:$AB$98,$E100)="","",INDEX(工数管理!$AB$3:$AB$98,$E100)))</f>
        <v/>
      </c>
      <c r="X100" t="str">
        <f>IF($E100="","",IF(INDEX(工数管理!$AC$3:$AC$98,$E100)="","",INDEX(工数管理!$AC$3:$AC$98,$E100)))</f>
        <v/>
      </c>
      <c r="Y100" t="str">
        <f>IF($E100="","",IF(INDEX(工数管理!$AD$3:$AD$98,$E100)="","",INDEX(工数管理!$AD$3:$AD$98,$E100)))</f>
        <v/>
      </c>
      <c r="Z100" t="str">
        <f>IF($E100="","",IF(INDEX(工数管理!$AE$3:$AE$98,$E100)="","",INDEX(工数管理!$AE$3:$AE$98,$E100)))</f>
        <v/>
      </c>
      <c r="AA100" t="str">
        <f>IF($E100="","",IF(INDEX(工数管理!$AF$3:$AF$98,$E100)="","",INDEX(工数管理!$AF$3:$AF$98,$E100)))</f>
        <v/>
      </c>
      <c r="AB100" t="str">
        <f>IF($E100="","",IF(INDEX(工数管理!$AG$3:$AG$98,$E100)="","",INDEX(工数管理!$AG$3:$AG$98,$E100)))</f>
        <v/>
      </c>
      <c r="AC100" t="str">
        <f>IF($E100="","",IF(INDEX(工数管理!$AH$3:$AH$98,$E100)="","",INDEX(工数管理!$AH$3:$AH$98,$E100)))</f>
        <v/>
      </c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/>
      <c r="DQ100" s="52"/>
      <c r="DR100" s="52"/>
      <c r="DS100" s="52"/>
      <c r="DT100" s="52"/>
      <c r="DU100" s="52"/>
      <c r="DV100" s="52"/>
      <c r="DW100" s="52"/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  <c r="EH100" s="52"/>
      <c r="EI100" s="52"/>
      <c r="EJ100" s="52"/>
      <c r="EK100" s="52"/>
      <c r="EL100" s="52"/>
      <c r="EM100" s="52"/>
      <c r="EN100" s="52"/>
      <c r="EO100" s="52"/>
      <c r="EP100" s="52"/>
      <c r="EQ100" s="52"/>
      <c r="ER100" s="52"/>
      <c r="ES100" s="52"/>
      <c r="ET100" s="52"/>
      <c r="EU100" s="52"/>
      <c r="EV100" s="52"/>
      <c r="EW100" s="52"/>
      <c r="EX100" s="52"/>
      <c r="EY100" s="52"/>
      <c r="EZ100" s="52"/>
      <c r="FA100" s="52"/>
      <c r="FB100" s="52"/>
      <c r="FC100" s="52"/>
      <c r="FD100" s="52"/>
      <c r="FE100" s="52"/>
      <c r="FF100" s="52"/>
      <c r="FG100" s="52"/>
      <c r="FH100" s="52"/>
      <c r="FI100" s="52"/>
      <c r="FJ100" s="52"/>
      <c r="FK100" s="52"/>
      <c r="FL100" s="52"/>
      <c r="FM100" s="52"/>
      <c r="FN100" s="52"/>
      <c r="FO100" s="52"/>
      <c r="FP100" s="52"/>
      <c r="FQ100" s="52"/>
      <c r="FR100" s="52"/>
      <c r="FS100" s="52"/>
      <c r="FT100" s="52"/>
      <c r="FU100" s="52"/>
      <c r="FV100" s="52"/>
      <c r="FW100" s="52"/>
      <c r="FX100" s="52"/>
      <c r="FY100" s="52"/>
      <c r="FZ100" s="52"/>
      <c r="GA100" s="52"/>
      <c r="GB100" s="52"/>
      <c r="GC100" s="52"/>
      <c r="GD100" s="52"/>
      <c r="GE100" s="52"/>
      <c r="GF100" s="52"/>
      <c r="GG100" s="52"/>
      <c r="GH100" s="52"/>
      <c r="GI100" s="52"/>
      <c r="GJ100" s="52"/>
      <c r="GK100" s="52"/>
      <c r="GL100" s="52"/>
      <c r="GM100" s="52"/>
      <c r="GN100" s="52"/>
      <c r="GO100" s="52"/>
      <c r="GP100" s="52"/>
      <c r="GQ100" s="52"/>
      <c r="GR100" s="52"/>
      <c r="GS100" s="52"/>
      <c r="GT100" s="52"/>
      <c r="GU100" s="52"/>
      <c r="GV100" s="52"/>
      <c r="GW100" s="52"/>
      <c r="GX100" s="52"/>
      <c r="GY100" s="52"/>
      <c r="GZ100" s="52"/>
      <c r="HA100" s="52"/>
      <c r="HB100" s="52"/>
      <c r="HC100" s="52"/>
      <c r="HD100" s="52"/>
      <c r="HE100" s="52"/>
      <c r="HF100" s="52"/>
      <c r="HG100" s="52"/>
      <c r="HH100" s="52"/>
      <c r="HI100" s="52"/>
      <c r="HJ100" s="52"/>
      <c r="HK100" s="52"/>
      <c r="HL100" s="52"/>
      <c r="HM100" s="52"/>
      <c r="HN100" s="52"/>
      <c r="HO100" s="52"/>
      <c r="HP100" s="52"/>
      <c r="HQ100" s="52"/>
      <c r="HR100" s="52"/>
      <c r="HS100" s="52"/>
      <c r="HT100" s="52"/>
      <c r="HU100" s="52"/>
      <c r="HV100" s="52"/>
      <c r="HW100" s="52"/>
      <c r="HX100" s="52"/>
      <c r="HY100" s="52"/>
      <c r="HZ100" s="52"/>
      <c r="IA100" s="52"/>
      <c r="IB100" s="52"/>
      <c r="IC100" s="52"/>
      <c r="ID100" s="52"/>
      <c r="IE100" s="52"/>
      <c r="IF100" s="52"/>
      <c r="IG100" s="52"/>
      <c r="IH100" s="52"/>
      <c r="II100" s="52"/>
      <c r="IJ100" s="52"/>
      <c r="IK100" s="52"/>
      <c r="IL100" s="52"/>
      <c r="IM100" s="52"/>
      <c r="IN100" s="52"/>
      <c r="IO100" s="52"/>
      <c r="IP100" s="52"/>
      <c r="IQ100" s="52"/>
      <c r="IR100" s="52"/>
      <c r="IS100" s="52"/>
      <c r="IT100" s="52"/>
      <c r="IU100" s="52"/>
      <c r="IV100" s="52"/>
      <c r="IW100" s="52"/>
      <c r="IX100" s="52"/>
      <c r="IY100" s="52"/>
      <c r="IZ100" s="52"/>
      <c r="JA100" s="52"/>
      <c r="JB100" s="52"/>
      <c r="JC100" s="52"/>
      <c r="JD100" s="52"/>
      <c r="JE100" s="52"/>
      <c r="JF100" s="52"/>
      <c r="JG100" s="52"/>
      <c r="JH100" s="52"/>
      <c r="JI100" s="52"/>
      <c r="JL100" t="str">
        <f>IF($E100="","",IF(INDEX(工数管理!$AJ$3:$AJ$98,$E100)&lt;&gt;"",1,0))</f>
        <v/>
      </c>
      <c r="JM100" t="str">
        <f>IF($E100="","",IFERROR(MATCH($A100,祝日!$J$1:$L$1,0),""))</f>
        <v/>
      </c>
    </row>
    <row r="101" spans="1:273" ht="14.25" customHeight="1" x14ac:dyDescent="0.15">
      <c r="A101" s="50" t="str">
        <f>IF($E101="","",IF($JL101=1,INDEX(工数管理!$A$3:$A$98,$E101)&amp;"",IF(INDEX(工数管理!$AK$3:$AK$98,$E101)="","未割当",INDEX(工数管理!$AK$3:$AK$98,$E101))))</f>
        <v/>
      </c>
      <c r="B101" s="51" t="str">
        <f>IF($E101="","",IF($JL101=1,"",INDEX(工数管理!$A$3:$A$98,$E101)&amp;""))</f>
        <v/>
      </c>
      <c r="C101" s="50" t="str">
        <f>IF($E101="","",IF($JL101=1,"",INDEX(工数管理!$B$3:$B$98,$E101)&amp;""))</f>
        <v/>
      </c>
      <c r="D101" s="50" t="str">
        <f>IF($E101="","",INDEX(工数管理!$H$3:$H$98,$E101)&amp;"")</f>
        <v/>
      </c>
      <c r="E101" t="str">
        <f>IFERROR(MATCH(SMALL(工数管理!$BP$3:$BP$98,ROW()-3),工数管理!$BP$3:$BP$98,0),"")</f>
        <v/>
      </c>
      <c r="F101" t="str">
        <f>IF($E101="","",IF(INDEX(工数管理!$K$3:$K$98,$E101)="","",INDEX(工数管理!$K$3:$K$98,$E101)))</f>
        <v/>
      </c>
      <c r="G101" t="str">
        <f>IF($E101="","",IF(INDEX(工数管理!$L$3:$L$98,$E101)="","",INDEX(工数管理!$L$3:$L$98,$E101)))</f>
        <v/>
      </c>
      <c r="H101" t="str">
        <f>IF($E101="","",IF(INDEX(工数管理!$M$3:$M$98,$E101)="","",INDEX(工数管理!$M$3:$M$98,$E101)))</f>
        <v/>
      </c>
      <c r="I101" t="str">
        <f>IF($E101="","",IF(INDEX(工数管理!$N$3:$N$98,$E101)="","",INDEX(工数管理!$N$3:$N$98,$E101)))</f>
        <v/>
      </c>
      <c r="J101" t="str">
        <f>IF($E101="","",IF(INDEX(工数管理!$O$3:$O$98,$E101)="","",INDEX(工数管理!$O$3:$O$98,$E101)))</f>
        <v/>
      </c>
      <c r="K101" t="str">
        <f>IF($E101="","",IF(INDEX(工数管理!$P$3:$P$98,$E101)="","",INDEX(工数管理!$P$3:$P$98,$E101)))</f>
        <v/>
      </c>
      <c r="L101" t="str">
        <f>IF($E101="","",IF(INDEX(工数管理!$Q$3:$Q$98,$E101)="","",INDEX(工数管理!$Q$3:$Q$98,$E101)))</f>
        <v/>
      </c>
      <c r="M101" t="str">
        <f>IF($E101="","",IF(INDEX(工数管理!$R$3:$R$98,$E101)="","",INDEX(工数管理!$R$3:$R$98,$E101)))</f>
        <v/>
      </c>
      <c r="N101" t="str">
        <f>IF($E101="","",IF(INDEX(工数管理!$S$3:$S$98,$E101)="","",INDEX(工数管理!$S$3:$S$98,$E101)))</f>
        <v/>
      </c>
      <c r="O101" t="str">
        <f>IF($E101="","",IF(INDEX(工数管理!$T$3:$T$98,$E101)="","",INDEX(工数管理!$T$3:$T$98,$E101)))</f>
        <v/>
      </c>
      <c r="P101" t="str">
        <f>IF($E101="","",IF(INDEX(工数管理!$U$3:$U$98,$E101)="","",INDEX(工数管理!$U$3:$U$98,$E101)))</f>
        <v/>
      </c>
      <c r="Q101" t="str">
        <f>IF($E101="","",IF(INDEX(工数管理!$V$3:$V$98,$E101)="","",INDEX(工数管理!$V$3:$V$98,$E101)))</f>
        <v/>
      </c>
      <c r="R101" t="str">
        <f>IF($E101="","",IF(INDEX(工数管理!$W$3:$W$98,$E101)="","",INDEX(工数管理!$W$3:$W$98,$E101)))</f>
        <v/>
      </c>
      <c r="S101" t="str">
        <f>IF($E101="","",IF(INDEX(工数管理!$X$3:$X$98,$E101)="","",INDEX(工数管理!$X$3:$X$98,$E101)))</f>
        <v/>
      </c>
      <c r="T101" t="str">
        <f>IF($E101="","",IF(INDEX(工数管理!$Y$3:$Y$98,$E101)="","",INDEX(工数管理!$Y$3:$Y$98,$E101)))</f>
        <v/>
      </c>
      <c r="U101" t="str">
        <f>IF($E101="","",IF(INDEX(工数管理!$Z$3:$Z$98,$E101)="","",INDEX(工数管理!$Z$3:$Z$98,$E101)))</f>
        <v/>
      </c>
      <c r="V101" t="str">
        <f>IF($E101="","",IF(INDEX(工数管理!$AA$3:$AA$98,$E101)="","",INDEX(工数管理!$AA$3:$AA$98,$E101)))</f>
        <v/>
      </c>
      <c r="W101" t="str">
        <f>IF($E101="","",IF(INDEX(工数管理!$AB$3:$AB$98,$E101)="","",INDEX(工数管理!$AB$3:$AB$98,$E101)))</f>
        <v/>
      </c>
      <c r="X101" t="str">
        <f>IF($E101="","",IF(INDEX(工数管理!$AC$3:$AC$98,$E101)="","",INDEX(工数管理!$AC$3:$AC$98,$E101)))</f>
        <v/>
      </c>
      <c r="Y101" t="str">
        <f>IF($E101="","",IF(INDEX(工数管理!$AD$3:$AD$98,$E101)="","",INDEX(工数管理!$AD$3:$AD$98,$E101)))</f>
        <v/>
      </c>
      <c r="Z101" t="str">
        <f>IF($E101="","",IF(INDEX(工数管理!$AE$3:$AE$98,$E101)="","",INDEX(工数管理!$AE$3:$AE$98,$E101)))</f>
        <v/>
      </c>
      <c r="AA101" t="str">
        <f>IF($E101="","",IF(INDEX(工数管理!$AF$3:$AF$98,$E101)="","",INDEX(工数管理!$AF$3:$AF$98,$E101)))</f>
        <v/>
      </c>
      <c r="AB101" t="str">
        <f>IF($E101="","",IF(INDEX(工数管理!$AG$3:$AG$98,$E101)="","",INDEX(工数管理!$AG$3:$AG$98,$E101)))</f>
        <v/>
      </c>
      <c r="AC101" t="str">
        <f>IF($E101="","",IF(INDEX(工数管理!$AH$3:$AH$98,$E101)="","",INDEX(工数管理!$AH$3:$AH$98,$E101)))</f>
        <v/>
      </c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2"/>
      <c r="DN101" s="52"/>
      <c r="DO101" s="52"/>
      <c r="DP101" s="52"/>
      <c r="DQ101" s="52"/>
      <c r="DR101" s="52"/>
      <c r="DS101" s="52"/>
      <c r="DT101" s="52"/>
      <c r="DU101" s="52"/>
      <c r="DV101" s="52"/>
      <c r="DW101" s="52"/>
      <c r="DX101" s="52"/>
      <c r="DY101" s="52"/>
      <c r="DZ101" s="52"/>
      <c r="EA101" s="52"/>
      <c r="EB101" s="52"/>
      <c r="EC101" s="52"/>
      <c r="ED101" s="52"/>
      <c r="EE101" s="52"/>
      <c r="EF101" s="52"/>
      <c r="EG101" s="52"/>
      <c r="EH101" s="52"/>
      <c r="EI101" s="52"/>
      <c r="EJ101" s="52"/>
      <c r="EK101" s="52"/>
      <c r="EL101" s="52"/>
      <c r="EM101" s="52"/>
      <c r="EN101" s="52"/>
      <c r="EO101" s="52"/>
      <c r="EP101" s="52"/>
      <c r="EQ101" s="52"/>
      <c r="ER101" s="52"/>
      <c r="ES101" s="52"/>
      <c r="ET101" s="52"/>
      <c r="EU101" s="52"/>
      <c r="EV101" s="52"/>
      <c r="EW101" s="52"/>
      <c r="EX101" s="52"/>
      <c r="EY101" s="52"/>
      <c r="EZ101" s="52"/>
      <c r="FA101" s="52"/>
      <c r="FB101" s="52"/>
      <c r="FC101" s="52"/>
      <c r="FD101" s="52"/>
      <c r="FE101" s="52"/>
      <c r="FF101" s="52"/>
      <c r="FG101" s="52"/>
      <c r="FH101" s="52"/>
      <c r="FI101" s="52"/>
      <c r="FJ101" s="52"/>
      <c r="FK101" s="52"/>
      <c r="FL101" s="52"/>
      <c r="FM101" s="52"/>
      <c r="FN101" s="52"/>
      <c r="FO101" s="52"/>
      <c r="FP101" s="52"/>
      <c r="FQ101" s="52"/>
      <c r="FR101" s="52"/>
      <c r="FS101" s="52"/>
      <c r="FT101" s="52"/>
      <c r="FU101" s="52"/>
      <c r="FV101" s="52"/>
      <c r="FW101" s="52"/>
      <c r="FX101" s="52"/>
      <c r="FY101" s="52"/>
      <c r="FZ101" s="52"/>
      <c r="GA101" s="52"/>
      <c r="GB101" s="52"/>
      <c r="GC101" s="52"/>
      <c r="GD101" s="52"/>
      <c r="GE101" s="52"/>
      <c r="GF101" s="52"/>
      <c r="GG101" s="52"/>
      <c r="GH101" s="52"/>
      <c r="GI101" s="52"/>
      <c r="GJ101" s="52"/>
      <c r="GK101" s="52"/>
      <c r="GL101" s="52"/>
      <c r="GM101" s="52"/>
      <c r="GN101" s="52"/>
      <c r="GO101" s="52"/>
      <c r="GP101" s="52"/>
      <c r="GQ101" s="52"/>
      <c r="GR101" s="52"/>
      <c r="GS101" s="52"/>
      <c r="GT101" s="52"/>
      <c r="GU101" s="52"/>
      <c r="GV101" s="52"/>
      <c r="GW101" s="52"/>
      <c r="GX101" s="52"/>
      <c r="GY101" s="52"/>
      <c r="GZ101" s="52"/>
      <c r="HA101" s="52"/>
      <c r="HB101" s="52"/>
      <c r="HC101" s="52"/>
      <c r="HD101" s="52"/>
      <c r="HE101" s="52"/>
      <c r="HF101" s="52"/>
      <c r="HG101" s="52"/>
      <c r="HH101" s="52"/>
      <c r="HI101" s="52"/>
      <c r="HJ101" s="52"/>
      <c r="HK101" s="52"/>
      <c r="HL101" s="52"/>
      <c r="HM101" s="52"/>
      <c r="HN101" s="52"/>
      <c r="HO101" s="52"/>
      <c r="HP101" s="52"/>
      <c r="HQ101" s="52"/>
      <c r="HR101" s="52"/>
      <c r="HS101" s="52"/>
      <c r="HT101" s="52"/>
      <c r="HU101" s="52"/>
      <c r="HV101" s="52"/>
      <c r="HW101" s="52"/>
      <c r="HX101" s="52"/>
      <c r="HY101" s="52"/>
      <c r="HZ101" s="52"/>
      <c r="IA101" s="52"/>
      <c r="IB101" s="52"/>
      <c r="IC101" s="52"/>
      <c r="ID101" s="52"/>
      <c r="IE101" s="52"/>
      <c r="IF101" s="52"/>
      <c r="IG101" s="52"/>
      <c r="IH101" s="52"/>
      <c r="II101" s="52"/>
      <c r="IJ101" s="52"/>
      <c r="IK101" s="52"/>
      <c r="IL101" s="52"/>
      <c r="IM101" s="52"/>
      <c r="IN101" s="52"/>
      <c r="IO101" s="52"/>
      <c r="IP101" s="52"/>
      <c r="IQ101" s="52"/>
      <c r="IR101" s="52"/>
      <c r="IS101" s="52"/>
      <c r="IT101" s="52"/>
      <c r="IU101" s="52"/>
      <c r="IV101" s="52"/>
      <c r="IW101" s="52"/>
      <c r="IX101" s="52"/>
      <c r="IY101" s="52"/>
      <c r="IZ101" s="52"/>
      <c r="JA101" s="52"/>
      <c r="JB101" s="52"/>
      <c r="JC101" s="52"/>
      <c r="JD101" s="52"/>
      <c r="JE101" s="52"/>
      <c r="JF101" s="52"/>
      <c r="JG101" s="52"/>
      <c r="JH101" s="52"/>
      <c r="JI101" s="52"/>
      <c r="JL101" t="str">
        <f>IF($E101="","",IF(INDEX(工数管理!$AJ$3:$AJ$98,$E101)&lt;&gt;"",1,0))</f>
        <v/>
      </c>
      <c r="JM101" t="str">
        <f>IF($E101="","",IFERROR(MATCH($A101,祝日!$J$1:$L$1,0),""))</f>
        <v/>
      </c>
    </row>
    <row r="102" spans="1:273" ht="14.25" customHeight="1" x14ac:dyDescent="0.15">
      <c r="A102" s="50" t="str">
        <f>IF($E102="","",IF($JL102=1,INDEX(工数管理!$A$3:$A$98,$E102)&amp;"",IF(INDEX(工数管理!$AK$3:$AK$98,$E102)="","未割当",INDEX(工数管理!$AK$3:$AK$98,$E102))))</f>
        <v/>
      </c>
      <c r="B102" s="51" t="str">
        <f>IF($E102="","",IF($JL102=1,"",INDEX(工数管理!$A$3:$A$98,$E102)&amp;""))</f>
        <v/>
      </c>
      <c r="C102" s="50" t="str">
        <f>IF($E102="","",IF($JL102=1,"",INDEX(工数管理!$B$3:$B$98,$E102)&amp;""))</f>
        <v/>
      </c>
      <c r="D102" s="50" t="str">
        <f>IF($E102="","",INDEX(工数管理!$H$3:$H$98,$E102)&amp;"")</f>
        <v/>
      </c>
      <c r="E102" t="str">
        <f>IFERROR(MATCH(SMALL(工数管理!$BP$3:$BP$98,ROW()-3),工数管理!$BP$3:$BP$98,0),"")</f>
        <v/>
      </c>
      <c r="F102" t="str">
        <f>IF($E102="","",IF(INDEX(工数管理!$K$3:$K$98,$E102)="","",INDEX(工数管理!$K$3:$K$98,$E102)))</f>
        <v/>
      </c>
      <c r="G102" t="str">
        <f>IF($E102="","",IF(INDEX(工数管理!$L$3:$L$98,$E102)="","",INDEX(工数管理!$L$3:$L$98,$E102)))</f>
        <v/>
      </c>
      <c r="H102" t="str">
        <f>IF($E102="","",IF(INDEX(工数管理!$M$3:$M$98,$E102)="","",INDEX(工数管理!$M$3:$M$98,$E102)))</f>
        <v/>
      </c>
      <c r="I102" t="str">
        <f>IF($E102="","",IF(INDEX(工数管理!$N$3:$N$98,$E102)="","",INDEX(工数管理!$N$3:$N$98,$E102)))</f>
        <v/>
      </c>
      <c r="J102" t="str">
        <f>IF($E102="","",IF(INDEX(工数管理!$O$3:$O$98,$E102)="","",INDEX(工数管理!$O$3:$O$98,$E102)))</f>
        <v/>
      </c>
      <c r="K102" t="str">
        <f>IF($E102="","",IF(INDEX(工数管理!$P$3:$P$98,$E102)="","",INDEX(工数管理!$P$3:$P$98,$E102)))</f>
        <v/>
      </c>
      <c r="L102" t="str">
        <f>IF($E102="","",IF(INDEX(工数管理!$Q$3:$Q$98,$E102)="","",INDEX(工数管理!$Q$3:$Q$98,$E102)))</f>
        <v/>
      </c>
      <c r="M102" t="str">
        <f>IF($E102="","",IF(INDEX(工数管理!$R$3:$R$98,$E102)="","",INDEX(工数管理!$R$3:$R$98,$E102)))</f>
        <v/>
      </c>
      <c r="N102" t="str">
        <f>IF($E102="","",IF(INDEX(工数管理!$S$3:$S$98,$E102)="","",INDEX(工数管理!$S$3:$S$98,$E102)))</f>
        <v/>
      </c>
      <c r="O102" t="str">
        <f>IF($E102="","",IF(INDEX(工数管理!$T$3:$T$98,$E102)="","",INDEX(工数管理!$T$3:$T$98,$E102)))</f>
        <v/>
      </c>
      <c r="P102" t="str">
        <f>IF($E102="","",IF(INDEX(工数管理!$U$3:$U$98,$E102)="","",INDEX(工数管理!$U$3:$U$98,$E102)))</f>
        <v/>
      </c>
      <c r="Q102" t="str">
        <f>IF($E102="","",IF(INDEX(工数管理!$V$3:$V$98,$E102)="","",INDEX(工数管理!$V$3:$V$98,$E102)))</f>
        <v/>
      </c>
      <c r="R102" t="str">
        <f>IF($E102="","",IF(INDEX(工数管理!$W$3:$W$98,$E102)="","",INDEX(工数管理!$W$3:$W$98,$E102)))</f>
        <v/>
      </c>
      <c r="S102" t="str">
        <f>IF($E102="","",IF(INDEX(工数管理!$X$3:$X$98,$E102)="","",INDEX(工数管理!$X$3:$X$98,$E102)))</f>
        <v/>
      </c>
      <c r="T102" t="str">
        <f>IF($E102="","",IF(INDEX(工数管理!$Y$3:$Y$98,$E102)="","",INDEX(工数管理!$Y$3:$Y$98,$E102)))</f>
        <v/>
      </c>
      <c r="U102" t="str">
        <f>IF($E102="","",IF(INDEX(工数管理!$Z$3:$Z$98,$E102)="","",INDEX(工数管理!$Z$3:$Z$98,$E102)))</f>
        <v/>
      </c>
      <c r="V102" t="str">
        <f>IF($E102="","",IF(INDEX(工数管理!$AA$3:$AA$98,$E102)="","",INDEX(工数管理!$AA$3:$AA$98,$E102)))</f>
        <v/>
      </c>
      <c r="W102" t="str">
        <f>IF($E102="","",IF(INDEX(工数管理!$AB$3:$AB$98,$E102)="","",INDEX(工数管理!$AB$3:$AB$98,$E102)))</f>
        <v/>
      </c>
      <c r="X102" t="str">
        <f>IF($E102="","",IF(INDEX(工数管理!$AC$3:$AC$98,$E102)="","",INDEX(工数管理!$AC$3:$AC$98,$E102)))</f>
        <v/>
      </c>
      <c r="Y102" t="str">
        <f>IF($E102="","",IF(INDEX(工数管理!$AD$3:$AD$98,$E102)="","",INDEX(工数管理!$AD$3:$AD$98,$E102)))</f>
        <v/>
      </c>
      <c r="Z102" t="str">
        <f>IF($E102="","",IF(INDEX(工数管理!$AE$3:$AE$98,$E102)="","",INDEX(工数管理!$AE$3:$AE$98,$E102)))</f>
        <v/>
      </c>
      <c r="AA102" t="str">
        <f>IF($E102="","",IF(INDEX(工数管理!$AF$3:$AF$98,$E102)="","",INDEX(工数管理!$AF$3:$AF$98,$E102)))</f>
        <v/>
      </c>
      <c r="AB102" t="str">
        <f>IF($E102="","",IF(INDEX(工数管理!$AG$3:$AG$98,$E102)="","",INDEX(工数管理!$AG$3:$AG$98,$E102)))</f>
        <v/>
      </c>
      <c r="AC102" t="str">
        <f>IF($E102="","",IF(INDEX(工数管理!$AH$3:$AH$98,$E102)="","",INDEX(工数管理!$AH$3:$AH$98,$E102)))</f>
        <v/>
      </c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  <c r="CK102" s="52"/>
      <c r="CL102" s="52"/>
      <c r="CM102" s="52"/>
      <c r="CN102" s="52"/>
      <c r="CO102" s="52"/>
      <c r="CP102" s="52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2"/>
      <c r="DC102" s="52"/>
      <c r="DD102" s="52"/>
      <c r="DE102" s="52"/>
      <c r="DF102" s="52"/>
      <c r="DG102" s="52"/>
      <c r="DH102" s="52"/>
      <c r="DI102" s="52"/>
      <c r="DJ102" s="52"/>
      <c r="DK102" s="52"/>
      <c r="DL102" s="52"/>
      <c r="DM102" s="52"/>
      <c r="DN102" s="52"/>
      <c r="DO102" s="52"/>
      <c r="DP102" s="52"/>
      <c r="DQ102" s="52"/>
      <c r="DR102" s="52"/>
      <c r="DS102" s="52"/>
      <c r="DT102" s="52"/>
      <c r="DU102" s="52"/>
      <c r="DV102" s="52"/>
      <c r="DW102" s="52"/>
      <c r="DX102" s="52"/>
      <c r="DY102" s="52"/>
      <c r="DZ102" s="52"/>
      <c r="EA102" s="52"/>
      <c r="EB102" s="52"/>
      <c r="EC102" s="52"/>
      <c r="ED102" s="52"/>
      <c r="EE102" s="52"/>
      <c r="EF102" s="52"/>
      <c r="EG102" s="52"/>
      <c r="EH102" s="52"/>
      <c r="EI102" s="52"/>
      <c r="EJ102" s="52"/>
      <c r="EK102" s="52"/>
      <c r="EL102" s="52"/>
      <c r="EM102" s="52"/>
      <c r="EN102" s="52"/>
      <c r="EO102" s="52"/>
      <c r="EP102" s="52"/>
      <c r="EQ102" s="52"/>
      <c r="ER102" s="52"/>
      <c r="ES102" s="52"/>
      <c r="ET102" s="52"/>
      <c r="EU102" s="52"/>
      <c r="EV102" s="52"/>
      <c r="EW102" s="52"/>
      <c r="EX102" s="52"/>
      <c r="EY102" s="52"/>
      <c r="EZ102" s="52"/>
      <c r="FA102" s="52"/>
      <c r="FB102" s="52"/>
      <c r="FC102" s="52"/>
      <c r="FD102" s="52"/>
      <c r="FE102" s="52"/>
      <c r="FF102" s="52"/>
      <c r="FG102" s="52"/>
      <c r="FH102" s="52"/>
      <c r="FI102" s="52"/>
      <c r="FJ102" s="52"/>
      <c r="FK102" s="52"/>
      <c r="FL102" s="52"/>
      <c r="FM102" s="52"/>
      <c r="FN102" s="52"/>
      <c r="FO102" s="52"/>
      <c r="FP102" s="52"/>
      <c r="FQ102" s="52"/>
      <c r="FR102" s="52"/>
      <c r="FS102" s="52"/>
      <c r="FT102" s="52"/>
      <c r="FU102" s="52"/>
      <c r="FV102" s="52"/>
      <c r="FW102" s="52"/>
      <c r="FX102" s="52"/>
      <c r="FY102" s="52"/>
      <c r="FZ102" s="52"/>
      <c r="GA102" s="52"/>
      <c r="GB102" s="52"/>
      <c r="GC102" s="52"/>
      <c r="GD102" s="52"/>
      <c r="GE102" s="52"/>
      <c r="GF102" s="52"/>
      <c r="GG102" s="52"/>
      <c r="GH102" s="52"/>
      <c r="GI102" s="52"/>
      <c r="GJ102" s="52"/>
      <c r="GK102" s="52"/>
      <c r="GL102" s="52"/>
      <c r="GM102" s="52"/>
      <c r="GN102" s="52"/>
      <c r="GO102" s="52"/>
      <c r="GP102" s="52"/>
      <c r="GQ102" s="52"/>
      <c r="GR102" s="52"/>
      <c r="GS102" s="52"/>
      <c r="GT102" s="52"/>
      <c r="GU102" s="52"/>
      <c r="GV102" s="52"/>
      <c r="GW102" s="52"/>
      <c r="GX102" s="52"/>
      <c r="GY102" s="52"/>
      <c r="GZ102" s="52"/>
      <c r="HA102" s="52"/>
      <c r="HB102" s="52"/>
      <c r="HC102" s="52"/>
      <c r="HD102" s="52"/>
      <c r="HE102" s="52"/>
      <c r="HF102" s="52"/>
      <c r="HG102" s="52"/>
      <c r="HH102" s="52"/>
      <c r="HI102" s="52"/>
      <c r="HJ102" s="52"/>
      <c r="HK102" s="52"/>
      <c r="HL102" s="52"/>
      <c r="HM102" s="52"/>
      <c r="HN102" s="52"/>
      <c r="HO102" s="52"/>
      <c r="HP102" s="52"/>
      <c r="HQ102" s="52"/>
      <c r="HR102" s="52"/>
      <c r="HS102" s="52"/>
      <c r="HT102" s="52"/>
      <c r="HU102" s="52"/>
      <c r="HV102" s="52"/>
      <c r="HW102" s="52"/>
      <c r="HX102" s="52"/>
      <c r="HY102" s="52"/>
      <c r="HZ102" s="52"/>
      <c r="IA102" s="52"/>
      <c r="IB102" s="52"/>
      <c r="IC102" s="52"/>
      <c r="ID102" s="52"/>
      <c r="IE102" s="52"/>
      <c r="IF102" s="52"/>
      <c r="IG102" s="52"/>
      <c r="IH102" s="52"/>
      <c r="II102" s="52"/>
      <c r="IJ102" s="52"/>
      <c r="IK102" s="52"/>
      <c r="IL102" s="52"/>
      <c r="IM102" s="52"/>
      <c r="IN102" s="52"/>
      <c r="IO102" s="52"/>
      <c r="IP102" s="52"/>
      <c r="IQ102" s="52"/>
      <c r="IR102" s="52"/>
      <c r="IS102" s="52"/>
      <c r="IT102" s="52"/>
      <c r="IU102" s="52"/>
      <c r="IV102" s="52"/>
      <c r="IW102" s="52"/>
      <c r="IX102" s="52"/>
      <c r="IY102" s="52"/>
      <c r="IZ102" s="52"/>
      <c r="JA102" s="52"/>
      <c r="JB102" s="52"/>
      <c r="JC102" s="52"/>
      <c r="JD102" s="52"/>
      <c r="JE102" s="52"/>
      <c r="JF102" s="52"/>
      <c r="JG102" s="52"/>
      <c r="JH102" s="52"/>
      <c r="JI102" s="52"/>
      <c r="JL102" t="str">
        <f>IF($E102="","",IF(INDEX(工数管理!$AJ$3:$AJ$98,$E102)&lt;&gt;"",1,0))</f>
        <v/>
      </c>
      <c r="JM102" t="str">
        <f>IF($E102="","",IFERROR(MATCH($A102,祝日!$J$1:$L$1,0),""))</f>
        <v/>
      </c>
    </row>
    <row r="103" spans="1:273" ht="14.25" customHeight="1" x14ac:dyDescent="0.15">
      <c r="A103" s="50" t="str">
        <f>IF($E103="","",IF($JL103=1,INDEX(工数管理!$A$3:$A$98,$E103)&amp;"",IF(INDEX(工数管理!$AK$3:$AK$98,$E103)="","未割当",INDEX(工数管理!$AK$3:$AK$98,$E103))))</f>
        <v/>
      </c>
      <c r="B103" s="51" t="str">
        <f>IF($E103="","",IF($JL103=1,"",INDEX(工数管理!$A$3:$A$98,$E103)&amp;""))</f>
        <v/>
      </c>
      <c r="C103" s="50" t="str">
        <f>IF($E103="","",IF($JL103=1,"",INDEX(工数管理!$B$3:$B$98,$E103)&amp;""))</f>
        <v/>
      </c>
      <c r="D103" s="50" t="str">
        <f>IF($E103="","",INDEX(工数管理!$H$3:$H$98,$E103)&amp;"")</f>
        <v/>
      </c>
      <c r="E103" t="str">
        <f>IFERROR(MATCH(SMALL(工数管理!$BP$3:$BP$98,ROW()-3),工数管理!$BP$3:$BP$98,0),"")</f>
        <v/>
      </c>
      <c r="F103" t="str">
        <f>IF($E103="","",IF(INDEX(工数管理!$K$3:$K$98,$E103)="","",INDEX(工数管理!$K$3:$K$98,$E103)))</f>
        <v/>
      </c>
      <c r="G103" t="str">
        <f>IF($E103="","",IF(INDEX(工数管理!$L$3:$L$98,$E103)="","",INDEX(工数管理!$L$3:$L$98,$E103)))</f>
        <v/>
      </c>
      <c r="H103" t="str">
        <f>IF($E103="","",IF(INDEX(工数管理!$M$3:$M$98,$E103)="","",INDEX(工数管理!$M$3:$M$98,$E103)))</f>
        <v/>
      </c>
      <c r="I103" t="str">
        <f>IF($E103="","",IF(INDEX(工数管理!$N$3:$N$98,$E103)="","",INDEX(工数管理!$N$3:$N$98,$E103)))</f>
        <v/>
      </c>
      <c r="J103" t="str">
        <f>IF($E103="","",IF(INDEX(工数管理!$O$3:$O$98,$E103)="","",INDEX(工数管理!$O$3:$O$98,$E103)))</f>
        <v/>
      </c>
      <c r="K103" t="str">
        <f>IF($E103="","",IF(INDEX(工数管理!$P$3:$P$98,$E103)="","",INDEX(工数管理!$P$3:$P$98,$E103)))</f>
        <v/>
      </c>
      <c r="L103" t="str">
        <f>IF($E103="","",IF(INDEX(工数管理!$Q$3:$Q$98,$E103)="","",INDEX(工数管理!$Q$3:$Q$98,$E103)))</f>
        <v/>
      </c>
      <c r="M103" t="str">
        <f>IF($E103="","",IF(INDEX(工数管理!$R$3:$R$98,$E103)="","",INDEX(工数管理!$R$3:$R$98,$E103)))</f>
        <v/>
      </c>
      <c r="N103" t="str">
        <f>IF($E103="","",IF(INDEX(工数管理!$S$3:$S$98,$E103)="","",INDEX(工数管理!$S$3:$S$98,$E103)))</f>
        <v/>
      </c>
      <c r="O103" t="str">
        <f>IF($E103="","",IF(INDEX(工数管理!$T$3:$T$98,$E103)="","",INDEX(工数管理!$T$3:$T$98,$E103)))</f>
        <v/>
      </c>
      <c r="P103" t="str">
        <f>IF($E103="","",IF(INDEX(工数管理!$U$3:$U$98,$E103)="","",INDEX(工数管理!$U$3:$U$98,$E103)))</f>
        <v/>
      </c>
      <c r="Q103" t="str">
        <f>IF($E103="","",IF(INDEX(工数管理!$V$3:$V$98,$E103)="","",INDEX(工数管理!$V$3:$V$98,$E103)))</f>
        <v/>
      </c>
      <c r="R103" t="str">
        <f>IF($E103="","",IF(INDEX(工数管理!$W$3:$W$98,$E103)="","",INDEX(工数管理!$W$3:$W$98,$E103)))</f>
        <v/>
      </c>
      <c r="S103" t="str">
        <f>IF($E103="","",IF(INDEX(工数管理!$X$3:$X$98,$E103)="","",INDEX(工数管理!$X$3:$X$98,$E103)))</f>
        <v/>
      </c>
      <c r="T103" t="str">
        <f>IF($E103="","",IF(INDEX(工数管理!$Y$3:$Y$98,$E103)="","",INDEX(工数管理!$Y$3:$Y$98,$E103)))</f>
        <v/>
      </c>
      <c r="U103" t="str">
        <f>IF($E103="","",IF(INDEX(工数管理!$Z$3:$Z$98,$E103)="","",INDEX(工数管理!$Z$3:$Z$98,$E103)))</f>
        <v/>
      </c>
      <c r="V103" t="str">
        <f>IF($E103="","",IF(INDEX(工数管理!$AA$3:$AA$98,$E103)="","",INDEX(工数管理!$AA$3:$AA$98,$E103)))</f>
        <v/>
      </c>
      <c r="W103" t="str">
        <f>IF($E103="","",IF(INDEX(工数管理!$AB$3:$AB$98,$E103)="","",INDEX(工数管理!$AB$3:$AB$98,$E103)))</f>
        <v/>
      </c>
      <c r="X103" t="str">
        <f>IF($E103="","",IF(INDEX(工数管理!$AC$3:$AC$98,$E103)="","",INDEX(工数管理!$AC$3:$AC$98,$E103)))</f>
        <v/>
      </c>
      <c r="Y103" t="str">
        <f>IF($E103="","",IF(INDEX(工数管理!$AD$3:$AD$98,$E103)="","",INDEX(工数管理!$AD$3:$AD$98,$E103)))</f>
        <v/>
      </c>
      <c r="Z103" t="str">
        <f>IF($E103="","",IF(INDEX(工数管理!$AE$3:$AE$98,$E103)="","",INDEX(工数管理!$AE$3:$AE$98,$E103)))</f>
        <v/>
      </c>
      <c r="AA103" t="str">
        <f>IF($E103="","",IF(INDEX(工数管理!$AF$3:$AF$98,$E103)="","",INDEX(工数管理!$AF$3:$AF$98,$E103)))</f>
        <v/>
      </c>
      <c r="AB103" t="str">
        <f>IF($E103="","",IF(INDEX(工数管理!$AG$3:$AG$98,$E103)="","",INDEX(工数管理!$AG$3:$AG$98,$E103)))</f>
        <v/>
      </c>
      <c r="AC103" t="str">
        <f>IF($E103="","",IF(INDEX(工数管理!$AH$3:$AH$98,$E103)="","",INDEX(工数管理!$AH$3:$AH$98,$E103)))</f>
        <v/>
      </c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2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  <c r="DI103" s="52"/>
      <c r="DJ103" s="52"/>
      <c r="DK103" s="52"/>
      <c r="DL103" s="52"/>
      <c r="DM103" s="52"/>
      <c r="DN103" s="52"/>
      <c r="DO103" s="52"/>
      <c r="DP103" s="52"/>
      <c r="DQ103" s="52"/>
      <c r="DR103" s="52"/>
      <c r="DS103" s="52"/>
      <c r="DT103" s="52"/>
      <c r="DU103" s="52"/>
      <c r="DV103" s="52"/>
      <c r="DW103" s="52"/>
      <c r="DX103" s="52"/>
      <c r="DY103" s="52"/>
      <c r="DZ103" s="52"/>
      <c r="EA103" s="52"/>
      <c r="EB103" s="52"/>
      <c r="EC103" s="52"/>
      <c r="ED103" s="52"/>
      <c r="EE103" s="52"/>
      <c r="EF103" s="52"/>
      <c r="EG103" s="52"/>
      <c r="EH103" s="52"/>
      <c r="EI103" s="52"/>
      <c r="EJ103" s="52"/>
      <c r="EK103" s="52"/>
      <c r="EL103" s="52"/>
      <c r="EM103" s="52"/>
      <c r="EN103" s="52"/>
      <c r="EO103" s="52"/>
      <c r="EP103" s="52"/>
      <c r="EQ103" s="52"/>
      <c r="ER103" s="52"/>
      <c r="ES103" s="52"/>
      <c r="ET103" s="52"/>
      <c r="EU103" s="52"/>
      <c r="EV103" s="52"/>
      <c r="EW103" s="52"/>
      <c r="EX103" s="52"/>
      <c r="EY103" s="52"/>
      <c r="EZ103" s="52"/>
      <c r="FA103" s="52"/>
      <c r="FB103" s="52"/>
      <c r="FC103" s="52"/>
      <c r="FD103" s="52"/>
      <c r="FE103" s="52"/>
      <c r="FF103" s="52"/>
      <c r="FG103" s="52"/>
      <c r="FH103" s="52"/>
      <c r="FI103" s="52"/>
      <c r="FJ103" s="52"/>
      <c r="FK103" s="52"/>
      <c r="FL103" s="52"/>
      <c r="FM103" s="52"/>
      <c r="FN103" s="52"/>
      <c r="FO103" s="52"/>
      <c r="FP103" s="52"/>
      <c r="FQ103" s="52"/>
      <c r="FR103" s="52"/>
      <c r="FS103" s="52"/>
      <c r="FT103" s="52"/>
      <c r="FU103" s="52"/>
      <c r="FV103" s="52"/>
      <c r="FW103" s="52"/>
      <c r="FX103" s="52"/>
      <c r="FY103" s="52"/>
      <c r="FZ103" s="52"/>
      <c r="GA103" s="52"/>
      <c r="GB103" s="52"/>
      <c r="GC103" s="52"/>
      <c r="GD103" s="52"/>
      <c r="GE103" s="52"/>
      <c r="GF103" s="52"/>
      <c r="GG103" s="52"/>
      <c r="GH103" s="52"/>
      <c r="GI103" s="52"/>
      <c r="GJ103" s="52"/>
      <c r="GK103" s="52"/>
      <c r="GL103" s="52"/>
      <c r="GM103" s="52"/>
      <c r="GN103" s="52"/>
      <c r="GO103" s="52"/>
      <c r="GP103" s="52"/>
      <c r="GQ103" s="52"/>
      <c r="GR103" s="52"/>
      <c r="GS103" s="52"/>
      <c r="GT103" s="52"/>
      <c r="GU103" s="52"/>
      <c r="GV103" s="52"/>
      <c r="GW103" s="52"/>
      <c r="GX103" s="52"/>
      <c r="GY103" s="52"/>
      <c r="GZ103" s="52"/>
      <c r="HA103" s="52"/>
      <c r="HB103" s="52"/>
      <c r="HC103" s="52"/>
      <c r="HD103" s="52"/>
      <c r="HE103" s="52"/>
      <c r="HF103" s="52"/>
      <c r="HG103" s="52"/>
      <c r="HH103" s="52"/>
      <c r="HI103" s="52"/>
      <c r="HJ103" s="52"/>
      <c r="HK103" s="52"/>
      <c r="HL103" s="52"/>
      <c r="HM103" s="52"/>
      <c r="HN103" s="52"/>
      <c r="HO103" s="52"/>
      <c r="HP103" s="52"/>
      <c r="HQ103" s="52"/>
      <c r="HR103" s="52"/>
      <c r="HS103" s="52"/>
      <c r="HT103" s="52"/>
      <c r="HU103" s="52"/>
      <c r="HV103" s="52"/>
      <c r="HW103" s="52"/>
      <c r="HX103" s="52"/>
      <c r="HY103" s="52"/>
      <c r="HZ103" s="52"/>
      <c r="IA103" s="52"/>
      <c r="IB103" s="52"/>
      <c r="IC103" s="52"/>
      <c r="ID103" s="52"/>
      <c r="IE103" s="52"/>
      <c r="IF103" s="52"/>
      <c r="IG103" s="52"/>
      <c r="IH103" s="52"/>
      <c r="II103" s="52"/>
      <c r="IJ103" s="52"/>
      <c r="IK103" s="52"/>
      <c r="IL103" s="52"/>
      <c r="IM103" s="52"/>
      <c r="IN103" s="52"/>
      <c r="IO103" s="52"/>
      <c r="IP103" s="52"/>
      <c r="IQ103" s="52"/>
      <c r="IR103" s="52"/>
      <c r="IS103" s="52"/>
      <c r="IT103" s="52"/>
      <c r="IU103" s="52"/>
      <c r="IV103" s="52"/>
      <c r="IW103" s="52"/>
      <c r="IX103" s="52"/>
      <c r="IY103" s="52"/>
      <c r="IZ103" s="52"/>
      <c r="JA103" s="52"/>
      <c r="JB103" s="52"/>
      <c r="JC103" s="52"/>
      <c r="JD103" s="52"/>
      <c r="JE103" s="52"/>
      <c r="JF103" s="52"/>
      <c r="JG103" s="52"/>
      <c r="JH103" s="52"/>
      <c r="JI103" s="52"/>
      <c r="JL103" t="str">
        <f>IF($E103="","",IF(INDEX(工数管理!$AJ$3:$AJ$98,$E103)&lt;&gt;"",1,0))</f>
        <v/>
      </c>
      <c r="JM103" t="str">
        <f>IF($E103="","",IFERROR(MATCH($A103,祝日!$J$1:$L$1,0),""))</f>
        <v/>
      </c>
    </row>
    <row r="104" spans="1:273" ht="14.25" customHeight="1" x14ac:dyDescent="0.15">
      <c r="A104" s="50" t="str">
        <f>IF($E104="","",IF($JL104=1,INDEX(工数管理!$A$3:$A$98,$E104)&amp;"",IF(INDEX(工数管理!$AK$3:$AK$98,$E104)="","未割当",INDEX(工数管理!$AK$3:$AK$98,$E104))))</f>
        <v/>
      </c>
      <c r="B104" s="51" t="str">
        <f>IF($E104="","",IF($JL104=1,"",INDEX(工数管理!$A$3:$A$98,$E104)&amp;""))</f>
        <v/>
      </c>
      <c r="C104" s="50" t="str">
        <f>IF($E104="","",IF($JL104=1,"",INDEX(工数管理!$B$3:$B$98,$E104)&amp;""))</f>
        <v/>
      </c>
      <c r="D104" s="50" t="str">
        <f>IF($E104="","",INDEX(工数管理!$H$3:$H$98,$E104)&amp;"")</f>
        <v/>
      </c>
      <c r="E104" t="str">
        <f>IFERROR(MATCH(SMALL(工数管理!$BP$3:$BP$98,ROW()-3),工数管理!$BP$3:$BP$98,0),"")</f>
        <v/>
      </c>
      <c r="F104" t="str">
        <f>IF($E104="","",IF(INDEX(工数管理!$K$3:$K$98,$E104)="","",INDEX(工数管理!$K$3:$K$98,$E104)))</f>
        <v/>
      </c>
      <c r="G104" t="str">
        <f>IF($E104="","",IF(INDEX(工数管理!$L$3:$L$98,$E104)="","",INDEX(工数管理!$L$3:$L$98,$E104)))</f>
        <v/>
      </c>
      <c r="H104" t="str">
        <f>IF($E104="","",IF(INDEX(工数管理!$M$3:$M$98,$E104)="","",INDEX(工数管理!$M$3:$M$98,$E104)))</f>
        <v/>
      </c>
      <c r="I104" t="str">
        <f>IF($E104="","",IF(INDEX(工数管理!$N$3:$N$98,$E104)="","",INDEX(工数管理!$N$3:$N$98,$E104)))</f>
        <v/>
      </c>
      <c r="J104" t="str">
        <f>IF($E104="","",IF(INDEX(工数管理!$O$3:$O$98,$E104)="","",INDEX(工数管理!$O$3:$O$98,$E104)))</f>
        <v/>
      </c>
      <c r="K104" t="str">
        <f>IF($E104="","",IF(INDEX(工数管理!$P$3:$P$98,$E104)="","",INDEX(工数管理!$P$3:$P$98,$E104)))</f>
        <v/>
      </c>
      <c r="L104" t="str">
        <f>IF($E104="","",IF(INDEX(工数管理!$Q$3:$Q$98,$E104)="","",INDEX(工数管理!$Q$3:$Q$98,$E104)))</f>
        <v/>
      </c>
      <c r="M104" t="str">
        <f>IF($E104="","",IF(INDEX(工数管理!$R$3:$R$98,$E104)="","",INDEX(工数管理!$R$3:$R$98,$E104)))</f>
        <v/>
      </c>
      <c r="N104" t="str">
        <f>IF($E104="","",IF(INDEX(工数管理!$S$3:$S$98,$E104)="","",INDEX(工数管理!$S$3:$S$98,$E104)))</f>
        <v/>
      </c>
      <c r="O104" t="str">
        <f>IF($E104="","",IF(INDEX(工数管理!$T$3:$T$98,$E104)="","",INDEX(工数管理!$T$3:$T$98,$E104)))</f>
        <v/>
      </c>
      <c r="P104" t="str">
        <f>IF($E104="","",IF(INDEX(工数管理!$U$3:$U$98,$E104)="","",INDEX(工数管理!$U$3:$U$98,$E104)))</f>
        <v/>
      </c>
      <c r="Q104" t="str">
        <f>IF($E104="","",IF(INDEX(工数管理!$V$3:$V$98,$E104)="","",INDEX(工数管理!$V$3:$V$98,$E104)))</f>
        <v/>
      </c>
      <c r="R104" t="str">
        <f>IF($E104="","",IF(INDEX(工数管理!$W$3:$W$98,$E104)="","",INDEX(工数管理!$W$3:$W$98,$E104)))</f>
        <v/>
      </c>
      <c r="S104" t="str">
        <f>IF($E104="","",IF(INDEX(工数管理!$X$3:$X$98,$E104)="","",INDEX(工数管理!$X$3:$X$98,$E104)))</f>
        <v/>
      </c>
      <c r="T104" t="str">
        <f>IF($E104="","",IF(INDEX(工数管理!$Y$3:$Y$98,$E104)="","",INDEX(工数管理!$Y$3:$Y$98,$E104)))</f>
        <v/>
      </c>
      <c r="U104" t="str">
        <f>IF($E104="","",IF(INDEX(工数管理!$Z$3:$Z$98,$E104)="","",INDEX(工数管理!$Z$3:$Z$98,$E104)))</f>
        <v/>
      </c>
      <c r="V104" t="str">
        <f>IF($E104="","",IF(INDEX(工数管理!$AA$3:$AA$98,$E104)="","",INDEX(工数管理!$AA$3:$AA$98,$E104)))</f>
        <v/>
      </c>
      <c r="W104" t="str">
        <f>IF($E104="","",IF(INDEX(工数管理!$AB$3:$AB$98,$E104)="","",INDEX(工数管理!$AB$3:$AB$98,$E104)))</f>
        <v/>
      </c>
      <c r="X104" t="str">
        <f>IF($E104="","",IF(INDEX(工数管理!$AC$3:$AC$98,$E104)="","",INDEX(工数管理!$AC$3:$AC$98,$E104)))</f>
        <v/>
      </c>
      <c r="Y104" t="str">
        <f>IF($E104="","",IF(INDEX(工数管理!$AD$3:$AD$98,$E104)="","",INDEX(工数管理!$AD$3:$AD$98,$E104)))</f>
        <v/>
      </c>
      <c r="Z104" t="str">
        <f>IF($E104="","",IF(INDEX(工数管理!$AE$3:$AE$98,$E104)="","",INDEX(工数管理!$AE$3:$AE$98,$E104)))</f>
        <v/>
      </c>
      <c r="AA104" t="str">
        <f>IF($E104="","",IF(INDEX(工数管理!$AF$3:$AF$98,$E104)="","",INDEX(工数管理!$AF$3:$AF$98,$E104)))</f>
        <v/>
      </c>
      <c r="AB104" t="str">
        <f>IF($E104="","",IF(INDEX(工数管理!$AG$3:$AG$98,$E104)="","",INDEX(工数管理!$AG$3:$AG$98,$E104)))</f>
        <v/>
      </c>
      <c r="AC104" t="str">
        <f>IF($E104="","",IF(INDEX(工数管理!$AH$3:$AH$98,$E104)="","",INDEX(工数管理!$AH$3:$AH$98,$E104)))</f>
        <v/>
      </c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2"/>
      <c r="DN104" s="52"/>
      <c r="DO104" s="52"/>
      <c r="DP104" s="52"/>
      <c r="DQ104" s="52"/>
      <c r="DR104" s="52"/>
      <c r="DS104" s="52"/>
      <c r="DT104" s="52"/>
      <c r="DU104" s="52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  <c r="EH104" s="52"/>
      <c r="EI104" s="52"/>
      <c r="EJ104" s="52"/>
      <c r="EK104" s="52"/>
      <c r="EL104" s="52"/>
      <c r="EM104" s="52"/>
      <c r="EN104" s="52"/>
      <c r="EO104" s="52"/>
      <c r="EP104" s="52"/>
      <c r="EQ104" s="52"/>
      <c r="ER104" s="52"/>
      <c r="ES104" s="52"/>
      <c r="ET104" s="52"/>
      <c r="EU104" s="52"/>
      <c r="EV104" s="52"/>
      <c r="EW104" s="52"/>
      <c r="EX104" s="52"/>
      <c r="EY104" s="52"/>
      <c r="EZ104" s="52"/>
      <c r="FA104" s="52"/>
      <c r="FB104" s="52"/>
      <c r="FC104" s="52"/>
      <c r="FD104" s="52"/>
      <c r="FE104" s="52"/>
      <c r="FF104" s="52"/>
      <c r="FG104" s="52"/>
      <c r="FH104" s="52"/>
      <c r="FI104" s="52"/>
      <c r="FJ104" s="52"/>
      <c r="FK104" s="52"/>
      <c r="FL104" s="52"/>
      <c r="FM104" s="52"/>
      <c r="FN104" s="52"/>
      <c r="FO104" s="52"/>
      <c r="FP104" s="52"/>
      <c r="FQ104" s="52"/>
      <c r="FR104" s="52"/>
      <c r="FS104" s="52"/>
      <c r="FT104" s="52"/>
      <c r="FU104" s="52"/>
      <c r="FV104" s="52"/>
      <c r="FW104" s="52"/>
      <c r="FX104" s="52"/>
      <c r="FY104" s="52"/>
      <c r="FZ104" s="52"/>
      <c r="GA104" s="52"/>
      <c r="GB104" s="52"/>
      <c r="GC104" s="52"/>
      <c r="GD104" s="52"/>
      <c r="GE104" s="52"/>
      <c r="GF104" s="52"/>
      <c r="GG104" s="52"/>
      <c r="GH104" s="52"/>
      <c r="GI104" s="52"/>
      <c r="GJ104" s="52"/>
      <c r="GK104" s="52"/>
      <c r="GL104" s="52"/>
      <c r="GM104" s="52"/>
      <c r="GN104" s="52"/>
      <c r="GO104" s="52"/>
      <c r="GP104" s="52"/>
      <c r="GQ104" s="52"/>
      <c r="GR104" s="52"/>
      <c r="GS104" s="52"/>
      <c r="GT104" s="52"/>
      <c r="GU104" s="52"/>
      <c r="GV104" s="52"/>
      <c r="GW104" s="52"/>
      <c r="GX104" s="52"/>
      <c r="GY104" s="52"/>
      <c r="GZ104" s="52"/>
      <c r="HA104" s="52"/>
      <c r="HB104" s="52"/>
      <c r="HC104" s="52"/>
      <c r="HD104" s="52"/>
      <c r="HE104" s="52"/>
      <c r="HF104" s="52"/>
      <c r="HG104" s="52"/>
      <c r="HH104" s="52"/>
      <c r="HI104" s="52"/>
      <c r="HJ104" s="52"/>
      <c r="HK104" s="52"/>
      <c r="HL104" s="52"/>
      <c r="HM104" s="52"/>
      <c r="HN104" s="52"/>
      <c r="HO104" s="52"/>
      <c r="HP104" s="52"/>
      <c r="HQ104" s="52"/>
      <c r="HR104" s="52"/>
      <c r="HS104" s="52"/>
      <c r="HT104" s="52"/>
      <c r="HU104" s="52"/>
      <c r="HV104" s="52"/>
      <c r="HW104" s="52"/>
      <c r="HX104" s="52"/>
      <c r="HY104" s="52"/>
      <c r="HZ104" s="52"/>
      <c r="IA104" s="52"/>
      <c r="IB104" s="52"/>
      <c r="IC104" s="52"/>
      <c r="ID104" s="52"/>
      <c r="IE104" s="52"/>
      <c r="IF104" s="52"/>
      <c r="IG104" s="52"/>
      <c r="IH104" s="52"/>
      <c r="II104" s="52"/>
      <c r="IJ104" s="52"/>
      <c r="IK104" s="52"/>
      <c r="IL104" s="52"/>
      <c r="IM104" s="52"/>
      <c r="IN104" s="52"/>
      <c r="IO104" s="52"/>
      <c r="IP104" s="52"/>
      <c r="IQ104" s="52"/>
      <c r="IR104" s="52"/>
      <c r="IS104" s="52"/>
      <c r="IT104" s="52"/>
      <c r="IU104" s="52"/>
      <c r="IV104" s="52"/>
      <c r="IW104" s="52"/>
      <c r="IX104" s="52"/>
      <c r="IY104" s="52"/>
      <c r="IZ104" s="52"/>
      <c r="JA104" s="52"/>
      <c r="JB104" s="52"/>
      <c r="JC104" s="52"/>
      <c r="JD104" s="52"/>
      <c r="JE104" s="52"/>
      <c r="JF104" s="52"/>
      <c r="JG104" s="52"/>
      <c r="JH104" s="52"/>
      <c r="JI104" s="52"/>
      <c r="JL104" t="str">
        <f>IF($E104="","",IF(INDEX(工数管理!$AJ$3:$AJ$98,$E104)&lt;&gt;"",1,0))</f>
        <v/>
      </c>
      <c r="JM104" t="str">
        <f>IF($E104="","",IFERROR(MATCH($A104,祝日!$J$1:$L$1,0),""))</f>
        <v/>
      </c>
    </row>
    <row r="105" spans="1:273" ht="14.25" customHeight="1" x14ac:dyDescent="0.15">
      <c r="A105" s="50" t="str">
        <f>IF($E105="","",IF($JL105=1,INDEX(工数管理!$A$3:$A$98,$E105)&amp;"",IF(INDEX(工数管理!$AK$3:$AK$98,$E105)="","未割当",INDEX(工数管理!$AK$3:$AK$98,$E105))))</f>
        <v/>
      </c>
      <c r="B105" s="51" t="str">
        <f>IF($E105="","",IF($JL105=1,"",INDEX(工数管理!$A$3:$A$98,$E105)&amp;""))</f>
        <v/>
      </c>
      <c r="C105" s="50" t="str">
        <f>IF($E105="","",IF($JL105=1,"",INDEX(工数管理!$B$3:$B$98,$E105)&amp;""))</f>
        <v/>
      </c>
      <c r="D105" s="50" t="str">
        <f>IF($E105="","",INDEX(工数管理!$H$3:$H$98,$E105)&amp;"")</f>
        <v/>
      </c>
      <c r="E105" t="str">
        <f>IFERROR(MATCH(SMALL(工数管理!$BP$3:$BP$98,ROW()-3),工数管理!$BP$3:$BP$98,0),"")</f>
        <v/>
      </c>
      <c r="F105" t="str">
        <f>IF($E105="","",IF(INDEX(工数管理!$K$3:$K$98,$E105)="","",INDEX(工数管理!$K$3:$K$98,$E105)))</f>
        <v/>
      </c>
      <c r="G105" t="str">
        <f>IF($E105="","",IF(INDEX(工数管理!$L$3:$L$98,$E105)="","",INDEX(工数管理!$L$3:$L$98,$E105)))</f>
        <v/>
      </c>
      <c r="H105" t="str">
        <f>IF($E105="","",IF(INDEX(工数管理!$M$3:$M$98,$E105)="","",INDEX(工数管理!$M$3:$M$98,$E105)))</f>
        <v/>
      </c>
      <c r="I105" t="str">
        <f>IF($E105="","",IF(INDEX(工数管理!$N$3:$N$98,$E105)="","",INDEX(工数管理!$N$3:$N$98,$E105)))</f>
        <v/>
      </c>
      <c r="J105" t="str">
        <f>IF($E105="","",IF(INDEX(工数管理!$O$3:$O$98,$E105)="","",INDEX(工数管理!$O$3:$O$98,$E105)))</f>
        <v/>
      </c>
      <c r="K105" t="str">
        <f>IF($E105="","",IF(INDEX(工数管理!$P$3:$P$98,$E105)="","",INDEX(工数管理!$P$3:$P$98,$E105)))</f>
        <v/>
      </c>
      <c r="L105" t="str">
        <f>IF($E105="","",IF(INDEX(工数管理!$Q$3:$Q$98,$E105)="","",INDEX(工数管理!$Q$3:$Q$98,$E105)))</f>
        <v/>
      </c>
      <c r="M105" t="str">
        <f>IF($E105="","",IF(INDEX(工数管理!$R$3:$R$98,$E105)="","",INDEX(工数管理!$R$3:$R$98,$E105)))</f>
        <v/>
      </c>
      <c r="N105" t="str">
        <f>IF($E105="","",IF(INDEX(工数管理!$S$3:$S$98,$E105)="","",INDEX(工数管理!$S$3:$S$98,$E105)))</f>
        <v/>
      </c>
      <c r="O105" t="str">
        <f>IF($E105="","",IF(INDEX(工数管理!$T$3:$T$98,$E105)="","",INDEX(工数管理!$T$3:$T$98,$E105)))</f>
        <v/>
      </c>
      <c r="P105" t="str">
        <f>IF($E105="","",IF(INDEX(工数管理!$U$3:$U$98,$E105)="","",INDEX(工数管理!$U$3:$U$98,$E105)))</f>
        <v/>
      </c>
      <c r="Q105" t="str">
        <f>IF($E105="","",IF(INDEX(工数管理!$V$3:$V$98,$E105)="","",INDEX(工数管理!$V$3:$V$98,$E105)))</f>
        <v/>
      </c>
      <c r="R105" t="str">
        <f>IF($E105="","",IF(INDEX(工数管理!$W$3:$W$98,$E105)="","",INDEX(工数管理!$W$3:$W$98,$E105)))</f>
        <v/>
      </c>
      <c r="S105" t="str">
        <f>IF($E105="","",IF(INDEX(工数管理!$X$3:$X$98,$E105)="","",INDEX(工数管理!$X$3:$X$98,$E105)))</f>
        <v/>
      </c>
      <c r="T105" t="str">
        <f>IF($E105="","",IF(INDEX(工数管理!$Y$3:$Y$98,$E105)="","",INDEX(工数管理!$Y$3:$Y$98,$E105)))</f>
        <v/>
      </c>
      <c r="U105" t="str">
        <f>IF($E105="","",IF(INDEX(工数管理!$Z$3:$Z$98,$E105)="","",INDEX(工数管理!$Z$3:$Z$98,$E105)))</f>
        <v/>
      </c>
      <c r="V105" t="str">
        <f>IF($E105="","",IF(INDEX(工数管理!$AA$3:$AA$98,$E105)="","",INDEX(工数管理!$AA$3:$AA$98,$E105)))</f>
        <v/>
      </c>
      <c r="W105" t="str">
        <f>IF($E105="","",IF(INDEX(工数管理!$AB$3:$AB$98,$E105)="","",INDEX(工数管理!$AB$3:$AB$98,$E105)))</f>
        <v/>
      </c>
      <c r="X105" t="str">
        <f>IF($E105="","",IF(INDEX(工数管理!$AC$3:$AC$98,$E105)="","",INDEX(工数管理!$AC$3:$AC$98,$E105)))</f>
        <v/>
      </c>
      <c r="Y105" t="str">
        <f>IF($E105="","",IF(INDEX(工数管理!$AD$3:$AD$98,$E105)="","",INDEX(工数管理!$AD$3:$AD$98,$E105)))</f>
        <v/>
      </c>
      <c r="Z105" t="str">
        <f>IF($E105="","",IF(INDEX(工数管理!$AE$3:$AE$98,$E105)="","",INDEX(工数管理!$AE$3:$AE$98,$E105)))</f>
        <v/>
      </c>
      <c r="AA105" t="str">
        <f>IF($E105="","",IF(INDEX(工数管理!$AF$3:$AF$98,$E105)="","",INDEX(工数管理!$AF$3:$AF$98,$E105)))</f>
        <v/>
      </c>
      <c r="AB105" t="str">
        <f>IF($E105="","",IF(INDEX(工数管理!$AG$3:$AG$98,$E105)="","",INDEX(工数管理!$AG$3:$AG$98,$E105)))</f>
        <v/>
      </c>
      <c r="AC105" t="str">
        <f>IF($E105="","",IF(INDEX(工数管理!$AH$3:$AH$98,$E105)="","",INDEX(工数管理!$AH$3:$AH$98,$E105)))</f>
        <v/>
      </c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  <c r="DN105" s="52"/>
      <c r="DO105" s="52"/>
      <c r="DP105" s="52"/>
      <c r="DQ105" s="52"/>
      <c r="DR105" s="52"/>
      <c r="DS105" s="52"/>
      <c r="DT105" s="52"/>
      <c r="DU105" s="52"/>
      <c r="DV105" s="52"/>
      <c r="DW105" s="52"/>
      <c r="DX105" s="52"/>
      <c r="DY105" s="52"/>
      <c r="DZ105" s="52"/>
      <c r="EA105" s="52"/>
      <c r="EB105" s="52"/>
      <c r="EC105" s="52"/>
      <c r="ED105" s="52"/>
      <c r="EE105" s="52"/>
      <c r="EF105" s="52"/>
      <c r="EG105" s="52"/>
      <c r="EH105" s="52"/>
      <c r="EI105" s="52"/>
      <c r="EJ105" s="52"/>
      <c r="EK105" s="52"/>
      <c r="EL105" s="52"/>
      <c r="EM105" s="52"/>
      <c r="EN105" s="52"/>
      <c r="EO105" s="52"/>
      <c r="EP105" s="52"/>
      <c r="EQ105" s="52"/>
      <c r="ER105" s="52"/>
      <c r="ES105" s="52"/>
      <c r="ET105" s="52"/>
      <c r="EU105" s="52"/>
      <c r="EV105" s="52"/>
      <c r="EW105" s="52"/>
      <c r="EX105" s="52"/>
      <c r="EY105" s="52"/>
      <c r="EZ105" s="52"/>
      <c r="FA105" s="52"/>
      <c r="FB105" s="52"/>
      <c r="FC105" s="52"/>
      <c r="FD105" s="52"/>
      <c r="FE105" s="52"/>
      <c r="FF105" s="52"/>
      <c r="FG105" s="52"/>
      <c r="FH105" s="52"/>
      <c r="FI105" s="52"/>
      <c r="FJ105" s="52"/>
      <c r="FK105" s="52"/>
      <c r="FL105" s="52"/>
      <c r="FM105" s="52"/>
      <c r="FN105" s="52"/>
      <c r="FO105" s="52"/>
      <c r="FP105" s="52"/>
      <c r="FQ105" s="52"/>
      <c r="FR105" s="52"/>
      <c r="FS105" s="52"/>
      <c r="FT105" s="52"/>
      <c r="FU105" s="52"/>
      <c r="FV105" s="52"/>
      <c r="FW105" s="52"/>
      <c r="FX105" s="52"/>
      <c r="FY105" s="52"/>
      <c r="FZ105" s="52"/>
      <c r="GA105" s="52"/>
      <c r="GB105" s="52"/>
      <c r="GC105" s="52"/>
      <c r="GD105" s="52"/>
      <c r="GE105" s="52"/>
      <c r="GF105" s="52"/>
      <c r="GG105" s="52"/>
      <c r="GH105" s="52"/>
      <c r="GI105" s="52"/>
      <c r="GJ105" s="52"/>
      <c r="GK105" s="52"/>
      <c r="GL105" s="52"/>
      <c r="GM105" s="52"/>
      <c r="GN105" s="52"/>
      <c r="GO105" s="52"/>
      <c r="GP105" s="52"/>
      <c r="GQ105" s="52"/>
      <c r="GR105" s="52"/>
      <c r="GS105" s="52"/>
      <c r="GT105" s="52"/>
      <c r="GU105" s="52"/>
      <c r="GV105" s="52"/>
      <c r="GW105" s="52"/>
      <c r="GX105" s="52"/>
      <c r="GY105" s="52"/>
      <c r="GZ105" s="52"/>
      <c r="HA105" s="52"/>
      <c r="HB105" s="52"/>
      <c r="HC105" s="52"/>
      <c r="HD105" s="52"/>
      <c r="HE105" s="52"/>
      <c r="HF105" s="52"/>
      <c r="HG105" s="52"/>
      <c r="HH105" s="52"/>
      <c r="HI105" s="52"/>
      <c r="HJ105" s="52"/>
      <c r="HK105" s="52"/>
      <c r="HL105" s="52"/>
      <c r="HM105" s="52"/>
      <c r="HN105" s="52"/>
      <c r="HO105" s="52"/>
      <c r="HP105" s="52"/>
      <c r="HQ105" s="52"/>
      <c r="HR105" s="52"/>
      <c r="HS105" s="52"/>
      <c r="HT105" s="52"/>
      <c r="HU105" s="52"/>
      <c r="HV105" s="52"/>
      <c r="HW105" s="52"/>
      <c r="HX105" s="52"/>
      <c r="HY105" s="52"/>
      <c r="HZ105" s="52"/>
      <c r="IA105" s="52"/>
      <c r="IB105" s="52"/>
      <c r="IC105" s="52"/>
      <c r="ID105" s="52"/>
      <c r="IE105" s="52"/>
      <c r="IF105" s="52"/>
      <c r="IG105" s="52"/>
      <c r="IH105" s="52"/>
      <c r="II105" s="52"/>
      <c r="IJ105" s="52"/>
      <c r="IK105" s="52"/>
      <c r="IL105" s="52"/>
      <c r="IM105" s="52"/>
      <c r="IN105" s="52"/>
      <c r="IO105" s="52"/>
      <c r="IP105" s="52"/>
      <c r="IQ105" s="52"/>
      <c r="IR105" s="52"/>
      <c r="IS105" s="52"/>
      <c r="IT105" s="52"/>
      <c r="IU105" s="52"/>
      <c r="IV105" s="52"/>
      <c r="IW105" s="52"/>
      <c r="IX105" s="52"/>
      <c r="IY105" s="52"/>
      <c r="IZ105" s="52"/>
      <c r="JA105" s="52"/>
      <c r="JB105" s="52"/>
      <c r="JC105" s="52"/>
      <c r="JD105" s="52"/>
      <c r="JE105" s="52"/>
      <c r="JF105" s="52"/>
      <c r="JG105" s="52"/>
      <c r="JH105" s="52"/>
      <c r="JI105" s="52"/>
      <c r="JL105" t="str">
        <f>IF($E105="","",IF(INDEX(工数管理!$AJ$3:$AJ$98,$E105)&lt;&gt;"",1,0))</f>
        <v/>
      </c>
      <c r="JM105" t="str">
        <f>IF($E105="","",IFERROR(MATCH($A105,祝日!$J$1:$L$1,0),""))</f>
        <v/>
      </c>
    </row>
    <row r="106" spans="1:273" ht="14.25" customHeight="1" x14ac:dyDescent="0.15">
      <c r="A106" s="50" t="str">
        <f>IF($E106="","",IF($JL106=1,INDEX(工数管理!$A$3:$A$98,$E106)&amp;"",IF(INDEX(工数管理!$AK$3:$AK$98,$E106)="","未割当",INDEX(工数管理!$AK$3:$AK$98,$E106))))</f>
        <v/>
      </c>
      <c r="B106" s="51" t="str">
        <f>IF($E106="","",IF($JL106=1,"",INDEX(工数管理!$A$3:$A$98,$E106)&amp;""))</f>
        <v/>
      </c>
      <c r="C106" s="50" t="str">
        <f>IF($E106="","",IF($JL106=1,"",INDEX(工数管理!$B$3:$B$98,$E106)&amp;""))</f>
        <v/>
      </c>
      <c r="D106" s="50" t="str">
        <f>IF($E106="","",INDEX(工数管理!$H$3:$H$98,$E106)&amp;"")</f>
        <v/>
      </c>
      <c r="E106" t="str">
        <f>IFERROR(MATCH(SMALL(工数管理!$BP$3:$BP$98,ROW()-3),工数管理!$BP$3:$BP$98,0),"")</f>
        <v/>
      </c>
      <c r="F106" t="str">
        <f>IF($E106="","",IF(INDEX(工数管理!$K$3:$K$98,$E106)="","",INDEX(工数管理!$K$3:$K$98,$E106)))</f>
        <v/>
      </c>
      <c r="G106" t="str">
        <f>IF($E106="","",IF(INDEX(工数管理!$L$3:$L$98,$E106)="","",INDEX(工数管理!$L$3:$L$98,$E106)))</f>
        <v/>
      </c>
      <c r="H106" t="str">
        <f>IF($E106="","",IF(INDEX(工数管理!$M$3:$M$98,$E106)="","",INDEX(工数管理!$M$3:$M$98,$E106)))</f>
        <v/>
      </c>
      <c r="I106" t="str">
        <f>IF($E106="","",IF(INDEX(工数管理!$N$3:$N$98,$E106)="","",INDEX(工数管理!$N$3:$N$98,$E106)))</f>
        <v/>
      </c>
      <c r="J106" t="str">
        <f>IF($E106="","",IF(INDEX(工数管理!$O$3:$O$98,$E106)="","",INDEX(工数管理!$O$3:$O$98,$E106)))</f>
        <v/>
      </c>
      <c r="K106" t="str">
        <f>IF($E106="","",IF(INDEX(工数管理!$P$3:$P$98,$E106)="","",INDEX(工数管理!$P$3:$P$98,$E106)))</f>
        <v/>
      </c>
      <c r="L106" t="str">
        <f>IF($E106="","",IF(INDEX(工数管理!$Q$3:$Q$98,$E106)="","",INDEX(工数管理!$Q$3:$Q$98,$E106)))</f>
        <v/>
      </c>
      <c r="M106" t="str">
        <f>IF($E106="","",IF(INDEX(工数管理!$R$3:$R$98,$E106)="","",INDEX(工数管理!$R$3:$R$98,$E106)))</f>
        <v/>
      </c>
      <c r="N106" t="str">
        <f>IF($E106="","",IF(INDEX(工数管理!$S$3:$S$98,$E106)="","",INDEX(工数管理!$S$3:$S$98,$E106)))</f>
        <v/>
      </c>
      <c r="O106" t="str">
        <f>IF($E106="","",IF(INDEX(工数管理!$T$3:$T$98,$E106)="","",INDEX(工数管理!$T$3:$T$98,$E106)))</f>
        <v/>
      </c>
      <c r="P106" t="str">
        <f>IF($E106="","",IF(INDEX(工数管理!$U$3:$U$98,$E106)="","",INDEX(工数管理!$U$3:$U$98,$E106)))</f>
        <v/>
      </c>
      <c r="Q106" t="str">
        <f>IF($E106="","",IF(INDEX(工数管理!$V$3:$V$98,$E106)="","",INDEX(工数管理!$V$3:$V$98,$E106)))</f>
        <v/>
      </c>
      <c r="R106" t="str">
        <f>IF($E106="","",IF(INDEX(工数管理!$W$3:$W$98,$E106)="","",INDEX(工数管理!$W$3:$W$98,$E106)))</f>
        <v/>
      </c>
      <c r="S106" t="str">
        <f>IF($E106="","",IF(INDEX(工数管理!$X$3:$X$98,$E106)="","",INDEX(工数管理!$X$3:$X$98,$E106)))</f>
        <v/>
      </c>
      <c r="T106" t="str">
        <f>IF($E106="","",IF(INDEX(工数管理!$Y$3:$Y$98,$E106)="","",INDEX(工数管理!$Y$3:$Y$98,$E106)))</f>
        <v/>
      </c>
      <c r="U106" t="str">
        <f>IF($E106="","",IF(INDEX(工数管理!$Z$3:$Z$98,$E106)="","",INDEX(工数管理!$Z$3:$Z$98,$E106)))</f>
        <v/>
      </c>
      <c r="V106" t="str">
        <f>IF($E106="","",IF(INDEX(工数管理!$AA$3:$AA$98,$E106)="","",INDEX(工数管理!$AA$3:$AA$98,$E106)))</f>
        <v/>
      </c>
      <c r="W106" t="str">
        <f>IF($E106="","",IF(INDEX(工数管理!$AB$3:$AB$98,$E106)="","",INDEX(工数管理!$AB$3:$AB$98,$E106)))</f>
        <v/>
      </c>
      <c r="X106" t="str">
        <f>IF($E106="","",IF(INDEX(工数管理!$AC$3:$AC$98,$E106)="","",INDEX(工数管理!$AC$3:$AC$98,$E106)))</f>
        <v/>
      </c>
      <c r="Y106" t="str">
        <f>IF($E106="","",IF(INDEX(工数管理!$AD$3:$AD$98,$E106)="","",INDEX(工数管理!$AD$3:$AD$98,$E106)))</f>
        <v/>
      </c>
      <c r="Z106" t="str">
        <f>IF($E106="","",IF(INDEX(工数管理!$AE$3:$AE$98,$E106)="","",INDEX(工数管理!$AE$3:$AE$98,$E106)))</f>
        <v/>
      </c>
      <c r="AA106" t="str">
        <f>IF($E106="","",IF(INDEX(工数管理!$AF$3:$AF$98,$E106)="","",INDEX(工数管理!$AF$3:$AF$98,$E106)))</f>
        <v/>
      </c>
      <c r="AB106" t="str">
        <f>IF($E106="","",IF(INDEX(工数管理!$AG$3:$AG$98,$E106)="","",INDEX(工数管理!$AG$3:$AG$98,$E106)))</f>
        <v/>
      </c>
      <c r="AC106" t="str">
        <f>IF($E106="","",IF(INDEX(工数管理!$AH$3:$AH$98,$E106)="","",INDEX(工数管理!$AH$3:$AH$98,$E106)))</f>
        <v/>
      </c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  <c r="DN106" s="52"/>
      <c r="DO106" s="52"/>
      <c r="DP106" s="52"/>
      <c r="DQ106" s="52"/>
      <c r="DR106" s="52"/>
      <c r="DS106" s="52"/>
      <c r="DT106" s="52"/>
      <c r="DU106" s="52"/>
      <c r="DV106" s="52"/>
      <c r="DW106" s="52"/>
      <c r="DX106" s="52"/>
      <c r="DY106" s="52"/>
      <c r="DZ106" s="52"/>
      <c r="EA106" s="52"/>
      <c r="EB106" s="52"/>
      <c r="EC106" s="52"/>
      <c r="ED106" s="52"/>
      <c r="EE106" s="52"/>
      <c r="EF106" s="52"/>
      <c r="EG106" s="52"/>
      <c r="EH106" s="52"/>
      <c r="EI106" s="52"/>
      <c r="EJ106" s="52"/>
      <c r="EK106" s="52"/>
      <c r="EL106" s="52"/>
      <c r="EM106" s="52"/>
      <c r="EN106" s="52"/>
      <c r="EO106" s="52"/>
      <c r="EP106" s="52"/>
      <c r="EQ106" s="52"/>
      <c r="ER106" s="52"/>
      <c r="ES106" s="52"/>
      <c r="ET106" s="52"/>
      <c r="EU106" s="52"/>
      <c r="EV106" s="52"/>
      <c r="EW106" s="52"/>
      <c r="EX106" s="52"/>
      <c r="EY106" s="52"/>
      <c r="EZ106" s="52"/>
      <c r="FA106" s="52"/>
      <c r="FB106" s="52"/>
      <c r="FC106" s="52"/>
      <c r="FD106" s="52"/>
      <c r="FE106" s="52"/>
      <c r="FF106" s="52"/>
      <c r="FG106" s="52"/>
      <c r="FH106" s="52"/>
      <c r="FI106" s="52"/>
      <c r="FJ106" s="52"/>
      <c r="FK106" s="52"/>
      <c r="FL106" s="52"/>
      <c r="FM106" s="52"/>
      <c r="FN106" s="52"/>
      <c r="FO106" s="52"/>
      <c r="FP106" s="52"/>
      <c r="FQ106" s="52"/>
      <c r="FR106" s="52"/>
      <c r="FS106" s="52"/>
      <c r="FT106" s="52"/>
      <c r="FU106" s="52"/>
      <c r="FV106" s="52"/>
      <c r="FW106" s="52"/>
      <c r="FX106" s="52"/>
      <c r="FY106" s="52"/>
      <c r="FZ106" s="52"/>
      <c r="GA106" s="52"/>
      <c r="GB106" s="52"/>
      <c r="GC106" s="52"/>
      <c r="GD106" s="52"/>
      <c r="GE106" s="52"/>
      <c r="GF106" s="52"/>
      <c r="GG106" s="52"/>
      <c r="GH106" s="52"/>
      <c r="GI106" s="52"/>
      <c r="GJ106" s="52"/>
      <c r="GK106" s="52"/>
      <c r="GL106" s="52"/>
      <c r="GM106" s="52"/>
      <c r="GN106" s="52"/>
      <c r="GO106" s="52"/>
      <c r="GP106" s="52"/>
      <c r="GQ106" s="52"/>
      <c r="GR106" s="52"/>
      <c r="GS106" s="52"/>
      <c r="GT106" s="52"/>
      <c r="GU106" s="52"/>
      <c r="GV106" s="52"/>
      <c r="GW106" s="52"/>
      <c r="GX106" s="52"/>
      <c r="GY106" s="52"/>
      <c r="GZ106" s="52"/>
      <c r="HA106" s="52"/>
      <c r="HB106" s="52"/>
      <c r="HC106" s="52"/>
      <c r="HD106" s="52"/>
      <c r="HE106" s="52"/>
      <c r="HF106" s="52"/>
      <c r="HG106" s="52"/>
      <c r="HH106" s="52"/>
      <c r="HI106" s="52"/>
      <c r="HJ106" s="52"/>
      <c r="HK106" s="52"/>
      <c r="HL106" s="52"/>
      <c r="HM106" s="52"/>
      <c r="HN106" s="52"/>
      <c r="HO106" s="52"/>
      <c r="HP106" s="52"/>
      <c r="HQ106" s="52"/>
      <c r="HR106" s="52"/>
      <c r="HS106" s="52"/>
      <c r="HT106" s="52"/>
      <c r="HU106" s="52"/>
      <c r="HV106" s="52"/>
      <c r="HW106" s="52"/>
      <c r="HX106" s="52"/>
      <c r="HY106" s="52"/>
      <c r="HZ106" s="52"/>
      <c r="IA106" s="52"/>
      <c r="IB106" s="52"/>
      <c r="IC106" s="52"/>
      <c r="ID106" s="52"/>
      <c r="IE106" s="52"/>
      <c r="IF106" s="52"/>
      <c r="IG106" s="52"/>
      <c r="IH106" s="52"/>
      <c r="II106" s="52"/>
      <c r="IJ106" s="52"/>
      <c r="IK106" s="52"/>
      <c r="IL106" s="52"/>
      <c r="IM106" s="52"/>
      <c r="IN106" s="52"/>
      <c r="IO106" s="52"/>
      <c r="IP106" s="52"/>
      <c r="IQ106" s="52"/>
      <c r="IR106" s="52"/>
      <c r="IS106" s="52"/>
      <c r="IT106" s="52"/>
      <c r="IU106" s="52"/>
      <c r="IV106" s="52"/>
      <c r="IW106" s="52"/>
      <c r="IX106" s="52"/>
      <c r="IY106" s="52"/>
      <c r="IZ106" s="52"/>
      <c r="JA106" s="52"/>
      <c r="JB106" s="52"/>
      <c r="JC106" s="52"/>
      <c r="JD106" s="52"/>
      <c r="JE106" s="52"/>
      <c r="JF106" s="52"/>
      <c r="JG106" s="52"/>
      <c r="JH106" s="52"/>
      <c r="JI106" s="52"/>
      <c r="JL106" t="str">
        <f>IF($E106="","",IF(INDEX(工数管理!$AJ$3:$AJ$98,$E106)&lt;&gt;"",1,0))</f>
        <v/>
      </c>
      <c r="JM106" t="str">
        <f>IF($E106="","",IFERROR(MATCH($A106,祝日!$J$1:$L$1,0),""))</f>
        <v/>
      </c>
    </row>
    <row r="107" spans="1:273" ht="14.25" customHeight="1" x14ac:dyDescent="0.15">
      <c r="A107" s="50" t="str">
        <f>IF($E107="","",IF($JL107=1,INDEX(工数管理!$A$3:$A$98,$E107)&amp;"",IF(INDEX(工数管理!$AK$3:$AK$98,$E107)="","未割当",INDEX(工数管理!$AK$3:$AK$98,$E107))))</f>
        <v/>
      </c>
      <c r="B107" s="51" t="str">
        <f>IF($E107="","",IF($JL107=1,"",INDEX(工数管理!$A$3:$A$98,$E107)&amp;""))</f>
        <v/>
      </c>
      <c r="C107" s="50" t="str">
        <f>IF($E107="","",IF($JL107=1,"",INDEX(工数管理!$B$3:$B$98,$E107)&amp;""))</f>
        <v/>
      </c>
      <c r="D107" s="50" t="str">
        <f>IF($E107="","",INDEX(工数管理!$H$3:$H$98,$E107)&amp;"")</f>
        <v/>
      </c>
      <c r="E107" t="str">
        <f>IFERROR(MATCH(SMALL(工数管理!$BP$3:$BP$98,ROW()-3),工数管理!$BP$3:$BP$98,0),"")</f>
        <v/>
      </c>
      <c r="F107" t="str">
        <f>IF($E107="","",IF(INDEX(工数管理!$K$3:$K$98,$E107)="","",INDEX(工数管理!$K$3:$K$98,$E107)))</f>
        <v/>
      </c>
      <c r="G107" t="str">
        <f>IF($E107="","",IF(INDEX(工数管理!$L$3:$L$98,$E107)="","",INDEX(工数管理!$L$3:$L$98,$E107)))</f>
        <v/>
      </c>
      <c r="H107" t="str">
        <f>IF($E107="","",IF(INDEX(工数管理!$M$3:$M$98,$E107)="","",INDEX(工数管理!$M$3:$M$98,$E107)))</f>
        <v/>
      </c>
      <c r="I107" t="str">
        <f>IF($E107="","",IF(INDEX(工数管理!$N$3:$N$98,$E107)="","",INDEX(工数管理!$N$3:$N$98,$E107)))</f>
        <v/>
      </c>
      <c r="J107" t="str">
        <f>IF($E107="","",IF(INDEX(工数管理!$O$3:$O$98,$E107)="","",INDEX(工数管理!$O$3:$O$98,$E107)))</f>
        <v/>
      </c>
      <c r="K107" t="str">
        <f>IF($E107="","",IF(INDEX(工数管理!$P$3:$P$98,$E107)="","",INDEX(工数管理!$P$3:$P$98,$E107)))</f>
        <v/>
      </c>
      <c r="L107" t="str">
        <f>IF($E107="","",IF(INDEX(工数管理!$Q$3:$Q$98,$E107)="","",INDEX(工数管理!$Q$3:$Q$98,$E107)))</f>
        <v/>
      </c>
      <c r="M107" t="str">
        <f>IF($E107="","",IF(INDEX(工数管理!$R$3:$R$98,$E107)="","",INDEX(工数管理!$R$3:$R$98,$E107)))</f>
        <v/>
      </c>
      <c r="N107" t="str">
        <f>IF($E107="","",IF(INDEX(工数管理!$S$3:$S$98,$E107)="","",INDEX(工数管理!$S$3:$S$98,$E107)))</f>
        <v/>
      </c>
      <c r="O107" t="str">
        <f>IF($E107="","",IF(INDEX(工数管理!$T$3:$T$98,$E107)="","",INDEX(工数管理!$T$3:$T$98,$E107)))</f>
        <v/>
      </c>
      <c r="P107" t="str">
        <f>IF($E107="","",IF(INDEX(工数管理!$U$3:$U$98,$E107)="","",INDEX(工数管理!$U$3:$U$98,$E107)))</f>
        <v/>
      </c>
      <c r="Q107" t="str">
        <f>IF($E107="","",IF(INDEX(工数管理!$V$3:$V$98,$E107)="","",INDEX(工数管理!$V$3:$V$98,$E107)))</f>
        <v/>
      </c>
      <c r="R107" t="str">
        <f>IF($E107="","",IF(INDEX(工数管理!$W$3:$W$98,$E107)="","",INDEX(工数管理!$W$3:$W$98,$E107)))</f>
        <v/>
      </c>
      <c r="S107" t="str">
        <f>IF($E107="","",IF(INDEX(工数管理!$X$3:$X$98,$E107)="","",INDEX(工数管理!$X$3:$X$98,$E107)))</f>
        <v/>
      </c>
      <c r="T107" t="str">
        <f>IF($E107="","",IF(INDEX(工数管理!$Y$3:$Y$98,$E107)="","",INDEX(工数管理!$Y$3:$Y$98,$E107)))</f>
        <v/>
      </c>
      <c r="U107" t="str">
        <f>IF($E107="","",IF(INDEX(工数管理!$Z$3:$Z$98,$E107)="","",INDEX(工数管理!$Z$3:$Z$98,$E107)))</f>
        <v/>
      </c>
      <c r="V107" t="str">
        <f>IF($E107="","",IF(INDEX(工数管理!$AA$3:$AA$98,$E107)="","",INDEX(工数管理!$AA$3:$AA$98,$E107)))</f>
        <v/>
      </c>
      <c r="W107" t="str">
        <f>IF($E107="","",IF(INDEX(工数管理!$AB$3:$AB$98,$E107)="","",INDEX(工数管理!$AB$3:$AB$98,$E107)))</f>
        <v/>
      </c>
      <c r="X107" t="str">
        <f>IF($E107="","",IF(INDEX(工数管理!$AC$3:$AC$98,$E107)="","",INDEX(工数管理!$AC$3:$AC$98,$E107)))</f>
        <v/>
      </c>
      <c r="Y107" t="str">
        <f>IF($E107="","",IF(INDEX(工数管理!$AD$3:$AD$98,$E107)="","",INDEX(工数管理!$AD$3:$AD$98,$E107)))</f>
        <v/>
      </c>
      <c r="Z107" t="str">
        <f>IF($E107="","",IF(INDEX(工数管理!$AE$3:$AE$98,$E107)="","",INDEX(工数管理!$AE$3:$AE$98,$E107)))</f>
        <v/>
      </c>
      <c r="AA107" t="str">
        <f>IF($E107="","",IF(INDEX(工数管理!$AF$3:$AF$98,$E107)="","",INDEX(工数管理!$AF$3:$AF$98,$E107)))</f>
        <v/>
      </c>
      <c r="AB107" t="str">
        <f>IF($E107="","",IF(INDEX(工数管理!$AG$3:$AG$98,$E107)="","",INDEX(工数管理!$AG$3:$AG$98,$E107)))</f>
        <v/>
      </c>
      <c r="AC107" t="str">
        <f>IF($E107="","",IF(INDEX(工数管理!$AH$3:$AH$98,$E107)="","",INDEX(工数管理!$AH$3:$AH$98,$E107)))</f>
        <v/>
      </c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  <c r="DA107" s="52"/>
      <c r="DB107" s="52"/>
      <c r="DC107" s="52"/>
      <c r="DD107" s="52"/>
      <c r="DE107" s="52"/>
      <c r="DF107" s="52"/>
      <c r="DG107" s="52"/>
      <c r="DH107" s="52"/>
      <c r="DI107" s="52"/>
      <c r="DJ107" s="52"/>
      <c r="DK107" s="52"/>
      <c r="DL107" s="52"/>
      <c r="DM107" s="52"/>
      <c r="DN107" s="52"/>
      <c r="DO107" s="52"/>
      <c r="DP107" s="52"/>
      <c r="DQ107" s="52"/>
      <c r="DR107" s="52"/>
      <c r="DS107" s="52"/>
      <c r="DT107" s="52"/>
      <c r="DU107" s="52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F107" s="52"/>
      <c r="EG107" s="52"/>
      <c r="EH107" s="52"/>
      <c r="EI107" s="52"/>
      <c r="EJ107" s="52"/>
      <c r="EK107" s="52"/>
      <c r="EL107" s="52"/>
      <c r="EM107" s="52"/>
      <c r="EN107" s="52"/>
      <c r="EO107" s="52"/>
      <c r="EP107" s="52"/>
      <c r="EQ107" s="52"/>
      <c r="ER107" s="52"/>
      <c r="ES107" s="52"/>
      <c r="ET107" s="52"/>
      <c r="EU107" s="52"/>
      <c r="EV107" s="52"/>
      <c r="EW107" s="52"/>
      <c r="EX107" s="52"/>
      <c r="EY107" s="52"/>
      <c r="EZ107" s="52"/>
      <c r="FA107" s="52"/>
      <c r="FB107" s="52"/>
      <c r="FC107" s="52"/>
      <c r="FD107" s="52"/>
      <c r="FE107" s="52"/>
      <c r="FF107" s="52"/>
      <c r="FG107" s="52"/>
      <c r="FH107" s="52"/>
      <c r="FI107" s="52"/>
      <c r="FJ107" s="52"/>
      <c r="FK107" s="52"/>
      <c r="FL107" s="52"/>
      <c r="FM107" s="52"/>
      <c r="FN107" s="52"/>
      <c r="FO107" s="52"/>
      <c r="FP107" s="52"/>
      <c r="FQ107" s="52"/>
      <c r="FR107" s="52"/>
      <c r="FS107" s="52"/>
      <c r="FT107" s="52"/>
      <c r="FU107" s="52"/>
      <c r="FV107" s="52"/>
      <c r="FW107" s="52"/>
      <c r="FX107" s="52"/>
      <c r="FY107" s="52"/>
      <c r="FZ107" s="52"/>
      <c r="GA107" s="52"/>
      <c r="GB107" s="52"/>
      <c r="GC107" s="52"/>
      <c r="GD107" s="52"/>
      <c r="GE107" s="52"/>
      <c r="GF107" s="52"/>
      <c r="GG107" s="52"/>
      <c r="GH107" s="52"/>
      <c r="GI107" s="52"/>
      <c r="GJ107" s="52"/>
      <c r="GK107" s="52"/>
      <c r="GL107" s="52"/>
      <c r="GM107" s="52"/>
      <c r="GN107" s="52"/>
      <c r="GO107" s="52"/>
      <c r="GP107" s="52"/>
      <c r="GQ107" s="52"/>
      <c r="GR107" s="52"/>
      <c r="GS107" s="52"/>
      <c r="GT107" s="52"/>
      <c r="GU107" s="52"/>
      <c r="GV107" s="52"/>
      <c r="GW107" s="52"/>
      <c r="GX107" s="52"/>
      <c r="GY107" s="52"/>
      <c r="GZ107" s="52"/>
      <c r="HA107" s="52"/>
      <c r="HB107" s="52"/>
      <c r="HC107" s="52"/>
      <c r="HD107" s="52"/>
      <c r="HE107" s="52"/>
      <c r="HF107" s="52"/>
      <c r="HG107" s="52"/>
      <c r="HH107" s="52"/>
      <c r="HI107" s="52"/>
      <c r="HJ107" s="52"/>
      <c r="HK107" s="52"/>
      <c r="HL107" s="52"/>
      <c r="HM107" s="52"/>
      <c r="HN107" s="52"/>
      <c r="HO107" s="52"/>
      <c r="HP107" s="52"/>
      <c r="HQ107" s="52"/>
      <c r="HR107" s="52"/>
      <c r="HS107" s="52"/>
      <c r="HT107" s="52"/>
      <c r="HU107" s="52"/>
      <c r="HV107" s="52"/>
      <c r="HW107" s="52"/>
      <c r="HX107" s="52"/>
      <c r="HY107" s="52"/>
      <c r="HZ107" s="52"/>
      <c r="IA107" s="52"/>
      <c r="IB107" s="52"/>
      <c r="IC107" s="52"/>
      <c r="ID107" s="52"/>
      <c r="IE107" s="52"/>
      <c r="IF107" s="52"/>
      <c r="IG107" s="52"/>
      <c r="IH107" s="52"/>
      <c r="II107" s="52"/>
      <c r="IJ107" s="52"/>
      <c r="IK107" s="52"/>
      <c r="IL107" s="52"/>
      <c r="IM107" s="52"/>
      <c r="IN107" s="52"/>
      <c r="IO107" s="52"/>
      <c r="IP107" s="52"/>
      <c r="IQ107" s="52"/>
      <c r="IR107" s="52"/>
      <c r="IS107" s="52"/>
      <c r="IT107" s="52"/>
      <c r="IU107" s="52"/>
      <c r="IV107" s="52"/>
      <c r="IW107" s="52"/>
      <c r="IX107" s="52"/>
      <c r="IY107" s="52"/>
      <c r="IZ107" s="52"/>
      <c r="JA107" s="52"/>
      <c r="JB107" s="52"/>
      <c r="JC107" s="52"/>
      <c r="JD107" s="52"/>
      <c r="JE107" s="52"/>
      <c r="JF107" s="52"/>
      <c r="JG107" s="52"/>
      <c r="JH107" s="52"/>
      <c r="JI107" s="52"/>
      <c r="JL107" t="str">
        <f>IF($E107="","",IF(INDEX(工数管理!$AJ$3:$AJ$98,$E107)&lt;&gt;"",1,0))</f>
        <v/>
      </c>
      <c r="JM107" t="str">
        <f>IF($E107="","",IFERROR(MATCH($A107,祝日!$J$1:$L$1,0),""))</f>
        <v/>
      </c>
    </row>
    <row r="108" spans="1:273" ht="14.25" customHeight="1" x14ac:dyDescent="0.15">
      <c r="A108" s="50" t="str">
        <f>IF($E108="","",IF($JL108=1,INDEX(工数管理!$A$3:$A$98,$E108)&amp;"",IF(INDEX(工数管理!$AK$3:$AK$98,$E108)="","未割当",INDEX(工数管理!$AK$3:$AK$98,$E108))))</f>
        <v/>
      </c>
      <c r="B108" s="51" t="str">
        <f>IF($E108="","",IF($JL108=1,"",INDEX(工数管理!$A$3:$A$98,$E108)&amp;""))</f>
        <v/>
      </c>
      <c r="C108" s="50" t="str">
        <f>IF($E108="","",IF($JL108=1,"",INDEX(工数管理!$B$3:$B$98,$E108)&amp;""))</f>
        <v/>
      </c>
      <c r="D108" s="50" t="str">
        <f>IF($E108="","",INDEX(工数管理!$H$3:$H$98,$E108)&amp;"")</f>
        <v/>
      </c>
      <c r="E108" t="str">
        <f>IFERROR(MATCH(SMALL(工数管理!$BP$3:$BP$98,ROW()-3),工数管理!$BP$3:$BP$98,0),"")</f>
        <v/>
      </c>
      <c r="F108" t="str">
        <f>IF($E108="","",IF(INDEX(工数管理!$K$3:$K$98,$E108)="","",INDEX(工数管理!$K$3:$K$98,$E108)))</f>
        <v/>
      </c>
      <c r="G108" t="str">
        <f>IF($E108="","",IF(INDEX(工数管理!$L$3:$L$98,$E108)="","",INDEX(工数管理!$L$3:$L$98,$E108)))</f>
        <v/>
      </c>
      <c r="H108" t="str">
        <f>IF($E108="","",IF(INDEX(工数管理!$M$3:$M$98,$E108)="","",INDEX(工数管理!$M$3:$M$98,$E108)))</f>
        <v/>
      </c>
      <c r="I108" t="str">
        <f>IF($E108="","",IF(INDEX(工数管理!$N$3:$N$98,$E108)="","",INDEX(工数管理!$N$3:$N$98,$E108)))</f>
        <v/>
      </c>
      <c r="J108" t="str">
        <f>IF($E108="","",IF(INDEX(工数管理!$O$3:$O$98,$E108)="","",INDEX(工数管理!$O$3:$O$98,$E108)))</f>
        <v/>
      </c>
      <c r="K108" t="str">
        <f>IF($E108="","",IF(INDEX(工数管理!$P$3:$P$98,$E108)="","",INDEX(工数管理!$P$3:$P$98,$E108)))</f>
        <v/>
      </c>
      <c r="L108" t="str">
        <f>IF($E108="","",IF(INDEX(工数管理!$Q$3:$Q$98,$E108)="","",INDEX(工数管理!$Q$3:$Q$98,$E108)))</f>
        <v/>
      </c>
      <c r="M108" t="str">
        <f>IF($E108="","",IF(INDEX(工数管理!$R$3:$R$98,$E108)="","",INDEX(工数管理!$R$3:$R$98,$E108)))</f>
        <v/>
      </c>
      <c r="N108" t="str">
        <f>IF($E108="","",IF(INDEX(工数管理!$S$3:$S$98,$E108)="","",INDEX(工数管理!$S$3:$S$98,$E108)))</f>
        <v/>
      </c>
      <c r="O108" t="str">
        <f>IF($E108="","",IF(INDEX(工数管理!$T$3:$T$98,$E108)="","",INDEX(工数管理!$T$3:$T$98,$E108)))</f>
        <v/>
      </c>
      <c r="P108" t="str">
        <f>IF($E108="","",IF(INDEX(工数管理!$U$3:$U$98,$E108)="","",INDEX(工数管理!$U$3:$U$98,$E108)))</f>
        <v/>
      </c>
      <c r="Q108" t="str">
        <f>IF($E108="","",IF(INDEX(工数管理!$V$3:$V$98,$E108)="","",INDEX(工数管理!$V$3:$V$98,$E108)))</f>
        <v/>
      </c>
      <c r="R108" t="str">
        <f>IF($E108="","",IF(INDEX(工数管理!$W$3:$W$98,$E108)="","",INDEX(工数管理!$W$3:$W$98,$E108)))</f>
        <v/>
      </c>
      <c r="S108" t="str">
        <f>IF($E108="","",IF(INDEX(工数管理!$X$3:$X$98,$E108)="","",INDEX(工数管理!$X$3:$X$98,$E108)))</f>
        <v/>
      </c>
      <c r="T108" t="str">
        <f>IF($E108="","",IF(INDEX(工数管理!$Y$3:$Y$98,$E108)="","",INDEX(工数管理!$Y$3:$Y$98,$E108)))</f>
        <v/>
      </c>
      <c r="U108" t="str">
        <f>IF($E108="","",IF(INDEX(工数管理!$Z$3:$Z$98,$E108)="","",INDEX(工数管理!$Z$3:$Z$98,$E108)))</f>
        <v/>
      </c>
      <c r="V108" t="str">
        <f>IF($E108="","",IF(INDEX(工数管理!$AA$3:$AA$98,$E108)="","",INDEX(工数管理!$AA$3:$AA$98,$E108)))</f>
        <v/>
      </c>
      <c r="W108" t="str">
        <f>IF($E108="","",IF(INDEX(工数管理!$AB$3:$AB$98,$E108)="","",INDEX(工数管理!$AB$3:$AB$98,$E108)))</f>
        <v/>
      </c>
      <c r="X108" t="str">
        <f>IF($E108="","",IF(INDEX(工数管理!$AC$3:$AC$98,$E108)="","",INDEX(工数管理!$AC$3:$AC$98,$E108)))</f>
        <v/>
      </c>
      <c r="Y108" t="str">
        <f>IF($E108="","",IF(INDEX(工数管理!$AD$3:$AD$98,$E108)="","",INDEX(工数管理!$AD$3:$AD$98,$E108)))</f>
        <v/>
      </c>
      <c r="Z108" t="str">
        <f>IF($E108="","",IF(INDEX(工数管理!$AE$3:$AE$98,$E108)="","",INDEX(工数管理!$AE$3:$AE$98,$E108)))</f>
        <v/>
      </c>
      <c r="AA108" t="str">
        <f>IF($E108="","",IF(INDEX(工数管理!$AF$3:$AF$98,$E108)="","",INDEX(工数管理!$AF$3:$AF$98,$E108)))</f>
        <v/>
      </c>
      <c r="AB108" t="str">
        <f>IF($E108="","",IF(INDEX(工数管理!$AG$3:$AG$98,$E108)="","",INDEX(工数管理!$AG$3:$AG$98,$E108)))</f>
        <v/>
      </c>
      <c r="AC108" t="str">
        <f>IF($E108="","",IF(INDEX(工数管理!$AH$3:$AH$98,$E108)="","",INDEX(工数管理!$AH$3:$AH$98,$E108)))</f>
        <v/>
      </c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C108" s="52"/>
      <c r="DD108" s="52"/>
      <c r="DE108" s="52"/>
      <c r="DF108" s="52"/>
      <c r="DG108" s="52"/>
      <c r="DH108" s="52"/>
      <c r="DI108" s="52"/>
      <c r="DJ108" s="52"/>
      <c r="DK108" s="52"/>
      <c r="DL108" s="52"/>
      <c r="DM108" s="52"/>
      <c r="DN108" s="52"/>
      <c r="DO108" s="52"/>
      <c r="DP108" s="52"/>
      <c r="DQ108" s="52"/>
      <c r="DR108" s="52"/>
      <c r="DS108" s="52"/>
      <c r="DT108" s="52"/>
      <c r="DU108" s="52"/>
      <c r="DV108" s="52"/>
      <c r="DW108" s="52"/>
      <c r="DX108" s="52"/>
      <c r="DY108" s="52"/>
      <c r="DZ108" s="52"/>
      <c r="EA108" s="52"/>
      <c r="EB108" s="52"/>
      <c r="EC108" s="52"/>
      <c r="ED108" s="52"/>
      <c r="EE108" s="52"/>
      <c r="EF108" s="52"/>
      <c r="EG108" s="52"/>
      <c r="EH108" s="52"/>
      <c r="EI108" s="52"/>
      <c r="EJ108" s="52"/>
      <c r="EK108" s="52"/>
      <c r="EL108" s="52"/>
      <c r="EM108" s="52"/>
      <c r="EN108" s="52"/>
      <c r="EO108" s="52"/>
      <c r="EP108" s="52"/>
      <c r="EQ108" s="52"/>
      <c r="ER108" s="52"/>
      <c r="ES108" s="52"/>
      <c r="ET108" s="52"/>
      <c r="EU108" s="52"/>
      <c r="EV108" s="52"/>
      <c r="EW108" s="52"/>
      <c r="EX108" s="52"/>
      <c r="EY108" s="52"/>
      <c r="EZ108" s="52"/>
      <c r="FA108" s="52"/>
      <c r="FB108" s="52"/>
      <c r="FC108" s="52"/>
      <c r="FD108" s="52"/>
      <c r="FE108" s="52"/>
      <c r="FF108" s="52"/>
      <c r="FG108" s="52"/>
      <c r="FH108" s="52"/>
      <c r="FI108" s="52"/>
      <c r="FJ108" s="52"/>
      <c r="FK108" s="52"/>
      <c r="FL108" s="52"/>
      <c r="FM108" s="52"/>
      <c r="FN108" s="52"/>
      <c r="FO108" s="52"/>
      <c r="FP108" s="52"/>
      <c r="FQ108" s="52"/>
      <c r="FR108" s="52"/>
      <c r="FS108" s="52"/>
      <c r="FT108" s="52"/>
      <c r="FU108" s="52"/>
      <c r="FV108" s="52"/>
      <c r="FW108" s="52"/>
      <c r="FX108" s="52"/>
      <c r="FY108" s="52"/>
      <c r="FZ108" s="52"/>
      <c r="GA108" s="52"/>
      <c r="GB108" s="52"/>
      <c r="GC108" s="52"/>
      <c r="GD108" s="52"/>
      <c r="GE108" s="52"/>
      <c r="GF108" s="52"/>
      <c r="GG108" s="52"/>
      <c r="GH108" s="52"/>
      <c r="GI108" s="52"/>
      <c r="GJ108" s="52"/>
      <c r="GK108" s="52"/>
      <c r="GL108" s="52"/>
      <c r="GM108" s="52"/>
      <c r="GN108" s="52"/>
      <c r="GO108" s="52"/>
      <c r="GP108" s="52"/>
      <c r="GQ108" s="52"/>
      <c r="GR108" s="52"/>
      <c r="GS108" s="52"/>
      <c r="GT108" s="52"/>
      <c r="GU108" s="52"/>
      <c r="GV108" s="52"/>
      <c r="GW108" s="52"/>
      <c r="GX108" s="52"/>
      <c r="GY108" s="52"/>
      <c r="GZ108" s="52"/>
      <c r="HA108" s="52"/>
      <c r="HB108" s="52"/>
      <c r="HC108" s="52"/>
      <c r="HD108" s="52"/>
      <c r="HE108" s="52"/>
      <c r="HF108" s="52"/>
      <c r="HG108" s="52"/>
      <c r="HH108" s="52"/>
      <c r="HI108" s="52"/>
      <c r="HJ108" s="52"/>
      <c r="HK108" s="52"/>
      <c r="HL108" s="52"/>
      <c r="HM108" s="52"/>
      <c r="HN108" s="52"/>
      <c r="HO108" s="52"/>
      <c r="HP108" s="52"/>
      <c r="HQ108" s="52"/>
      <c r="HR108" s="52"/>
      <c r="HS108" s="52"/>
      <c r="HT108" s="52"/>
      <c r="HU108" s="52"/>
      <c r="HV108" s="52"/>
      <c r="HW108" s="52"/>
      <c r="HX108" s="52"/>
      <c r="HY108" s="52"/>
      <c r="HZ108" s="52"/>
      <c r="IA108" s="52"/>
      <c r="IB108" s="52"/>
      <c r="IC108" s="52"/>
      <c r="ID108" s="52"/>
      <c r="IE108" s="52"/>
      <c r="IF108" s="52"/>
      <c r="IG108" s="52"/>
      <c r="IH108" s="52"/>
      <c r="II108" s="52"/>
      <c r="IJ108" s="52"/>
      <c r="IK108" s="52"/>
      <c r="IL108" s="52"/>
      <c r="IM108" s="52"/>
      <c r="IN108" s="52"/>
      <c r="IO108" s="52"/>
      <c r="IP108" s="52"/>
      <c r="IQ108" s="52"/>
      <c r="IR108" s="52"/>
      <c r="IS108" s="52"/>
      <c r="IT108" s="52"/>
      <c r="IU108" s="52"/>
      <c r="IV108" s="52"/>
      <c r="IW108" s="52"/>
      <c r="IX108" s="52"/>
      <c r="IY108" s="52"/>
      <c r="IZ108" s="52"/>
      <c r="JA108" s="52"/>
      <c r="JB108" s="52"/>
      <c r="JC108" s="52"/>
      <c r="JD108" s="52"/>
      <c r="JE108" s="52"/>
      <c r="JF108" s="52"/>
      <c r="JG108" s="52"/>
      <c r="JH108" s="52"/>
      <c r="JI108" s="52"/>
      <c r="JL108" t="str">
        <f>IF($E108="","",IF(INDEX(工数管理!$AJ$3:$AJ$98,$E108)&lt;&gt;"",1,0))</f>
        <v/>
      </c>
      <c r="JM108" t="str">
        <f>IF($E108="","",IFERROR(MATCH($A108,祝日!$J$1:$L$1,0),""))</f>
        <v/>
      </c>
    </row>
    <row r="109" spans="1:273" ht="14.25" customHeight="1" x14ac:dyDescent="0.15">
      <c r="A109" s="50" t="str">
        <f>IF($E109="","",IF($JL109=1,INDEX(工数管理!$A$3:$A$98,$E109)&amp;"",IF(INDEX(工数管理!$AK$3:$AK$98,$E109)="","未割当",INDEX(工数管理!$AK$3:$AK$98,$E109))))</f>
        <v/>
      </c>
      <c r="B109" s="51" t="str">
        <f>IF($E109="","",IF($JL109=1,"",INDEX(工数管理!$A$3:$A$98,$E109)&amp;""))</f>
        <v/>
      </c>
      <c r="C109" s="50" t="str">
        <f>IF($E109="","",IF($JL109=1,"",INDEX(工数管理!$B$3:$B$98,$E109)&amp;""))</f>
        <v/>
      </c>
      <c r="D109" s="50" t="str">
        <f>IF($E109="","",INDEX(工数管理!$H$3:$H$98,$E109)&amp;"")</f>
        <v/>
      </c>
      <c r="E109" t="str">
        <f>IFERROR(MATCH(SMALL(工数管理!$BP$3:$BP$98,ROW()-3),工数管理!$BP$3:$BP$98,0),"")</f>
        <v/>
      </c>
      <c r="F109" t="str">
        <f>IF($E109="","",IF(INDEX(工数管理!$K$3:$K$98,$E109)="","",INDEX(工数管理!$K$3:$K$98,$E109)))</f>
        <v/>
      </c>
      <c r="G109" t="str">
        <f>IF($E109="","",IF(INDEX(工数管理!$L$3:$L$98,$E109)="","",INDEX(工数管理!$L$3:$L$98,$E109)))</f>
        <v/>
      </c>
      <c r="H109" t="str">
        <f>IF($E109="","",IF(INDEX(工数管理!$M$3:$M$98,$E109)="","",INDEX(工数管理!$M$3:$M$98,$E109)))</f>
        <v/>
      </c>
      <c r="I109" t="str">
        <f>IF($E109="","",IF(INDEX(工数管理!$N$3:$N$98,$E109)="","",INDEX(工数管理!$N$3:$N$98,$E109)))</f>
        <v/>
      </c>
      <c r="J109" t="str">
        <f>IF($E109="","",IF(INDEX(工数管理!$O$3:$O$98,$E109)="","",INDEX(工数管理!$O$3:$O$98,$E109)))</f>
        <v/>
      </c>
      <c r="K109" t="str">
        <f>IF($E109="","",IF(INDEX(工数管理!$P$3:$P$98,$E109)="","",INDEX(工数管理!$P$3:$P$98,$E109)))</f>
        <v/>
      </c>
      <c r="L109" t="str">
        <f>IF($E109="","",IF(INDEX(工数管理!$Q$3:$Q$98,$E109)="","",INDEX(工数管理!$Q$3:$Q$98,$E109)))</f>
        <v/>
      </c>
      <c r="M109" t="str">
        <f>IF($E109="","",IF(INDEX(工数管理!$R$3:$R$98,$E109)="","",INDEX(工数管理!$R$3:$R$98,$E109)))</f>
        <v/>
      </c>
      <c r="N109" t="str">
        <f>IF($E109="","",IF(INDEX(工数管理!$S$3:$S$98,$E109)="","",INDEX(工数管理!$S$3:$S$98,$E109)))</f>
        <v/>
      </c>
      <c r="O109" t="str">
        <f>IF($E109="","",IF(INDEX(工数管理!$T$3:$T$98,$E109)="","",INDEX(工数管理!$T$3:$T$98,$E109)))</f>
        <v/>
      </c>
      <c r="P109" t="str">
        <f>IF($E109="","",IF(INDEX(工数管理!$U$3:$U$98,$E109)="","",INDEX(工数管理!$U$3:$U$98,$E109)))</f>
        <v/>
      </c>
      <c r="Q109" t="str">
        <f>IF($E109="","",IF(INDEX(工数管理!$V$3:$V$98,$E109)="","",INDEX(工数管理!$V$3:$V$98,$E109)))</f>
        <v/>
      </c>
      <c r="R109" t="str">
        <f>IF($E109="","",IF(INDEX(工数管理!$W$3:$W$98,$E109)="","",INDEX(工数管理!$W$3:$W$98,$E109)))</f>
        <v/>
      </c>
      <c r="S109" t="str">
        <f>IF($E109="","",IF(INDEX(工数管理!$X$3:$X$98,$E109)="","",INDEX(工数管理!$X$3:$X$98,$E109)))</f>
        <v/>
      </c>
      <c r="T109" t="str">
        <f>IF($E109="","",IF(INDEX(工数管理!$Y$3:$Y$98,$E109)="","",INDEX(工数管理!$Y$3:$Y$98,$E109)))</f>
        <v/>
      </c>
      <c r="U109" t="str">
        <f>IF($E109="","",IF(INDEX(工数管理!$Z$3:$Z$98,$E109)="","",INDEX(工数管理!$Z$3:$Z$98,$E109)))</f>
        <v/>
      </c>
      <c r="V109" t="str">
        <f>IF($E109="","",IF(INDEX(工数管理!$AA$3:$AA$98,$E109)="","",INDEX(工数管理!$AA$3:$AA$98,$E109)))</f>
        <v/>
      </c>
      <c r="W109" t="str">
        <f>IF($E109="","",IF(INDEX(工数管理!$AB$3:$AB$98,$E109)="","",INDEX(工数管理!$AB$3:$AB$98,$E109)))</f>
        <v/>
      </c>
      <c r="X109" t="str">
        <f>IF($E109="","",IF(INDEX(工数管理!$AC$3:$AC$98,$E109)="","",INDEX(工数管理!$AC$3:$AC$98,$E109)))</f>
        <v/>
      </c>
      <c r="Y109" t="str">
        <f>IF($E109="","",IF(INDEX(工数管理!$AD$3:$AD$98,$E109)="","",INDEX(工数管理!$AD$3:$AD$98,$E109)))</f>
        <v/>
      </c>
      <c r="Z109" t="str">
        <f>IF($E109="","",IF(INDEX(工数管理!$AE$3:$AE$98,$E109)="","",INDEX(工数管理!$AE$3:$AE$98,$E109)))</f>
        <v/>
      </c>
      <c r="AA109" t="str">
        <f>IF($E109="","",IF(INDEX(工数管理!$AF$3:$AF$98,$E109)="","",INDEX(工数管理!$AF$3:$AF$98,$E109)))</f>
        <v/>
      </c>
      <c r="AB109" t="str">
        <f>IF($E109="","",IF(INDEX(工数管理!$AG$3:$AG$98,$E109)="","",INDEX(工数管理!$AG$3:$AG$98,$E109)))</f>
        <v/>
      </c>
      <c r="AC109" t="str">
        <f>IF($E109="","",IF(INDEX(工数管理!$AH$3:$AH$98,$E109)="","",INDEX(工数管理!$AH$3:$AH$98,$E109)))</f>
        <v/>
      </c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  <c r="DA109" s="52"/>
      <c r="DB109" s="52"/>
      <c r="DC109" s="52"/>
      <c r="DD109" s="52"/>
      <c r="DE109" s="52"/>
      <c r="DF109" s="52"/>
      <c r="DG109" s="52"/>
      <c r="DH109" s="52"/>
      <c r="DI109" s="52"/>
      <c r="DJ109" s="52"/>
      <c r="DK109" s="52"/>
      <c r="DL109" s="52"/>
      <c r="DM109" s="52"/>
      <c r="DN109" s="52"/>
      <c r="DO109" s="52"/>
      <c r="DP109" s="52"/>
      <c r="DQ109" s="52"/>
      <c r="DR109" s="52"/>
      <c r="DS109" s="52"/>
      <c r="DT109" s="52"/>
      <c r="DU109" s="52"/>
      <c r="DV109" s="52"/>
      <c r="DW109" s="52"/>
      <c r="DX109" s="52"/>
      <c r="DY109" s="52"/>
      <c r="DZ109" s="52"/>
      <c r="EA109" s="52"/>
      <c r="EB109" s="52"/>
      <c r="EC109" s="52"/>
      <c r="ED109" s="52"/>
      <c r="EE109" s="52"/>
      <c r="EF109" s="52"/>
      <c r="EG109" s="52"/>
      <c r="EH109" s="52"/>
      <c r="EI109" s="52"/>
      <c r="EJ109" s="52"/>
      <c r="EK109" s="52"/>
      <c r="EL109" s="52"/>
      <c r="EM109" s="52"/>
      <c r="EN109" s="52"/>
      <c r="EO109" s="52"/>
      <c r="EP109" s="52"/>
      <c r="EQ109" s="52"/>
      <c r="ER109" s="52"/>
      <c r="ES109" s="52"/>
      <c r="ET109" s="52"/>
      <c r="EU109" s="52"/>
      <c r="EV109" s="52"/>
      <c r="EW109" s="52"/>
      <c r="EX109" s="52"/>
      <c r="EY109" s="52"/>
      <c r="EZ109" s="52"/>
      <c r="FA109" s="52"/>
      <c r="FB109" s="52"/>
      <c r="FC109" s="52"/>
      <c r="FD109" s="52"/>
      <c r="FE109" s="52"/>
      <c r="FF109" s="52"/>
      <c r="FG109" s="52"/>
      <c r="FH109" s="52"/>
      <c r="FI109" s="52"/>
      <c r="FJ109" s="52"/>
      <c r="FK109" s="52"/>
      <c r="FL109" s="52"/>
      <c r="FM109" s="52"/>
      <c r="FN109" s="52"/>
      <c r="FO109" s="52"/>
      <c r="FP109" s="52"/>
      <c r="FQ109" s="52"/>
      <c r="FR109" s="52"/>
      <c r="FS109" s="52"/>
      <c r="FT109" s="52"/>
      <c r="FU109" s="52"/>
      <c r="FV109" s="52"/>
      <c r="FW109" s="52"/>
      <c r="FX109" s="52"/>
      <c r="FY109" s="52"/>
      <c r="FZ109" s="52"/>
      <c r="GA109" s="52"/>
      <c r="GB109" s="52"/>
      <c r="GC109" s="52"/>
      <c r="GD109" s="52"/>
      <c r="GE109" s="52"/>
      <c r="GF109" s="52"/>
      <c r="GG109" s="52"/>
      <c r="GH109" s="52"/>
      <c r="GI109" s="52"/>
      <c r="GJ109" s="52"/>
      <c r="GK109" s="52"/>
      <c r="GL109" s="52"/>
      <c r="GM109" s="52"/>
      <c r="GN109" s="52"/>
      <c r="GO109" s="52"/>
      <c r="GP109" s="52"/>
      <c r="GQ109" s="52"/>
      <c r="GR109" s="52"/>
      <c r="GS109" s="52"/>
      <c r="GT109" s="52"/>
      <c r="GU109" s="52"/>
      <c r="GV109" s="52"/>
      <c r="GW109" s="52"/>
      <c r="GX109" s="52"/>
      <c r="GY109" s="52"/>
      <c r="GZ109" s="52"/>
      <c r="HA109" s="52"/>
      <c r="HB109" s="52"/>
      <c r="HC109" s="52"/>
      <c r="HD109" s="52"/>
      <c r="HE109" s="52"/>
      <c r="HF109" s="52"/>
      <c r="HG109" s="52"/>
      <c r="HH109" s="52"/>
      <c r="HI109" s="52"/>
      <c r="HJ109" s="52"/>
      <c r="HK109" s="52"/>
      <c r="HL109" s="52"/>
      <c r="HM109" s="52"/>
      <c r="HN109" s="52"/>
      <c r="HO109" s="52"/>
      <c r="HP109" s="52"/>
      <c r="HQ109" s="52"/>
      <c r="HR109" s="52"/>
      <c r="HS109" s="52"/>
      <c r="HT109" s="52"/>
      <c r="HU109" s="52"/>
      <c r="HV109" s="52"/>
      <c r="HW109" s="52"/>
      <c r="HX109" s="52"/>
      <c r="HY109" s="52"/>
      <c r="HZ109" s="52"/>
      <c r="IA109" s="52"/>
      <c r="IB109" s="52"/>
      <c r="IC109" s="52"/>
      <c r="ID109" s="52"/>
      <c r="IE109" s="52"/>
      <c r="IF109" s="52"/>
      <c r="IG109" s="52"/>
      <c r="IH109" s="52"/>
      <c r="II109" s="52"/>
      <c r="IJ109" s="52"/>
      <c r="IK109" s="52"/>
      <c r="IL109" s="52"/>
      <c r="IM109" s="52"/>
      <c r="IN109" s="52"/>
      <c r="IO109" s="52"/>
      <c r="IP109" s="52"/>
      <c r="IQ109" s="52"/>
      <c r="IR109" s="52"/>
      <c r="IS109" s="52"/>
      <c r="IT109" s="52"/>
      <c r="IU109" s="52"/>
      <c r="IV109" s="52"/>
      <c r="IW109" s="52"/>
      <c r="IX109" s="52"/>
      <c r="IY109" s="52"/>
      <c r="IZ109" s="52"/>
      <c r="JA109" s="52"/>
      <c r="JB109" s="52"/>
      <c r="JC109" s="52"/>
      <c r="JD109" s="52"/>
      <c r="JE109" s="52"/>
      <c r="JF109" s="52"/>
      <c r="JG109" s="52"/>
      <c r="JH109" s="52"/>
      <c r="JI109" s="52"/>
      <c r="JL109" t="str">
        <f>IF($E109="","",IF(INDEX(工数管理!$AJ$3:$AJ$98,$E109)&lt;&gt;"",1,0))</f>
        <v/>
      </c>
      <c r="JM109" t="str">
        <f>IF($E109="","",IFERROR(MATCH($A109,祝日!$J$1:$L$1,0),""))</f>
        <v/>
      </c>
    </row>
    <row r="110" spans="1:273" ht="14.25" customHeight="1" x14ac:dyDescent="0.15">
      <c r="A110" s="50" t="str">
        <f>IF($E110="","",IF($JL110=1,INDEX(工数管理!$A$3:$A$98,$E110)&amp;"",IF(INDEX(工数管理!$AK$3:$AK$98,$E110)="","未割当",INDEX(工数管理!$AK$3:$AK$98,$E110))))</f>
        <v/>
      </c>
      <c r="B110" s="51" t="str">
        <f>IF($E110="","",IF($JL110=1,"",INDEX(工数管理!$A$3:$A$98,$E110)&amp;""))</f>
        <v/>
      </c>
      <c r="C110" s="50" t="str">
        <f>IF($E110="","",IF($JL110=1,"",INDEX(工数管理!$B$3:$B$98,$E110)&amp;""))</f>
        <v/>
      </c>
      <c r="D110" s="50" t="str">
        <f>IF($E110="","",INDEX(工数管理!$H$3:$H$98,$E110)&amp;"")</f>
        <v/>
      </c>
      <c r="E110" t="str">
        <f>IFERROR(MATCH(SMALL(工数管理!$BP$3:$BP$98,ROW()-3),工数管理!$BP$3:$BP$98,0),"")</f>
        <v/>
      </c>
      <c r="F110" t="str">
        <f>IF($E110="","",IF(INDEX(工数管理!$K$3:$K$98,$E110)="","",INDEX(工数管理!$K$3:$K$98,$E110)))</f>
        <v/>
      </c>
      <c r="G110" t="str">
        <f>IF($E110="","",IF(INDEX(工数管理!$L$3:$L$98,$E110)="","",INDEX(工数管理!$L$3:$L$98,$E110)))</f>
        <v/>
      </c>
      <c r="H110" t="str">
        <f>IF($E110="","",IF(INDEX(工数管理!$M$3:$M$98,$E110)="","",INDEX(工数管理!$M$3:$M$98,$E110)))</f>
        <v/>
      </c>
      <c r="I110" t="str">
        <f>IF($E110="","",IF(INDEX(工数管理!$N$3:$N$98,$E110)="","",INDEX(工数管理!$N$3:$N$98,$E110)))</f>
        <v/>
      </c>
      <c r="J110" t="str">
        <f>IF($E110="","",IF(INDEX(工数管理!$O$3:$O$98,$E110)="","",INDEX(工数管理!$O$3:$O$98,$E110)))</f>
        <v/>
      </c>
      <c r="K110" t="str">
        <f>IF($E110="","",IF(INDEX(工数管理!$P$3:$P$98,$E110)="","",INDEX(工数管理!$P$3:$P$98,$E110)))</f>
        <v/>
      </c>
      <c r="L110" t="str">
        <f>IF($E110="","",IF(INDEX(工数管理!$Q$3:$Q$98,$E110)="","",INDEX(工数管理!$Q$3:$Q$98,$E110)))</f>
        <v/>
      </c>
      <c r="M110" t="str">
        <f>IF($E110="","",IF(INDEX(工数管理!$R$3:$R$98,$E110)="","",INDEX(工数管理!$R$3:$R$98,$E110)))</f>
        <v/>
      </c>
      <c r="N110" t="str">
        <f>IF($E110="","",IF(INDEX(工数管理!$S$3:$S$98,$E110)="","",INDEX(工数管理!$S$3:$S$98,$E110)))</f>
        <v/>
      </c>
      <c r="O110" t="str">
        <f>IF($E110="","",IF(INDEX(工数管理!$T$3:$T$98,$E110)="","",INDEX(工数管理!$T$3:$T$98,$E110)))</f>
        <v/>
      </c>
      <c r="P110" t="str">
        <f>IF($E110="","",IF(INDEX(工数管理!$U$3:$U$98,$E110)="","",INDEX(工数管理!$U$3:$U$98,$E110)))</f>
        <v/>
      </c>
      <c r="Q110" t="str">
        <f>IF($E110="","",IF(INDEX(工数管理!$V$3:$V$98,$E110)="","",INDEX(工数管理!$V$3:$V$98,$E110)))</f>
        <v/>
      </c>
      <c r="R110" t="str">
        <f>IF($E110="","",IF(INDEX(工数管理!$W$3:$W$98,$E110)="","",INDEX(工数管理!$W$3:$W$98,$E110)))</f>
        <v/>
      </c>
      <c r="S110" t="str">
        <f>IF($E110="","",IF(INDEX(工数管理!$X$3:$X$98,$E110)="","",INDEX(工数管理!$X$3:$X$98,$E110)))</f>
        <v/>
      </c>
      <c r="T110" t="str">
        <f>IF($E110="","",IF(INDEX(工数管理!$Y$3:$Y$98,$E110)="","",INDEX(工数管理!$Y$3:$Y$98,$E110)))</f>
        <v/>
      </c>
      <c r="U110" t="str">
        <f>IF($E110="","",IF(INDEX(工数管理!$Z$3:$Z$98,$E110)="","",INDEX(工数管理!$Z$3:$Z$98,$E110)))</f>
        <v/>
      </c>
      <c r="V110" t="str">
        <f>IF($E110="","",IF(INDEX(工数管理!$AA$3:$AA$98,$E110)="","",INDEX(工数管理!$AA$3:$AA$98,$E110)))</f>
        <v/>
      </c>
      <c r="W110" t="str">
        <f>IF($E110="","",IF(INDEX(工数管理!$AB$3:$AB$98,$E110)="","",INDEX(工数管理!$AB$3:$AB$98,$E110)))</f>
        <v/>
      </c>
      <c r="X110" t="str">
        <f>IF($E110="","",IF(INDEX(工数管理!$AC$3:$AC$98,$E110)="","",INDEX(工数管理!$AC$3:$AC$98,$E110)))</f>
        <v/>
      </c>
      <c r="Y110" t="str">
        <f>IF($E110="","",IF(INDEX(工数管理!$AD$3:$AD$98,$E110)="","",INDEX(工数管理!$AD$3:$AD$98,$E110)))</f>
        <v/>
      </c>
      <c r="Z110" t="str">
        <f>IF($E110="","",IF(INDEX(工数管理!$AE$3:$AE$98,$E110)="","",INDEX(工数管理!$AE$3:$AE$98,$E110)))</f>
        <v/>
      </c>
      <c r="AA110" t="str">
        <f>IF($E110="","",IF(INDEX(工数管理!$AF$3:$AF$98,$E110)="","",INDEX(工数管理!$AF$3:$AF$98,$E110)))</f>
        <v/>
      </c>
      <c r="AB110" t="str">
        <f>IF($E110="","",IF(INDEX(工数管理!$AG$3:$AG$98,$E110)="","",INDEX(工数管理!$AG$3:$AG$98,$E110)))</f>
        <v/>
      </c>
      <c r="AC110" t="str">
        <f>IF($E110="","",IF(INDEX(工数管理!$AH$3:$AH$98,$E110)="","",INDEX(工数管理!$AH$3:$AH$98,$E110)))</f>
        <v/>
      </c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2"/>
      <c r="DC110" s="52"/>
      <c r="DD110" s="52"/>
      <c r="DE110" s="52"/>
      <c r="DF110" s="52"/>
      <c r="DG110" s="52"/>
      <c r="DH110" s="52"/>
      <c r="DI110" s="52"/>
      <c r="DJ110" s="52"/>
      <c r="DK110" s="52"/>
      <c r="DL110" s="52"/>
      <c r="DM110" s="52"/>
      <c r="DN110" s="52"/>
      <c r="DO110" s="52"/>
      <c r="DP110" s="52"/>
      <c r="DQ110" s="52"/>
      <c r="DR110" s="52"/>
      <c r="DS110" s="52"/>
      <c r="DT110" s="52"/>
      <c r="DU110" s="52"/>
      <c r="DV110" s="52"/>
      <c r="DW110" s="52"/>
      <c r="DX110" s="52"/>
      <c r="DY110" s="52"/>
      <c r="DZ110" s="52"/>
      <c r="EA110" s="52"/>
      <c r="EB110" s="52"/>
      <c r="EC110" s="52"/>
      <c r="ED110" s="52"/>
      <c r="EE110" s="52"/>
      <c r="EF110" s="52"/>
      <c r="EG110" s="52"/>
      <c r="EH110" s="52"/>
      <c r="EI110" s="52"/>
      <c r="EJ110" s="52"/>
      <c r="EK110" s="52"/>
      <c r="EL110" s="52"/>
      <c r="EM110" s="52"/>
      <c r="EN110" s="52"/>
      <c r="EO110" s="52"/>
      <c r="EP110" s="52"/>
      <c r="EQ110" s="52"/>
      <c r="ER110" s="52"/>
      <c r="ES110" s="52"/>
      <c r="ET110" s="52"/>
      <c r="EU110" s="52"/>
      <c r="EV110" s="52"/>
      <c r="EW110" s="52"/>
      <c r="EX110" s="52"/>
      <c r="EY110" s="52"/>
      <c r="EZ110" s="52"/>
      <c r="FA110" s="52"/>
      <c r="FB110" s="52"/>
      <c r="FC110" s="52"/>
      <c r="FD110" s="52"/>
      <c r="FE110" s="52"/>
      <c r="FF110" s="52"/>
      <c r="FG110" s="52"/>
      <c r="FH110" s="52"/>
      <c r="FI110" s="52"/>
      <c r="FJ110" s="52"/>
      <c r="FK110" s="52"/>
      <c r="FL110" s="52"/>
      <c r="FM110" s="52"/>
      <c r="FN110" s="52"/>
      <c r="FO110" s="52"/>
      <c r="FP110" s="52"/>
      <c r="FQ110" s="52"/>
      <c r="FR110" s="52"/>
      <c r="FS110" s="52"/>
      <c r="FT110" s="52"/>
      <c r="FU110" s="52"/>
      <c r="FV110" s="52"/>
      <c r="FW110" s="52"/>
      <c r="FX110" s="52"/>
      <c r="FY110" s="52"/>
      <c r="FZ110" s="52"/>
      <c r="GA110" s="52"/>
      <c r="GB110" s="52"/>
      <c r="GC110" s="52"/>
      <c r="GD110" s="52"/>
      <c r="GE110" s="52"/>
      <c r="GF110" s="52"/>
      <c r="GG110" s="52"/>
      <c r="GH110" s="52"/>
      <c r="GI110" s="52"/>
      <c r="GJ110" s="52"/>
      <c r="GK110" s="52"/>
      <c r="GL110" s="52"/>
      <c r="GM110" s="52"/>
      <c r="GN110" s="52"/>
      <c r="GO110" s="52"/>
      <c r="GP110" s="52"/>
      <c r="GQ110" s="52"/>
      <c r="GR110" s="52"/>
      <c r="GS110" s="52"/>
      <c r="GT110" s="52"/>
      <c r="GU110" s="52"/>
      <c r="GV110" s="52"/>
      <c r="GW110" s="52"/>
      <c r="GX110" s="52"/>
      <c r="GY110" s="52"/>
      <c r="GZ110" s="52"/>
      <c r="HA110" s="52"/>
      <c r="HB110" s="52"/>
      <c r="HC110" s="52"/>
      <c r="HD110" s="52"/>
      <c r="HE110" s="52"/>
      <c r="HF110" s="52"/>
      <c r="HG110" s="52"/>
      <c r="HH110" s="52"/>
      <c r="HI110" s="52"/>
      <c r="HJ110" s="52"/>
      <c r="HK110" s="52"/>
      <c r="HL110" s="52"/>
      <c r="HM110" s="52"/>
      <c r="HN110" s="52"/>
      <c r="HO110" s="52"/>
      <c r="HP110" s="52"/>
      <c r="HQ110" s="52"/>
      <c r="HR110" s="52"/>
      <c r="HS110" s="52"/>
      <c r="HT110" s="52"/>
      <c r="HU110" s="52"/>
      <c r="HV110" s="52"/>
      <c r="HW110" s="52"/>
      <c r="HX110" s="52"/>
      <c r="HY110" s="52"/>
      <c r="HZ110" s="52"/>
      <c r="IA110" s="52"/>
      <c r="IB110" s="52"/>
      <c r="IC110" s="52"/>
      <c r="ID110" s="52"/>
      <c r="IE110" s="52"/>
      <c r="IF110" s="52"/>
      <c r="IG110" s="52"/>
      <c r="IH110" s="52"/>
      <c r="II110" s="52"/>
      <c r="IJ110" s="52"/>
      <c r="IK110" s="52"/>
      <c r="IL110" s="52"/>
      <c r="IM110" s="52"/>
      <c r="IN110" s="52"/>
      <c r="IO110" s="52"/>
      <c r="IP110" s="52"/>
      <c r="IQ110" s="52"/>
      <c r="IR110" s="52"/>
      <c r="IS110" s="52"/>
      <c r="IT110" s="52"/>
      <c r="IU110" s="52"/>
      <c r="IV110" s="52"/>
      <c r="IW110" s="52"/>
      <c r="IX110" s="52"/>
      <c r="IY110" s="52"/>
      <c r="IZ110" s="52"/>
      <c r="JA110" s="52"/>
      <c r="JB110" s="52"/>
      <c r="JC110" s="52"/>
      <c r="JD110" s="52"/>
      <c r="JE110" s="52"/>
      <c r="JF110" s="52"/>
      <c r="JG110" s="52"/>
      <c r="JH110" s="52"/>
      <c r="JI110" s="52"/>
      <c r="JL110" t="str">
        <f>IF($E110="","",IF(INDEX(工数管理!$AJ$3:$AJ$98,$E110)&lt;&gt;"",1,0))</f>
        <v/>
      </c>
      <c r="JM110" t="str">
        <f>IF($E110="","",IFERROR(MATCH($A110,祝日!$J$1:$L$1,0),""))</f>
        <v/>
      </c>
    </row>
    <row r="111" spans="1:273" ht="14.25" customHeight="1" x14ac:dyDescent="0.15">
      <c r="A111" s="50" t="str">
        <f>IF($E111="","",IF($JL111=1,INDEX(工数管理!$A$3:$A$98,$E111)&amp;"",IF(INDEX(工数管理!$AK$3:$AK$98,$E111)="","未割当",INDEX(工数管理!$AK$3:$AK$98,$E111))))</f>
        <v/>
      </c>
      <c r="B111" s="51" t="str">
        <f>IF($E111="","",IF($JL111=1,"",INDEX(工数管理!$A$3:$A$98,$E111)&amp;""))</f>
        <v/>
      </c>
      <c r="C111" s="50" t="str">
        <f>IF($E111="","",IF($JL111=1,"",INDEX(工数管理!$B$3:$B$98,$E111)&amp;""))</f>
        <v/>
      </c>
      <c r="D111" s="50" t="str">
        <f>IF($E111="","",INDEX(工数管理!$H$3:$H$98,$E111)&amp;"")</f>
        <v/>
      </c>
      <c r="E111" t="str">
        <f>IFERROR(MATCH(SMALL(工数管理!$BP$3:$BP$98,ROW()-3),工数管理!$BP$3:$BP$98,0),"")</f>
        <v/>
      </c>
      <c r="F111" t="str">
        <f>IF($E111="","",IF(INDEX(工数管理!$K$3:$K$98,$E111)="","",INDEX(工数管理!$K$3:$K$98,$E111)))</f>
        <v/>
      </c>
      <c r="G111" t="str">
        <f>IF($E111="","",IF(INDEX(工数管理!$L$3:$L$98,$E111)="","",INDEX(工数管理!$L$3:$L$98,$E111)))</f>
        <v/>
      </c>
      <c r="H111" t="str">
        <f>IF($E111="","",IF(INDEX(工数管理!$M$3:$M$98,$E111)="","",INDEX(工数管理!$M$3:$M$98,$E111)))</f>
        <v/>
      </c>
      <c r="I111" t="str">
        <f>IF($E111="","",IF(INDEX(工数管理!$N$3:$N$98,$E111)="","",INDEX(工数管理!$N$3:$N$98,$E111)))</f>
        <v/>
      </c>
      <c r="J111" t="str">
        <f>IF($E111="","",IF(INDEX(工数管理!$O$3:$O$98,$E111)="","",INDEX(工数管理!$O$3:$O$98,$E111)))</f>
        <v/>
      </c>
      <c r="K111" t="str">
        <f>IF($E111="","",IF(INDEX(工数管理!$P$3:$P$98,$E111)="","",INDEX(工数管理!$P$3:$P$98,$E111)))</f>
        <v/>
      </c>
      <c r="L111" t="str">
        <f>IF($E111="","",IF(INDEX(工数管理!$Q$3:$Q$98,$E111)="","",INDEX(工数管理!$Q$3:$Q$98,$E111)))</f>
        <v/>
      </c>
      <c r="M111" t="str">
        <f>IF($E111="","",IF(INDEX(工数管理!$R$3:$R$98,$E111)="","",INDEX(工数管理!$R$3:$R$98,$E111)))</f>
        <v/>
      </c>
      <c r="N111" t="str">
        <f>IF($E111="","",IF(INDEX(工数管理!$S$3:$S$98,$E111)="","",INDEX(工数管理!$S$3:$S$98,$E111)))</f>
        <v/>
      </c>
      <c r="O111" t="str">
        <f>IF($E111="","",IF(INDEX(工数管理!$T$3:$T$98,$E111)="","",INDEX(工数管理!$T$3:$T$98,$E111)))</f>
        <v/>
      </c>
      <c r="P111" t="str">
        <f>IF($E111="","",IF(INDEX(工数管理!$U$3:$U$98,$E111)="","",INDEX(工数管理!$U$3:$U$98,$E111)))</f>
        <v/>
      </c>
      <c r="Q111" t="str">
        <f>IF($E111="","",IF(INDEX(工数管理!$V$3:$V$98,$E111)="","",INDEX(工数管理!$V$3:$V$98,$E111)))</f>
        <v/>
      </c>
      <c r="R111" t="str">
        <f>IF($E111="","",IF(INDEX(工数管理!$W$3:$W$98,$E111)="","",INDEX(工数管理!$W$3:$W$98,$E111)))</f>
        <v/>
      </c>
      <c r="S111" t="str">
        <f>IF($E111="","",IF(INDEX(工数管理!$X$3:$X$98,$E111)="","",INDEX(工数管理!$X$3:$X$98,$E111)))</f>
        <v/>
      </c>
      <c r="T111" t="str">
        <f>IF($E111="","",IF(INDEX(工数管理!$Y$3:$Y$98,$E111)="","",INDEX(工数管理!$Y$3:$Y$98,$E111)))</f>
        <v/>
      </c>
      <c r="U111" t="str">
        <f>IF($E111="","",IF(INDEX(工数管理!$Z$3:$Z$98,$E111)="","",INDEX(工数管理!$Z$3:$Z$98,$E111)))</f>
        <v/>
      </c>
      <c r="V111" t="str">
        <f>IF($E111="","",IF(INDEX(工数管理!$AA$3:$AA$98,$E111)="","",INDEX(工数管理!$AA$3:$AA$98,$E111)))</f>
        <v/>
      </c>
      <c r="W111" t="str">
        <f>IF($E111="","",IF(INDEX(工数管理!$AB$3:$AB$98,$E111)="","",INDEX(工数管理!$AB$3:$AB$98,$E111)))</f>
        <v/>
      </c>
      <c r="X111" t="str">
        <f>IF($E111="","",IF(INDEX(工数管理!$AC$3:$AC$98,$E111)="","",INDEX(工数管理!$AC$3:$AC$98,$E111)))</f>
        <v/>
      </c>
      <c r="Y111" t="str">
        <f>IF($E111="","",IF(INDEX(工数管理!$AD$3:$AD$98,$E111)="","",INDEX(工数管理!$AD$3:$AD$98,$E111)))</f>
        <v/>
      </c>
      <c r="Z111" t="str">
        <f>IF($E111="","",IF(INDEX(工数管理!$AE$3:$AE$98,$E111)="","",INDEX(工数管理!$AE$3:$AE$98,$E111)))</f>
        <v/>
      </c>
      <c r="AA111" t="str">
        <f>IF($E111="","",IF(INDEX(工数管理!$AF$3:$AF$98,$E111)="","",INDEX(工数管理!$AF$3:$AF$98,$E111)))</f>
        <v/>
      </c>
      <c r="AB111" t="str">
        <f>IF($E111="","",IF(INDEX(工数管理!$AG$3:$AG$98,$E111)="","",INDEX(工数管理!$AG$3:$AG$98,$E111)))</f>
        <v/>
      </c>
      <c r="AC111" t="str">
        <f>IF($E111="","",IF(INDEX(工数管理!$AH$3:$AH$98,$E111)="","",INDEX(工数管理!$AH$3:$AH$98,$E111)))</f>
        <v/>
      </c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/>
      <c r="CO111" s="52"/>
      <c r="CP111" s="52"/>
      <c r="CQ111" s="52"/>
      <c r="CR111" s="52"/>
      <c r="CS111" s="52"/>
      <c r="CT111" s="52"/>
      <c r="CU111" s="52"/>
      <c r="CV111" s="52"/>
      <c r="CW111" s="52"/>
      <c r="CX111" s="52"/>
      <c r="CY111" s="52"/>
      <c r="CZ111" s="52"/>
      <c r="DA111" s="52"/>
      <c r="DB111" s="52"/>
      <c r="DC111" s="52"/>
      <c r="DD111" s="52"/>
      <c r="DE111" s="52"/>
      <c r="DF111" s="52"/>
      <c r="DG111" s="52"/>
      <c r="DH111" s="52"/>
      <c r="DI111" s="52"/>
      <c r="DJ111" s="52"/>
      <c r="DK111" s="52"/>
      <c r="DL111" s="52"/>
      <c r="DM111" s="52"/>
      <c r="DN111" s="52"/>
      <c r="DO111" s="52"/>
      <c r="DP111" s="52"/>
      <c r="DQ111" s="52"/>
      <c r="DR111" s="52"/>
      <c r="DS111" s="52"/>
      <c r="DT111" s="52"/>
      <c r="DU111" s="52"/>
      <c r="DV111" s="52"/>
      <c r="DW111" s="52"/>
      <c r="DX111" s="52"/>
      <c r="DY111" s="52"/>
      <c r="DZ111" s="52"/>
      <c r="EA111" s="52"/>
      <c r="EB111" s="52"/>
      <c r="EC111" s="52"/>
      <c r="ED111" s="52"/>
      <c r="EE111" s="52"/>
      <c r="EF111" s="52"/>
      <c r="EG111" s="52"/>
      <c r="EH111" s="52"/>
      <c r="EI111" s="52"/>
      <c r="EJ111" s="52"/>
      <c r="EK111" s="52"/>
      <c r="EL111" s="52"/>
      <c r="EM111" s="52"/>
      <c r="EN111" s="52"/>
      <c r="EO111" s="52"/>
      <c r="EP111" s="52"/>
      <c r="EQ111" s="52"/>
      <c r="ER111" s="52"/>
      <c r="ES111" s="52"/>
      <c r="ET111" s="52"/>
      <c r="EU111" s="52"/>
      <c r="EV111" s="52"/>
      <c r="EW111" s="52"/>
      <c r="EX111" s="52"/>
      <c r="EY111" s="52"/>
      <c r="EZ111" s="52"/>
      <c r="FA111" s="52"/>
      <c r="FB111" s="52"/>
      <c r="FC111" s="52"/>
      <c r="FD111" s="52"/>
      <c r="FE111" s="52"/>
      <c r="FF111" s="52"/>
      <c r="FG111" s="52"/>
      <c r="FH111" s="52"/>
      <c r="FI111" s="52"/>
      <c r="FJ111" s="52"/>
      <c r="FK111" s="52"/>
      <c r="FL111" s="52"/>
      <c r="FM111" s="52"/>
      <c r="FN111" s="52"/>
      <c r="FO111" s="52"/>
      <c r="FP111" s="52"/>
      <c r="FQ111" s="52"/>
      <c r="FR111" s="52"/>
      <c r="FS111" s="52"/>
      <c r="FT111" s="52"/>
      <c r="FU111" s="52"/>
      <c r="FV111" s="52"/>
      <c r="FW111" s="52"/>
      <c r="FX111" s="52"/>
      <c r="FY111" s="52"/>
      <c r="FZ111" s="52"/>
      <c r="GA111" s="52"/>
      <c r="GB111" s="52"/>
      <c r="GC111" s="52"/>
      <c r="GD111" s="52"/>
      <c r="GE111" s="52"/>
      <c r="GF111" s="52"/>
      <c r="GG111" s="52"/>
      <c r="GH111" s="52"/>
      <c r="GI111" s="52"/>
      <c r="GJ111" s="52"/>
      <c r="GK111" s="52"/>
      <c r="GL111" s="52"/>
      <c r="GM111" s="52"/>
      <c r="GN111" s="52"/>
      <c r="GO111" s="52"/>
      <c r="GP111" s="52"/>
      <c r="GQ111" s="52"/>
      <c r="GR111" s="52"/>
      <c r="GS111" s="52"/>
      <c r="GT111" s="52"/>
      <c r="GU111" s="52"/>
      <c r="GV111" s="52"/>
      <c r="GW111" s="52"/>
      <c r="GX111" s="52"/>
      <c r="GY111" s="52"/>
      <c r="GZ111" s="52"/>
      <c r="HA111" s="52"/>
      <c r="HB111" s="52"/>
      <c r="HC111" s="52"/>
      <c r="HD111" s="52"/>
      <c r="HE111" s="52"/>
      <c r="HF111" s="52"/>
      <c r="HG111" s="52"/>
      <c r="HH111" s="52"/>
      <c r="HI111" s="52"/>
      <c r="HJ111" s="52"/>
      <c r="HK111" s="52"/>
      <c r="HL111" s="52"/>
      <c r="HM111" s="52"/>
      <c r="HN111" s="52"/>
      <c r="HO111" s="52"/>
      <c r="HP111" s="52"/>
      <c r="HQ111" s="52"/>
      <c r="HR111" s="52"/>
      <c r="HS111" s="52"/>
      <c r="HT111" s="52"/>
      <c r="HU111" s="52"/>
      <c r="HV111" s="52"/>
      <c r="HW111" s="52"/>
      <c r="HX111" s="52"/>
      <c r="HY111" s="52"/>
      <c r="HZ111" s="52"/>
      <c r="IA111" s="52"/>
      <c r="IB111" s="52"/>
      <c r="IC111" s="52"/>
      <c r="ID111" s="52"/>
      <c r="IE111" s="52"/>
      <c r="IF111" s="52"/>
      <c r="IG111" s="52"/>
      <c r="IH111" s="52"/>
      <c r="II111" s="52"/>
      <c r="IJ111" s="52"/>
      <c r="IK111" s="52"/>
      <c r="IL111" s="52"/>
      <c r="IM111" s="52"/>
      <c r="IN111" s="52"/>
      <c r="IO111" s="52"/>
      <c r="IP111" s="52"/>
      <c r="IQ111" s="52"/>
      <c r="IR111" s="52"/>
      <c r="IS111" s="52"/>
      <c r="IT111" s="52"/>
      <c r="IU111" s="52"/>
      <c r="IV111" s="52"/>
      <c r="IW111" s="52"/>
      <c r="IX111" s="52"/>
      <c r="IY111" s="52"/>
      <c r="IZ111" s="52"/>
      <c r="JA111" s="52"/>
      <c r="JB111" s="52"/>
      <c r="JC111" s="52"/>
      <c r="JD111" s="52"/>
      <c r="JE111" s="52"/>
      <c r="JF111" s="52"/>
      <c r="JG111" s="52"/>
      <c r="JH111" s="52"/>
      <c r="JI111" s="52"/>
      <c r="JL111" t="str">
        <f>IF($E111="","",IF(INDEX(工数管理!$AJ$3:$AJ$98,$E111)&lt;&gt;"",1,0))</f>
        <v/>
      </c>
      <c r="JM111" t="str">
        <f>IF($E111="","",IFERROR(MATCH($A111,祝日!$J$1:$L$1,0),""))</f>
        <v/>
      </c>
    </row>
    <row r="112" spans="1:273" ht="14.25" customHeight="1" x14ac:dyDescent="0.15">
      <c r="A112" s="50" t="str">
        <f>IF($E112="","",IF($JL112=1,INDEX(工数管理!$A$3:$A$98,$E112)&amp;"",IF(INDEX(工数管理!$AK$3:$AK$98,$E112)="","未割当",INDEX(工数管理!$AK$3:$AK$98,$E112))))</f>
        <v/>
      </c>
      <c r="B112" s="51" t="str">
        <f>IF($E112="","",IF($JL112=1,"",INDEX(工数管理!$A$3:$A$98,$E112)&amp;""))</f>
        <v/>
      </c>
      <c r="C112" s="50" t="str">
        <f>IF($E112="","",IF($JL112=1,"",INDEX(工数管理!$B$3:$B$98,$E112)&amp;""))</f>
        <v/>
      </c>
      <c r="D112" s="50" t="str">
        <f>IF($E112="","",INDEX(工数管理!$H$3:$H$98,$E112)&amp;"")</f>
        <v/>
      </c>
      <c r="E112" t="str">
        <f>IFERROR(MATCH(SMALL(工数管理!$BP$3:$BP$98,ROW()-3),工数管理!$BP$3:$BP$98,0),"")</f>
        <v/>
      </c>
      <c r="F112" t="str">
        <f>IF($E112="","",IF(INDEX(工数管理!$K$3:$K$98,$E112)="","",INDEX(工数管理!$K$3:$K$98,$E112)))</f>
        <v/>
      </c>
      <c r="G112" t="str">
        <f>IF($E112="","",IF(INDEX(工数管理!$L$3:$L$98,$E112)="","",INDEX(工数管理!$L$3:$L$98,$E112)))</f>
        <v/>
      </c>
      <c r="H112" t="str">
        <f>IF($E112="","",IF(INDEX(工数管理!$M$3:$M$98,$E112)="","",INDEX(工数管理!$M$3:$M$98,$E112)))</f>
        <v/>
      </c>
      <c r="I112" t="str">
        <f>IF($E112="","",IF(INDEX(工数管理!$N$3:$N$98,$E112)="","",INDEX(工数管理!$N$3:$N$98,$E112)))</f>
        <v/>
      </c>
      <c r="J112" t="str">
        <f>IF($E112="","",IF(INDEX(工数管理!$O$3:$O$98,$E112)="","",INDEX(工数管理!$O$3:$O$98,$E112)))</f>
        <v/>
      </c>
      <c r="K112" t="str">
        <f>IF($E112="","",IF(INDEX(工数管理!$P$3:$P$98,$E112)="","",INDEX(工数管理!$P$3:$P$98,$E112)))</f>
        <v/>
      </c>
      <c r="L112" t="str">
        <f>IF($E112="","",IF(INDEX(工数管理!$Q$3:$Q$98,$E112)="","",INDEX(工数管理!$Q$3:$Q$98,$E112)))</f>
        <v/>
      </c>
      <c r="M112" t="str">
        <f>IF($E112="","",IF(INDEX(工数管理!$R$3:$R$98,$E112)="","",INDEX(工数管理!$R$3:$R$98,$E112)))</f>
        <v/>
      </c>
      <c r="N112" t="str">
        <f>IF($E112="","",IF(INDEX(工数管理!$S$3:$S$98,$E112)="","",INDEX(工数管理!$S$3:$S$98,$E112)))</f>
        <v/>
      </c>
      <c r="O112" t="str">
        <f>IF($E112="","",IF(INDEX(工数管理!$T$3:$T$98,$E112)="","",INDEX(工数管理!$T$3:$T$98,$E112)))</f>
        <v/>
      </c>
      <c r="P112" t="str">
        <f>IF($E112="","",IF(INDEX(工数管理!$U$3:$U$98,$E112)="","",INDEX(工数管理!$U$3:$U$98,$E112)))</f>
        <v/>
      </c>
      <c r="Q112" t="str">
        <f>IF($E112="","",IF(INDEX(工数管理!$V$3:$V$98,$E112)="","",INDEX(工数管理!$V$3:$V$98,$E112)))</f>
        <v/>
      </c>
      <c r="R112" t="str">
        <f>IF($E112="","",IF(INDEX(工数管理!$W$3:$W$98,$E112)="","",INDEX(工数管理!$W$3:$W$98,$E112)))</f>
        <v/>
      </c>
      <c r="S112" t="str">
        <f>IF($E112="","",IF(INDEX(工数管理!$X$3:$X$98,$E112)="","",INDEX(工数管理!$X$3:$X$98,$E112)))</f>
        <v/>
      </c>
      <c r="T112" t="str">
        <f>IF($E112="","",IF(INDEX(工数管理!$Y$3:$Y$98,$E112)="","",INDEX(工数管理!$Y$3:$Y$98,$E112)))</f>
        <v/>
      </c>
      <c r="U112" t="str">
        <f>IF($E112="","",IF(INDEX(工数管理!$Z$3:$Z$98,$E112)="","",INDEX(工数管理!$Z$3:$Z$98,$E112)))</f>
        <v/>
      </c>
      <c r="V112" t="str">
        <f>IF($E112="","",IF(INDEX(工数管理!$AA$3:$AA$98,$E112)="","",INDEX(工数管理!$AA$3:$AA$98,$E112)))</f>
        <v/>
      </c>
      <c r="W112" t="str">
        <f>IF($E112="","",IF(INDEX(工数管理!$AB$3:$AB$98,$E112)="","",INDEX(工数管理!$AB$3:$AB$98,$E112)))</f>
        <v/>
      </c>
      <c r="X112" t="str">
        <f>IF($E112="","",IF(INDEX(工数管理!$AC$3:$AC$98,$E112)="","",INDEX(工数管理!$AC$3:$AC$98,$E112)))</f>
        <v/>
      </c>
      <c r="Y112" t="str">
        <f>IF($E112="","",IF(INDEX(工数管理!$AD$3:$AD$98,$E112)="","",INDEX(工数管理!$AD$3:$AD$98,$E112)))</f>
        <v/>
      </c>
      <c r="Z112" t="str">
        <f>IF($E112="","",IF(INDEX(工数管理!$AE$3:$AE$98,$E112)="","",INDEX(工数管理!$AE$3:$AE$98,$E112)))</f>
        <v/>
      </c>
      <c r="AA112" t="str">
        <f>IF($E112="","",IF(INDEX(工数管理!$AF$3:$AF$98,$E112)="","",INDEX(工数管理!$AF$3:$AF$98,$E112)))</f>
        <v/>
      </c>
      <c r="AB112" t="str">
        <f>IF($E112="","",IF(INDEX(工数管理!$AG$3:$AG$98,$E112)="","",INDEX(工数管理!$AG$3:$AG$98,$E112)))</f>
        <v/>
      </c>
      <c r="AC112" t="str">
        <f>IF($E112="","",IF(INDEX(工数管理!$AH$3:$AH$98,$E112)="","",INDEX(工数管理!$AH$3:$AH$98,$E112)))</f>
        <v/>
      </c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2"/>
      <c r="DD112" s="52"/>
      <c r="DE112" s="52"/>
      <c r="DF112" s="52"/>
      <c r="DG112" s="52"/>
      <c r="DH112" s="52"/>
      <c r="DI112" s="52"/>
      <c r="DJ112" s="52"/>
      <c r="DK112" s="52"/>
      <c r="DL112" s="52"/>
      <c r="DM112" s="52"/>
      <c r="DN112" s="52"/>
      <c r="DO112" s="52"/>
      <c r="DP112" s="52"/>
      <c r="DQ112" s="52"/>
      <c r="DR112" s="52"/>
      <c r="DS112" s="52"/>
      <c r="DT112" s="52"/>
      <c r="DU112" s="52"/>
      <c r="DV112" s="52"/>
      <c r="DW112" s="52"/>
      <c r="DX112" s="52"/>
      <c r="DY112" s="52"/>
      <c r="DZ112" s="52"/>
      <c r="EA112" s="52"/>
      <c r="EB112" s="52"/>
      <c r="EC112" s="52"/>
      <c r="ED112" s="52"/>
      <c r="EE112" s="52"/>
      <c r="EF112" s="52"/>
      <c r="EG112" s="52"/>
      <c r="EH112" s="52"/>
      <c r="EI112" s="52"/>
      <c r="EJ112" s="52"/>
      <c r="EK112" s="52"/>
      <c r="EL112" s="52"/>
      <c r="EM112" s="52"/>
      <c r="EN112" s="52"/>
      <c r="EO112" s="52"/>
      <c r="EP112" s="52"/>
      <c r="EQ112" s="52"/>
      <c r="ER112" s="52"/>
      <c r="ES112" s="52"/>
      <c r="ET112" s="52"/>
      <c r="EU112" s="52"/>
      <c r="EV112" s="52"/>
      <c r="EW112" s="52"/>
      <c r="EX112" s="52"/>
      <c r="EY112" s="52"/>
      <c r="EZ112" s="52"/>
      <c r="FA112" s="52"/>
      <c r="FB112" s="52"/>
      <c r="FC112" s="52"/>
      <c r="FD112" s="52"/>
      <c r="FE112" s="52"/>
      <c r="FF112" s="52"/>
      <c r="FG112" s="52"/>
      <c r="FH112" s="52"/>
      <c r="FI112" s="52"/>
      <c r="FJ112" s="52"/>
      <c r="FK112" s="52"/>
      <c r="FL112" s="52"/>
      <c r="FM112" s="52"/>
      <c r="FN112" s="52"/>
      <c r="FO112" s="52"/>
      <c r="FP112" s="52"/>
      <c r="FQ112" s="52"/>
      <c r="FR112" s="52"/>
      <c r="FS112" s="52"/>
      <c r="FT112" s="52"/>
      <c r="FU112" s="52"/>
      <c r="FV112" s="52"/>
      <c r="FW112" s="52"/>
      <c r="FX112" s="52"/>
      <c r="FY112" s="52"/>
      <c r="FZ112" s="52"/>
      <c r="GA112" s="52"/>
      <c r="GB112" s="52"/>
      <c r="GC112" s="52"/>
      <c r="GD112" s="52"/>
      <c r="GE112" s="52"/>
      <c r="GF112" s="52"/>
      <c r="GG112" s="52"/>
      <c r="GH112" s="52"/>
      <c r="GI112" s="52"/>
      <c r="GJ112" s="52"/>
      <c r="GK112" s="52"/>
      <c r="GL112" s="52"/>
      <c r="GM112" s="52"/>
      <c r="GN112" s="52"/>
      <c r="GO112" s="52"/>
      <c r="GP112" s="52"/>
      <c r="GQ112" s="52"/>
      <c r="GR112" s="52"/>
      <c r="GS112" s="52"/>
      <c r="GT112" s="52"/>
      <c r="GU112" s="52"/>
      <c r="GV112" s="52"/>
      <c r="GW112" s="52"/>
      <c r="GX112" s="52"/>
      <c r="GY112" s="52"/>
      <c r="GZ112" s="52"/>
      <c r="HA112" s="52"/>
      <c r="HB112" s="52"/>
      <c r="HC112" s="52"/>
      <c r="HD112" s="52"/>
      <c r="HE112" s="52"/>
      <c r="HF112" s="52"/>
      <c r="HG112" s="52"/>
      <c r="HH112" s="52"/>
      <c r="HI112" s="52"/>
      <c r="HJ112" s="52"/>
      <c r="HK112" s="52"/>
      <c r="HL112" s="52"/>
      <c r="HM112" s="52"/>
      <c r="HN112" s="52"/>
      <c r="HO112" s="52"/>
      <c r="HP112" s="52"/>
      <c r="HQ112" s="52"/>
      <c r="HR112" s="52"/>
      <c r="HS112" s="52"/>
      <c r="HT112" s="52"/>
      <c r="HU112" s="52"/>
      <c r="HV112" s="52"/>
      <c r="HW112" s="52"/>
      <c r="HX112" s="52"/>
      <c r="HY112" s="52"/>
      <c r="HZ112" s="52"/>
      <c r="IA112" s="52"/>
      <c r="IB112" s="52"/>
      <c r="IC112" s="52"/>
      <c r="ID112" s="52"/>
      <c r="IE112" s="52"/>
      <c r="IF112" s="52"/>
      <c r="IG112" s="52"/>
      <c r="IH112" s="52"/>
      <c r="II112" s="52"/>
      <c r="IJ112" s="52"/>
      <c r="IK112" s="52"/>
      <c r="IL112" s="52"/>
      <c r="IM112" s="52"/>
      <c r="IN112" s="52"/>
      <c r="IO112" s="52"/>
      <c r="IP112" s="52"/>
      <c r="IQ112" s="52"/>
      <c r="IR112" s="52"/>
      <c r="IS112" s="52"/>
      <c r="IT112" s="52"/>
      <c r="IU112" s="52"/>
      <c r="IV112" s="52"/>
      <c r="IW112" s="52"/>
      <c r="IX112" s="52"/>
      <c r="IY112" s="52"/>
      <c r="IZ112" s="52"/>
      <c r="JA112" s="52"/>
      <c r="JB112" s="52"/>
      <c r="JC112" s="52"/>
      <c r="JD112" s="52"/>
      <c r="JE112" s="52"/>
      <c r="JF112" s="52"/>
      <c r="JG112" s="52"/>
      <c r="JH112" s="52"/>
      <c r="JI112" s="52"/>
      <c r="JL112" t="str">
        <f>IF($E112="","",IF(INDEX(工数管理!$AJ$3:$AJ$98,$E112)&lt;&gt;"",1,0))</f>
        <v/>
      </c>
      <c r="JM112" t="str">
        <f>IF($E112="","",IFERROR(MATCH($A112,祝日!$J$1:$L$1,0),""))</f>
        <v/>
      </c>
    </row>
    <row r="113" spans="1:273" ht="14.25" customHeight="1" x14ac:dyDescent="0.15">
      <c r="A113" s="50" t="str">
        <f>IF($E113="","",IF($JL113=1,INDEX(工数管理!$A$3:$A$98,$E113)&amp;"",IF(INDEX(工数管理!$AK$3:$AK$98,$E113)="","未割当",INDEX(工数管理!$AK$3:$AK$98,$E113))))</f>
        <v/>
      </c>
      <c r="B113" s="51" t="str">
        <f>IF($E113="","",IF($JL113=1,"",INDEX(工数管理!$A$3:$A$98,$E113)&amp;""))</f>
        <v/>
      </c>
      <c r="C113" s="50" t="str">
        <f>IF($E113="","",IF($JL113=1,"",INDEX(工数管理!$B$3:$B$98,$E113)&amp;""))</f>
        <v/>
      </c>
      <c r="D113" s="50" t="str">
        <f>IF($E113="","",INDEX(工数管理!$H$3:$H$98,$E113)&amp;"")</f>
        <v/>
      </c>
      <c r="E113" t="str">
        <f>IFERROR(MATCH(SMALL(工数管理!$BP$3:$BP$98,ROW()-3),工数管理!$BP$3:$BP$98,0),"")</f>
        <v/>
      </c>
      <c r="F113" t="str">
        <f>IF($E113="","",IF(INDEX(工数管理!$K$3:$K$98,$E113)="","",INDEX(工数管理!$K$3:$K$98,$E113)))</f>
        <v/>
      </c>
      <c r="G113" t="str">
        <f>IF($E113="","",IF(INDEX(工数管理!$L$3:$L$98,$E113)="","",INDEX(工数管理!$L$3:$L$98,$E113)))</f>
        <v/>
      </c>
      <c r="H113" t="str">
        <f>IF($E113="","",IF(INDEX(工数管理!$M$3:$M$98,$E113)="","",INDEX(工数管理!$M$3:$M$98,$E113)))</f>
        <v/>
      </c>
      <c r="I113" t="str">
        <f>IF($E113="","",IF(INDEX(工数管理!$N$3:$N$98,$E113)="","",INDEX(工数管理!$N$3:$N$98,$E113)))</f>
        <v/>
      </c>
      <c r="J113" t="str">
        <f>IF($E113="","",IF(INDEX(工数管理!$O$3:$O$98,$E113)="","",INDEX(工数管理!$O$3:$O$98,$E113)))</f>
        <v/>
      </c>
      <c r="K113" t="str">
        <f>IF($E113="","",IF(INDEX(工数管理!$P$3:$P$98,$E113)="","",INDEX(工数管理!$P$3:$P$98,$E113)))</f>
        <v/>
      </c>
      <c r="L113" t="str">
        <f>IF($E113="","",IF(INDEX(工数管理!$Q$3:$Q$98,$E113)="","",INDEX(工数管理!$Q$3:$Q$98,$E113)))</f>
        <v/>
      </c>
      <c r="M113" t="str">
        <f>IF($E113="","",IF(INDEX(工数管理!$R$3:$R$98,$E113)="","",INDEX(工数管理!$R$3:$R$98,$E113)))</f>
        <v/>
      </c>
      <c r="N113" t="str">
        <f>IF($E113="","",IF(INDEX(工数管理!$S$3:$S$98,$E113)="","",INDEX(工数管理!$S$3:$S$98,$E113)))</f>
        <v/>
      </c>
      <c r="O113" t="str">
        <f>IF($E113="","",IF(INDEX(工数管理!$T$3:$T$98,$E113)="","",INDEX(工数管理!$T$3:$T$98,$E113)))</f>
        <v/>
      </c>
      <c r="P113" t="str">
        <f>IF($E113="","",IF(INDEX(工数管理!$U$3:$U$98,$E113)="","",INDEX(工数管理!$U$3:$U$98,$E113)))</f>
        <v/>
      </c>
      <c r="Q113" t="str">
        <f>IF($E113="","",IF(INDEX(工数管理!$V$3:$V$98,$E113)="","",INDEX(工数管理!$V$3:$V$98,$E113)))</f>
        <v/>
      </c>
      <c r="R113" t="str">
        <f>IF($E113="","",IF(INDEX(工数管理!$W$3:$W$98,$E113)="","",INDEX(工数管理!$W$3:$W$98,$E113)))</f>
        <v/>
      </c>
      <c r="S113" t="str">
        <f>IF($E113="","",IF(INDEX(工数管理!$X$3:$X$98,$E113)="","",INDEX(工数管理!$X$3:$X$98,$E113)))</f>
        <v/>
      </c>
      <c r="T113" t="str">
        <f>IF($E113="","",IF(INDEX(工数管理!$Y$3:$Y$98,$E113)="","",INDEX(工数管理!$Y$3:$Y$98,$E113)))</f>
        <v/>
      </c>
      <c r="U113" t="str">
        <f>IF($E113="","",IF(INDEX(工数管理!$Z$3:$Z$98,$E113)="","",INDEX(工数管理!$Z$3:$Z$98,$E113)))</f>
        <v/>
      </c>
      <c r="V113" t="str">
        <f>IF($E113="","",IF(INDEX(工数管理!$AA$3:$AA$98,$E113)="","",INDEX(工数管理!$AA$3:$AA$98,$E113)))</f>
        <v/>
      </c>
      <c r="W113" t="str">
        <f>IF($E113="","",IF(INDEX(工数管理!$AB$3:$AB$98,$E113)="","",INDEX(工数管理!$AB$3:$AB$98,$E113)))</f>
        <v/>
      </c>
      <c r="X113" t="str">
        <f>IF($E113="","",IF(INDEX(工数管理!$AC$3:$AC$98,$E113)="","",INDEX(工数管理!$AC$3:$AC$98,$E113)))</f>
        <v/>
      </c>
      <c r="Y113" t="str">
        <f>IF($E113="","",IF(INDEX(工数管理!$AD$3:$AD$98,$E113)="","",INDEX(工数管理!$AD$3:$AD$98,$E113)))</f>
        <v/>
      </c>
      <c r="Z113" t="str">
        <f>IF($E113="","",IF(INDEX(工数管理!$AE$3:$AE$98,$E113)="","",INDEX(工数管理!$AE$3:$AE$98,$E113)))</f>
        <v/>
      </c>
      <c r="AA113" t="str">
        <f>IF($E113="","",IF(INDEX(工数管理!$AF$3:$AF$98,$E113)="","",INDEX(工数管理!$AF$3:$AF$98,$E113)))</f>
        <v/>
      </c>
      <c r="AB113" t="str">
        <f>IF($E113="","",IF(INDEX(工数管理!$AG$3:$AG$98,$E113)="","",INDEX(工数管理!$AG$3:$AG$98,$E113)))</f>
        <v/>
      </c>
      <c r="AC113" t="str">
        <f>IF($E113="","",IF(INDEX(工数管理!$AH$3:$AH$98,$E113)="","",INDEX(工数管理!$AH$3:$AH$98,$E113)))</f>
        <v/>
      </c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  <c r="DL113" s="52"/>
      <c r="DM113" s="52"/>
      <c r="DN113" s="52"/>
      <c r="DO113" s="52"/>
      <c r="DP113" s="52"/>
      <c r="DQ113" s="52"/>
      <c r="DR113" s="52"/>
      <c r="DS113" s="52"/>
      <c r="DT113" s="52"/>
      <c r="DU113" s="52"/>
      <c r="DV113" s="52"/>
      <c r="DW113" s="52"/>
      <c r="DX113" s="52"/>
      <c r="DY113" s="52"/>
      <c r="DZ113" s="52"/>
      <c r="EA113" s="52"/>
      <c r="EB113" s="52"/>
      <c r="EC113" s="52"/>
      <c r="ED113" s="52"/>
      <c r="EE113" s="52"/>
      <c r="EF113" s="52"/>
      <c r="EG113" s="52"/>
      <c r="EH113" s="52"/>
      <c r="EI113" s="52"/>
      <c r="EJ113" s="52"/>
      <c r="EK113" s="52"/>
      <c r="EL113" s="52"/>
      <c r="EM113" s="52"/>
      <c r="EN113" s="52"/>
      <c r="EO113" s="52"/>
      <c r="EP113" s="52"/>
      <c r="EQ113" s="52"/>
      <c r="ER113" s="52"/>
      <c r="ES113" s="52"/>
      <c r="ET113" s="52"/>
      <c r="EU113" s="52"/>
      <c r="EV113" s="52"/>
      <c r="EW113" s="52"/>
      <c r="EX113" s="52"/>
      <c r="EY113" s="52"/>
      <c r="EZ113" s="52"/>
      <c r="FA113" s="52"/>
      <c r="FB113" s="52"/>
      <c r="FC113" s="52"/>
      <c r="FD113" s="52"/>
      <c r="FE113" s="52"/>
      <c r="FF113" s="52"/>
      <c r="FG113" s="52"/>
      <c r="FH113" s="52"/>
      <c r="FI113" s="52"/>
      <c r="FJ113" s="52"/>
      <c r="FK113" s="52"/>
      <c r="FL113" s="52"/>
      <c r="FM113" s="52"/>
      <c r="FN113" s="52"/>
      <c r="FO113" s="52"/>
      <c r="FP113" s="52"/>
      <c r="FQ113" s="52"/>
      <c r="FR113" s="52"/>
      <c r="FS113" s="52"/>
      <c r="FT113" s="52"/>
      <c r="FU113" s="52"/>
      <c r="FV113" s="52"/>
      <c r="FW113" s="52"/>
      <c r="FX113" s="52"/>
      <c r="FY113" s="52"/>
      <c r="FZ113" s="52"/>
      <c r="GA113" s="52"/>
      <c r="GB113" s="52"/>
      <c r="GC113" s="52"/>
      <c r="GD113" s="52"/>
      <c r="GE113" s="52"/>
      <c r="GF113" s="52"/>
      <c r="GG113" s="52"/>
      <c r="GH113" s="52"/>
      <c r="GI113" s="52"/>
      <c r="GJ113" s="52"/>
      <c r="GK113" s="52"/>
      <c r="GL113" s="52"/>
      <c r="GM113" s="52"/>
      <c r="GN113" s="52"/>
      <c r="GO113" s="52"/>
      <c r="GP113" s="52"/>
      <c r="GQ113" s="52"/>
      <c r="GR113" s="52"/>
      <c r="GS113" s="52"/>
      <c r="GT113" s="52"/>
      <c r="GU113" s="52"/>
      <c r="GV113" s="52"/>
      <c r="GW113" s="52"/>
      <c r="GX113" s="52"/>
      <c r="GY113" s="52"/>
      <c r="GZ113" s="52"/>
      <c r="HA113" s="52"/>
      <c r="HB113" s="52"/>
      <c r="HC113" s="52"/>
      <c r="HD113" s="52"/>
      <c r="HE113" s="52"/>
      <c r="HF113" s="52"/>
      <c r="HG113" s="52"/>
      <c r="HH113" s="52"/>
      <c r="HI113" s="52"/>
      <c r="HJ113" s="52"/>
      <c r="HK113" s="52"/>
      <c r="HL113" s="52"/>
      <c r="HM113" s="52"/>
      <c r="HN113" s="52"/>
      <c r="HO113" s="52"/>
      <c r="HP113" s="52"/>
      <c r="HQ113" s="52"/>
      <c r="HR113" s="52"/>
      <c r="HS113" s="52"/>
      <c r="HT113" s="52"/>
      <c r="HU113" s="52"/>
      <c r="HV113" s="52"/>
      <c r="HW113" s="52"/>
      <c r="HX113" s="52"/>
      <c r="HY113" s="52"/>
      <c r="HZ113" s="52"/>
      <c r="IA113" s="52"/>
      <c r="IB113" s="52"/>
      <c r="IC113" s="52"/>
      <c r="ID113" s="52"/>
      <c r="IE113" s="52"/>
      <c r="IF113" s="52"/>
      <c r="IG113" s="52"/>
      <c r="IH113" s="52"/>
      <c r="II113" s="52"/>
      <c r="IJ113" s="52"/>
      <c r="IK113" s="52"/>
      <c r="IL113" s="52"/>
      <c r="IM113" s="52"/>
      <c r="IN113" s="52"/>
      <c r="IO113" s="52"/>
      <c r="IP113" s="52"/>
      <c r="IQ113" s="52"/>
      <c r="IR113" s="52"/>
      <c r="IS113" s="52"/>
      <c r="IT113" s="52"/>
      <c r="IU113" s="52"/>
      <c r="IV113" s="52"/>
      <c r="IW113" s="52"/>
      <c r="IX113" s="52"/>
      <c r="IY113" s="52"/>
      <c r="IZ113" s="52"/>
      <c r="JA113" s="52"/>
      <c r="JB113" s="52"/>
      <c r="JC113" s="52"/>
      <c r="JD113" s="52"/>
      <c r="JE113" s="52"/>
      <c r="JF113" s="52"/>
      <c r="JG113" s="52"/>
      <c r="JH113" s="52"/>
      <c r="JI113" s="52"/>
      <c r="JL113" t="str">
        <f>IF($E113="","",IF(INDEX(工数管理!$AJ$3:$AJ$98,$E113)&lt;&gt;"",1,0))</f>
        <v/>
      </c>
      <c r="JM113" t="str">
        <f>IF($E113="","",IFERROR(MATCH($A113,祝日!$J$1:$L$1,0),""))</f>
        <v/>
      </c>
    </row>
    <row r="114" spans="1:273" ht="14.25" customHeight="1" x14ac:dyDescent="0.15">
      <c r="A114" s="50" t="str">
        <f>IF($E114="","",IF($JL114=1,INDEX(工数管理!$A$3:$A$98,$E114)&amp;"",IF(INDEX(工数管理!$AK$3:$AK$98,$E114)="","未割当",INDEX(工数管理!$AK$3:$AK$98,$E114))))</f>
        <v/>
      </c>
      <c r="B114" s="51" t="str">
        <f>IF($E114="","",IF($JL114=1,"",INDEX(工数管理!$A$3:$A$98,$E114)&amp;""))</f>
        <v/>
      </c>
      <c r="C114" s="50" t="str">
        <f>IF($E114="","",IF($JL114=1,"",INDEX(工数管理!$B$3:$B$98,$E114)&amp;""))</f>
        <v/>
      </c>
      <c r="D114" s="50" t="str">
        <f>IF($E114="","",INDEX(工数管理!$H$3:$H$98,$E114)&amp;"")</f>
        <v/>
      </c>
      <c r="E114" t="str">
        <f>IFERROR(MATCH(SMALL(工数管理!$BP$3:$BP$98,ROW()-3),工数管理!$BP$3:$BP$98,0),"")</f>
        <v/>
      </c>
      <c r="F114" t="str">
        <f>IF($E114="","",IF(INDEX(工数管理!$K$3:$K$98,$E114)="","",INDEX(工数管理!$K$3:$K$98,$E114)))</f>
        <v/>
      </c>
      <c r="G114" t="str">
        <f>IF($E114="","",IF(INDEX(工数管理!$L$3:$L$98,$E114)="","",INDEX(工数管理!$L$3:$L$98,$E114)))</f>
        <v/>
      </c>
      <c r="H114" t="str">
        <f>IF($E114="","",IF(INDEX(工数管理!$M$3:$M$98,$E114)="","",INDEX(工数管理!$M$3:$M$98,$E114)))</f>
        <v/>
      </c>
      <c r="I114" t="str">
        <f>IF($E114="","",IF(INDEX(工数管理!$N$3:$N$98,$E114)="","",INDEX(工数管理!$N$3:$N$98,$E114)))</f>
        <v/>
      </c>
      <c r="J114" t="str">
        <f>IF($E114="","",IF(INDEX(工数管理!$O$3:$O$98,$E114)="","",INDEX(工数管理!$O$3:$O$98,$E114)))</f>
        <v/>
      </c>
      <c r="K114" t="str">
        <f>IF($E114="","",IF(INDEX(工数管理!$P$3:$P$98,$E114)="","",INDEX(工数管理!$P$3:$P$98,$E114)))</f>
        <v/>
      </c>
      <c r="L114" t="str">
        <f>IF($E114="","",IF(INDEX(工数管理!$Q$3:$Q$98,$E114)="","",INDEX(工数管理!$Q$3:$Q$98,$E114)))</f>
        <v/>
      </c>
      <c r="M114" t="str">
        <f>IF($E114="","",IF(INDEX(工数管理!$R$3:$R$98,$E114)="","",INDEX(工数管理!$R$3:$R$98,$E114)))</f>
        <v/>
      </c>
      <c r="N114" t="str">
        <f>IF($E114="","",IF(INDEX(工数管理!$S$3:$S$98,$E114)="","",INDEX(工数管理!$S$3:$S$98,$E114)))</f>
        <v/>
      </c>
      <c r="O114" t="str">
        <f>IF($E114="","",IF(INDEX(工数管理!$T$3:$T$98,$E114)="","",INDEX(工数管理!$T$3:$T$98,$E114)))</f>
        <v/>
      </c>
      <c r="P114" t="str">
        <f>IF($E114="","",IF(INDEX(工数管理!$U$3:$U$98,$E114)="","",INDEX(工数管理!$U$3:$U$98,$E114)))</f>
        <v/>
      </c>
      <c r="Q114" t="str">
        <f>IF($E114="","",IF(INDEX(工数管理!$V$3:$V$98,$E114)="","",INDEX(工数管理!$V$3:$V$98,$E114)))</f>
        <v/>
      </c>
      <c r="R114" t="str">
        <f>IF($E114="","",IF(INDEX(工数管理!$W$3:$W$98,$E114)="","",INDEX(工数管理!$W$3:$W$98,$E114)))</f>
        <v/>
      </c>
      <c r="S114" t="str">
        <f>IF($E114="","",IF(INDEX(工数管理!$X$3:$X$98,$E114)="","",INDEX(工数管理!$X$3:$X$98,$E114)))</f>
        <v/>
      </c>
      <c r="T114" t="str">
        <f>IF($E114="","",IF(INDEX(工数管理!$Y$3:$Y$98,$E114)="","",INDEX(工数管理!$Y$3:$Y$98,$E114)))</f>
        <v/>
      </c>
      <c r="U114" t="str">
        <f>IF($E114="","",IF(INDEX(工数管理!$Z$3:$Z$98,$E114)="","",INDEX(工数管理!$Z$3:$Z$98,$E114)))</f>
        <v/>
      </c>
      <c r="V114" t="str">
        <f>IF($E114="","",IF(INDEX(工数管理!$AA$3:$AA$98,$E114)="","",INDEX(工数管理!$AA$3:$AA$98,$E114)))</f>
        <v/>
      </c>
      <c r="W114" t="str">
        <f>IF($E114="","",IF(INDEX(工数管理!$AB$3:$AB$98,$E114)="","",INDEX(工数管理!$AB$3:$AB$98,$E114)))</f>
        <v/>
      </c>
      <c r="X114" t="str">
        <f>IF($E114="","",IF(INDEX(工数管理!$AC$3:$AC$98,$E114)="","",INDEX(工数管理!$AC$3:$AC$98,$E114)))</f>
        <v/>
      </c>
      <c r="Y114" t="str">
        <f>IF($E114="","",IF(INDEX(工数管理!$AD$3:$AD$98,$E114)="","",INDEX(工数管理!$AD$3:$AD$98,$E114)))</f>
        <v/>
      </c>
      <c r="Z114" t="str">
        <f>IF($E114="","",IF(INDEX(工数管理!$AE$3:$AE$98,$E114)="","",INDEX(工数管理!$AE$3:$AE$98,$E114)))</f>
        <v/>
      </c>
      <c r="AA114" t="str">
        <f>IF($E114="","",IF(INDEX(工数管理!$AF$3:$AF$98,$E114)="","",INDEX(工数管理!$AF$3:$AF$98,$E114)))</f>
        <v/>
      </c>
      <c r="AB114" t="str">
        <f>IF($E114="","",IF(INDEX(工数管理!$AG$3:$AG$98,$E114)="","",INDEX(工数管理!$AG$3:$AG$98,$E114)))</f>
        <v/>
      </c>
      <c r="AC114" t="str">
        <f>IF($E114="","",IF(INDEX(工数管理!$AH$3:$AH$98,$E114)="","",INDEX(工数管理!$AH$3:$AH$98,$E114)))</f>
        <v/>
      </c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/>
      <c r="CT114" s="52"/>
      <c r="CU114" s="52"/>
      <c r="CV114" s="52"/>
      <c r="CW114" s="52"/>
      <c r="CX114" s="52"/>
      <c r="CY114" s="52"/>
      <c r="CZ114" s="52"/>
      <c r="DA114" s="52"/>
      <c r="DB114" s="52"/>
      <c r="DC114" s="52"/>
      <c r="DD114" s="52"/>
      <c r="DE114" s="52"/>
      <c r="DF114" s="52"/>
      <c r="DG114" s="52"/>
      <c r="DH114" s="52"/>
      <c r="DI114" s="52"/>
      <c r="DJ114" s="52"/>
      <c r="DK114" s="52"/>
      <c r="DL114" s="52"/>
      <c r="DM114" s="52"/>
      <c r="DN114" s="52"/>
      <c r="DO114" s="52"/>
      <c r="DP114" s="52"/>
      <c r="DQ114" s="52"/>
      <c r="DR114" s="52"/>
      <c r="DS114" s="52"/>
      <c r="DT114" s="52"/>
      <c r="DU114" s="52"/>
      <c r="DV114" s="52"/>
      <c r="DW114" s="52"/>
      <c r="DX114" s="52"/>
      <c r="DY114" s="52"/>
      <c r="DZ114" s="52"/>
      <c r="EA114" s="52"/>
      <c r="EB114" s="52"/>
      <c r="EC114" s="52"/>
      <c r="ED114" s="52"/>
      <c r="EE114" s="52"/>
      <c r="EF114" s="52"/>
      <c r="EG114" s="52"/>
      <c r="EH114" s="52"/>
      <c r="EI114" s="52"/>
      <c r="EJ114" s="52"/>
      <c r="EK114" s="52"/>
      <c r="EL114" s="52"/>
      <c r="EM114" s="52"/>
      <c r="EN114" s="52"/>
      <c r="EO114" s="52"/>
      <c r="EP114" s="52"/>
      <c r="EQ114" s="52"/>
      <c r="ER114" s="52"/>
      <c r="ES114" s="52"/>
      <c r="ET114" s="52"/>
      <c r="EU114" s="52"/>
      <c r="EV114" s="52"/>
      <c r="EW114" s="52"/>
      <c r="EX114" s="52"/>
      <c r="EY114" s="52"/>
      <c r="EZ114" s="52"/>
      <c r="FA114" s="52"/>
      <c r="FB114" s="52"/>
      <c r="FC114" s="52"/>
      <c r="FD114" s="52"/>
      <c r="FE114" s="52"/>
      <c r="FF114" s="52"/>
      <c r="FG114" s="52"/>
      <c r="FH114" s="52"/>
      <c r="FI114" s="52"/>
      <c r="FJ114" s="52"/>
      <c r="FK114" s="52"/>
      <c r="FL114" s="52"/>
      <c r="FM114" s="52"/>
      <c r="FN114" s="52"/>
      <c r="FO114" s="52"/>
      <c r="FP114" s="52"/>
      <c r="FQ114" s="52"/>
      <c r="FR114" s="52"/>
      <c r="FS114" s="52"/>
      <c r="FT114" s="52"/>
      <c r="FU114" s="52"/>
      <c r="FV114" s="52"/>
      <c r="FW114" s="52"/>
      <c r="FX114" s="52"/>
      <c r="FY114" s="52"/>
      <c r="FZ114" s="52"/>
      <c r="GA114" s="52"/>
      <c r="GB114" s="52"/>
      <c r="GC114" s="52"/>
      <c r="GD114" s="52"/>
      <c r="GE114" s="52"/>
      <c r="GF114" s="52"/>
      <c r="GG114" s="52"/>
      <c r="GH114" s="52"/>
      <c r="GI114" s="52"/>
      <c r="GJ114" s="52"/>
      <c r="GK114" s="52"/>
      <c r="GL114" s="52"/>
      <c r="GM114" s="52"/>
      <c r="GN114" s="52"/>
      <c r="GO114" s="52"/>
      <c r="GP114" s="52"/>
      <c r="GQ114" s="52"/>
      <c r="GR114" s="52"/>
      <c r="GS114" s="52"/>
      <c r="GT114" s="52"/>
      <c r="GU114" s="52"/>
      <c r="GV114" s="52"/>
      <c r="GW114" s="52"/>
      <c r="GX114" s="52"/>
      <c r="GY114" s="52"/>
      <c r="GZ114" s="52"/>
      <c r="HA114" s="52"/>
      <c r="HB114" s="52"/>
      <c r="HC114" s="52"/>
      <c r="HD114" s="52"/>
      <c r="HE114" s="52"/>
      <c r="HF114" s="52"/>
      <c r="HG114" s="52"/>
      <c r="HH114" s="52"/>
      <c r="HI114" s="52"/>
      <c r="HJ114" s="52"/>
      <c r="HK114" s="52"/>
      <c r="HL114" s="52"/>
      <c r="HM114" s="52"/>
      <c r="HN114" s="52"/>
      <c r="HO114" s="52"/>
      <c r="HP114" s="52"/>
      <c r="HQ114" s="52"/>
      <c r="HR114" s="52"/>
      <c r="HS114" s="52"/>
      <c r="HT114" s="52"/>
      <c r="HU114" s="52"/>
      <c r="HV114" s="52"/>
      <c r="HW114" s="52"/>
      <c r="HX114" s="52"/>
      <c r="HY114" s="52"/>
      <c r="HZ114" s="52"/>
      <c r="IA114" s="52"/>
      <c r="IB114" s="52"/>
      <c r="IC114" s="52"/>
      <c r="ID114" s="52"/>
      <c r="IE114" s="52"/>
      <c r="IF114" s="52"/>
      <c r="IG114" s="52"/>
      <c r="IH114" s="52"/>
      <c r="II114" s="52"/>
      <c r="IJ114" s="52"/>
      <c r="IK114" s="52"/>
      <c r="IL114" s="52"/>
      <c r="IM114" s="52"/>
      <c r="IN114" s="52"/>
      <c r="IO114" s="52"/>
      <c r="IP114" s="52"/>
      <c r="IQ114" s="52"/>
      <c r="IR114" s="52"/>
      <c r="IS114" s="52"/>
      <c r="IT114" s="52"/>
      <c r="IU114" s="52"/>
      <c r="IV114" s="52"/>
      <c r="IW114" s="52"/>
      <c r="IX114" s="52"/>
      <c r="IY114" s="52"/>
      <c r="IZ114" s="52"/>
      <c r="JA114" s="52"/>
      <c r="JB114" s="52"/>
      <c r="JC114" s="52"/>
      <c r="JD114" s="52"/>
      <c r="JE114" s="52"/>
      <c r="JF114" s="52"/>
      <c r="JG114" s="52"/>
      <c r="JH114" s="52"/>
      <c r="JI114" s="52"/>
      <c r="JL114" t="str">
        <f>IF($E114="","",IF(INDEX(工数管理!$AJ$3:$AJ$98,$E114)&lt;&gt;"",1,0))</f>
        <v/>
      </c>
      <c r="JM114" t="str">
        <f>IF($E114="","",IFERROR(MATCH($A114,祝日!$J$1:$L$1,0),""))</f>
        <v/>
      </c>
    </row>
    <row r="115" spans="1:273" ht="14.25" customHeight="1" x14ac:dyDescent="0.15">
      <c r="A115" s="50" t="str">
        <f>IF($E115="","",IF($JL115=1,INDEX(工数管理!$A$3:$A$98,$E115)&amp;"",IF(INDEX(工数管理!$AK$3:$AK$98,$E115)="","未割当",INDEX(工数管理!$AK$3:$AK$98,$E115))))</f>
        <v/>
      </c>
      <c r="B115" s="51" t="str">
        <f>IF($E115="","",IF($JL115=1,"",INDEX(工数管理!$A$3:$A$98,$E115)&amp;""))</f>
        <v/>
      </c>
      <c r="C115" s="50" t="str">
        <f>IF($E115="","",IF($JL115=1,"",INDEX(工数管理!$B$3:$B$98,$E115)&amp;""))</f>
        <v/>
      </c>
      <c r="D115" s="50" t="str">
        <f>IF($E115="","",INDEX(工数管理!$H$3:$H$98,$E115)&amp;"")</f>
        <v/>
      </c>
      <c r="E115" t="str">
        <f>IFERROR(MATCH(SMALL(工数管理!$BP$3:$BP$98,ROW()-3),工数管理!$BP$3:$BP$98,0),"")</f>
        <v/>
      </c>
      <c r="F115" t="str">
        <f>IF($E115="","",IF(INDEX(工数管理!$K$3:$K$98,$E115)="","",INDEX(工数管理!$K$3:$K$98,$E115)))</f>
        <v/>
      </c>
      <c r="G115" t="str">
        <f>IF($E115="","",IF(INDEX(工数管理!$L$3:$L$98,$E115)="","",INDEX(工数管理!$L$3:$L$98,$E115)))</f>
        <v/>
      </c>
      <c r="H115" t="str">
        <f>IF($E115="","",IF(INDEX(工数管理!$M$3:$M$98,$E115)="","",INDEX(工数管理!$M$3:$M$98,$E115)))</f>
        <v/>
      </c>
      <c r="I115" t="str">
        <f>IF($E115="","",IF(INDEX(工数管理!$N$3:$N$98,$E115)="","",INDEX(工数管理!$N$3:$N$98,$E115)))</f>
        <v/>
      </c>
      <c r="J115" t="str">
        <f>IF($E115="","",IF(INDEX(工数管理!$O$3:$O$98,$E115)="","",INDEX(工数管理!$O$3:$O$98,$E115)))</f>
        <v/>
      </c>
      <c r="K115" t="str">
        <f>IF($E115="","",IF(INDEX(工数管理!$P$3:$P$98,$E115)="","",INDEX(工数管理!$P$3:$P$98,$E115)))</f>
        <v/>
      </c>
      <c r="L115" t="str">
        <f>IF($E115="","",IF(INDEX(工数管理!$Q$3:$Q$98,$E115)="","",INDEX(工数管理!$Q$3:$Q$98,$E115)))</f>
        <v/>
      </c>
      <c r="M115" t="str">
        <f>IF($E115="","",IF(INDEX(工数管理!$R$3:$R$98,$E115)="","",INDEX(工数管理!$R$3:$R$98,$E115)))</f>
        <v/>
      </c>
      <c r="N115" t="str">
        <f>IF($E115="","",IF(INDEX(工数管理!$S$3:$S$98,$E115)="","",INDEX(工数管理!$S$3:$S$98,$E115)))</f>
        <v/>
      </c>
      <c r="O115" t="str">
        <f>IF($E115="","",IF(INDEX(工数管理!$T$3:$T$98,$E115)="","",INDEX(工数管理!$T$3:$T$98,$E115)))</f>
        <v/>
      </c>
      <c r="P115" t="str">
        <f>IF($E115="","",IF(INDEX(工数管理!$U$3:$U$98,$E115)="","",INDEX(工数管理!$U$3:$U$98,$E115)))</f>
        <v/>
      </c>
      <c r="Q115" t="str">
        <f>IF($E115="","",IF(INDEX(工数管理!$V$3:$V$98,$E115)="","",INDEX(工数管理!$V$3:$V$98,$E115)))</f>
        <v/>
      </c>
      <c r="R115" t="str">
        <f>IF($E115="","",IF(INDEX(工数管理!$W$3:$W$98,$E115)="","",INDEX(工数管理!$W$3:$W$98,$E115)))</f>
        <v/>
      </c>
      <c r="S115" t="str">
        <f>IF($E115="","",IF(INDEX(工数管理!$X$3:$X$98,$E115)="","",INDEX(工数管理!$X$3:$X$98,$E115)))</f>
        <v/>
      </c>
      <c r="T115" t="str">
        <f>IF($E115="","",IF(INDEX(工数管理!$Y$3:$Y$98,$E115)="","",INDEX(工数管理!$Y$3:$Y$98,$E115)))</f>
        <v/>
      </c>
      <c r="U115" t="str">
        <f>IF($E115="","",IF(INDEX(工数管理!$Z$3:$Z$98,$E115)="","",INDEX(工数管理!$Z$3:$Z$98,$E115)))</f>
        <v/>
      </c>
      <c r="V115" t="str">
        <f>IF($E115="","",IF(INDEX(工数管理!$AA$3:$AA$98,$E115)="","",INDEX(工数管理!$AA$3:$AA$98,$E115)))</f>
        <v/>
      </c>
      <c r="W115" t="str">
        <f>IF($E115="","",IF(INDEX(工数管理!$AB$3:$AB$98,$E115)="","",INDEX(工数管理!$AB$3:$AB$98,$E115)))</f>
        <v/>
      </c>
      <c r="X115" t="str">
        <f>IF($E115="","",IF(INDEX(工数管理!$AC$3:$AC$98,$E115)="","",INDEX(工数管理!$AC$3:$AC$98,$E115)))</f>
        <v/>
      </c>
      <c r="Y115" t="str">
        <f>IF($E115="","",IF(INDEX(工数管理!$AD$3:$AD$98,$E115)="","",INDEX(工数管理!$AD$3:$AD$98,$E115)))</f>
        <v/>
      </c>
      <c r="Z115" t="str">
        <f>IF($E115="","",IF(INDEX(工数管理!$AE$3:$AE$98,$E115)="","",INDEX(工数管理!$AE$3:$AE$98,$E115)))</f>
        <v/>
      </c>
      <c r="AA115" t="str">
        <f>IF($E115="","",IF(INDEX(工数管理!$AF$3:$AF$98,$E115)="","",INDEX(工数管理!$AF$3:$AF$98,$E115)))</f>
        <v/>
      </c>
      <c r="AB115" t="str">
        <f>IF($E115="","",IF(INDEX(工数管理!$AG$3:$AG$98,$E115)="","",INDEX(工数管理!$AG$3:$AG$98,$E115)))</f>
        <v/>
      </c>
      <c r="AC115" t="str">
        <f>IF($E115="","",IF(INDEX(工数管理!$AH$3:$AH$98,$E115)="","",INDEX(工数管理!$AH$3:$AH$98,$E115)))</f>
        <v/>
      </c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2"/>
      <c r="DI115" s="52"/>
      <c r="DJ115" s="52"/>
      <c r="DK115" s="52"/>
      <c r="DL115" s="52"/>
      <c r="DM115" s="52"/>
      <c r="DN115" s="52"/>
      <c r="DO115" s="52"/>
      <c r="DP115" s="52"/>
      <c r="DQ115" s="52"/>
      <c r="DR115" s="52"/>
      <c r="DS115" s="52"/>
      <c r="DT115" s="52"/>
      <c r="DU115" s="52"/>
      <c r="DV115" s="52"/>
      <c r="DW115" s="52"/>
      <c r="DX115" s="52"/>
      <c r="DY115" s="52"/>
      <c r="DZ115" s="52"/>
      <c r="EA115" s="52"/>
      <c r="EB115" s="52"/>
      <c r="EC115" s="52"/>
      <c r="ED115" s="52"/>
      <c r="EE115" s="52"/>
      <c r="EF115" s="52"/>
      <c r="EG115" s="52"/>
      <c r="EH115" s="52"/>
      <c r="EI115" s="52"/>
      <c r="EJ115" s="52"/>
      <c r="EK115" s="52"/>
      <c r="EL115" s="52"/>
      <c r="EM115" s="52"/>
      <c r="EN115" s="52"/>
      <c r="EO115" s="52"/>
      <c r="EP115" s="52"/>
      <c r="EQ115" s="52"/>
      <c r="ER115" s="52"/>
      <c r="ES115" s="52"/>
      <c r="ET115" s="52"/>
      <c r="EU115" s="52"/>
      <c r="EV115" s="52"/>
      <c r="EW115" s="52"/>
      <c r="EX115" s="52"/>
      <c r="EY115" s="52"/>
      <c r="EZ115" s="52"/>
      <c r="FA115" s="52"/>
      <c r="FB115" s="52"/>
      <c r="FC115" s="52"/>
      <c r="FD115" s="52"/>
      <c r="FE115" s="52"/>
      <c r="FF115" s="52"/>
      <c r="FG115" s="52"/>
      <c r="FH115" s="52"/>
      <c r="FI115" s="52"/>
      <c r="FJ115" s="52"/>
      <c r="FK115" s="52"/>
      <c r="FL115" s="52"/>
      <c r="FM115" s="52"/>
      <c r="FN115" s="52"/>
      <c r="FO115" s="52"/>
      <c r="FP115" s="52"/>
      <c r="FQ115" s="52"/>
      <c r="FR115" s="52"/>
      <c r="FS115" s="52"/>
      <c r="FT115" s="52"/>
      <c r="FU115" s="52"/>
      <c r="FV115" s="52"/>
      <c r="FW115" s="52"/>
      <c r="FX115" s="52"/>
      <c r="FY115" s="52"/>
      <c r="FZ115" s="52"/>
      <c r="GA115" s="52"/>
      <c r="GB115" s="52"/>
      <c r="GC115" s="52"/>
      <c r="GD115" s="52"/>
      <c r="GE115" s="52"/>
      <c r="GF115" s="52"/>
      <c r="GG115" s="52"/>
      <c r="GH115" s="52"/>
      <c r="GI115" s="52"/>
      <c r="GJ115" s="52"/>
      <c r="GK115" s="52"/>
      <c r="GL115" s="52"/>
      <c r="GM115" s="52"/>
      <c r="GN115" s="52"/>
      <c r="GO115" s="52"/>
      <c r="GP115" s="52"/>
      <c r="GQ115" s="52"/>
      <c r="GR115" s="52"/>
      <c r="GS115" s="52"/>
      <c r="GT115" s="52"/>
      <c r="GU115" s="52"/>
      <c r="GV115" s="52"/>
      <c r="GW115" s="52"/>
      <c r="GX115" s="52"/>
      <c r="GY115" s="52"/>
      <c r="GZ115" s="52"/>
      <c r="HA115" s="52"/>
      <c r="HB115" s="52"/>
      <c r="HC115" s="52"/>
      <c r="HD115" s="52"/>
      <c r="HE115" s="52"/>
      <c r="HF115" s="52"/>
      <c r="HG115" s="52"/>
      <c r="HH115" s="52"/>
      <c r="HI115" s="52"/>
      <c r="HJ115" s="52"/>
      <c r="HK115" s="52"/>
      <c r="HL115" s="52"/>
      <c r="HM115" s="52"/>
      <c r="HN115" s="52"/>
      <c r="HO115" s="52"/>
      <c r="HP115" s="52"/>
      <c r="HQ115" s="52"/>
      <c r="HR115" s="52"/>
      <c r="HS115" s="52"/>
      <c r="HT115" s="52"/>
      <c r="HU115" s="52"/>
      <c r="HV115" s="52"/>
      <c r="HW115" s="52"/>
      <c r="HX115" s="52"/>
      <c r="HY115" s="52"/>
      <c r="HZ115" s="52"/>
      <c r="IA115" s="52"/>
      <c r="IB115" s="52"/>
      <c r="IC115" s="52"/>
      <c r="ID115" s="52"/>
      <c r="IE115" s="52"/>
      <c r="IF115" s="52"/>
      <c r="IG115" s="52"/>
      <c r="IH115" s="52"/>
      <c r="II115" s="52"/>
      <c r="IJ115" s="52"/>
      <c r="IK115" s="52"/>
      <c r="IL115" s="52"/>
      <c r="IM115" s="52"/>
      <c r="IN115" s="52"/>
      <c r="IO115" s="52"/>
      <c r="IP115" s="52"/>
      <c r="IQ115" s="52"/>
      <c r="IR115" s="52"/>
      <c r="IS115" s="52"/>
      <c r="IT115" s="52"/>
      <c r="IU115" s="52"/>
      <c r="IV115" s="52"/>
      <c r="IW115" s="52"/>
      <c r="IX115" s="52"/>
      <c r="IY115" s="52"/>
      <c r="IZ115" s="52"/>
      <c r="JA115" s="52"/>
      <c r="JB115" s="52"/>
      <c r="JC115" s="52"/>
      <c r="JD115" s="52"/>
      <c r="JE115" s="52"/>
      <c r="JF115" s="52"/>
      <c r="JG115" s="52"/>
      <c r="JH115" s="52"/>
      <c r="JI115" s="52"/>
      <c r="JL115" t="str">
        <f>IF($E115="","",IF(INDEX(工数管理!$AJ$3:$AJ$98,$E115)&lt;&gt;"",1,0))</f>
        <v/>
      </c>
      <c r="JM115" t="str">
        <f>IF($E115="","",IFERROR(MATCH($A115,祝日!$J$1:$L$1,0),""))</f>
        <v/>
      </c>
    </row>
    <row r="116" spans="1:273" ht="14.25" customHeight="1" x14ac:dyDescent="0.15">
      <c r="A116" s="50" t="str">
        <f>IF($E116="","",IF($JL116=1,INDEX(工数管理!$A$3:$A$98,$E116)&amp;"",IF(INDEX(工数管理!$AK$3:$AK$98,$E116)="","未割当",INDEX(工数管理!$AK$3:$AK$98,$E116))))</f>
        <v/>
      </c>
      <c r="B116" s="51" t="str">
        <f>IF($E116="","",IF($JL116=1,"",INDEX(工数管理!$A$3:$A$98,$E116)&amp;""))</f>
        <v/>
      </c>
      <c r="C116" s="50" t="str">
        <f>IF($E116="","",IF($JL116=1,"",INDEX(工数管理!$B$3:$B$98,$E116)&amp;""))</f>
        <v/>
      </c>
      <c r="D116" s="50" t="str">
        <f>IF($E116="","",INDEX(工数管理!$H$3:$H$98,$E116)&amp;"")</f>
        <v/>
      </c>
      <c r="E116" t="str">
        <f>IFERROR(MATCH(SMALL(工数管理!$BP$3:$BP$98,ROW()-3),工数管理!$BP$3:$BP$98,0),"")</f>
        <v/>
      </c>
      <c r="F116" t="str">
        <f>IF($E116="","",IF(INDEX(工数管理!$K$3:$K$98,$E116)="","",INDEX(工数管理!$K$3:$K$98,$E116)))</f>
        <v/>
      </c>
      <c r="G116" t="str">
        <f>IF($E116="","",IF(INDEX(工数管理!$L$3:$L$98,$E116)="","",INDEX(工数管理!$L$3:$L$98,$E116)))</f>
        <v/>
      </c>
      <c r="H116" t="str">
        <f>IF($E116="","",IF(INDEX(工数管理!$M$3:$M$98,$E116)="","",INDEX(工数管理!$M$3:$M$98,$E116)))</f>
        <v/>
      </c>
      <c r="I116" t="str">
        <f>IF($E116="","",IF(INDEX(工数管理!$N$3:$N$98,$E116)="","",INDEX(工数管理!$N$3:$N$98,$E116)))</f>
        <v/>
      </c>
      <c r="J116" t="str">
        <f>IF($E116="","",IF(INDEX(工数管理!$O$3:$O$98,$E116)="","",INDEX(工数管理!$O$3:$O$98,$E116)))</f>
        <v/>
      </c>
      <c r="K116" t="str">
        <f>IF($E116="","",IF(INDEX(工数管理!$P$3:$P$98,$E116)="","",INDEX(工数管理!$P$3:$P$98,$E116)))</f>
        <v/>
      </c>
      <c r="L116" t="str">
        <f>IF($E116="","",IF(INDEX(工数管理!$Q$3:$Q$98,$E116)="","",INDEX(工数管理!$Q$3:$Q$98,$E116)))</f>
        <v/>
      </c>
      <c r="M116" t="str">
        <f>IF($E116="","",IF(INDEX(工数管理!$R$3:$R$98,$E116)="","",INDEX(工数管理!$R$3:$R$98,$E116)))</f>
        <v/>
      </c>
      <c r="N116" t="str">
        <f>IF($E116="","",IF(INDEX(工数管理!$S$3:$S$98,$E116)="","",INDEX(工数管理!$S$3:$S$98,$E116)))</f>
        <v/>
      </c>
      <c r="O116" t="str">
        <f>IF($E116="","",IF(INDEX(工数管理!$T$3:$T$98,$E116)="","",INDEX(工数管理!$T$3:$T$98,$E116)))</f>
        <v/>
      </c>
      <c r="P116" t="str">
        <f>IF($E116="","",IF(INDEX(工数管理!$U$3:$U$98,$E116)="","",INDEX(工数管理!$U$3:$U$98,$E116)))</f>
        <v/>
      </c>
      <c r="Q116" t="str">
        <f>IF($E116="","",IF(INDEX(工数管理!$V$3:$V$98,$E116)="","",INDEX(工数管理!$V$3:$V$98,$E116)))</f>
        <v/>
      </c>
      <c r="R116" t="str">
        <f>IF($E116="","",IF(INDEX(工数管理!$W$3:$W$98,$E116)="","",INDEX(工数管理!$W$3:$W$98,$E116)))</f>
        <v/>
      </c>
      <c r="S116" t="str">
        <f>IF($E116="","",IF(INDEX(工数管理!$X$3:$X$98,$E116)="","",INDEX(工数管理!$X$3:$X$98,$E116)))</f>
        <v/>
      </c>
      <c r="T116" t="str">
        <f>IF($E116="","",IF(INDEX(工数管理!$Y$3:$Y$98,$E116)="","",INDEX(工数管理!$Y$3:$Y$98,$E116)))</f>
        <v/>
      </c>
      <c r="U116" t="str">
        <f>IF($E116="","",IF(INDEX(工数管理!$Z$3:$Z$98,$E116)="","",INDEX(工数管理!$Z$3:$Z$98,$E116)))</f>
        <v/>
      </c>
      <c r="V116" t="str">
        <f>IF($E116="","",IF(INDEX(工数管理!$AA$3:$AA$98,$E116)="","",INDEX(工数管理!$AA$3:$AA$98,$E116)))</f>
        <v/>
      </c>
      <c r="W116" t="str">
        <f>IF($E116="","",IF(INDEX(工数管理!$AB$3:$AB$98,$E116)="","",INDEX(工数管理!$AB$3:$AB$98,$E116)))</f>
        <v/>
      </c>
      <c r="X116" t="str">
        <f>IF($E116="","",IF(INDEX(工数管理!$AC$3:$AC$98,$E116)="","",INDEX(工数管理!$AC$3:$AC$98,$E116)))</f>
        <v/>
      </c>
      <c r="Y116" t="str">
        <f>IF($E116="","",IF(INDEX(工数管理!$AD$3:$AD$98,$E116)="","",INDEX(工数管理!$AD$3:$AD$98,$E116)))</f>
        <v/>
      </c>
      <c r="Z116" t="str">
        <f>IF($E116="","",IF(INDEX(工数管理!$AE$3:$AE$98,$E116)="","",INDEX(工数管理!$AE$3:$AE$98,$E116)))</f>
        <v/>
      </c>
      <c r="AA116" t="str">
        <f>IF($E116="","",IF(INDEX(工数管理!$AF$3:$AF$98,$E116)="","",INDEX(工数管理!$AF$3:$AF$98,$E116)))</f>
        <v/>
      </c>
      <c r="AB116" t="str">
        <f>IF($E116="","",IF(INDEX(工数管理!$AG$3:$AG$98,$E116)="","",INDEX(工数管理!$AG$3:$AG$98,$E116)))</f>
        <v/>
      </c>
      <c r="AC116" t="str">
        <f>IF($E116="","",IF(INDEX(工数管理!$AH$3:$AH$98,$E116)="","",INDEX(工数管理!$AH$3:$AH$98,$E116)))</f>
        <v/>
      </c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2"/>
      <c r="DI116" s="52"/>
      <c r="DJ116" s="52"/>
      <c r="DK116" s="52"/>
      <c r="DL116" s="52"/>
      <c r="DM116" s="52"/>
      <c r="DN116" s="52"/>
      <c r="DO116" s="52"/>
      <c r="DP116" s="52"/>
      <c r="DQ116" s="52"/>
      <c r="DR116" s="52"/>
      <c r="DS116" s="52"/>
      <c r="DT116" s="52"/>
      <c r="DU116" s="52"/>
      <c r="DV116" s="52"/>
      <c r="DW116" s="52"/>
      <c r="DX116" s="52"/>
      <c r="DY116" s="52"/>
      <c r="DZ116" s="52"/>
      <c r="EA116" s="52"/>
      <c r="EB116" s="52"/>
      <c r="EC116" s="52"/>
      <c r="ED116" s="52"/>
      <c r="EE116" s="52"/>
      <c r="EF116" s="52"/>
      <c r="EG116" s="52"/>
      <c r="EH116" s="52"/>
      <c r="EI116" s="52"/>
      <c r="EJ116" s="52"/>
      <c r="EK116" s="52"/>
      <c r="EL116" s="52"/>
      <c r="EM116" s="52"/>
      <c r="EN116" s="52"/>
      <c r="EO116" s="52"/>
      <c r="EP116" s="52"/>
      <c r="EQ116" s="52"/>
      <c r="ER116" s="52"/>
      <c r="ES116" s="52"/>
      <c r="ET116" s="52"/>
      <c r="EU116" s="52"/>
      <c r="EV116" s="52"/>
      <c r="EW116" s="52"/>
      <c r="EX116" s="52"/>
      <c r="EY116" s="52"/>
      <c r="EZ116" s="52"/>
      <c r="FA116" s="52"/>
      <c r="FB116" s="52"/>
      <c r="FC116" s="52"/>
      <c r="FD116" s="52"/>
      <c r="FE116" s="52"/>
      <c r="FF116" s="52"/>
      <c r="FG116" s="52"/>
      <c r="FH116" s="52"/>
      <c r="FI116" s="52"/>
      <c r="FJ116" s="52"/>
      <c r="FK116" s="52"/>
      <c r="FL116" s="52"/>
      <c r="FM116" s="52"/>
      <c r="FN116" s="52"/>
      <c r="FO116" s="52"/>
      <c r="FP116" s="52"/>
      <c r="FQ116" s="52"/>
      <c r="FR116" s="52"/>
      <c r="FS116" s="52"/>
      <c r="FT116" s="52"/>
      <c r="FU116" s="52"/>
      <c r="FV116" s="52"/>
      <c r="FW116" s="52"/>
      <c r="FX116" s="52"/>
      <c r="FY116" s="52"/>
      <c r="FZ116" s="52"/>
      <c r="GA116" s="52"/>
      <c r="GB116" s="52"/>
      <c r="GC116" s="52"/>
      <c r="GD116" s="52"/>
      <c r="GE116" s="52"/>
      <c r="GF116" s="52"/>
      <c r="GG116" s="52"/>
      <c r="GH116" s="52"/>
      <c r="GI116" s="52"/>
      <c r="GJ116" s="52"/>
      <c r="GK116" s="52"/>
      <c r="GL116" s="52"/>
      <c r="GM116" s="52"/>
      <c r="GN116" s="52"/>
      <c r="GO116" s="52"/>
      <c r="GP116" s="52"/>
      <c r="GQ116" s="52"/>
      <c r="GR116" s="52"/>
      <c r="GS116" s="52"/>
      <c r="GT116" s="52"/>
      <c r="GU116" s="52"/>
      <c r="GV116" s="52"/>
      <c r="GW116" s="52"/>
      <c r="GX116" s="52"/>
      <c r="GY116" s="52"/>
      <c r="GZ116" s="52"/>
      <c r="HA116" s="52"/>
      <c r="HB116" s="52"/>
      <c r="HC116" s="52"/>
      <c r="HD116" s="52"/>
      <c r="HE116" s="52"/>
      <c r="HF116" s="52"/>
      <c r="HG116" s="52"/>
      <c r="HH116" s="52"/>
      <c r="HI116" s="52"/>
      <c r="HJ116" s="52"/>
      <c r="HK116" s="52"/>
      <c r="HL116" s="52"/>
      <c r="HM116" s="52"/>
      <c r="HN116" s="52"/>
      <c r="HO116" s="52"/>
      <c r="HP116" s="52"/>
      <c r="HQ116" s="52"/>
      <c r="HR116" s="52"/>
      <c r="HS116" s="52"/>
      <c r="HT116" s="52"/>
      <c r="HU116" s="52"/>
      <c r="HV116" s="52"/>
      <c r="HW116" s="52"/>
      <c r="HX116" s="52"/>
      <c r="HY116" s="52"/>
      <c r="HZ116" s="52"/>
      <c r="IA116" s="52"/>
      <c r="IB116" s="52"/>
      <c r="IC116" s="52"/>
      <c r="ID116" s="52"/>
      <c r="IE116" s="52"/>
      <c r="IF116" s="52"/>
      <c r="IG116" s="52"/>
      <c r="IH116" s="52"/>
      <c r="II116" s="52"/>
      <c r="IJ116" s="52"/>
      <c r="IK116" s="52"/>
      <c r="IL116" s="52"/>
      <c r="IM116" s="52"/>
      <c r="IN116" s="52"/>
      <c r="IO116" s="52"/>
      <c r="IP116" s="52"/>
      <c r="IQ116" s="52"/>
      <c r="IR116" s="52"/>
      <c r="IS116" s="52"/>
      <c r="IT116" s="52"/>
      <c r="IU116" s="52"/>
      <c r="IV116" s="52"/>
      <c r="IW116" s="52"/>
      <c r="IX116" s="52"/>
      <c r="IY116" s="52"/>
      <c r="IZ116" s="52"/>
      <c r="JA116" s="52"/>
      <c r="JB116" s="52"/>
      <c r="JC116" s="52"/>
      <c r="JD116" s="52"/>
      <c r="JE116" s="52"/>
      <c r="JF116" s="52"/>
      <c r="JG116" s="52"/>
      <c r="JH116" s="52"/>
      <c r="JI116" s="52"/>
      <c r="JL116" t="str">
        <f>IF($E116="","",IF(INDEX(工数管理!$AJ$3:$AJ$98,$E116)&lt;&gt;"",1,0))</f>
        <v/>
      </c>
      <c r="JM116" t="str">
        <f>IF($E116="","",IFERROR(MATCH($A116,祝日!$J$1:$L$1,0),""))</f>
        <v/>
      </c>
    </row>
    <row r="117" spans="1:273" ht="14.25" customHeight="1" x14ac:dyDescent="0.15">
      <c r="A117" s="50" t="str">
        <f>IF($E117="","",IF($JL117=1,INDEX(工数管理!$A$3:$A$98,$E117)&amp;"",IF(INDEX(工数管理!$AK$3:$AK$98,$E117)="","未割当",INDEX(工数管理!$AK$3:$AK$98,$E117))))</f>
        <v/>
      </c>
      <c r="B117" s="51" t="str">
        <f>IF($E117="","",IF($JL117=1,"",INDEX(工数管理!$A$3:$A$98,$E117)&amp;""))</f>
        <v/>
      </c>
      <c r="C117" s="50" t="str">
        <f>IF($E117="","",IF($JL117=1,"",INDEX(工数管理!$B$3:$B$98,$E117)&amp;""))</f>
        <v/>
      </c>
      <c r="D117" s="50" t="str">
        <f>IF($E117="","",INDEX(工数管理!$H$3:$H$98,$E117)&amp;"")</f>
        <v/>
      </c>
      <c r="E117" t="str">
        <f>IFERROR(MATCH(SMALL(工数管理!$BP$3:$BP$98,ROW()-3),工数管理!$BP$3:$BP$98,0),"")</f>
        <v/>
      </c>
      <c r="F117" t="str">
        <f>IF($E117="","",IF(INDEX(工数管理!$K$3:$K$98,$E117)="","",INDEX(工数管理!$K$3:$K$98,$E117)))</f>
        <v/>
      </c>
      <c r="G117" t="str">
        <f>IF($E117="","",IF(INDEX(工数管理!$L$3:$L$98,$E117)="","",INDEX(工数管理!$L$3:$L$98,$E117)))</f>
        <v/>
      </c>
      <c r="H117" t="str">
        <f>IF($E117="","",IF(INDEX(工数管理!$M$3:$M$98,$E117)="","",INDEX(工数管理!$M$3:$M$98,$E117)))</f>
        <v/>
      </c>
      <c r="I117" t="str">
        <f>IF($E117="","",IF(INDEX(工数管理!$N$3:$N$98,$E117)="","",INDEX(工数管理!$N$3:$N$98,$E117)))</f>
        <v/>
      </c>
      <c r="J117" t="str">
        <f>IF($E117="","",IF(INDEX(工数管理!$O$3:$O$98,$E117)="","",INDEX(工数管理!$O$3:$O$98,$E117)))</f>
        <v/>
      </c>
      <c r="K117" t="str">
        <f>IF($E117="","",IF(INDEX(工数管理!$P$3:$P$98,$E117)="","",INDEX(工数管理!$P$3:$P$98,$E117)))</f>
        <v/>
      </c>
      <c r="L117" t="str">
        <f>IF($E117="","",IF(INDEX(工数管理!$Q$3:$Q$98,$E117)="","",INDEX(工数管理!$Q$3:$Q$98,$E117)))</f>
        <v/>
      </c>
      <c r="M117" t="str">
        <f>IF($E117="","",IF(INDEX(工数管理!$R$3:$R$98,$E117)="","",INDEX(工数管理!$R$3:$R$98,$E117)))</f>
        <v/>
      </c>
      <c r="N117" t="str">
        <f>IF($E117="","",IF(INDEX(工数管理!$S$3:$S$98,$E117)="","",INDEX(工数管理!$S$3:$S$98,$E117)))</f>
        <v/>
      </c>
      <c r="O117" t="str">
        <f>IF($E117="","",IF(INDEX(工数管理!$T$3:$T$98,$E117)="","",INDEX(工数管理!$T$3:$T$98,$E117)))</f>
        <v/>
      </c>
      <c r="P117" t="str">
        <f>IF($E117="","",IF(INDEX(工数管理!$U$3:$U$98,$E117)="","",INDEX(工数管理!$U$3:$U$98,$E117)))</f>
        <v/>
      </c>
      <c r="Q117" t="str">
        <f>IF($E117="","",IF(INDEX(工数管理!$V$3:$V$98,$E117)="","",INDEX(工数管理!$V$3:$V$98,$E117)))</f>
        <v/>
      </c>
      <c r="R117" t="str">
        <f>IF($E117="","",IF(INDEX(工数管理!$W$3:$W$98,$E117)="","",INDEX(工数管理!$W$3:$W$98,$E117)))</f>
        <v/>
      </c>
      <c r="S117" t="str">
        <f>IF($E117="","",IF(INDEX(工数管理!$X$3:$X$98,$E117)="","",INDEX(工数管理!$X$3:$X$98,$E117)))</f>
        <v/>
      </c>
      <c r="T117" t="str">
        <f>IF($E117="","",IF(INDEX(工数管理!$Y$3:$Y$98,$E117)="","",INDEX(工数管理!$Y$3:$Y$98,$E117)))</f>
        <v/>
      </c>
      <c r="U117" t="str">
        <f>IF($E117="","",IF(INDEX(工数管理!$Z$3:$Z$98,$E117)="","",INDEX(工数管理!$Z$3:$Z$98,$E117)))</f>
        <v/>
      </c>
      <c r="V117" t="str">
        <f>IF($E117="","",IF(INDEX(工数管理!$AA$3:$AA$98,$E117)="","",INDEX(工数管理!$AA$3:$AA$98,$E117)))</f>
        <v/>
      </c>
      <c r="W117" t="str">
        <f>IF($E117="","",IF(INDEX(工数管理!$AB$3:$AB$98,$E117)="","",INDEX(工数管理!$AB$3:$AB$98,$E117)))</f>
        <v/>
      </c>
      <c r="X117" t="str">
        <f>IF($E117="","",IF(INDEX(工数管理!$AC$3:$AC$98,$E117)="","",INDEX(工数管理!$AC$3:$AC$98,$E117)))</f>
        <v/>
      </c>
      <c r="Y117" t="str">
        <f>IF($E117="","",IF(INDEX(工数管理!$AD$3:$AD$98,$E117)="","",INDEX(工数管理!$AD$3:$AD$98,$E117)))</f>
        <v/>
      </c>
      <c r="Z117" t="str">
        <f>IF($E117="","",IF(INDEX(工数管理!$AE$3:$AE$98,$E117)="","",INDEX(工数管理!$AE$3:$AE$98,$E117)))</f>
        <v/>
      </c>
      <c r="AA117" t="str">
        <f>IF($E117="","",IF(INDEX(工数管理!$AF$3:$AF$98,$E117)="","",INDEX(工数管理!$AF$3:$AF$98,$E117)))</f>
        <v/>
      </c>
      <c r="AB117" t="str">
        <f>IF($E117="","",IF(INDEX(工数管理!$AG$3:$AG$98,$E117)="","",INDEX(工数管理!$AG$3:$AG$98,$E117)))</f>
        <v/>
      </c>
      <c r="AC117" t="str">
        <f>IF($E117="","",IF(INDEX(工数管理!$AH$3:$AH$98,$E117)="","",INDEX(工数管理!$AH$3:$AH$98,$E117)))</f>
        <v/>
      </c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  <c r="DL117" s="52"/>
      <c r="DM117" s="52"/>
      <c r="DN117" s="52"/>
      <c r="DO117" s="52"/>
      <c r="DP117" s="52"/>
      <c r="DQ117" s="52"/>
      <c r="DR117" s="52"/>
      <c r="DS117" s="52"/>
      <c r="DT117" s="52"/>
      <c r="DU117" s="52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  <c r="FB117" s="52"/>
      <c r="FC117" s="52"/>
      <c r="FD117" s="52"/>
      <c r="FE117" s="52"/>
      <c r="FF117" s="52"/>
      <c r="FG117" s="52"/>
      <c r="FH117" s="52"/>
      <c r="FI117" s="52"/>
      <c r="FJ117" s="52"/>
      <c r="FK117" s="52"/>
      <c r="FL117" s="52"/>
      <c r="FM117" s="52"/>
      <c r="FN117" s="52"/>
      <c r="FO117" s="52"/>
      <c r="FP117" s="52"/>
      <c r="FQ117" s="52"/>
      <c r="FR117" s="52"/>
      <c r="FS117" s="52"/>
      <c r="FT117" s="52"/>
      <c r="FU117" s="52"/>
      <c r="FV117" s="52"/>
      <c r="FW117" s="52"/>
      <c r="FX117" s="52"/>
      <c r="FY117" s="52"/>
      <c r="FZ117" s="52"/>
      <c r="GA117" s="52"/>
      <c r="GB117" s="52"/>
      <c r="GC117" s="52"/>
      <c r="GD117" s="52"/>
      <c r="GE117" s="52"/>
      <c r="GF117" s="52"/>
      <c r="GG117" s="52"/>
      <c r="GH117" s="52"/>
      <c r="GI117" s="52"/>
      <c r="GJ117" s="52"/>
      <c r="GK117" s="52"/>
      <c r="GL117" s="52"/>
      <c r="GM117" s="52"/>
      <c r="GN117" s="52"/>
      <c r="GO117" s="52"/>
      <c r="GP117" s="52"/>
      <c r="GQ117" s="52"/>
      <c r="GR117" s="52"/>
      <c r="GS117" s="52"/>
      <c r="GT117" s="52"/>
      <c r="GU117" s="52"/>
      <c r="GV117" s="52"/>
      <c r="GW117" s="52"/>
      <c r="GX117" s="52"/>
      <c r="GY117" s="52"/>
      <c r="GZ117" s="52"/>
      <c r="HA117" s="52"/>
      <c r="HB117" s="52"/>
      <c r="HC117" s="52"/>
      <c r="HD117" s="52"/>
      <c r="HE117" s="52"/>
      <c r="HF117" s="52"/>
      <c r="HG117" s="52"/>
      <c r="HH117" s="52"/>
      <c r="HI117" s="52"/>
      <c r="HJ117" s="52"/>
      <c r="HK117" s="52"/>
      <c r="HL117" s="52"/>
      <c r="HM117" s="52"/>
      <c r="HN117" s="52"/>
      <c r="HO117" s="52"/>
      <c r="HP117" s="52"/>
      <c r="HQ117" s="52"/>
      <c r="HR117" s="52"/>
      <c r="HS117" s="52"/>
      <c r="HT117" s="52"/>
      <c r="HU117" s="52"/>
      <c r="HV117" s="52"/>
      <c r="HW117" s="52"/>
      <c r="HX117" s="52"/>
      <c r="HY117" s="52"/>
      <c r="HZ117" s="52"/>
      <c r="IA117" s="52"/>
      <c r="IB117" s="52"/>
      <c r="IC117" s="52"/>
      <c r="ID117" s="52"/>
      <c r="IE117" s="52"/>
      <c r="IF117" s="52"/>
      <c r="IG117" s="52"/>
      <c r="IH117" s="52"/>
      <c r="II117" s="52"/>
      <c r="IJ117" s="52"/>
      <c r="IK117" s="52"/>
      <c r="IL117" s="52"/>
      <c r="IM117" s="52"/>
      <c r="IN117" s="52"/>
      <c r="IO117" s="52"/>
      <c r="IP117" s="52"/>
      <c r="IQ117" s="52"/>
      <c r="IR117" s="52"/>
      <c r="IS117" s="52"/>
      <c r="IT117" s="52"/>
      <c r="IU117" s="52"/>
      <c r="IV117" s="52"/>
      <c r="IW117" s="52"/>
      <c r="IX117" s="52"/>
      <c r="IY117" s="52"/>
      <c r="IZ117" s="52"/>
      <c r="JA117" s="52"/>
      <c r="JB117" s="52"/>
      <c r="JC117" s="52"/>
      <c r="JD117" s="52"/>
      <c r="JE117" s="52"/>
      <c r="JF117" s="52"/>
      <c r="JG117" s="52"/>
      <c r="JH117" s="52"/>
      <c r="JI117" s="52"/>
      <c r="JL117" t="str">
        <f>IF($E117="","",IF(INDEX(工数管理!$AJ$3:$AJ$98,$E117)&lt;&gt;"",1,0))</f>
        <v/>
      </c>
      <c r="JM117" t="str">
        <f>IF($E117="","",IFERROR(MATCH($A117,祝日!$J$1:$L$1,0),""))</f>
        <v/>
      </c>
    </row>
    <row r="118" spans="1:273" ht="14.25" customHeight="1" x14ac:dyDescent="0.15">
      <c r="A118" s="50" t="str">
        <f>IF($E118="","",IF($JL118=1,INDEX(工数管理!$A$3:$A$98,$E118)&amp;"",IF(INDEX(工数管理!$AK$3:$AK$98,$E118)="","未割当",INDEX(工数管理!$AK$3:$AK$98,$E118))))</f>
        <v/>
      </c>
      <c r="B118" s="51" t="str">
        <f>IF($E118="","",IF($JL118=1,"",INDEX(工数管理!$A$3:$A$98,$E118)&amp;""))</f>
        <v/>
      </c>
      <c r="C118" s="50" t="str">
        <f>IF($E118="","",IF($JL118=1,"",INDEX(工数管理!$B$3:$B$98,$E118)&amp;""))</f>
        <v/>
      </c>
      <c r="D118" s="50" t="str">
        <f>IF($E118="","",INDEX(工数管理!$H$3:$H$98,$E118)&amp;"")</f>
        <v/>
      </c>
      <c r="E118" t="str">
        <f>IFERROR(MATCH(SMALL(工数管理!$BP$3:$BP$98,ROW()-3),工数管理!$BP$3:$BP$98,0),"")</f>
        <v/>
      </c>
      <c r="F118" t="str">
        <f>IF($E118="","",IF(INDEX(工数管理!$K$3:$K$98,$E118)="","",INDEX(工数管理!$K$3:$K$98,$E118)))</f>
        <v/>
      </c>
      <c r="G118" t="str">
        <f>IF($E118="","",IF(INDEX(工数管理!$L$3:$L$98,$E118)="","",INDEX(工数管理!$L$3:$L$98,$E118)))</f>
        <v/>
      </c>
      <c r="H118" t="str">
        <f>IF($E118="","",IF(INDEX(工数管理!$M$3:$M$98,$E118)="","",INDEX(工数管理!$M$3:$M$98,$E118)))</f>
        <v/>
      </c>
      <c r="I118" t="str">
        <f>IF($E118="","",IF(INDEX(工数管理!$N$3:$N$98,$E118)="","",INDEX(工数管理!$N$3:$N$98,$E118)))</f>
        <v/>
      </c>
      <c r="J118" t="str">
        <f>IF($E118="","",IF(INDEX(工数管理!$O$3:$O$98,$E118)="","",INDEX(工数管理!$O$3:$O$98,$E118)))</f>
        <v/>
      </c>
      <c r="K118" t="str">
        <f>IF($E118="","",IF(INDEX(工数管理!$P$3:$P$98,$E118)="","",INDEX(工数管理!$P$3:$P$98,$E118)))</f>
        <v/>
      </c>
      <c r="L118" t="str">
        <f>IF($E118="","",IF(INDEX(工数管理!$Q$3:$Q$98,$E118)="","",INDEX(工数管理!$Q$3:$Q$98,$E118)))</f>
        <v/>
      </c>
      <c r="M118" t="str">
        <f>IF($E118="","",IF(INDEX(工数管理!$R$3:$R$98,$E118)="","",INDEX(工数管理!$R$3:$R$98,$E118)))</f>
        <v/>
      </c>
      <c r="N118" t="str">
        <f>IF($E118="","",IF(INDEX(工数管理!$S$3:$S$98,$E118)="","",INDEX(工数管理!$S$3:$S$98,$E118)))</f>
        <v/>
      </c>
      <c r="O118" t="str">
        <f>IF($E118="","",IF(INDEX(工数管理!$T$3:$T$98,$E118)="","",INDEX(工数管理!$T$3:$T$98,$E118)))</f>
        <v/>
      </c>
      <c r="P118" t="str">
        <f>IF($E118="","",IF(INDEX(工数管理!$U$3:$U$98,$E118)="","",INDEX(工数管理!$U$3:$U$98,$E118)))</f>
        <v/>
      </c>
      <c r="Q118" t="str">
        <f>IF($E118="","",IF(INDEX(工数管理!$V$3:$V$98,$E118)="","",INDEX(工数管理!$V$3:$V$98,$E118)))</f>
        <v/>
      </c>
      <c r="R118" t="str">
        <f>IF($E118="","",IF(INDEX(工数管理!$W$3:$W$98,$E118)="","",INDEX(工数管理!$W$3:$W$98,$E118)))</f>
        <v/>
      </c>
      <c r="S118" t="str">
        <f>IF($E118="","",IF(INDEX(工数管理!$X$3:$X$98,$E118)="","",INDEX(工数管理!$X$3:$X$98,$E118)))</f>
        <v/>
      </c>
      <c r="T118" t="str">
        <f>IF($E118="","",IF(INDEX(工数管理!$Y$3:$Y$98,$E118)="","",INDEX(工数管理!$Y$3:$Y$98,$E118)))</f>
        <v/>
      </c>
      <c r="U118" t="str">
        <f>IF($E118="","",IF(INDEX(工数管理!$Z$3:$Z$98,$E118)="","",INDEX(工数管理!$Z$3:$Z$98,$E118)))</f>
        <v/>
      </c>
      <c r="V118" t="str">
        <f>IF($E118="","",IF(INDEX(工数管理!$AA$3:$AA$98,$E118)="","",INDEX(工数管理!$AA$3:$AA$98,$E118)))</f>
        <v/>
      </c>
      <c r="W118" t="str">
        <f>IF($E118="","",IF(INDEX(工数管理!$AB$3:$AB$98,$E118)="","",INDEX(工数管理!$AB$3:$AB$98,$E118)))</f>
        <v/>
      </c>
      <c r="X118" t="str">
        <f>IF($E118="","",IF(INDEX(工数管理!$AC$3:$AC$98,$E118)="","",INDEX(工数管理!$AC$3:$AC$98,$E118)))</f>
        <v/>
      </c>
      <c r="Y118" t="str">
        <f>IF($E118="","",IF(INDEX(工数管理!$AD$3:$AD$98,$E118)="","",INDEX(工数管理!$AD$3:$AD$98,$E118)))</f>
        <v/>
      </c>
      <c r="Z118" t="str">
        <f>IF($E118="","",IF(INDEX(工数管理!$AE$3:$AE$98,$E118)="","",INDEX(工数管理!$AE$3:$AE$98,$E118)))</f>
        <v/>
      </c>
      <c r="AA118" t="str">
        <f>IF($E118="","",IF(INDEX(工数管理!$AF$3:$AF$98,$E118)="","",INDEX(工数管理!$AF$3:$AF$98,$E118)))</f>
        <v/>
      </c>
      <c r="AB118" t="str">
        <f>IF($E118="","",IF(INDEX(工数管理!$AG$3:$AG$98,$E118)="","",INDEX(工数管理!$AG$3:$AG$98,$E118)))</f>
        <v/>
      </c>
      <c r="AC118" t="str">
        <f>IF($E118="","",IF(INDEX(工数管理!$AH$3:$AH$98,$E118)="","",INDEX(工数管理!$AH$3:$AH$98,$E118)))</f>
        <v/>
      </c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2"/>
      <c r="DC118" s="52"/>
      <c r="DD118" s="52"/>
      <c r="DE118" s="52"/>
      <c r="DF118" s="52"/>
      <c r="DG118" s="52"/>
      <c r="DH118" s="52"/>
      <c r="DI118" s="52"/>
      <c r="DJ118" s="52"/>
      <c r="DK118" s="52"/>
      <c r="DL118" s="52"/>
      <c r="DM118" s="52"/>
      <c r="DN118" s="52"/>
      <c r="DO118" s="52"/>
      <c r="DP118" s="52"/>
      <c r="DQ118" s="52"/>
      <c r="DR118" s="52"/>
      <c r="DS118" s="52"/>
      <c r="DT118" s="52"/>
      <c r="DU118" s="52"/>
      <c r="DV118" s="52"/>
      <c r="DW118" s="52"/>
      <c r="DX118" s="52"/>
      <c r="DY118" s="52"/>
      <c r="DZ118" s="52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2"/>
      <c r="FB118" s="52"/>
      <c r="FC118" s="52"/>
      <c r="FD118" s="52"/>
      <c r="FE118" s="52"/>
      <c r="FF118" s="52"/>
      <c r="FG118" s="52"/>
      <c r="FH118" s="52"/>
      <c r="FI118" s="52"/>
      <c r="FJ118" s="52"/>
      <c r="FK118" s="52"/>
      <c r="FL118" s="52"/>
      <c r="FM118" s="52"/>
      <c r="FN118" s="52"/>
      <c r="FO118" s="52"/>
      <c r="FP118" s="52"/>
      <c r="FQ118" s="52"/>
      <c r="FR118" s="52"/>
      <c r="FS118" s="52"/>
      <c r="FT118" s="52"/>
      <c r="FU118" s="52"/>
      <c r="FV118" s="52"/>
      <c r="FW118" s="52"/>
      <c r="FX118" s="52"/>
      <c r="FY118" s="52"/>
      <c r="FZ118" s="52"/>
      <c r="GA118" s="52"/>
      <c r="GB118" s="52"/>
      <c r="GC118" s="52"/>
      <c r="GD118" s="52"/>
      <c r="GE118" s="52"/>
      <c r="GF118" s="52"/>
      <c r="GG118" s="52"/>
      <c r="GH118" s="52"/>
      <c r="GI118" s="52"/>
      <c r="GJ118" s="52"/>
      <c r="GK118" s="52"/>
      <c r="GL118" s="52"/>
      <c r="GM118" s="52"/>
      <c r="GN118" s="52"/>
      <c r="GO118" s="52"/>
      <c r="GP118" s="52"/>
      <c r="GQ118" s="52"/>
      <c r="GR118" s="52"/>
      <c r="GS118" s="52"/>
      <c r="GT118" s="52"/>
      <c r="GU118" s="52"/>
      <c r="GV118" s="52"/>
      <c r="GW118" s="52"/>
      <c r="GX118" s="52"/>
      <c r="GY118" s="52"/>
      <c r="GZ118" s="52"/>
      <c r="HA118" s="52"/>
      <c r="HB118" s="52"/>
      <c r="HC118" s="52"/>
      <c r="HD118" s="52"/>
      <c r="HE118" s="52"/>
      <c r="HF118" s="52"/>
      <c r="HG118" s="52"/>
      <c r="HH118" s="52"/>
      <c r="HI118" s="52"/>
      <c r="HJ118" s="52"/>
      <c r="HK118" s="52"/>
      <c r="HL118" s="52"/>
      <c r="HM118" s="52"/>
      <c r="HN118" s="52"/>
      <c r="HO118" s="52"/>
      <c r="HP118" s="52"/>
      <c r="HQ118" s="52"/>
      <c r="HR118" s="52"/>
      <c r="HS118" s="52"/>
      <c r="HT118" s="52"/>
      <c r="HU118" s="52"/>
      <c r="HV118" s="52"/>
      <c r="HW118" s="52"/>
      <c r="HX118" s="52"/>
      <c r="HY118" s="52"/>
      <c r="HZ118" s="52"/>
      <c r="IA118" s="52"/>
      <c r="IB118" s="52"/>
      <c r="IC118" s="52"/>
      <c r="ID118" s="52"/>
      <c r="IE118" s="52"/>
      <c r="IF118" s="52"/>
      <c r="IG118" s="52"/>
      <c r="IH118" s="52"/>
      <c r="II118" s="52"/>
      <c r="IJ118" s="52"/>
      <c r="IK118" s="52"/>
      <c r="IL118" s="52"/>
      <c r="IM118" s="52"/>
      <c r="IN118" s="52"/>
      <c r="IO118" s="52"/>
      <c r="IP118" s="52"/>
      <c r="IQ118" s="52"/>
      <c r="IR118" s="52"/>
      <c r="IS118" s="52"/>
      <c r="IT118" s="52"/>
      <c r="IU118" s="52"/>
      <c r="IV118" s="52"/>
      <c r="IW118" s="52"/>
      <c r="IX118" s="52"/>
      <c r="IY118" s="52"/>
      <c r="IZ118" s="52"/>
      <c r="JA118" s="52"/>
      <c r="JB118" s="52"/>
      <c r="JC118" s="52"/>
      <c r="JD118" s="52"/>
      <c r="JE118" s="52"/>
      <c r="JF118" s="52"/>
      <c r="JG118" s="52"/>
      <c r="JH118" s="52"/>
      <c r="JI118" s="52"/>
      <c r="JL118" t="str">
        <f>IF($E118="","",IF(INDEX(工数管理!$AJ$3:$AJ$98,$E118)&lt;&gt;"",1,0))</f>
        <v/>
      </c>
      <c r="JM118" t="str">
        <f>IF($E118="","",IFERROR(MATCH($A118,祝日!$J$1:$L$1,0),""))</f>
        <v/>
      </c>
    </row>
    <row r="119" spans="1:273" ht="14.25" customHeight="1" x14ac:dyDescent="0.15">
      <c r="A119" s="50" t="str">
        <f>IF($E119="","",IF($JL119=1,INDEX(工数管理!$A$3:$A$98,$E119)&amp;"",IF(INDEX(工数管理!$AK$3:$AK$98,$E119)="","未割当",INDEX(工数管理!$AK$3:$AK$98,$E119))))</f>
        <v/>
      </c>
      <c r="B119" s="51" t="str">
        <f>IF($E119="","",IF($JL119=1,"",INDEX(工数管理!$A$3:$A$98,$E119)&amp;""))</f>
        <v/>
      </c>
      <c r="C119" s="50" t="str">
        <f>IF($E119="","",IF($JL119=1,"",INDEX(工数管理!$B$3:$B$98,$E119)&amp;""))</f>
        <v/>
      </c>
      <c r="D119" s="50" t="str">
        <f>IF($E119="","",INDEX(工数管理!$H$3:$H$98,$E119)&amp;"")</f>
        <v/>
      </c>
      <c r="E119" t="str">
        <f>IFERROR(MATCH(SMALL(工数管理!$BP$3:$BP$98,ROW()-3),工数管理!$BP$3:$BP$98,0),"")</f>
        <v/>
      </c>
      <c r="F119" t="str">
        <f>IF($E119="","",IF(INDEX(工数管理!$K$3:$K$98,$E119)="","",INDEX(工数管理!$K$3:$K$98,$E119)))</f>
        <v/>
      </c>
      <c r="G119" t="str">
        <f>IF($E119="","",IF(INDEX(工数管理!$L$3:$L$98,$E119)="","",INDEX(工数管理!$L$3:$L$98,$E119)))</f>
        <v/>
      </c>
      <c r="H119" t="str">
        <f>IF($E119="","",IF(INDEX(工数管理!$M$3:$M$98,$E119)="","",INDEX(工数管理!$M$3:$M$98,$E119)))</f>
        <v/>
      </c>
      <c r="I119" t="str">
        <f>IF($E119="","",IF(INDEX(工数管理!$N$3:$N$98,$E119)="","",INDEX(工数管理!$N$3:$N$98,$E119)))</f>
        <v/>
      </c>
      <c r="J119" t="str">
        <f>IF($E119="","",IF(INDEX(工数管理!$O$3:$O$98,$E119)="","",INDEX(工数管理!$O$3:$O$98,$E119)))</f>
        <v/>
      </c>
      <c r="K119" t="str">
        <f>IF($E119="","",IF(INDEX(工数管理!$P$3:$P$98,$E119)="","",INDEX(工数管理!$P$3:$P$98,$E119)))</f>
        <v/>
      </c>
      <c r="L119" t="str">
        <f>IF($E119="","",IF(INDEX(工数管理!$Q$3:$Q$98,$E119)="","",INDEX(工数管理!$Q$3:$Q$98,$E119)))</f>
        <v/>
      </c>
      <c r="M119" t="str">
        <f>IF($E119="","",IF(INDEX(工数管理!$R$3:$R$98,$E119)="","",INDEX(工数管理!$R$3:$R$98,$E119)))</f>
        <v/>
      </c>
      <c r="N119" t="str">
        <f>IF($E119="","",IF(INDEX(工数管理!$S$3:$S$98,$E119)="","",INDEX(工数管理!$S$3:$S$98,$E119)))</f>
        <v/>
      </c>
      <c r="O119" t="str">
        <f>IF($E119="","",IF(INDEX(工数管理!$T$3:$T$98,$E119)="","",INDEX(工数管理!$T$3:$T$98,$E119)))</f>
        <v/>
      </c>
      <c r="P119" t="str">
        <f>IF($E119="","",IF(INDEX(工数管理!$U$3:$U$98,$E119)="","",INDEX(工数管理!$U$3:$U$98,$E119)))</f>
        <v/>
      </c>
      <c r="Q119" t="str">
        <f>IF($E119="","",IF(INDEX(工数管理!$V$3:$V$98,$E119)="","",INDEX(工数管理!$V$3:$V$98,$E119)))</f>
        <v/>
      </c>
      <c r="R119" t="str">
        <f>IF($E119="","",IF(INDEX(工数管理!$W$3:$W$98,$E119)="","",INDEX(工数管理!$W$3:$W$98,$E119)))</f>
        <v/>
      </c>
      <c r="S119" t="str">
        <f>IF($E119="","",IF(INDEX(工数管理!$X$3:$X$98,$E119)="","",INDEX(工数管理!$X$3:$X$98,$E119)))</f>
        <v/>
      </c>
      <c r="T119" t="str">
        <f>IF($E119="","",IF(INDEX(工数管理!$Y$3:$Y$98,$E119)="","",INDEX(工数管理!$Y$3:$Y$98,$E119)))</f>
        <v/>
      </c>
      <c r="U119" t="str">
        <f>IF($E119="","",IF(INDEX(工数管理!$Z$3:$Z$98,$E119)="","",INDEX(工数管理!$Z$3:$Z$98,$E119)))</f>
        <v/>
      </c>
      <c r="V119" t="str">
        <f>IF($E119="","",IF(INDEX(工数管理!$AA$3:$AA$98,$E119)="","",INDEX(工数管理!$AA$3:$AA$98,$E119)))</f>
        <v/>
      </c>
      <c r="W119" t="str">
        <f>IF($E119="","",IF(INDEX(工数管理!$AB$3:$AB$98,$E119)="","",INDEX(工数管理!$AB$3:$AB$98,$E119)))</f>
        <v/>
      </c>
      <c r="X119" t="str">
        <f>IF($E119="","",IF(INDEX(工数管理!$AC$3:$AC$98,$E119)="","",INDEX(工数管理!$AC$3:$AC$98,$E119)))</f>
        <v/>
      </c>
      <c r="Y119" t="str">
        <f>IF($E119="","",IF(INDEX(工数管理!$AD$3:$AD$98,$E119)="","",INDEX(工数管理!$AD$3:$AD$98,$E119)))</f>
        <v/>
      </c>
      <c r="Z119" t="str">
        <f>IF($E119="","",IF(INDEX(工数管理!$AE$3:$AE$98,$E119)="","",INDEX(工数管理!$AE$3:$AE$98,$E119)))</f>
        <v/>
      </c>
      <c r="AA119" t="str">
        <f>IF($E119="","",IF(INDEX(工数管理!$AF$3:$AF$98,$E119)="","",INDEX(工数管理!$AF$3:$AF$98,$E119)))</f>
        <v/>
      </c>
      <c r="AB119" t="str">
        <f>IF($E119="","",IF(INDEX(工数管理!$AG$3:$AG$98,$E119)="","",INDEX(工数管理!$AG$3:$AG$98,$E119)))</f>
        <v/>
      </c>
      <c r="AC119" t="str">
        <f>IF($E119="","",IF(INDEX(工数管理!$AH$3:$AH$98,$E119)="","",INDEX(工数管理!$AH$3:$AH$98,$E119)))</f>
        <v/>
      </c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/>
      <c r="DE119" s="52"/>
      <c r="DF119" s="52"/>
      <c r="DG119" s="52"/>
      <c r="DH119" s="52"/>
      <c r="DI119" s="52"/>
      <c r="DJ119" s="52"/>
      <c r="DK119" s="52"/>
      <c r="DL119" s="52"/>
      <c r="DM119" s="52"/>
      <c r="DN119" s="52"/>
      <c r="DO119" s="52"/>
      <c r="DP119" s="52"/>
      <c r="DQ119" s="52"/>
      <c r="DR119" s="52"/>
      <c r="DS119" s="52"/>
      <c r="DT119" s="52"/>
      <c r="DU119" s="52"/>
      <c r="DV119" s="52"/>
      <c r="DW119" s="52"/>
      <c r="DX119" s="52"/>
      <c r="DY119" s="52"/>
      <c r="DZ119" s="52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2"/>
      <c r="FB119" s="52"/>
      <c r="FC119" s="52"/>
      <c r="FD119" s="52"/>
      <c r="FE119" s="52"/>
      <c r="FF119" s="52"/>
      <c r="FG119" s="52"/>
      <c r="FH119" s="52"/>
      <c r="FI119" s="52"/>
      <c r="FJ119" s="52"/>
      <c r="FK119" s="52"/>
      <c r="FL119" s="52"/>
      <c r="FM119" s="52"/>
      <c r="FN119" s="52"/>
      <c r="FO119" s="52"/>
      <c r="FP119" s="52"/>
      <c r="FQ119" s="52"/>
      <c r="FR119" s="52"/>
      <c r="FS119" s="52"/>
      <c r="FT119" s="52"/>
      <c r="FU119" s="52"/>
      <c r="FV119" s="52"/>
      <c r="FW119" s="52"/>
      <c r="FX119" s="52"/>
      <c r="FY119" s="52"/>
      <c r="FZ119" s="52"/>
      <c r="GA119" s="52"/>
      <c r="GB119" s="52"/>
      <c r="GC119" s="52"/>
      <c r="GD119" s="52"/>
      <c r="GE119" s="52"/>
      <c r="GF119" s="52"/>
      <c r="GG119" s="52"/>
      <c r="GH119" s="52"/>
      <c r="GI119" s="52"/>
      <c r="GJ119" s="52"/>
      <c r="GK119" s="52"/>
      <c r="GL119" s="52"/>
      <c r="GM119" s="52"/>
      <c r="GN119" s="52"/>
      <c r="GO119" s="52"/>
      <c r="GP119" s="52"/>
      <c r="GQ119" s="52"/>
      <c r="GR119" s="52"/>
      <c r="GS119" s="52"/>
      <c r="GT119" s="52"/>
      <c r="GU119" s="52"/>
      <c r="GV119" s="52"/>
      <c r="GW119" s="52"/>
      <c r="GX119" s="52"/>
      <c r="GY119" s="52"/>
      <c r="GZ119" s="52"/>
      <c r="HA119" s="52"/>
      <c r="HB119" s="52"/>
      <c r="HC119" s="52"/>
      <c r="HD119" s="52"/>
      <c r="HE119" s="52"/>
      <c r="HF119" s="52"/>
      <c r="HG119" s="52"/>
      <c r="HH119" s="52"/>
      <c r="HI119" s="52"/>
      <c r="HJ119" s="52"/>
      <c r="HK119" s="52"/>
      <c r="HL119" s="52"/>
      <c r="HM119" s="52"/>
      <c r="HN119" s="52"/>
      <c r="HO119" s="52"/>
      <c r="HP119" s="52"/>
      <c r="HQ119" s="52"/>
      <c r="HR119" s="52"/>
      <c r="HS119" s="52"/>
      <c r="HT119" s="52"/>
      <c r="HU119" s="52"/>
      <c r="HV119" s="52"/>
      <c r="HW119" s="52"/>
      <c r="HX119" s="52"/>
      <c r="HY119" s="52"/>
      <c r="HZ119" s="52"/>
      <c r="IA119" s="52"/>
      <c r="IB119" s="52"/>
      <c r="IC119" s="52"/>
      <c r="ID119" s="52"/>
      <c r="IE119" s="52"/>
      <c r="IF119" s="52"/>
      <c r="IG119" s="52"/>
      <c r="IH119" s="52"/>
      <c r="II119" s="52"/>
      <c r="IJ119" s="52"/>
      <c r="IK119" s="52"/>
      <c r="IL119" s="52"/>
      <c r="IM119" s="52"/>
      <c r="IN119" s="52"/>
      <c r="IO119" s="52"/>
      <c r="IP119" s="52"/>
      <c r="IQ119" s="52"/>
      <c r="IR119" s="52"/>
      <c r="IS119" s="52"/>
      <c r="IT119" s="52"/>
      <c r="IU119" s="52"/>
      <c r="IV119" s="52"/>
      <c r="IW119" s="52"/>
      <c r="IX119" s="52"/>
      <c r="IY119" s="52"/>
      <c r="IZ119" s="52"/>
      <c r="JA119" s="52"/>
      <c r="JB119" s="52"/>
      <c r="JC119" s="52"/>
      <c r="JD119" s="52"/>
      <c r="JE119" s="52"/>
      <c r="JF119" s="52"/>
      <c r="JG119" s="52"/>
      <c r="JH119" s="52"/>
      <c r="JI119" s="52"/>
      <c r="JL119" t="str">
        <f>IF($E119="","",IF(INDEX(工数管理!$AJ$3:$AJ$98,$E119)&lt;&gt;"",1,0))</f>
        <v/>
      </c>
      <c r="JM119" t="str">
        <f>IF($E119="","",IFERROR(MATCH($A119,祝日!$J$1:$L$1,0),""))</f>
        <v/>
      </c>
    </row>
    <row r="120" spans="1:273" ht="14.25" customHeight="1" x14ac:dyDescent="0.15">
      <c r="A120" s="50" t="str">
        <f>IF($E120="","",IF($JL120=1,INDEX(工数管理!$A$3:$A$98,$E120)&amp;"",IF(INDEX(工数管理!$AK$3:$AK$98,$E120)="","未割当",INDEX(工数管理!$AK$3:$AK$98,$E120))))</f>
        <v/>
      </c>
      <c r="B120" s="51" t="str">
        <f>IF($E120="","",IF($JL120=1,"",INDEX(工数管理!$A$3:$A$98,$E120)&amp;""))</f>
        <v/>
      </c>
      <c r="C120" s="50" t="str">
        <f>IF($E120="","",IF($JL120=1,"",INDEX(工数管理!$B$3:$B$98,$E120)&amp;""))</f>
        <v/>
      </c>
      <c r="D120" s="50" t="str">
        <f>IF($E120="","",INDEX(工数管理!$H$3:$H$98,$E120)&amp;"")</f>
        <v/>
      </c>
      <c r="E120" t="str">
        <f>IFERROR(MATCH(SMALL(工数管理!$BP$3:$BP$98,ROW()-3),工数管理!$BP$3:$BP$98,0),"")</f>
        <v/>
      </c>
      <c r="F120" t="str">
        <f>IF($E120="","",IF(INDEX(工数管理!$K$3:$K$98,$E120)="","",INDEX(工数管理!$K$3:$K$98,$E120)))</f>
        <v/>
      </c>
      <c r="G120" t="str">
        <f>IF($E120="","",IF(INDEX(工数管理!$L$3:$L$98,$E120)="","",INDEX(工数管理!$L$3:$L$98,$E120)))</f>
        <v/>
      </c>
      <c r="H120" t="str">
        <f>IF($E120="","",IF(INDEX(工数管理!$M$3:$M$98,$E120)="","",INDEX(工数管理!$M$3:$M$98,$E120)))</f>
        <v/>
      </c>
      <c r="I120" t="str">
        <f>IF($E120="","",IF(INDEX(工数管理!$N$3:$N$98,$E120)="","",INDEX(工数管理!$N$3:$N$98,$E120)))</f>
        <v/>
      </c>
      <c r="J120" t="str">
        <f>IF($E120="","",IF(INDEX(工数管理!$O$3:$O$98,$E120)="","",INDEX(工数管理!$O$3:$O$98,$E120)))</f>
        <v/>
      </c>
      <c r="K120" t="str">
        <f>IF($E120="","",IF(INDEX(工数管理!$P$3:$P$98,$E120)="","",INDEX(工数管理!$P$3:$P$98,$E120)))</f>
        <v/>
      </c>
      <c r="L120" t="str">
        <f>IF($E120="","",IF(INDEX(工数管理!$Q$3:$Q$98,$E120)="","",INDEX(工数管理!$Q$3:$Q$98,$E120)))</f>
        <v/>
      </c>
      <c r="M120" t="str">
        <f>IF($E120="","",IF(INDEX(工数管理!$R$3:$R$98,$E120)="","",INDEX(工数管理!$R$3:$R$98,$E120)))</f>
        <v/>
      </c>
      <c r="N120" t="str">
        <f>IF($E120="","",IF(INDEX(工数管理!$S$3:$S$98,$E120)="","",INDEX(工数管理!$S$3:$S$98,$E120)))</f>
        <v/>
      </c>
      <c r="O120" t="str">
        <f>IF($E120="","",IF(INDEX(工数管理!$T$3:$T$98,$E120)="","",INDEX(工数管理!$T$3:$T$98,$E120)))</f>
        <v/>
      </c>
      <c r="P120" t="str">
        <f>IF($E120="","",IF(INDEX(工数管理!$U$3:$U$98,$E120)="","",INDEX(工数管理!$U$3:$U$98,$E120)))</f>
        <v/>
      </c>
      <c r="Q120" t="str">
        <f>IF($E120="","",IF(INDEX(工数管理!$V$3:$V$98,$E120)="","",INDEX(工数管理!$V$3:$V$98,$E120)))</f>
        <v/>
      </c>
      <c r="R120" t="str">
        <f>IF($E120="","",IF(INDEX(工数管理!$W$3:$W$98,$E120)="","",INDEX(工数管理!$W$3:$W$98,$E120)))</f>
        <v/>
      </c>
      <c r="S120" t="str">
        <f>IF($E120="","",IF(INDEX(工数管理!$X$3:$X$98,$E120)="","",INDEX(工数管理!$X$3:$X$98,$E120)))</f>
        <v/>
      </c>
      <c r="T120" t="str">
        <f>IF($E120="","",IF(INDEX(工数管理!$Y$3:$Y$98,$E120)="","",INDEX(工数管理!$Y$3:$Y$98,$E120)))</f>
        <v/>
      </c>
      <c r="U120" t="str">
        <f>IF($E120="","",IF(INDEX(工数管理!$Z$3:$Z$98,$E120)="","",INDEX(工数管理!$Z$3:$Z$98,$E120)))</f>
        <v/>
      </c>
      <c r="V120" t="str">
        <f>IF($E120="","",IF(INDEX(工数管理!$AA$3:$AA$98,$E120)="","",INDEX(工数管理!$AA$3:$AA$98,$E120)))</f>
        <v/>
      </c>
      <c r="W120" t="str">
        <f>IF($E120="","",IF(INDEX(工数管理!$AB$3:$AB$98,$E120)="","",INDEX(工数管理!$AB$3:$AB$98,$E120)))</f>
        <v/>
      </c>
      <c r="X120" t="str">
        <f>IF($E120="","",IF(INDEX(工数管理!$AC$3:$AC$98,$E120)="","",INDEX(工数管理!$AC$3:$AC$98,$E120)))</f>
        <v/>
      </c>
      <c r="Y120" t="str">
        <f>IF($E120="","",IF(INDEX(工数管理!$AD$3:$AD$98,$E120)="","",INDEX(工数管理!$AD$3:$AD$98,$E120)))</f>
        <v/>
      </c>
      <c r="Z120" t="str">
        <f>IF($E120="","",IF(INDEX(工数管理!$AE$3:$AE$98,$E120)="","",INDEX(工数管理!$AE$3:$AE$98,$E120)))</f>
        <v/>
      </c>
      <c r="AA120" t="str">
        <f>IF($E120="","",IF(INDEX(工数管理!$AF$3:$AF$98,$E120)="","",INDEX(工数管理!$AF$3:$AF$98,$E120)))</f>
        <v/>
      </c>
      <c r="AB120" t="str">
        <f>IF($E120="","",IF(INDEX(工数管理!$AG$3:$AG$98,$E120)="","",INDEX(工数管理!$AG$3:$AG$98,$E120)))</f>
        <v/>
      </c>
      <c r="AC120" t="str">
        <f>IF($E120="","",IF(INDEX(工数管理!$AH$3:$AH$98,$E120)="","",INDEX(工数管理!$AH$3:$AH$98,$E120)))</f>
        <v/>
      </c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2"/>
      <c r="DC120" s="52"/>
      <c r="DD120" s="52"/>
      <c r="DE120" s="52"/>
      <c r="DF120" s="52"/>
      <c r="DG120" s="52"/>
      <c r="DH120" s="52"/>
      <c r="DI120" s="52"/>
      <c r="DJ120" s="52"/>
      <c r="DK120" s="52"/>
      <c r="DL120" s="52"/>
      <c r="DM120" s="52"/>
      <c r="DN120" s="52"/>
      <c r="DO120" s="52"/>
      <c r="DP120" s="52"/>
      <c r="DQ120" s="52"/>
      <c r="DR120" s="52"/>
      <c r="DS120" s="52"/>
      <c r="DT120" s="52"/>
      <c r="DU120" s="52"/>
      <c r="DV120" s="52"/>
      <c r="DW120" s="52"/>
      <c r="DX120" s="52"/>
      <c r="DY120" s="52"/>
      <c r="DZ120" s="52"/>
      <c r="EA120" s="52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  <c r="EM120" s="52"/>
      <c r="EN120" s="52"/>
      <c r="EO120" s="52"/>
      <c r="EP120" s="52"/>
      <c r="EQ120" s="52"/>
      <c r="ER120" s="52"/>
      <c r="ES120" s="52"/>
      <c r="ET120" s="52"/>
      <c r="EU120" s="52"/>
      <c r="EV120" s="52"/>
      <c r="EW120" s="52"/>
      <c r="EX120" s="52"/>
      <c r="EY120" s="52"/>
      <c r="EZ120" s="52"/>
      <c r="FA120" s="52"/>
      <c r="FB120" s="52"/>
      <c r="FC120" s="52"/>
      <c r="FD120" s="52"/>
      <c r="FE120" s="52"/>
      <c r="FF120" s="52"/>
      <c r="FG120" s="52"/>
      <c r="FH120" s="52"/>
      <c r="FI120" s="52"/>
      <c r="FJ120" s="52"/>
      <c r="FK120" s="52"/>
      <c r="FL120" s="52"/>
      <c r="FM120" s="52"/>
      <c r="FN120" s="52"/>
      <c r="FO120" s="52"/>
      <c r="FP120" s="52"/>
      <c r="FQ120" s="52"/>
      <c r="FR120" s="52"/>
      <c r="FS120" s="52"/>
      <c r="FT120" s="52"/>
      <c r="FU120" s="52"/>
      <c r="FV120" s="52"/>
      <c r="FW120" s="52"/>
      <c r="FX120" s="52"/>
      <c r="FY120" s="52"/>
      <c r="FZ120" s="52"/>
      <c r="GA120" s="52"/>
      <c r="GB120" s="52"/>
      <c r="GC120" s="52"/>
      <c r="GD120" s="52"/>
      <c r="GE120" s="52"/>
      <c r="GF120" s="52"/>
      <c r="GG120" s="52"/>
      <c r="GH120" s="52"/>
      <c r="GI120" s="52"/>
      <c r="GJ120" s="52"/>
      <c r="GK120" s="52"/>
      <c r="GL120" s="52"/>
      <c r="GM120" s="52"/>
      <c r="GN120" s="52"/>
      <c r="GO120" s="52"/>
      <c r="GP120" s="52"/>
      <c r="GQ120" s="52"/>
      <c r="GR120" s="52"/>
      <c r="GS120" s="52"/>
      <c r="GT120" s="52"/>
      <c r="GU120" s="52"/>
      <c r="GV120" s="52"/>
      <c r="GW120" s="52"/>
      <c r="GX120" s="52"/>
      <c r="GY120" s="52"/>
      <c r="GZ120" s="52"/>
      <c r="HA120" s="52"/>
      <c r="HB120" s="52"/>
      <c r="HC120" s="52"/>
      <c r="HD120" s="52"/>
      <c r="HE120" s="52"/>
      <c r="HF120" s="52"/>
      <c r="HG120" s="52"/>
      <c r="HH120" s="52"/>
      <c r="HI120" s="52"/>
      <c r="HJ120" s="52"/>
      <c r="HK120" s="52"/>
      <c r="HL120" s="52"/>
      <c r="HM120" s="52"/>
      <c r="HN120" s="52"/>
      <c r="HO120" s="52"/>
      <c r="HP120" s="52"/>
      <c r="HQ120" s="52"/>
      <c r="HR120" s="52"/>
      <c r="HS120" s="52"/>
      <c r="HT120" s="52"/>
      <c r="HU120" s="52"/>
      <c r="HV120" s="52"/>
      <c r="HW120" s="52"/>
      <c r="HX120" s="52"/>
      <c r="HY120" s="52"/>
      <c r="HZ120" s="52"/>
      <c r="IA120" s="52"/>
      <c r="IB120" s="52"/>
      <c r="IC120" s="52"/>
      <c r="ID120" s="52"/>
      <c r="IE120" s="52"/>
      <c r="IF120" s="52"/>
      <c r="IG120" s="52"/>
      <c r="IH120" s="52"/>
      <c r="II120" s="52"/>
      <c r="IJ120" s="52"/>
      <c r="IK120" s="52"/>
      <c r="IL120" s="52"/>
      <c r="IM120" s="52"/>
      <c r="IN120" s="52"/>
      <c r="IO120" s="52"/>
      <c r="IP120" s="52"/>
      <c r="IQ120" s="52"/>
      <c r="IR120" s="52"/>
      <c r="IS120" s="52"/>
      <c r="IT120" s="52"/>
      <c r="IU120" s="52"/>
      <c r="IV120" s="52"/>
      <c r="IW120" s="52"/>
      <c r="IX120" s="52"/>
      <c r="IY120" s="52"/>
      <c r="IZ120" s="52"/>
      <c r="JA120" s="52"/>
      <c r="JB120" s="52"/>
      <c r="JC120" s="52"/>
      <c r="JD120" s="52"/>
      <c r="JE120" s="52"/>
      <c r="JF120" s="52"/>
      <c r="JG120" s="52"/>
      <c r="JH120" s="52"/>
      <c r="JI120" s="52"/>
      <c r="JL120" t="str">
        <f>IF($E120="","",IF(INDEX(工数管理!$AJ$3:$AJ$98,$E120)&lt;&gt;"",1,0))</f>
        <v/>
      </c>
      <c r="JM120" t="str">
        <f>IF($E120="","",IFERROR(MATCH($A120,祝日!$J$1:$L$1,0),""))</f>
        <v/>
      </c>
    </row>
    <row r="121" spans="1:273" ht="14.25" customHeight="1" x14ac:dyDescent="0.15">
      <c r="A121" s="50" t="str">
        <f>IF($E121="","",IF($JL121=1,INDEX(工数管理!$A$3:$A$98,$E121)&amp;"",IF(INDEX(工数管理!$AK$3:$AK$98,$E121)="","未割当",INDEX(工数管理!$AK$3:$AK$98,$E121))))</f>
        <v/>
      </c>
      <c r="B121" s="51" t="str">
        <f>IF($E121="","",IF($JL121=1,"",INDEX(工数管理!$A$3:$A$98,$E121)&amp;""))</f>
        <v/>
      </c>
      <c r="C121" s="50" t="str">
        <f>IF($E121="","",IF($JL121=1,"",INDEX(工数管理!$B$3:$B$98,$E121)&amp;""))</f>
        <v/>
      </c>
      <c r="D121" s="50" t="str">
        <f>IF($E121="","",INDEX(工数管理!$H$3:$H$98,$E121)&amp;"")</f>
        <v/>
      </c>
      <c r="E121" t="str">
        <f>IFERROR(MATCH(SMALL(工数管理!$BP$3:$BP$98,ROW()-3),工数管理!$BP$3:$BP$98,0),"")</f>
        <v/>
      </c>
      <c r="F121" t="str">
        <f>IF($E121="","",IF(INDEX(工数管理!$K$3:$K$98,$E121)="","",INDEX(工数管理!$K$3:$K$98,$E121)))</f>
        <v/>
      </c>
      <c r="G121" t="str">
        <f>IF($E121="","",IF(INDEX(工数管理!$L$3:$L$98,$E121)="","",INDEX(工数管理!$L$3:$L$98,$E121)))</f>
        <v/>
      </c>
      <c r="H121" t="str">
        <f>IF($E121="","",IF(INDEX(工数管理!$M$3:$M$98,$E121)="","",INDEX(工数管理!$M$3:$M$98,$E121)))</f>
        <v/>
      </c>
      <c r="I121" t="str">
        <f>IF($E121="","",IF(INDEX(工数管理!$N$3:$N$98,$E121)="","",INDEX(工数管理!$N$3:$N$98,$E121)))</f>
        <v/>
      </c>
      <c r="J121" t="str">
        <f>IF($E121="","",IF(INDEX(工数管理!$O$3:$O$98,$E121)="","",INDEX(工数管理!$O$3:$O$98,$E121)))</f>
        <v/>
      </c>
      <c r="K121" t="str">
        <f>IF($E121="","",IF(INDEX(工数管理!$P$3:$P$98,$E121)="","",INDEX(工数管理!$P$3:$P$98,$E121)))</f>
        <v/>
      </c>
      <c r="L121" t="str">
        <f>IF($E121="","",IF(INDEX(工数管理!$Q$3:$Q$98,$E121)="","",INDEX(工数管理!$Q$3:$Q$98,$E121)))</f>
        <v/>
      </c>
      <c r="M121" t="str">
        <f>IF($E121="","",IF(INDEX(工数管理!$R$3:$R$98,$E121)="","",INDEX(工数管理!$R$3:$R$98,$E121)))</f>
        <v/>
      </c>
      <c r="N121" t="str">
        <f>IF($E121="","",IF(INDEX(工数管理!$S$3:$S$98,$E121)="","",INDEX(工数管理!$S$3:$S$98,$E121)))</f>
        <v/>
      </c>
      <c r="O121" t="str">
        <f>IF($E121="","",IF(INDEX(工数管理!$T$3:$T$98,$E121)="","",INDEX(工数管理!$T$3:$T$98,$E121)))</f>
        <v/>
      </c>
      <c r="P121" t="str">
        <f>IF($E121="","",IF(INDEX(工数管理!$U$3:$U$98,$E121)="","",INDEX(工数管理!$U$3:$U$98,$E121)))</f>
        <v/>
      </c>
      <c r="Q121" t="str">
        <f>IF($E121="","",IF(INDEX(工数管理!$V$3:$V$98,$E121)="","",INDEX(工数管理!$V$3:$V$98,$E121)))</f>
        <v/>
      </c>
      <c r="R121" t="str">
        <f>IF($E121="","",IF(INDEX(工数管理!$W$3:$W$98,$E121)="","",INDEX(工数管理!$W$3:$W$98,$E121)))</f>
        <v/>
      </c>
      <c r="S121" t="str">
        <f>IF($E121="","",IF(INDEX(工数管理!$X$3:$X$98,$E121)="","",INDEX(工数管理!$X$3:$X$98,$E121)))</f>
        <v/>
      </c>
      <c r="T121" t="str">
        <f>IF($E121="","",IF(INDEX(工数管理!$Y$3:$Y$98,$E121)="","",INDEX(工数管理!$Y$3:$Y$98,$E121)))</f>
        <v/>
      </c>
      <c r="U121" t="str">
        <f>IF($E121="","",IF(INDEX(工数管理!$Z$3:$Z$98,$E121)="","",INDEX(工数管理!$Z$3:$Z$98,$E121)))</f>
        <v/>
      </c>
      <c r="V121" t="str">
        <f>IF($E121="","",IF(INDEX(工数管理!$AA$3:$AA$98,$E121)="","",INDEX(工数管理!$AA$3:$AA$98,$E121)))</f>
        <v/>
      </c>
      <c r="W121" t="str">
        <f>IF($E121="","",IF(INDEX(工数管理!$AB$3:$AB$98,$E121)="","",INDEX(工数管理!$AB$3:$AB$98,$E121)))</f>
        <v/>
      </c>
      <c r="X121" t="str">
        <f>IF($E121="","",IF(INDEX(工数管理!$AC$3:$AC$98,$E121)="","",INDEX(工数管理!$AC$3:$AC$98,$E121)))</f>
        <v/>
      </c>
      <c r="Y121" t="str">
        <f>IF($E121="","",IF(INDEX(工数管理!$AD$3:$AD$98,$E121)="","",INDEX(工数管理!$AD$3:$AD$98,$E121)))</f>
        <v/>
      </c>
      <c r="Z121" t="str">
        <f>IF($E121="","",IF(INDEX(工数管理!$AE$3:$AE$98,$E121)="","",INDEX(工数管理!$AE$3:$AE$98,$E121)))</f>
        <v/>
      </c>
      <c r="AA121" t="str">
        <f>IF($E121="","",IF(INDEX(工数管理!$AF$3:$AF$98,$E121)="","",INDEX(工数管理!$AF$3:$AF$98,$E121)))</f>
        <v/>
      </c>
      <c r="AB121" t="str">
        <f>IF($E121="","",IF(INDEX(工数管理!$AG$3:$AG$98,$E121)="","",INDEX(工数管理!$AG$3:$AG$98,$E121)))</f>
        <v/>
      </c>
      <c r="AC121" t="str">
        <f>IF($E121="","",IF(INDEX(工数管理!$AH$3:$AH$98,$E121)="","",INDEX(工数管理!$AH$3:$AH$98,$E121)))</f>
        <v/>
      </c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2"/>
      <c r="DD121" s="52"/>
      <c r="DE121" s="52"/>
      <c r="DF121" s="52"/>
      <c r="DG121" s="52"/>
      <c r="DH121" s="52"/>
      <c r="DI121" s="52"/>
      <c r="DJ121" s="52"/>
      <c r="DK121" s="52"/>
      <c r="DL121" s="52"/>
      <c r="DM121" s="52"/>
      <c r="DN121" s="52"/>
      <c r="DO121" s="52"/>
      <c r="DP121" s="52"/>
      <c r="DQ121" s="52"/>
      <c r="DR121" s="52"/>
      <c r="DS121" s="52"/>
      <c r="DT121" s="52"/>
      <c r="DU121" s="52"/>
      <c r="DV121" s="52"/>
      <c r="DW121" s="52"/>
      <c r="DX121" s="52"/>
      <c r="DY121" s="52"/>
      <c r="DZ121" s="52"/>
      <c r="EA121" s="52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  <c r="EM121" s="52"/>
      <c r="EN121" s="52"/>
      <c r="EO121" s="52"/>
      <c r="EP121" s="52"/>
      <c r="EQ121" s="52"/>
      <c r="ER121" s="52"/>
      <c r="ES121" s="52"/>
      <c r="ET121" s="52"/>
      <c r="EU121" s="52"/>
      <c r="EV121" s="52"/>
      <c r="EW121" s="52"/>
      <c r="EX121" s="52"/>
      <c r="EY121" s="52"/>
      <c r="EZ121" s="52"/>
      <c r="FA121" s="52"/>
      <c r="FB121" s="52"/>
      <c r="FC121" s="52"/>
      <c r="FD121" s="52"/>
      <c r="FE121" s="52"/>
      <c r="FF121" s="52"/>
      <c r="FG121" s="52"/>
      <c r="FH121" s="52"/>
      <c r="FI121" s="52"/>
      <c r="FJ121" s="52"/>
      <c r="FK121" s="52"/>
      <c r="FL121" s="52"/>
      <c r="FM121" s="52"/>
      <c r="FN121" s="52"/>
      <c r="FO121" s="52"/>
      <c r="FP121" s="52"/>
      <c r="FQ121" s="52"/>
      <c r="FR121" s="52"/>
      <c r="FS121" s="52"/>
      <c r="FT121" s="52"/>
      <c r="FU121" s="52"/>
      <c r="FV121" s="52"/>
      <c r="FW121" s="52"/>
      <c r="FX121" s="52"/>
      <c r="FY121" s="52"/>
      <c r="FZ121" s="52"/>
      <c r="GA121" s="52"/>
      <c r="GB121" s="52"/>
      <c r="GC121" s="52"/>
      <c r="GD121" s="52"/>
      <c r="GE121" s="52"/>
      <c r="GF121" s="52"/>
      <c r="GG121" s="52"/>
      <c r="GH121" s="52"/>
      <c r="GI121" s="52"/>
      <c r="GJ121" s="52"/>
      <c r="GK121" s="52"/>
      <c r="GL121" s="52"/>
      <c r="GM121" s="52"/>
      <c r="GN121" s="52"/>
      <c r="GO121" s="52"/>
      <c r="GP121" s="52"/>
      <c r="GQ121" s="52"/>
      <c r="GR121" s="52"/>
      <c r="GS121" s="52"/>
      <c r="GT121" s="52"/>
      <c r="GU121" s="52"/>
      <c r="GV121" s="52"/>
      <c r="GW121" s="52"/>
      <c r="GX121" s="52"/>
      <c r="GY121" s="52"/>
      <c r="GZ121" s="52"/>
      <c r="HA121" s="52"/>
      <c r="HB121" s="52"/>
      <c r="HC121" s="52"/>
      <c r="HD121" s="52"/>
      <c r="HE121" s="52"/>
      <c r="HF121" s="52"/>
      <c r="HG121" s="52"/>
      <c r="HH121" s="52"/>
      <c r="HI121" s="52"/>
      <c r="HJ121" s="52"/>
      <c r="HK121" s="52"/>
      <c r="HL121" s="52"/>
      <c r="HM121" s="52"/>
      <c r="HN121" s="52"/>
      <c r="HO121" s="52"/>
      <c r="HP121" s="52"/>
      <c r="HQ121" s="52"/>
      <c r="HR121" s="52"/>
      <c r="HS121" s="52"/>
      <c r="HT121" s="52"/>
      <c r="HU121" s="52"/>
      <c r="HV121" s="52"/>
      <c r="HW121" s="52"/>
      <c r="HX121" s="52"/>
      <c r="HY121" s="52"/>
      <c r="HZ121" s="52"/>
      <c r="IA121" s="52"/>
      <c r="IB121" s="52"/>
      <c r="IC121" s="52"/>
      <c r="ID121" s="52"/>
      <c r="IE121" s="52"/>
      <c r="IF121" s="52"/>
      <c r="IG121" s="52"/>
      <c r="IH121" s="52"/>
      <c r="II121" s="52"/>
      <c r="IJ121" s="52"/>
      <c r="IK121" s="52"/>
      <c r="IL121" s="52"/>
      <c r="IM121" s="52"/>
      <c r="IN121" s="52"/>
      <c r="IO121" s="52"/>
      <c r="IP121" s="52"/>
      <c r="IQ121" s="52"/>
      <c r="IR121" s="52"/>
      <c r="IS121" s="52"/>
      <c r="IT121" s="52"/>
      <c r="IU121" s="52"/>
      <c r="IV121" s="52"/>
      <c r="IW121" s="52"/>
      <c r="IX121" s="52"/>
      <c r="IY121" s="52"/>
      <c r="IZ121" s="52"/>
      <c r="JA121" s="52"/>
      <c r="JB121" s="52"/>
      <c r="JC121" s="52"/>
      <c r="JD121" s="52"/>
      <c r="JE121" s="52"/>
      <c r="JF121" s="52"/>
      <c r="JG121" s="52"/>
      <c r="JH121" s="52"/>
      <c r="JI121" s="52"/>
      <c r="JL121" t="str">
        <f>IF($E121="","",IF(INDEX(工数管理!$AJ$3:$AJ$98,$E121)&lt;&gt;"",1,0))</f>
        <v/>
      </c>
      <c r="JM121" t="str">
        <f>IF($E121="","",IFERROR(MATCH($A121,祝日!$J$1:$L$1,0),""))</f>
        <v/>
      </c>
    </row>
    <row r="122" spans="1:273" ht="14.25" customHeight="1" x14ac:dyDescent="0.15">
      <c r="A122" s="50" t="str">
        <f>IF($E122="","",IF($JL122=1,INDEX(工数管理!$A$3:$A$98,$E122)&amp;"",IF(INDEX(工数管理!$AK$3:$AK$98,$E122)="","未割当",INDEX(工数管理!$AK$3:$AK$98,$E122))))</f>
        <v/>
      </c>
      <c r="B122" s="51" t="str">
        <f>IF($E122="","",IF($JL122=1,"",INDEX(工数管理!$A$3:$A$98,$E122)&amp;""))</f>
        <v/>
      </c>
      <c r="C122" s="50" t="str">
        <f>IF($E122="","",IF($JL122=1,"",INDEX(工数管理!$B$3:$B$98,$E122)&amp;""))</f>
        <v/>
      </c>
      <c r="D122" s="50" t="str">
        <f>IF($E122="","",INDEX(工数管理!$H$3:$H$98,$E122)&amp;"")</f>
        <v/>
      </c>
      <c r="E122" t="str">
        <f>IFERROR(MATCH(SMALL(工数管理!$BP$3:$BP$98,ROW()-3),工数管理!$BP$3:$BP$98,0),"")</f>
        <v/>
      </c>
      <c r="F122" t="str">
        <f>IF($E122="","",IF(INDEX(工数管理!$K$3:$K$98,$E122)="","",INDEX(工数管理!$K$3:$K$98,$E122)))</f>
        <v/>
      </c>
      <c r="G122" t="str">
        <f>IF($E122="","",IF(INDEX(工数管理!$L$3:$L$98,$E122)="","",INDEX(工数管理!$L$3:$L$98,$E122)))</f>
        <v/>
      </c>
      <c r="H122" t="str">
        <f>IF($E122="","",IF(INDEX(工数管理!$M$3:$M$98,$E122)="","",INDEX(工数管理!$M$3:$M$98,$E122)))</f>
        <v/>
      </c>
      <c r="I122" t="str">
        <f>IF($E122="","",IF(INDEX(工数管理!$N$3:$N$98,$E122)="","",INDEX(工数管理!$N$3:$N$98,$E122)))</f>
        <v/>
      </c>
      <c r="J122" t="str">
        <f>IF($E122="","",IF(INDEX(工数管理!$O$3:$O$98,$E122)="","",INDEX(工数管理!$O$3:$O$98,$E122)))</f>
        <v/>
      </c>
      <c r="K122" t="str">
        <f>IF($E122="","",IF(INDEX(工数管理!$P$3:$P$98,$E122)="","",INDEX(工数管理!$P$3:$P$98,$E122)))</f>
        <v/>
      </c>
      <c r="L122" t="str">
        <f>IF($E122="","",IF(INDEX(工数管理!$Q$3:$Q$98,$E122)="","",INDEX(工数管理!$Q$3:$Q$98,$E122)))</f>
        <v/>
      </c>
      <c r="M122" t="str">
        <f>IF($E122="","",IF(INDEX(工数管理!$R$3:$R$98,$E122)="","",INDEX(工数管理!$R$3:$R$98,$E122)))</f>
        <v/>
      </c>
      <c r="N122" t="str">
        <f>IF($E122="","",IF(INDEX(工数管理!$S$3:$S$98,$E122)="","",INDEX(工数管理!$S$3:$S$98,$E122)))</f>
        <v/>
      </c>
      <c r="O122" t="str">
        <f>IF($E122="","",IF(INDEX(工数管理!$T$3:$T$98,$E122)="","",INDEX(工数管理!$T$3:$T$98,$E122)))</f>
        <v/>
      </c>
      <c r="P122" t="str">
        <f>IF($E122="","",IF(INDEX(工数管理!$U$3:$U$98,$E122)="","",INDEX(工数管理!$U$3:$U$98,$E122)))</f>
        <v/>
      </c>
      <c r="Q122" t="str">
        <f>IF($E122="","",IF(INDEX(工数管理!$V$3:$V$98,$E122)="","",INDEX(工数管理!$V$3:$V$98,$E122)))</f>
        <v/>
      </c>
      <c r="R122" t="str">
        <f>IF($E122="","",IF(INDEX(工数管理!$W$3:$W$98,$E122)="","",INDEX(工数管理!$W$3:$W$98,$E122)))</f>
        <v/>
      </c>
      <c r="S122" t="str">
        <f>IF($E122="","",IF(INDEX(工数管理!$X$3:$X$98,$E122)="","",INDEX(工数管理!$X$3:$X$98,$E122)))</f>
        <v/>
      </c>
      <c r="T122" t="str">
        <f>IF($E122="","",IF(INDEX(工数管理!$Y$3:$Y$98,$E122)="","",INDEX(工数管理!$Y$3:$Y$98,$E122)))</f>
        <v/>
      </c>
      <c r="U122" t="str">
        <f>IF($E122="","",IF(INDEX(工数管理!$Z$3:$Z$98,$E122)="","",INDEX(工数管理!$Z$3:$Z$98,$E122)))</f>
        <v/>
      </c>
      <c r="V122" t="str">
        <f>IF($E122="","",IF(INDEX(工数管理!$AA$3:$AA$98,$E122)="","",INDEX(工数管理!$AA$3:$AA$98,$E122)))</f>
        <v/>
      </c>
      <c r="W122" t="str">
        <f>IF($E122="","",IF(INDEX(工数管理!$AB$3:$AB$98,$E122)="","",INDEX(工数管理!$AB$3:$AB$98,$E122)))</f>
        <v/>
      </c>
      <c r="X122" t="str">
        <f>IF($E122="","",IF(INDEX(工数管理!$AC$3:$AC$98,$E122)="","",INDEX(工数管理!$AC$3:$AC$98,$E122)))</f>
        <v/>
      </c>
      <c r="Y122" t="str">
        <f>IF($E122="","",IF(INDEX(工数管理!$AD$3:$AD$98,$E122)="","",INDEX(工数管理!$AD$3:$AD$98,$E122)))</f>
        <v/>
      </c>
      <c r="Z122" t="str">
        <f>IF($E122="","",IF(INDEX(工数管理!$AE$3:$AE$98,$E122)="","",INDEX(工数管理!$AE$3:$AE$98,$E122)))</f>
        <v/>
      </c>
      <c r="AA122" t="str">
        <f>IF($E122="","",IF(INDEX(工数管理!$AF$3:$AF$98,$E122)="","",INDEX(工数管理!$AF$3:$AF$98,$E122)))</f>
        <v/>
      </c>
      <c r="AB122" t="str">
        <f>IF($E122="","",IF(INDEX(工数管理!$AG$3:$AG$98,$E122)="","",INDEX(工数管理!$AG$3:$AG$98,$E122)))</f>
        <v/>
      </c>
      <c r="AC122" t="str">
        <f>IF($E122="","",IF(INDEX(工数管理!$AH$3:$AH$98,$E122)="","",INDEX(工数管理!$AH$3:$AH$98,$E122)))</f>
        <v/>
      </c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2"/>
      <c r="DC122" s="52"/>
      <c r="DD122" s="52"/>
      <c r="DE122" s="52"/>
      <c r="DF122" s="52"/>
      <c r="DG122" s="52"/>
      <c r="DH122" s="52"/>
      <c r="DI122" s="52"/>
      <c r="DJ122" s="52"/>
      <c r="DK122" s="52"/>
      <c r="DL122" s="52"/>
      <c r="DM122" s="52"/>
      <c r="DN122" s="52"/>
      <c r="DO122" s="52"/>
      <c r="DP122" s="52"/>
      <c r="DQ122" s="52"/>
      <c r="DR122" s="52"/>
      <c r="DS122" s="52"/>
      <c r="DT122" s="52"/>
      <c r="DU122" s="52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  <c r="FB122" s="52"/>
      <c r="FC122" s="52"/>
      <c r="FD122" s="52"/>
      <c r="FE122" s="52"/>
      <c r="FF122" s="52"/>
      <c r="FG122" s="52"/>
      <c r="FH122" s="52"/>
      <c r="FI122" s="52"/>
      <c r="FJ122" s="52"/>
      <c r="FK122" s="52"/>
      <c r="FL122" s="52"/>
      <c r="FM122" s="52"/>
      <c r="FN122" s="52"/>
      <c r="FO122" s="52"/>
      <c r="FP122" s="52"/>
      <c r="FQ122" s="52"/>
      <c r="FR122" s="52"/>
      <c r="FS122" s="52"/>
      <c r="FT122" s="52"/>
      <c r="FU122" s="52"/>
      <c r="FV122" s="52"/>
      <c r="FW122" s="52"/>
      <c r="FX122" s="52"/>
      <c r="FY122" s="52"/>
      <c r="FZ122" s="52"/>
      <c r="GA122" s="52"/>
      <c r="GB122" s="52"/>
      <c r="GC122" s="52"/>
      <c r="GD122" s="52"/>
      <c r="GE122" s="52"/>
      <c r="GF122" s="52"/>
      <c r="GG122" s="52"/>
      <c r="GH122" s="52"/>
      <c r="GI122" s="52"/>
      <c r="GJ122" s="52"/>
      <c r="GK122" s="52"/>
      <c r="GL122" s="52"/>
      <c r="GM122" s="52"/>
      <c r="GN122" s="52"/>
      <c r="GO122" s="52"/>
      <c r="GP122" s="52"/>
      <c r="GQ122" s="52"/>
      <c r="GR122" s="52"/>
      <c r="GS122" s="52"/>
      <c r="GT122" s="52"/>
      <c r="GU122" s="52"/>
      <c r="GV122" s="52"/>
      <c r="GW122" s="52"/>
      <c r="GX122" s="52"/>
      <c r="GY122" s="52"/>
      <c r="GZ122" s="52"/>
      <c r="HA122" s="52"/>
      <c r="HB122" s="52"/>
      <c r="HC122" s="52"/>
      <c r="HD122" s="52"/>
      <c r="HE122" s="52"/>
      <c r="HF122" s="52"/>
      <c r="HG122" s="52"/>
      <c r="HH122" s="52"/>
      <c r="HI122" s="52"/>
      <c r="HJ122" s="52"/>
      <c r="HK122" s="52"/>
      <c r="HL122" s="52"/>
      <c r="HM122" s="52"/>
      <c r="HN122" s="52"/>
      <c r="HO122" s="52"/>
      <c r="HP122" s="52"/>
      <c r="HQ122" s="52"/>
      <c r="HR122" s="52"/>
      <c r="HS122" s="52"/>
      <c r="HT122" s="52"/>
      <c r="HU122" s="52"/>
      <c r="HV122" s="52"/>
      <c r="HW122" s="52"/>
      <c r="HX122" s="52"/>
      <c r="HY122" s="52"/>
      <c r="HZ122" s="52"/>
      <c r="IA122" s="52"/>
      <c r="IB122" s="52"/>
      <c r="IC122" s="52"/>
      <c r="ID122" s="52"/>
      <c r="IE122" s="52"/>
      <c r="IF122" s="52"/>
      <c r="IG122" s="52"/>
      <c r="IH122" s="52"/>
      <c r="II122" s="52"/>
      <c r="IJ122" s="52"/>
      <c r="IK122" s="52"/>
      <c r="IL122" s="52"/>
      <c r="IM122" s="52"/>
      <c r="IN122" s="52"/>
      <c r="IO122" s="52"/>
      <c r="IP122" s="52"/>
      <c r="IQ122" s="52"/>
      <c r="IR122" s="52"/>
      <c r="IS122" s="52"/>
      <c r="IT122" s="52"/>
      <c r="IU122" s="52"/>
      <c r="IV122" s="52"/>
      <c r="IW122" s="52"/>
      <c r="IX122" s="52"/>
      <c r="IY122" s="52"/>
      <c r="IZ122" s="52"/>
      <c r="JA122" s="52"/>
      <c r="JB122" s="52"/>
      <c r="JC122" s="52"/>
      <c r="JD122" s="52"/>
      <c r="JE122" s="52"/>
      <c r="JF122" s="52"/>
      <c r="JG122" s="52"/>
      <c r="JH122" s="52"/>
      <c r="JI122" s="52"/>
      <c r="JL122" t="str">
        <f>IF($E122="","",IF(INDEX(工数管理!$AJ$3:$AJ$98,$E122)&lt;&gt;"",1,0))</f>
        <v/>
      </c>
      <c r="JM122" t="str">
        <f>IF($E122="","",IFERROR(MATCH($A122,祝日!$J$1:$L$1,0),""))</f>
        <v/>
      </c>
    </row>
    <row r="123" spans="1:273" ht="14.25" customHeight="1" x14ac:dyDescent="0.15">
      <c r="A123" s="50" t="str">
        <f>IF($E123="","",IF($JL123=1,INDEX(工数管理!$A$3:$A$98,$E123)&amp;"",IF(INDEX(工数管理!$AK$3:$AK$98,$E123)="","未割当",INDEX(工数管理!$AK$3:$AK$98,$E123))))</f>
        <v/>
      </c>
      <c r="B123" s="51" t="str">
        <f>IF($E123="","",IF($JL123=1,"",INDEX(工数管理!$A$3:$A$98,$E123)&amp;""))</f>
        <v/>
      </c>
      <c r="C123" s="50" t="str">
        <f>IF($E123="","",IF($JL123=1,"",INDEX(工数管理!$B$3:$B$98,$E123)&amp;""))</f>
        <v/>
      </c>
      <c r="D123" s="50" t="str">
        <f>IF($E123="","",INDEX(工数管理!$H$3:$H$98,$E123)&amp;"")</f>
        <v/>
      </c>
      <c r="E123" t="str">
        <f>IFERROR(MATCH(SMALL(工数管理!$BP$3:$BP$98,ROW()-3),工数管理!$BP$3:$BP$98,0),"")</f>
        <v/>
      </c>
      <c r="F123" t="str">
        <f>IF($E123="","",IF(INDEX(工数管理!$K$3:$K$98,$E123)="","",INDEX(工数管理!$K$3:$K$98,$E123)))</f>
        <v/>
      </c>
      <c r="G123" t="str">
        <f>IF($E123="","",IF(INDEX(工数管理!$L$3:$L$98,$E123)="","",INDEX(工数管理!$L$3:$L$98,$E123)))</f>
        <v/>
      </c>
      <c r="H123" t="str">
        <f>IF($E123="","",IF(INDEX(工数管理!$M$3:$M$98,$E123)="","",INDEX(工数管理!$M$3:$M$98,$E123)))</f>
        <v/>
      </c>
      <c r="I123" t="str">
        <f>IF($E123="","",IF(INDEX(工数管理!$N$3:$N$98,$E123)="","",INDEX(工数管理!$N$3:$N$98,$E123)))</f>
        <v/>
      </c>
      <c r="J123" t="str">
        <f>IF($E123="","",IF(INDEX(工数管理!$O$3:$O$98,$E123)="","",INDEX(工数管理!$O$3:$O$98,$E123)))</f>
        <v/>
      </c>
      <c r="K123" t="str">
        <f>IF($E123="","",IF(INDEX(工数管理!$P$3:$P$98,$E123)="","",INDEX(工数管理!$P$3:$P$98,$E123)))</f>
        <v/>
      </c>
      <c r="L123" t="str">
        <f>IF($E123="","",IF(INDEX(工数管理!$Q$3:$Q$98,$E123)="","",INDEX(工数管理!$Q$3:$Q$98,$E123)))</f>
        <v/>
      </c>
      <c r="M123" t="str">
        <f>IF($E123="","",IF(INDEX(工数管理!$R$3:$R$98,$E123)="","",INDEX(工数管理!$R$3:$R$98,$E123)))</f>
        <v/>
      </c>
      <c r="N123" t="str">
        <f>IF($E123="","",IF(INDEX(工数管理!$S$3:$S$98,$E123)="","",INDEX(工数管理!$S$3:$S$98,$E123)))</f>
        <v/>
      </c>
      <c r="O123" t="str">
        <f>IF($E123="","",IF(INDEX(工数管理!$T$3:$T$98,$E123)="","",INDEX(工数管理!$T$3:$T$98,$E123)))</f>
        <v/>
      </c>
      <c r="P123" t="str">
        <f>IF($E123="","",IF(INDEX(工数管理!$U$3:$U$98,$E123)="","",INDEX(工数管理!$U$3:$U$98,$E123)))</f>
        <v/>
      </c>
      <c r="Q123" t="str">
        <f>IF($E123="","",IF(INDEX(工数管理!$V$3:$V$98,$E123)="","",INDEX(工数管理!$V$3:$V$98,$E123)))</f>
        <v/>
      </c>
      <c r="R123" t="str">
        <f>IF($E123="","",IF(INDEX(工数管理!$W$3:$W$98,$E123)="","",INDEX(工数管理!$W$3:$W$98,$E123)))</f>
        <v/>
      </c>
      <c r="S123" t="str">
        <f>IF($E123="","",IF(INDEX(工数管理!$X$3:$X$98,$E123)="","",INDEX(工数管理!$X$3:$X$98,$E123)))</f>
        <v/>
      </c>
      <c r="T123" t="str">
        <f>IF($E123="","",IF(INDEX(工数管理!$Y$3:$Y$98,$E123)="","",INDEX(工数管理!$Y$3:$Y$98,$E123)))</f>
        <v/>
      </c>
      <c r="U123" t="str">
        <f>IF($E123="","",IF(INDEX(工数管理!$Z$3:$Z$98,$E123)="","",INDEX(工数管理!$Z$3:$Z$98,$E123)))</f>
        <v/>
      </c>
      <c r="V123" t="str">
        <f>IF($E123="","",IF(INDEX(工数管理!$AA$3:$AA$98,$E123)="","",INDEX(工数管理!$AA$3:$AA$98,$E123)))</f>
        <v/>
      </c>
      <c r="W123" t="str">
        <f>IF($E123="","",IF(INDEX(工数管理!$AB$3:$AB$98,$E123)="","",INDEX(工数管理!$AB$3:$AB$98,$E123)))</f>
        <v/>
      </c>
      <c r="X123" t="str">
        <f>IF($E123="","",IF(INDEX(工数管理!$AC$3:$AC$98,$E123)="","",INDEX(工数管理!$AC$3:$AC$98,$E123)))</f>
        <v/>
      </c>
      <c r="Y123" t="str">
        <f>IF($E123="","",IF(INDEX(工数管理!$AD$3:$AD$98,$E123)="","",INDEX(工数管理!$AD$3:$AD$98,$E123)))</f>
        <v/>
      </c>
      <c r="Z123" t="str">
        <f>IF($E123="","",IF(INDEX(工数管理!$AE$3:$AE$98,$E123)="","",INDEX(工数管理!$AE$3:$AE$98,$E123)))</f>
        <v/>
      </c>
      <c r="AA123" t="str">
        <f>IF($E123="","",IF(INDEX(工数管理!$AF$3:$AF$98,$E123)="","",INDEX(工数管理!$AF$3:$AF$98,$E123)))</f>
        <v/>
      </c>
      <c r="AB123" t="str">
        <f>IF($E123="","",IF(INDEX(工数管理!$AG$3:$AG$98,$E123)="","",INDEX(工数管理!$AG$3:$AG$98,$E123)))</f>
        <v/>
      </c>
      <c r="AC123" t="str">
        <f>IF($E123="","",IF(INDEX(工数管理!$AH$3:$AH$98,$E123)="","",INDEX(工数管理!$AH$3:$AH$98,$E123)))</f>
        <v/>
      </c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2"/>
      <c r="DD123" s="52"/>
      <c r="DE123" s="52"/>
      <c r="DF123" s="52"/>
      <c r="DG123" s="52"/>
      <c r="DH123" s="52"/>
      <c r="DI123" s="52"/>
      <c r="DJ123" s="52"/>
      <c r="DK123" s="52"/>
      <c r="DL123" s="52"/>
      <c r="DM123" s="52"/>
      <c r="DN123" s="52"/>
      <c r="DO123" s="52"/>
      <c r="DP123" s="52"/>
      <c r="DQ123" s="52"/>
      <c r="DR123" s="52"/>
      <c r="DS123" s="52"/>
      <c r="DT123" s="52"/>
      <c r="DU123" s="52"/>
      <c r="DV123" s="52"/>
      <c r="DW123" s="52"/>
      <c r="DX123" s="52"/>
      <c r="DY123" s="52"/>
      <c r="DZ123" s="52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2"/>
      <c r="FB123" s="52"/>
      <c r="FC123" s="52"/>
      <c r="FD123" s="52"/>
      <c r="FE123" s="52"/>
      <c r="FF123" s="52"/>
      <c r="FG123" s="52"/>
      <c r="FH123" s="52"/>
      <c r="FI123" s="52"/>
      <c r="FJ123" s="52"/>
      <c r="FK123" s="52"/>
      <c r="FL123" s="52"/>
      <c r="FM123" s="52"/>
      <c r="FN123" s="52"/>
      <c r="FO123" s="52"/>
      <c r="FP123" s="52"/>
      <c r="FQ123" s="52"/>
      <c r="FR123" s="52"/>
      <c r="FS123" s="52"/>
      <c r="FT123" s="52"/>
      <c r="FU123" s="52"/>
      <c r="FV123" s="52"/>
      <c r="FW123" s="52"/>
      <c r="FX123" s="52"/>
      <c r="FY123" s="52"/>
      <c r="FZ123" s="52"/>
      <c r="GA123" s="52"/>
      <c r="GB123" s="52"/>
      <c r="GC123" s="52"/>
      <c r="GD123" s="52"/>
      <c r="GE123" s="52"/>
      <c r="GF123" s="52"/>
      <c r="GG123" s="52"/>
      <c r="GH123" s="52"/>
      <c r="GI123" s="52"/>
      <c r="GJ123" s="52"/>
      <c r="GK123" s="52"/>
      <c r="GL123" s="52"/>
      <c r="GM123" s="52"/>
      <c r="GN123" s="52"/>
      <c r="GO123" s="52"/>
      <c r="GP123" s="52"/>
      <c r="GQ123" s="52"/>
      <c r="GR123" s="52"/>
      <c r="GS123" s="52"/>
      <c r="GT123" s="52"/>
      <c r="GU123" s="52"/>
      <c r="GV123" s="52"/>
      <c r="GW123" s="52"/>
      <c r="GX123" s="52"/>
      <c r="GY123" s="52"/>
      <c r="GZ123" s="52"/>
      <c r="HA123" s="52"/>
      <c r="HB123" s="52"/>
      <c r="HC123" s="52"/>
      <c r="HD123" s="52"/>
      <c r="HE123" s="52"/>
      <c r="HF123" s="52"/>
      <c r="HG123" s="52"/>
      <c r="HH123" s="52"/>
      <c r="HI123" s="52"/>
      <c r="HJ123" s="52"/>
      <c r="HK123" s="52"/>
      <c r="HL123" s="52"/>
      <c r="HM123" s="52"/>
      <c r="HN123" s="52"/>
      <c r="HO123" s="52"/>
      <c r="HP123" s="52"/>
      <c r="HQ123" s="52"/>
      <c r="HR123" s="52"/>
      <c r="HS123" s="52"/>
      <c r="HT123" s="52"/>
      <c r="HU123" s="52"/>
      <c r="HV123" s="52"/>
      <c r="HW123" s="52"/>
      <c r="HX123" s="52"/>
      <c r="HY123" s="52"/>
      <c r="HZ123" s="52"/>
      <c r="IA123" s="52"/>
      <c r="IB123" s="52"/>
      <c r="IC123" s="52"/>
      <c r="ID123" s="52"/>
      <c r="IE123" s="52"/>
      <c r="IF123" s="52"/>
      <c r="IG123" s="52"/>
      <c r="IH123" s="52"/>
      <c r="II123" s="52"/>
      <c r="IJ123" s="52"/>
      <c r="IK123" s="52"/>
      <c r="IL123" s="52"/>
      <c r="IM123" s="52"/>
      <c r="IN123" s="52"/>
      <c r="IO123" s="52"/>
      <c r="IP123" s="52"/>
      <c r="IQ123" s="52"/>
      <c r="IR123" s="52"/>
      <c r="IS123" s="52"/>
      <c r="IT123" s="52"/>
      <c r="IU123" s="52"/>
      <c r="IV123" s="52"/>
      <c r="IW123" s="52"/>
      <c r="IX123" s="52"/>
      <c r="IY123" s="52"/>
      <c r="IZ123" s="52"/>
      <c r="JA123" s="52"/>
      <c r="JB123" s="52"/>
      <c r="JC123" s="52"/>
      <c r="JD123" s="52"/>
      <c r="JE123" s="52"/>
      <c r="JF123" s="52"/>
      <c r="JG123" s="52"/>
      <c r="JH123" s="52"/>
      <c r="JI123" s="52"/>
      <c r="JL123" t="str">
        <f>IF($E123="","",IF(INDEX(工数管理!$AJ$3:$AJ$98,$E123)&lt;&gt;"",1,0))</f>
        <v/>
      </c>
      <c r="JM123" t="str">
        <f>IF($E123="","",IFERROR(MATCH($A123,祝日!$J$1:$L$1,0),""))</f>
        <v/>
      </c>
    </row>
    <row r="126" spans="1:273" ht="13.5" hidden="1" x14ac:dyDescent="0.15">
      <c r="A126" t="s">
        <v>3</v>
      </c>
      <c r="AD126">
        <f ca="1">IFERROR(IF(AND(AD$2&gt;INDEX(祝日!$J$2:$L$2,1),AD$2&lt;INDEX(祝日!$J$3:$L$3,1),INDEX(祝日!$J$6:$L$305,MATCH(AD$2,祝日!$H$6:$H$305,0),1)=0),1,0),0)</f>
        <v>0</v>
      </c>
      <c r="AE126">
        <f ca="1">IFERROR(IF(AND(AE$2&gt;INDEX(祝日!$J$2:$L$2,1),AE$2&lt;INDEX(祝日!$J$3:$L$3,1),INDEX(祝日!$J$6:$L$305,MATCH(AE$2,祝日!$H$6:$H$305,0),1)=0),1,0),0)</f>
        <v>0</v>
      </c>
      <c r="AF126">
        <f ca="1">IFERROR(IF(AND(AF$2&gt;INDEX(祝日!$J$2:$L$2,1),AF$2&lt;INDEX(祝日!$J$3:$L$3,1),INDEX(祝日!$J$6:$L$305,MATCH(AF$2,祝日!$H$6:$H$305,0),1)=0),1,0),0)</f>
        <v>0</v>
      </c>
      <c r="AG126">
        <f ca="1">IFERROR(IF(AND(AG$2&gt;INDEX(祝日!$J$2:$L$2,1),AG$2&lt;INDEX(祝日!$J$3:$L$3,1),INDEX(祝日!$J$6:$L$305,MATCH(AG$2,祝日!$H$6:$H$305,0),1)=0),1,0),0)</f>
        <v>0</v>
      </c>
      <c r="AH126">
        <f ca="1">IFERROR(IF(AND(AH$2&gt;INDEX(祝日!$J$2:$L$2,1),AH$2&lt;INDEX(祝日!$J$3:$L$3,1),INDEX(祝日!$J$6:$L$305,MATCH(AH$2,祝日!$H$6:$H$305,0),1)=0),1,0),0)</f>
        <v>0</v>
      </c>
      <c r="AI126">
        <f ca="1">IFERROR(IF(AND(AI$2&gt;INDEX(祝日!$J$2:$L$2,1),AI$2&lt;INDEX(祝日!$J$3:$L$3,1),INDEX(祝日!$J$6:$L$305,MATCH(AI$2,祝日!$H$6:$H$305,0),1)=0),1,0),0)</f>
        <v>0</v>
      </c>
      <c r="AJ126">
        <f ca="1">IFERROR(IF(AND(AJ$2&gt;INDEX(祝日!$J$2:$L$2,1),AJ$2&lt;INDEX(祝日!$J$3:$L$3,1),INDEX(祝日!$J$6:$L$305,MATCH(AJ$2,祝日!$H$6:$H$305,0),1)=0),1,0),0)</f>
        <v>0</v>
      </c>
      <c r="AK126">
        <f ca="1">IFERROR(IF(AND(AK$2&gt;INDEX(祝日!$J$2:$L$2,1),AK$2&lt;INDEX(祝日!$J$3:$L$3,1),INDEX(祝日!$J$6:$L$305,MATCH(AK$2,祝日!$H$6:$H$305,0),1)=0),1,0),0)</f>
        <v>0</v>
      </c>
      <c r="AL126">
        <f ca="1">IFERROR(IF(AND(AL$2&gt;INDEX(祝日!$J$2:$L$2,1),AL$2&lt;INDEX(祝日!$J$3:$L$3,1),INDEX(祝日!$J$6:$L$305,MATCH(AL$2,祝日!$H$6:$H$305,0),1)=0),1,0),0)</f>
        <v>0</v>
      </c>
      <c r="AM126">
        <f ca="1">IFERROR(IF(AND(AM$2&gt;INDEX(祝日!$J$2:$L$2,1),AM$2&lt;INDEX(祝日!$J$3:$L$3,1),INDEX(祝日!$J$6:$L$305,MATCH(AM$2,祝日!$H$6:$H$305,0),1)=0),1,0),0)</f>
        <v>0</v>
      </c>
      <c r="AN126">
        <f ca="1">IFERROR(IF(AND(AN$2&gt;INDEX(祝日!$J$2:$L$2,1),AN$2&lt;INDEX(祝日!$J$3:$L$3,1),INDEX(祝日!$J$6:$L$305,MATCH(AN$2,祝日!$H$6:$H$305,0),1)=0),1,0),0)</f>
        <v>0</v>
      </c>
      <c r="AO126">
        <f ca="1">IFERROR(IF(AND(AO$2&gt;INDEX(祝日!$J$2:$L$2,1),AO$2&lt;INDEX(祝日!$J$3:$L$3,1),INDEX(祝日!$J$6:$L$305,MATCH(AO$2,祝日!$H$6:$H$305,0),1)=0),1,0),0)</f>
        <v>0</v>
      </c>
      <c r="AP126">
        <f ca="1">IFERROR(IF(AND(AP$2&gt;INDEX(祝日!$J$2:$L$2,1),AP$2&lt;INDEX(祝日!$J$3:$L$3,1),INDEX(祝日!$J$6:$L$305,MATCH(AP$2,祝日!$H$6:$H$305,0),1)=0),1,0),0)</f>
        <v>0</v>
      </c>
      <c r="AQ126">
        <f ca="1">IFERROR(IF(AND(AQ$2&gt;INDEX(祝日!$J$2:$L$2,1),AQ$2&lt;INDEX(祝日!$J$3:$L$3,1),INDEX(祝日!$J$6:$L$305,MATCH(AQ$2,祝日!$H$6:$H$305,0),1)=0),1,0),0)</f>
        <v>0</v>
      </c>
      <c r="AR126">
        <f ca="1">IFERROR(IF(AND(AR$2&gt;INDEX(祝日!$J$2:$L$2,1),AR$2&lt;INDEX(祝日!$J$3:$L$3,1),INDEX(祝日!$J$6:$L$305,MATCH(AR$2,祝日!$H$6:$H$305,0),1)=0),1,0),0)</f>
        <v>0</v>
      </c>
      <c r="AS126">
        <f ca="1">IFERROR(IF(AND(AS$2&gt;INDEX(祝日!$J$2:$L$2,1),AS$2&lt;INDEX(祝日!$J$3:$L$3,1),INDEX(祝日!$J$6:$L$305,MATCH(AS$2,祝日!$H$6:$H$305,0),1)=0),1,0),0)</f>
        <v>0</v>
      </c>
      <c r="AT126">
        <f ca="1">IFERROR(IF(AND(AT$2&gt;INDEX(祝日!$J$2:$L$2,1),AT$2&lt;INDEX(祝日!$J$3:$L$3,1),INDEX(祝日!$J$6:$L$305,MATCH(AT$2,祝日!$H$6:$H$305,0),1)=0),1,0),0)</f>
        <v>0</v>
      </c>
      <c r="AU126">
        <f ca="1">IFERROR(IF(AND(AU$2&gt;INDEX(祝日!$J$2:$L$2,1),AU$2&lt;INDEX(祝日!$J$3:$L$3,1),INDEX(祝日!$J$6:$L$305,MATCH(AU$2,祝日!$H$6:$H$305,0),1)=0),1,0),0)</f>
        <v>0</v>
      </c>
      <c r="AV126">
        <f ca="1">IFERROR(IF(AND(AV$2&gt;INDEX(祝日!$J$2:$L$2,1),AV$2&lt;INDEX(祝日!$J$3:$L$3,1),INDEX(祝日!$J$6:$L$305,MATCH(AV$2,祝日!$H$6:$H$305,0),1)=0),1,0),0)</f>
        <v>0</v>
      </c>
      <c r="AW126">
        <f ca="1">IFERROR(IF(AND(AW$2&gt;INDEX(祝日!$J$2:$L$2,1),AW$2&lt;INDEX(祝日!$J$3:$L$3,1),INDEX(祝日!$J$6:$L$305,MATCH(AW$2,祝日!$H$6:$H$305,0),1)=0),1,0),0)</f>
        <v>0</v>
      </c>
      <c r="AX126">
        <f ca="1">IFERROR(IF(AND(AX$2&gt;INDEX(祝日!$J$2:$L$2,1),AX$2&lt;INDEX(祝日!$J$3:$L$3,1),INDEX(祝日!$J$6:$L$305,MATCH(AX$2,祝日!$H$6:$H$305,0),1)=0),1,0),0)</f>
        <v>0</v>
      </c>
      <c r="AY126">
        <f ca="1">IFERROR(IF(AND(AY$2&gt;INDEX(祝日!$J$2:$L$2,1),AY$2&lt;INDEX(祝日!$J$3:$L$3,1),INDEX(祝日!$J$6:$L$305,MATCH(AY$2,祝日!$H$6:$H$305,0),1)=0),1,0),0)</f>
        <v>0</v>
      </c>
      <c r="AZ126">
        <f ca="1">IFERROR(IF(AND(AZ$2&gt;INDEX(祝日!$J$2:$L$2,1),AZ$2&lt;INDEX(祝日!$J$3:$L$3,1),INDEX(祝日!$J$6:$L$305,MATCH(AZ$2,祝日!$H$6:$H$305,0),1)=0),1,0),0)</f>
        <v>0</v>
      </c>
      <c r="BA126">
        <f ca="1">IFERROR(IF(AND(BA$2&gt;INDEX(祝日!$J$2:$L$2,1),BA$2&lt;INDEX(祝日!$J$3:$L$3,1),INDEX(祝日!$J$6:$L$305,MATCH(BA$2,祝日!$H$6:$H$305,0),1)=0),1,0),0)</f>
        <v>0</v>
      </c>
      <c r="BB126">
        <f ca="1">IFERROR(IF(AND(BB$2&gt;INDEX(祝日!$J$2:$L$2,1),BB$2&lt;INDEX(祝日!$J$3:$L$3,1),INDEX(祝日!$J$6:$L$305,MATCH(BB$2,祝日!$H$6:$H$305,0),1)=0),1,0),0)</f>
        <v>0</v>
      </c>
      <c r="BC126">
        <f ca="1">IFERROR(IF(AND(BC$2&gt;INDEX(祝日!$J$2:$L$2,1),BC$2&lt;INDEX(祝日!$J$3:$L$3,1),INDEX(祝日!$J$6:$L$305,MATCH(BC$2,祝日!$H$6:$H$305,0),1)=0),1,0),0)</f>
        <v>0</v>
      </c>
      <c r="BD126">
        <f ca="1">IFERROR(IF(AND(BD$2&gt;INDEX(祝日!$J$2:$L$2,1),BD$2&lt;INDEX(祝日!$J$3:$L$3,1),INDEX(祝日!$J$6:$L$305,MATCH(BD$2,祝日!$H$6:$H$305,0),1)=0),1,0),0)</f>
        <v>0</v>
      </c>
      <c r="BE126">
        <f ca="1">IFERROR(IF(AND(BE$2&gt;INDEX(祝日!$J$2:$L$2,1),BE$2&lt;INDEX(祝日!$J$3:$L$3,1),INDEX(祝日!$J$6:$L$305,MATCH(BE$2,祝日!$H$6:$H$305,0),1)=0),1,0),0)</f>
        <v>0</v>
      </c>
      <c r="BF126">
        <f ca="1">IFERROR(IF(AND(BF$2&gt;INDEX(祝日!$J$2:$L$2,1),BF$2&lt;INDEX(祝日!$J$3:$L$3,1),INDEX(祝日!$J$6:$L$305,MATCH(BF$2,祝日!$H$6:$H$305,0),1)=0),1,0),0)</f>
        <v>0</v>
      </c>
      <c r="BG126">
        <f ca="1">IFERROR(IF(AND(BG$2&gt;INDEX(祝日!$J$2:$L$2,1),BG$2&lt;INDEX(祝日!$J$3:$L$3,1),INDEX(祝日!$J$6:$L$305,MATCH(BG$2,祝日!$H$6:$H$305,0),1)=0),1,0),0)</f>
        <v>0</v>
      </c>
      <c r="BH126">
        <f ca="1">IFERROR(IF(AND(BH$2&gt;INDEX(祝日!$J$2:$L$2,1),BH$2&lt;INDEX(祝日!$J$3:$L$3,1),INDEX(祝日!$J$6:$L$305,MATCH(BH$2,祝日!$H$6:$H$305,0),1)=0),1,0),0)</f>
        <v>0</v>
      </c>
      <c r="BI126">
        <f ca="1">IFERROR(IF(AND(BI$2&gt;INDEX(祝日!$J$2:$L$2,1),BI$2&lt;INDEX(祝日!$J$3:$L$3,1),INDEX(祝日!$J$6:$L$305,MATCH(BI$2,祝日!$H$6:$H$305,0),1)=0),1,0),0)</f>
        <v>0</v>
      </c>
      <c r="BJ126">
        <f ca="1">IFERROR(IF(AND(BJ$2&gt;INDEX(祝日!$J$2:$L$2,1),BJ$2&lt;INDEX(祝日!$J$3:$L$3,1),INDEX(祝日!$J$6:$L$305,MATCH(BJ$2,祝日!$H$6:$H$305,0),1)=0),1,0),0)</f>
        <v>0</v>
      </c>
      <c r="BK126">
        <f ca="1">IFERROR(IF(AND(BK$2&gt;INDEX(祝日!$J$2:$L$2,1),BK$2&lt;INDEX(祝日!$J$3:$L$3,1),INDEX(祝日!$J$6:$L$305,MATCH(BK$2,祝日!$H$6:$H$305,0),1)=0),1,0),0)</f>
        <v>0</v>
      </c>
      <c r="BL126">
        <f ca="1">IFERROR(IF(AND(BL$2&gt;INDEX(祝日!$J$2:$L$2,1),BL$2&lt;INDEX(祝日!$J$3:$L$3,1),INDEX(祝日!$J$6:$L$305,MATCH(BL$2,祝日!$H$6:$H$305,0),1)=0),1,0),0)</f>
        <v>0</v>
      </c>
      <c r="BM126">
        <f ca="1">IFERROR(IF(AND(BM$2&gt;INDEX(祝日!$J$2:$L$2,1),BM$2&lt;INDEX(祝日!$J$3:$L$3,1),INDEX(祝日!$J$6:$L$305,MATCH(BM$2,祝日!$H$6:$H$305,0),1)=0),1,0),0)</f>
        <v>0</v>
      </c>
      <c r="BN126">
        <f ca="1">IFERROR(IF(AND(BN$2&gt;INDEX(祝日!$J$2:$L$2,1),BN$2&lt;INDEX(祝日!$J$3:$L$3,1),INDEX(祝日!$J$6:$L$305,MATCH(BN$2,祝日!$H$6:$H$305,0),1)=0),1,0),0)</f>
        <v>0</v>
      </c>
      <c r="BO126">
        <f ca="1">IFERROR(IF(AND(BO$2&gt;INDEX(祝日!$J$2:$L$2,1),BO$2&lt;INDEX(祝日!$J$3:$L$3,1),INDEX(祝日!$J$6:$L$305,MATCH(BO$2,祝日!$H$6:$H$305,0),1)=0),1,0),0)</f>
        <v>0</v>
      </c>
      <c r="BP126">
        <f ca="1">IFERROR(IF(AND(BP$2&gt;INDEX(祝日!$J$2:$L$2,1),BP$2&lt;INDEX(祝日!$J$3:$L$3,1),INDEX(祝日!$J$6:$L$305,MATCH(BP$2,祝日!$H$6:$H$305,0),1)=0),1,0),0)</f>
        <v>0</v>
      </c>
      <c r="BQ126">
        <f ca="1">IFERROR(IF(AND(BQ$2&gt;INDEX(祝日!$J$2:$L$2,1),BQ$2&lt;INDEX(祝日!$J$3:$L$3,1),INDEX(祝日!$J$6:$L$305,MATCH(BQ$2,祝日!$H$6:$H$305,0),1)=0),1,0),0)</f>
        <v>0</v>
      </c>
      <c r="BR126">
        <f ca="1">IFERROR(IF(AND(BR$2&gt;INDEX(祝日!$J$2:$L$2,1),BR$2&lt;INDEX(祝日!$J$3:$L$3,1),INDEX(祝日!$J$6:$L$305,MATCH(BR$2,祝日!$H$6:$H$305,0),1)=0),1,0),0)</f>
        <v>0</v>
      </c>
      <c r="BS126">
        <f ca="1">IFERROR(IF(AND(BS$2&gt;INDEX(祝日!$J$2:$L$2,1),BS$2&lt;INDEX(祝日!$J$3:$L$3,1),INDEX(祝日!$J$6:$L$305,MATCH(BS$2,祝日!$H$6:$H$305,0),1)=0),1,0),0)</f>
        <v>0</v>
      </c>
      <c r="BT126">
        <f ca="1">IFERROR(IF(AND(BT$2&gt;INDEX(祝日!$J$2:$L$2,1),BT$2&lt;INDEX(祝日!$J$3:$L$3,1),INDEX(祝日!$J$6:$L$305,MATCH(BT$2,祝日!$H$6:$H$305,0),1)=0),1,0),0)</f>
        <v>0</v>
      </c>
      <c r="BU126">
        <f ca="1">IFERROR(IF(AND(BU$2&gt;INDEX(祝日!$J$2:$L$2,1),BU$2&lt;INDEX(祝日!$J$3:$L$3,1),INDEX(祝日!$J$6:$L$305,MATCH(BU$2,祝日!$H$6:$H$305,0),1)=0),1,0),0)</f>
        <v>0</v>
      </c>
      <c r="BV126">
        <f ca="1">IFERROR(IF(AND(BV$2&gt;INDEX(祝日!$J$2:$L$2,1),BV$2&lt;INDEX(祝日!$J$3:$L$3,1),INDEX(祝日!$J$6:$L$305,MATCH(BV$2,祝日!$H$6:$H$305,0),1)=0),1,0),0)</f>
        <v>0</v>
      </c>
      <c r="BW126">
        <f ca="1">IFERROR(IF(AND(BW$2&gt;INDEX(祝日!$J$2:$L$2,1),BW$2&lt;INDEX(祝日!$J$3:$L$3,1),INDEX(祝日!$J$6:$L$305,MATCH(BW$2,祝日!$H$6:$H$305,0),1)=0),1,0),0)</f>
        <v>0</v>
      </c>
      <c r="BX126">
        <f ca="1">IFERROR(IF(AND(BX$2&gt;INDEX(祝日!$J$2:$L$2,1),BX$2&lt;INDEX(祝日!$J$3:$L$3,1),INDEX(祝日!$J$6:$L$305,MATCH(BX$2,祝日!$H$6:$H$305,0),1)=0),1,0),0)</f>
        <v>1</v>
      </c>
      <c r="BY126">
        <f ca="1">IFERROR(IF(AND(BY$2&gt;INDEX(祝日!$J$2:$L$2,1),BY$2&lt;INDEX(祝日!$J$3:$L$3,1),INDEX(祝日!$J$6:$L$305,MATCH(BY$2,祝日!$H$6:$H$305,0),1)=0),1,0),0)</f>
        <v>1</v>
      </c>
      <c r="BZ126">
        <f ca="1">IFERROR(IF(AND(BZ$2&gt;INDEX(祝日!$J$2:$L$2,1),BZ$2&lt;INDEX(祝日!$J$3:$L$3,1),INDEX(祝日!$J$6:$L$305,MATCH(BZ$2,祝日!$H$6:$H$305,0),1)=0),1,0),0)</f>
        <v>1</v>
      </c>
      <c r="CA126">
        <f ca="1">IFERROR(IF(AND(CA$2&gt;INDEX(祝日!$J$2:$L$2,1),CA$2&lt;INDEX(祝日!$J$3:$L$3,1),INDEX(祝日!$J$6:$L$305,MATCH(CA$2,祝日!$H$6:$H$305,0),1)=0),1,0),0)</f>
        <v>1</v>
      </c>
      <c r="CB126">
        <f ca="1">IFERROR(IF(AND(CB$2&gt;INDEX(祝日!$J$2:$L$2,1),CB$2&lt;INDEX(祝日!$J$3:$L$3,1),INDEX(祝日!$J$6:$L$305,MATCH(CB$2,祝日!$H$6:$H$305,0),1)=0),1,0),0)</f>
        <v>1</v>
      </c>
      <c r="CC126">
        <f ca="1">IFERROR(IF(AND(CC$2&gt;INDEX(祝日!$J$2:$L$2,1),CC$2&lt;INDEX(祝日!$J$3:$L$3,1),INDEX(祝日!$J$6:$L$305,MATCH(CC$2,祝日!$H$6:$H$305,0),1)=0),1,0),0)</f>
        <v>1</v>
      </c>
      <c r="CD126">
        <f ca="1">IFERROR(IF(AND(CD$2&gt;INDEX(祝日!$J$2:$L$2,1),CD$2&lt;INDEX(祝日!$J$3:$L$3,1),INDEX(祝日!$J$6:$L$305,MATCH(CD$2,祝日!$H$6:$H$305,0),1)=0),1,0),0)</f>
        <v>1</v>
      </c>
      <c r="CE126">
        <f ca="1">IFERROR(IF(AND(CE$2&gt;INDEX(祝日!$J$2:$L$2,1),CE$2&lt;INDEX(祝日!$J$3:$L$3,1),INDEX(祝日!$J$6:$L$305,MATCH(CE$2,祝日!$H$6:$H$305,0),1)=0),1,0),0)</f>
        <v>1</v>
      </c>
      <c r="CF126">
        <f ca="1">IFERROR(IF(AND(CF$2&gt;INDEX(祝日!$J$2:$L$2,1),CF$2&lt;INDEX(祝日!$J$3:$L$3,1),INDEX(祝日!$J$6:$L$305,MATCH(CF$2,祝日!$H$6:$H$305,0),1)=0),1,0),0)</f>
        <v>1</v>
      </c>
      <c r="CG126">
        <f ca="1">IFERROR(IF(AND(CG$2&gt;INDEX(祝日!$J$2:$L$2,1),CG$2&lt;INDEX(祝日!$J$3:$L$3,1),INDEX(祝日!$J$6:$L$305,MATCH(CG$2,祝日!$H$6:$H$305,0),1)=0),1,0),0)</f>
        <v>1</v>
      </c>
      <c r="CH126">
        <f ca="1">IFERROR(IF(AND(CH$2&gt;INDEX(祝日!$J$2:$L$2,1),CH$2&lt;INDEX(祝日!$J$3:$L$3,1),INDEX(祝日!$J$6:$L$305,MATCH(CH$2,祝日!$H$6:$H$305,0),1)=0),1,0),0)</f>
        <v>1</v>
      </c>
      <c r="CI126">
        <f ca="1">IFERROR(IF(AND(CI$2&gt;INDEX(祝日!$J$2:$L$2,1),CI$2&lt;INDEX(祝日!$J$3:$L$3,1),INDEX(祝日!$J$6:$L$305,MATCH(CI$2,祝日!$H$6:$H$305,0),1)=0),1,0),0)</f>
        <v>1</v>
      </c>
      <c r="CJ126">
        <f ca="1">IFERROR(IF(AND(CJ$2&gt;INDEX(祝日!$J$2:$L$2,1),CJ$2&lt;INDEX(祝日!$J$3:$L$3,1),INDEX(祝日!$J$6:$L$305,MATCH(CJ$2,祝日!$H$6:$H$305,0),1)=0),1,0),0)</f>
        <v>0</v>
      </c>
      <c r="CK126">
        <f ca="1">IFERROR(IF(AND(CK$2&gt;INDEX(祝日!$J$2:$L$2,1),CK$2&lt;INDEX(祝日!$J$3:$L$3,1),INDEX(祝日!$J$6:$L$305,MATCH(CK$2,祝日!$H$6:$H$305,0),1)=0),1,0),0)</f>
        <v>0</v>
      </c>
      <c r="CL126">
        <f ca="1">IFERROR(IF(AND(CL$2&gt;INDEX(祝日!$J$2:$L$2,1),CL$2&lt;INDEX(祝日!$J$3:$L$3,1),INDEX(祝日!$J$6:$L$305,MATCH(CL$2,祝日!$H$6:$H$305,0),1)=0),1,0),0)</f>
        <v>0</v>
      </c>
      <c r="CM126">
        <f ca="1">IFERROR(IF(AND(CM$2&gt;INDEX(祝日!$J$2:$L$2,1),CM$2&lt;INDEX(祝日!$J$3:$L$3,1),INDEX(祝日!$J$6:$L$305,MATCH(CM$2,祝日!$H$6:$H$305,0),1)=0),1,0),0)</f>
        <v>0</v>
      </c>
      <c r="CN126">
        <f ca="1">IFERROR(IF(AND(CN$2&gt;INDEX(祝日!$J$2:$L$2,1),CN$2&lt;INDEX(祝日!$J$3:$L$3,1),INDEX(祝日!$J$6:$L$305,MATCH(CN$2,祝日!$H$6:$H$305,0),1)=0),1,0),0)</f>
        <v>0</v>
      </c>
      <c r="CO126">
        <f ca="1">IFERROR(IF(AND(CO$2&gt;INDEX(祝日!$J$2:$L$2,1),CO$2&lt;INDEX(祝日!$J$3:$L$3,1),INDEX(祝日!$J$6:$L$305,MATCH(CO$2,祝日!$H$6:$H$305,0),1)=0),1,0),0)</f>
        <v>0</v>
      </c>
      <c r="CP126">
        <f ca="1">IFERROR(IF(AND(CP$2&gt;INDEX(祝日!$J$2:$L$2,1),CP$2&lt;INDEX(祝日!$J$3:$L$3,1),INDEX(祝日!$J$6:$L$305,MATCH(CP$2,祝日!$H$6:$H$305,0),1)=0),1,0),0)</f>
        <v>0</v>
      </c>
      <c r="CQ126">
        <f ca="1">IFERROR(IF(AND(CQ$2&gt;INDEX(祝日!$J$2:$L$2,1),CQ$2&lt;INDEX(祝日!$J$3:$L$3,1),INDEX(祝日!$J$6:$L$305,MATCH(CQ$2,祝日!$H$6:$H$305,0),1)=0),1,0),0)</f>
        <v>0</v>
      </c>
      <c r="CR126">
        <f ca="1">IFERROR(IF(AND(CR$2&gt;INDEX(祝日!$J$2:$L$2,1),CR$2&lt;INDEX(祝日!$J$3:$L$3,1),INDEX(祝日!$J$6:$L$305,MATCH(CR$2,祝日!$H$6:$H$305,0),1)=0),1,0),0)</f>
        <v>0</v>
      </c>
      <c r="CS126">
        <f ca="1">IFERROR(IF(AND(CS$2&gt;INDEX(祝日!$J$2:$L$2,1),CS$2&lt;INDEX(祝日!$J$3:$L$3,1),INDEX(祝日!$J$6:$L$305,MATCH(CS$2,祝日!$H$6:$H$305,0),1)=0),1,0),0)</f>
        <v>0</v>
      </c>
      <c r="CT126">
        <f ca="1">IFERROR(IF(AND(CT$2&gt;INDEX(祝日!$J$2:$L$2,1),CT$2&lt;INDEX(祝日!$J$3:$L$3,1),INDEX(祝日!$J$6:$L$305,MATCH(CT$2,祝日!$H$6:$H$305,0),1)=0),1,0),0)</f>
        <v>0</v>
      </c>
      <c r="CU126">
        <f ca="1">IFERROR(IF(AND(CU$2&gt;INDEX(祝日!$J$2:$L$2,1),CU$2&lt;INDEX(祝日!$J$3:$L$3,1),INDEX(祝日!$J$6:$L$305,MATCH(CU$2,祝日!$H$6:$H$305,0),1)=0),1,0),0)</f>
        <v>1</v>
      </c>
      <c r="CV126">
        <f ca="1">IFERROR(IF(AND(CV$2&gt;INDEX(祝日!$J$2:$L$2,1),CV$2&lt;INDEX(祝日!$J$3:$L$3,1),INDEX(祝日!$J$6:$L$305,MATCH(CV$2,祝日!$H$6:$H$305,0),1)=0),1,0),0)</f>
        <v>1</v>
      </c>
      <c r="CW126">
        <f ca="1">IFERROR(IF(AND(CW$2&gt;INDEX(祝日!$J$2:$L$2,1),CW$2&lt;INDEX(祝日!$J$3:$L$3,1),INDEX(祝日!$J$6:$L$305,MATCH(CW$2,祝日!$H$6:$H$305,0),1)=0),1,0),0)</f>
        <v>1</v>
      </c>
      <c r="CX126">
        <f ca="1">IFERROR(IF(AND(CX$2&gt;INDEX(祝日!$J$2:$L$2,1),CX$2&lt;INDEX(祝日!$J$3:$L$3,1),INDEX(祝日!$J$6:$L$305,MATCH(CX$2,祝日!$H$6:$H$305,0),1)=0),1,0),0)</f>
        <v>1</v>
      </c>
      <c r="CY126">
        <f ca="1">IFERROR(IF(AND(CY$2&gt;INDEX(祝日!$J$2:$L$2,1),CY$2&lt;INDEX(祝日!$J$3:$L$3,1),INDEX(祝日!$J$6:$L$305,MATCH(CY$2,祝日!$H$6:$H$305,0),1)=0),1,0),0)</f>
        <v>1</v>
      </c>
      <c r="CZ126">
        <f ca="1">IFERROR(IF(AND(CZ$2&gt;INDEX(祝日!$J$2:$L$2,1),CZ$2&lt;INDEX(祝日!$J$3:$L$3,1),INDEX(祝日!$J$6:$L$305,MATCH(CZ$2,祝日!$H$6:$H$305,0),1)=0),1,0),0)</f>
        <v>0</v>
      </c>
      <c r="DA126">
        <f ca="1">IFERROR(IF(AND(DA$2&gt;INDEX(祝日!$J$2:$L$2,1),DA$2&lt;INDEX(祝日!$J$3:$L$3,1),INDEX(祝日!$J$6:$L$305,MATCH(DA$2,祝日!$H$6:$H$305,0),1)=0),1,0),0)</f>
        <v>0</v>
      </c>
      <c r="DB126">
        <f ca="1">IFERROR(IF(AND(DB$2&gt;INDEX(祝日!$J$2:$L$2,1),DB$2&lt;INDEX(祝日!$J$3:$L$3,1),INDEX(祝日!$J$6:$L$305,MATCH(DB$2,祝日!$H$6:$H$305,0),1)=0),1,0),0)</f>
        <v>0</v>
      </c>
      <c r="DC126">
        <f ca="1">IFERROR(IF(AND(DC$2&gt;INDEX(祝日!$J$2:$L$2,1),DC$2&lt;INDEX(祝日!$J$3:$L$3,1),INDEX(祝日!$J$6:$L$305,MATCH(DC$2,祝日!$H$6:$H$305,0),1)=0),1,0),0)</f>
        <v>0</v>
      </c>
      <c r="DD126">
        <f ca="1">IFERROR(IF(AND(DD$2&gt;INDEX(祝日!$J$2:$L$2,1),DD$2&lt;INDEX(祝日!$J$3:$L$3,1),INDEX(祝日!$J$6:$L$305,MATCH(DD$2,祝日!$H$6:$H$305,0),1)=0),1,0),0)</f>
        <v>0</v>
      </c>
      <c r="DE126">
        <f ca="1">IFERROR(IF(AND(DE$2&gt;INDEX(祝日!$J$2:$L$2,1),DE$2&lt;INDEX(祝日!$J$3:$L$3,1),INDEX(祝日!$J$6:$L$305,MATCH(DE$2,祝日!$H$6:$H$305,0),1)=0),1,0),0)</f>
        <v>0</v>
      </c>
      <c r="DF126">
        <f ca="1">IFERROR(IF(AND(DF$2&gt;INDEX(祝日!$J$2:$L$2,1),DF$2&lt;INDEX(祝日!$J$3:$L$3,1),INDEX(祝日!$J$6:$L$305,MATCH(DF$2,祝日!$H$6:$H$305,0),1)=0),1,0),0)</f>
        <v>0</v>
      </c>
      <c r="DG126">
        <f ca="1">IFERROR(IF(AND(DG$2&gt;INDEX(祝日!$J$2:$L$2,1),DG$2&lt;INDEX(祝日!$J$3:$L$3,1),INDEX(祝日!$J$6:$L$305,MATCH(DG$2,祝日!$H$6:$H$305,0),1)=0),1,0),0)</f>
        <v>0</v>
      </c>
      <c r="DH126">
        <f ca="1">IFERROR(IF(AND(DH$2&gt;INDEX(祝日!$J$2:$L$2,1),DH$2&lt;INDEX(祝日!$J$3:$L$3,1),INDEX(祝日!$J$6:$L$305,MATCH(DH$2,祝日!$H$6:$H$305,0),1)=0),1,0),0)</f>
        <v>0</v>
      </c>
      <c r="DI126">
        <f ca="1">IFERROR(IF(AND(DI$2&gt;INDEX(祝日!$J$2:$L$2,1),DI$2&lt;INDEX(祝日!$J$3:$L$3,1),INDEX(祝日!$J$6:$L$305,MATCH(DI$2,祝日!$H$6:$H$305,0),1)=0),1,0),0)</f>
        <v>0</v>
      </c>
      <c r="DJ126">
        <f ca="1">IFERROR(IF(AND(DJ$2&gt;INDEX(祝日!$J$2:$L$2,1),DJ$2&lt;INDEX(祝日!$J$3:$L$3,1),INDEX(祝日!$J$6:$L$305,MATCH(DJ$2,祝日!$H$6:$H$305,0),1)=0),1,0),0)</f>
        <v>0</v>
      </c>
      <c r="DK126">
        <f ca="1">IFERROR(IF(AND(DK$2&gt;INDEX(祝日!$J$2:$L$2,1),DK$2&lt;INDEX(祝日!$J$3:$L$3,1),INDEX(祝日!$J$6:$L$305,MATCH(DK$2,祝日!$H$6:$H$305,0),1)=0),1,0),0)</f>
        <v>0</v>
      </c>
      <c r="DL126">
        <f ca="1">IFERROR(IF(AND(DL$2&gt;INDEX(祝日!$J$2:$L$2,1),DL$2&lt;INDEX(祝日!$J$3:$L$3,1),INDEX(祝日!$J$6:$L$305,MATCH(DL$2,祝日!$H$6:$H$305,0),1)=0),1,0),0)</f>
        <v>0</v>
      </c>
      <c r="DM126">
        <f ca="1">IFERROR(IF(AND(DM$2&gt;INDEX(祝日!$J$2:$L$2,1),DM$2&lt;INDEX(祝日!$J$3:$L$3,1),INDEX(祝日!$J$6:$L$305,MATCH(DM$2,祝日!$H$6:$H$305,0),1)=0),1,0),0)</f>
        <v>0</v>
      </c>
      <c r="DN126">
        <f ca="1">IFERROR(IF(AND(DN$2&gt;INDEX(祝日!$J$2:$L$2,1),DN$2&lt;INDEX(祝日!$J$3:$L$3,1),INDEX(祝日!$J$6:$L$305,MATCH(DN$2,祝日!$H$6:$H$305,0),1)=0),1,0),0)</f>
        <v>0</v>
      </c>
      <c r="DO126">
        <f ca="1">IFERROR(IF(AND(DO$2&gt;INDEX(祝日!$J$2:$L$2,1),DO$2&lt;INDEX(祝日!$J$3:$L$3,1),INDEX(祝日!$J$6:$L$305,MATCH(DO$2,祝日!$H$6:$H$305,0),1)=0),1,0),0)</f>
        <v>0</v>
      </c>
      <c r="DP126">
        <f ca="1">IFERROR(IF(AND(DP$2&gt;INDEX(祝日!$J$2:$L$2,1),DP$2&lt;INDEX(祝日!$J$3:$L$3,1),INDEX(祝日!$J$6:$L$305,MATCH(DP$2,祝日!$H$6:$H$305,0),1)=0),1,0),0)</f>
        <v>0</v>
      </c>
      <c r="DQ126">
        <f ca="1">IFERROR(IF(AND(DQ$2&gt;INDEX(祝日!$J$2:$L$2,1),DQ$2&lt;INDEX(祝日!$J$3:$L$3,1),INDEX(祝日!$J$6:$L$305,MATCH(DQ$2,祝日!$H$6:$H$305,0),1)=0),1,0),0)</f>
        <v>0</v>
      </c>
      <c r="DR126">
        <f ca="1">IFERROR(IF(AND(DR$2&gt;INDEX(祝日!$J$2:$L$2,1),DR$2&lt;INDEX(祝日!$J$3:$L$3,1),INDEX(祝日!$J$6:$L$305,MATCH(DR$2,祝日!$H$6:$H$305,0),1)=0),1,0),0)</f>
        <v>0</v>
      </c>
      <c r="DS126">
        <f ca="1">IFERROR(IF(AND(DS$2&gt;INDEX(祝日!$J$2:$L$2,1),DS$2&lt;INDEX(祝日!$J$3:$L$3,1),INDEX(祝日!$J$6:$L$305,MATCH(DS$2,祝日!$H$6:$H$305,0),1)=0),1,0),0)</f>
        <v>0</v>
      </c>
      <c r="DT126">
        <f ca="1">IFERROR(IF(AND(DT$2&gt;INDEX(祝日!$J$2:$L$2,1),DT$2&lt;INDEX(祝日!$J$3:$L$3,1),INDEX(祝日!$J$6:$L$305,MATCH(DT$2,祝日!$H$6:$H$305,0),1)=0),1,0),0)</f>
        <v>0</v>
      </c>
      <c r="DU126">
        <f ca="1">IFERROR(IF(AND(DU$2&gt;INDEX(祝日!$J$2:$L$2,1),DU$2&lt;INDEX(祝日!$J$3:$L$3,1),INDEX(祝日!$J$6:$L$305,MATCH(DU$2,祝日!$H$6:$H$305,0),1)=0),1,0),0)</f>
        <v>0</v>
      </c>
      <c r="DV126">
        <f ca="1">IFERROR(IF(AND(DV$2&gt;INDEX(祝日!$J$2:$L$2,1),DV$2&lt;INDEX(祝日!$J$3:$L$3,1),INDEX(祝日!$J$6:$L$305,MATCH(DV$2,祝日!$H$6:$H$305,0),1)=0),1,0),0)</f>
        <v>0</v>
      </c>
      <c r="DW126">
        <f ca="1">IFERROR(IF(AND(DW$2&gt;INDEX(祝日!$J$2:$L$2,1),DW$2&lt;INDEX(祝日!$J$3:$L$3,1),INDEX(祝日!$J$6:$L$305,MATCH(DW$2,祝日!$H$6:$H$305,0),1)=0),1,0),0)</f>
        <v>0</v>
      </c>
      <c r="DX126">
        <f ca="1">IFERROR(IF(AND(DX$2&gt;INDEX(祝日!$J$2:$L$2,1),DX$2&lt;INDEX(祝日!$J$3:$L$3,1),INDEX(祝日!$J$6:$L$305,MATCH(DX$2,祝日!$H$6:$H$305,0),1)=0),1,0),0)</f>
        <v>0</v>
      </c>
      <c r="DY126">
        <f ca="1">IFERROR(IF(AND(DY$2&gt;INDEX(祝日!$J$2:$L$2,1),DY$2&lt;INDEX(祝日!$J$3:$L$3,1),INDEX(祝日!$J$6:$L$305,MATCH(DY$2,祝日!$H$6:$H$305,0),1)=0),1,0),0)</f>
        <v>0</v>
      </c>
      <c r="DZ126">
        <f ca="1">IFERROR(IF(AND(DZ$2&gt;INDEX(祝日!$J$2:$L$2,1),DZ$2&lt;INDEX(祝日!$J$3:$L$3,1),INDEX(祝日!$J$6:$L$305,MATCH(DZ$2,祝日!$H$6:$H$305,0),1)=0),1,0),0)</f>
        <v>0</v>
      </c>
      <c r="EA126">
        <f ca="1">IFERROR(IF(AND(EA$2&gt;INDEX(祝日!$J$2:$L$2,1),EA$2&lt;INDEX(祝日!$J$3:$L$3,1),INDEX(祝日!$J$6:$L$305,MATCH(EA$2,祝日!$H$6:$H$305,0),1)=0),1,0),0)</f>
        <v>0</v>
      </c>
      <c r="EB126">
        <f ca="1">IFERROR(IF(AND(EB$2&gt;INDEX(祝日!$J$2:$L$2,1),EB$2&lt;INDEX(祝日!$J$3:$L$3,1),INDEX(祝日!$J$6:$L$305,MATCH(EB$2,祝日!$H$6:$H$305,0),1)=0),1,0),0)</f>
        <v>0</v>
      </c>
      <c r="EC126">
        <f ca="1">IFERROR(IF(AND(EC$2&gt;INDEX(祝日!$J$2:$L$2,1),EC$2&lt;INDEX(祝日!$J$3:$L$3,1),INDEX(祝日!$J$6:$L$305,MATCH(EC$2,祝日!$H$6:$H$305,0),1)=0),1,0),0)</f>
        <v>0</v>
      </c>
      <c r="ED126">
        <f ca="1">IFERROR(IF(AND(ED$2&gt;INDEX(祝日!$J$2:$L$2,1),ED$2&lt;INDEX(祝日!$J$3:$L$3,1),INDEX(祝日!$J$6:$L$305,MATCH(ED$2,祝日!$H$6:$H$305,0),1)=0),1,0),0)</f>
        <v>0</v>
      </c>
      <c r="EE126">
        <f ca="1">IFERROR(IF(AND(EE$2&gt;INDEX(祝日!$J$2:$L$2,1),EE$2&lt;INDEX(祝日!$J$3:$L$3,1),INDEX(祝日!$J$6:$L$305,MATCH(EE$2,祝日!$H$6:$H$305,0),1)=0),1,0),0)</f>
        <v>0</v>
      </c>
      <c r="EF126">
        <f ca="1">IFERROR(IF(AND(EF$2&gt;INDEX(祝日!$J$2:$L$2,1),EF$2&lt;INDEX(祝日!$J$3:$L$3,1),INDEX(祝日!$J$6:$L$305,MATCH(EF$2,祝日!$H$6:$H$305,0),1)=0),1,0),0)</f>
        <v>0</v>
      </c>
      <c r="EG126">
        <f ca="1">IFERROR(IF(AND(EG$2&gt;INDEX(祝日!$J$2:$L$2,1),EG$2&lt;INDEX(祝日!$J$3:$L$3,1),INDEX(祝日!$J$6:$L$305,MATCH(EG$2,祝日!$H$6:$H$305,0),1)=0),1,0),0)</f>
        <v>0</v>
      </c>
      <c r="EH126">
        <f ca="1">IFERROR(IF(AND(EH$2&gt;INDEX(祝日!$J$2:$L$2,1),EH$2&lt;INDEX(祝日!$J$3:$L$3,1),INDEX(祝日!$J$6:$L$305,MATCH(EH$2,祝日!$H$6:$H$305,0),1)=0),1,0),0)</f>
        <v>0</v>
      </c>
      <c r="EI126">
        <f ca="1">IFERROR(IF(AND(EI$2&gt;INDEX(祝日!$J$2:$L$2,1),EI$2&lt;INDEX(祝日!$J$3:$L$3,1),INDEX(祝日!$J$6:$L$305,MATCH(EI$2,祝日!$H$6:$H$305,0),1)=0),1,0),0)</f>
        <v>0</v>
      </c>
      <c r="EJ126">
        <f ca="1">IFERROR(IF(AND(EJ$2&gt;INDEX(祝日!$J$2:$L$2,1),EJ$2&lt;INDEX(祝日!$J$3:$L$3,1),INDEX(祝日!$J$6:$L$305,MATCH(EJ$2,祝日!$H$6:$H$305,0),1)=0),1,0),0)</f>
        <v>0</v>
      </c>
      <c r="EK126">
        <f ca="1">IFERROR(IF(AND(EK$2&gt;INDEX(祝日!$J$2:$L$2,1),EK$2&lt;INDEX(祝日!$J$3:$L$3,1),INDEX(祝日!$J$6:$L$305,MATCH(EK$2,祝日!$H$6:$H$305,0),1)=0),1,0),0)</f>
        <v>0</v>
      </c>
      <c r="EL126">
        <f ca="1">IFERROR(IF(AND(EL$2&gt;INDEX(祝日!$J$2:$L$2,1),EL$2&lt;INDEX(祝日!$J$3:$L$3,1),INDEX(祝日!$J$6:$L$305,MATCH(EL$2,祝日!$H$6:$H$305,0),1)=0),1,0),0)</f>
        <v>0</v>
      </c>
      <c r="EM126">
        <f ca="1">IFERROR(IF(AND(EM$2&gt;INDEX(祝日!$J$2:$L$2,1),EM$2&lt;INDEX(祝日!$J$3:$L$3,1),INDEX(祝日!$J$6:$L$305,MATCH(EM$2,祝日!$H$6:$H$305,0),1)=0),1,0),0)</f>
        <v>0</v>
      </c>
      <c r="EN126">
        <f ca="1">IFERROR(IF(AND(EN$2&gt;INDEX(祝日!$J$2:$L$2,1),EN$2&lt;INDEX(祝日!$J$3:$L$3,1),INDEX(祝日!$J$6:$L$305,MATCH(EN$2,祝日!$H$6:$H$305,0),1)=0),1,0),0)</f>
        <v>0</v>
      </c>
      <c r="EO126">
        <f ca="1">IFERROR(IF(AND(EO$2&gt;INDEX(祝日!$J$2:$L$2,1),EO$2&lt;INDEX(祝日!$J$3:$L$3,1),INDEX(祝日!$J$6:$L$305,MATCH(EO$2,祝日!$H$6:$H$305,0),1)=0),1,0),0)</f>
        <v>0</v>
      </c>
      <c r="EP126">
        <f ca="1">IFERROR(IF(AND(EP$2&gt;INDEX(祝日!$J$2:$L$2,1),EP$2&lt;INDEX(祝日!$J$3:$L$3,1),INDEX(祝日!$J$6:$L$305,MATCH(EP$2,祝日!$H$6:$H$305,0),1)=0),1,0),0)</f>
        <v>0</v>
      </c>
      <c r="EQ126">
        <f ca="1">IFERROR(IF(AND(EQ$2&gt;INDEX(祝日!$J$2:$L$2,1),EQ$2&lt;INDEX(祝日!$J$3:$L$3,1),INDEX(祝日!$J$6:$L$305,MATCH(EQ$2,祝日!$H$6:$H$305,0),1)=0),1,0),0)</f>
        <v>0</v>
      </c>
      <c r="ER126">
        <f ca="1">IFERROR(IF(AND(ER$2&gt;INDEX(祝日!$J$2:$L$2,1),ER$2&lt;INDEX(祝日!$J$3:$L$3,1),INDEX(祝日!$J$6:$L$305,MATCH(ER$2,祝日!$H$6:$H$305,0),1)=0),1,0),0)</f>
        <v>0</v>
      </c>
      <c r="ES126">
        <f ca="1">IFERROR(IF(AND(ES$2&gt;INDEX(祝日!$J$2:$L$2,1),ES$2&lt;INDEX(祝日!$J$3:$L$3,1),INDEX(祝日!$J$6:$L$305,MATCH(ES$2,祝日!$H$6:$H$305,0),1)=0),1,0),0)</f>
        <v>0</v>
      </c>
      <c r="ET126">
        <f ca="1">IFERROR(IF(AND(ET$2&gt;INDEX(祝日!$J$2:$L$2,1),ET$2&lt;INDEX(祝日!$J$3:$L$3,1),INDEX(祝日!$J$6:$L$305,MATCH(ET$2,祝日!$H$6:$H$305,0),1)=0),1,0),0)</f>
        <v>0</v>
      </c>
      <c r="EU126">
        <f ca="1">IFERROR(IF(AND(EU$2&gt;INDEX(祝日!$J$2:$L$2,1),EU$2&lt;INDEX(祝日!$J$3:$L$3,1),INDEX(祝日!$J$6:$L$305,MATCH(EU$2,祝日!$H$6:$H$305,0),1)=0),1,0),0)</f>
        <v>0</v>
      </c>
      <c r="EV126">
        <f ca="1">IFERROR(IF(AND(EV$2&gt;INDEX(祝日!$J$2:$L$2,1),EV$2&lt;INDEX(祝日!$J$3:$L$3,1),INDEX(祝日!$J$6:$L$305,MATCH(EV$2,祝日!$H$6:$H$305,0),1)=0),1,0),0)</f>
        <v>0</v>
      </c>
      <c r="EW126">
        <f ca="1">IFERROR(IF(AND(EW$2&gt;INDEX(祝日!$J$2:$L$2,1),EW$2&lt;INDEX(祝日!$J$3:$L$3,1),INDEX(祝日!$J$6:$L$305,MATCH(EW$2,祝日!$H$6:$H$305,0),1)=0),1,0),0)</f>
        <v>0</v>
      </c>
      <c r="EX126">
        <f ca="1">IFERROR(IF(AND(EX$2&gt;INDEX(祝日!$J$2:$L$2,1),EX$2&lt;INDEX(祝日!$J$3:$L$3,1),INDEX(祝日!$J$6:$L$305,MATCH(EX$2,祝日!$H$6:$H$305,0),1)=0),1,0),0)</f>
        <v>0</v>
      </c>
      <c r="EY126">
        <f ca="1">IFERROR(IF(AND(EY$2&gt;INDEX(祝日!$J$2:$L$2,1),EY$2&lt;INDEX(祝日!$J$3:$L$3,1),INDEX(祝日!$J$6:$L$305,MATCH(EY$2,祝日!$H$6:$H$305,0),1)=0),1,0),0)</f>
        <v>0</v>
      </c>
      <c r="EZ126">
        <f ca="1">IFERROR(IF(AND(EZ$2&gt;INDEX(祝日!$J$2:$L$2,1),EZ$2&lt;INDEX(祝日!$J$3:$L$3,1),INDEX(祝日!$J$6:$L$305,MATCH(EZ$2,祝日!$H$6:$H$305,0),1)=0),1,0),0)</f>
        <v>0</v>
      </c>
      <c r="FA126">
        <f ca="1">IFERROR(IF(AND(FA$2&gt;INDEX(祝日!$J$2:$L$2,1),FA$2&lt;INDEX(祝日!$J$3:$L$3,1),INDEX(祝日!$J$6:$L$305,MATCH(FA$2,祝日!$H$6:$H$305,0),1)=0),1,0),0)</f>
        <v>0</v>
      </c>
      <c r="FB126">
        <f ca="1">IFERROR(IF(AND(FB$2&gt;INDEX(祝日!$J$2:$L$2,1),FB$2&lt;INDEX(祝日!$J$3:$L$3,1),INDEX(祝日!$J$6:$L$305,MATCH(FB$2,祝日!$H$6:$H$305,0),1)=0),1,0),0)</f>
        <v>0</v>
      </c>
      <c r="FC126">
        <f ca="1">IFERROR(IF(AND(FC$2&gt;INDEX(祝日!$J$2:$L$2,1),FC$2&lt;INDEX(祝日!$J$3:$L$3,1),INDEX(祝日!$J$6:$L$305,MATCH(FC$2,祝日!$H$6:$H$305,0),1)=0),1,0),0)</f>
        <v>0</v>
      </c>
      <c r="FD126">
        <f ca="1">IFERROR(IF(AND(FD$2&gt;INDEX(祝日!$J$2:$L$2,1),FD$2&lt;INDEX(祝日!$J$3:$L$3,1),INDEX(祝日!$J$6:$L$305,MATCH(FD$2,祝日!$H$6:$H$305,0),1)=0),1,0),0)</f>
        <v>0</v>
      </c>
      <c r="FE126">
        <f ca="1">IFERROR(IF(AND(FE$2&gt;INDEX(祝日!$J$2:$L$2,1),FE$2&lt;INDEX(祝日!$J$3:$L$3,1),INDEX(祝日!$J$6:$L$305,MATCH(FE$2,祝日!$H$6:$H$305,0),1)=0),1,0),0)</f>
        <v>0</v>
      </c>
      <c r="FF126">
        <f ca="1">IFERROR(IF(AND(FF$2&gt;INDEX(祝日!$J$2:$L$2,1),FF$2&lt;INDEX(祝日!$J$3:$L$3,1),INDEX(祝日!$J$6:$L$305,MATCH(FF$2,祝日!$H$6:$H$305,0),1)=0),1,0),0)</f>
        <v>0</v>
      </c>
      <c r="FG126">
        <f ca="1">IFERROR(IF(AND(FG$2&gt;INDEX(祝日!$J$2:$L$2,1),FG$2&lt;INDEX(祝日!$J$3:$L$3,1),INDEX(祝日!$J$6:$L$305,MATCH(FG$2,祝日!$H$6:$H$305,0),1)=0),1,0),0)</f>
        <v>0</v>
      </c>
      <c r="FH126">
        <f ca="1">IFERROR(IF(AND(FH$2&gt;INDEX(祝日!$J$2:$L$2,1),FH$2&lt;INDEX(祝日!$J$3:$L$3,1),INDEX(祝日!$J$6:$L$305,MATCH(FH$2,祝日!$H$6:$H$305,0),1)=0),1,0),0)</f>
        <v>0</v>
      </c>
      <c r="FI126">
        <f ca="1">IFERROR(IF(AND(FI$2&gt;INDEX(祝日!$J$2:$L$2,1),FI$2&lt;INDEX(祝日!$J$3:$L$3,1),INDEX(祝日!$J$6:$L$305,MATCH(FI$2,祝日!$H$6:$H$305,0),1)=0),1,0),0)</f>
        <v>0</v>
      </c>
      <c r="FJ126">
        <f ca="1">IFERROR(IF(AND(FJ$2&gt;INDEX(祝日!$J$2:$L$2,1),FJ$2&lt;INDEX(祝日!$J$3:$L$3,1),INDEX(祝日!$J$6:$L$305,MATCH(FJ$2,祝日!$H$6:$H$305,0),1)=0),1,0),0)</f>
        <v>0</v>
      </c>
      <c r="FK126">
        <f ca="1">IFERROR(IF(AND(FK$2&gt;INDEX(祝日!$J$2:$L$2,1),FK$2&lt;INDEX(祝日!$J$3:$L$3,1),INDEX(祝日!$J$6:$L$305,MATCH(FK$2,祝日!$H$6:$H$305,0),1)=0),1,0),0)</f>
        <v>0</v>
      </c>
      <c r="FL126">
        <f ca="1">IFERROR(IF(AND(FL$2&gt;INDEX(祝日!$J$2:$L$2,1),FL$2&lt;INDEX(祝日!$J$3:$L$3,1),INDEX(祝日!$J$6:$L$305,MATCH(FL$2,祝日!$H$6:$H$305,0),1)=0),1,0),0)</f>
        <v>0</v>
      </c>
      <c r="FM126">
        <f ca="1">IFERROR(IF(AND(FM$2&gt;INDEX(祝日!$J$2:$L$2,1),FM$2&lt;INDEX(祝日!$J$3:$L$3,1),INDEX(祝日!$J$6:$L$305,MATCH(FM$2,祝日!$H$6:$H$305,0),1)=0),1,0),0)</f>
        <v>0</v>
      </c>
      <c r="FN126">
        <f ca="1">IFERROR(IF(AND(FN$2&gt;INDEX(祝日!$J$2:$L$2,1),FN$2&lt;INDEX(祝日!$J$3:$L$3,1),INDEX(祝日!$J$6:$L$305,MATCH(FN$2,祝日!$H$6:$H$305,0),1)=0),1,0),0)</f>
        <v>0</v>
      </c>
      <c r="FO126">
        <f ca="1">IFERROR(IF(AND(FO$2&gt;INDEX(祝日!$J$2:$L$2,1),FO$2&lt;INDEX(祝日!$J$3:$L$3,1),INDEX(祝日!$J$6:$L$305,MATCH(FO$2,祝日!$H$6:$H$305,0),1)=0),1,0),0)</f>
        <v>0</v>
      </c>
      <c r="FP126">
        <f ca="1">IFERROR(IF(AND(FP$2&gt;INDEX(祝日!$J$2:$L$2,1),FP$2&lt;INDEX(祝日!$J$3:$L$3,1),INDEX(祝日!$J$6:$L$305,MATCH(FP$2,祝日!$H$6:$H$305,0),1)=0),1,0),0)</f>
        <v>0</v>
      </c>
      <c r="FQ126">
        <f ca="1">IFERROR(IF(AND(FQ$2&gt;INDEX(祝日!$J$2:$L$2,1),FQ$2&lt;INDEX(祝日!$J$3:$L$3,1),INDEX(祝日!$J$6:$L$305,MATCH(FQ$2,祝日!$H$6:$H$305,0),1)=0),1,0),0)</f>
        <v>0</v>
      </c>
      <c r="FR126">
        <f ca="1">IFERROR(IF(AND(FR$2&gt;INDEX(祝日!$J$2:$L$2,1),FR$2&lt;INDEX(祝日!$J$3:$L$3,1),INDEX(祝日!$J$6:$L$305,MATCH(FR$2,祝日!$H$6:$H$305,0),1)=0),1,0),0)</f>
        <v>0</v>
      </c>
      <c r="FS126">
        <f ca="1">IFERROR(IF(AND(FS$2&gt;INDEX(祝日!$J$2:$L$2,1),FS$2&lt;INDEX(祝日!$J$3:$L$3,1),INDEX(祝日!$J$6:$L$305,MATCH(FS$2,祝日!$H$6:$H$305,0),1)=0),1,0),0)</f>
        <v>0</v>
      </c>
      <c r="FT126">
        <f ca="1">IFERROR(IF(AND(FT$2&gt;INDEX(祝日!$J$2:$L$2,1),FT$2&lt;INDEX(祝日!$J$3:$L$3,1),INDEX(祝日!$J$6:$L$305,MATCH(FT$2,祝日!$H$6:$H$305,0),1)=0),1,0),0)</f>
        <v>0</v>
      </c>
      <c r="FU126">
        <f ca="1">IFERROR(IF(AND(FU$2&gt;INDEX(祝日!$J$2:$L$2,1),FU$2&lt;INDEX(祝日!$J$3:$L$3,1),INDEX(祝日!$J$6:$L$305,MATCH(FU$2,祝日!$H$6:$H$305,0),1)=0),1,0),0)</f>
        <v>0</v>
      </c>
      <c r="FV126">
        <f ca="1">IFERROR(IF(AND(FV$2&gt;INDEX(祝日!$J$2:$L$2,1),FV$2&lt;INDEX(祝日!$J$3:$L$3,1),INDEX(祝日!$J$6:$L$305,MATCH(FV$2,祝日!$H$6:$H$305,0),1)=0),1,0),0)</f>
        <v>0</v>
      </c>
      <c r="FW126">
        <f ca="1">IFERROR(IF(AND(FW$2&gt;INDEX(祝日!$J$2:$L$2,1),FW$2&lt;INDEX(祝日!$J$3:$L$3,1),INDEX(祝日!$J$6:$L$305,MATCH(FW$2,祝日!$H$6:$H$305,0),1)=0),1,0),0)</f>
        <v>0</v>
      </c>
      <c r="FX126">
        <f ca="1">IFERROR(IF(AND(FX$2&gt;INDEX(祝日!$J$2:$L$2,1),FX$2&lt;INDEX(祝日!$J$3:$L$3,1),INDEX(祝日!$J$6:$L$305,MATCH(FX$2,祝日!$H$6:$H$305,0),1)=0),1,0),0)</f>
        <v>0</v>
      </c>
      <c r="FY126">
        <f ca="1">IFERROR(IF(AND(FY$2&gt;INDEX(祝日!$J$2:$L$2,1),FY$2&lt;INDEX(祝日!$J$3:$L$3,1),INDEX(祝日!$J$6:$L$305,MATCH(FY$2,祝日!$H$6:$H$305,0),1)=0),1,0),0)</f>
        <v>0</v>
      </c>
      <c r="FZ126">
        <f ca="1">IFERROR(IF(AND(FZ$2&gt;INDEX(祝日!$J$2:$L$2,1),FZ$2&lt;INDEX(祝日!$J$3:$L$3,1),INDEX(祝日!$J$6:$L$305,MATCH(FZ$2,祝日!$H$6:$H$305,0),1)=0),1,0),0)</f>
        <v>0</v>
      </c>
      <c r="GA126">
        <f ca="1">IFERROR(IF(AND(GA$2&gt;INDEX(祝日!$J$2:$L$2,1),GA$2&lt;INDEX(祝日!$J$3:$L$3,1),INDEX(祝日!$J$6:$L$305,MATCH(GA$2,祝日!$H$6:$H$305,0),1)=0),1,0),0)</f>
        <v>0</v>
      </c>
      <c r="GB126">
        <f ca="1">IFERROR(IF(AND(GB$2&gt;INDEX(祝日!$J$2:$L$2,1),GB$2&lt;INDEX(祝日!$J$3:$L$3,1),INDEX(祝日!$J$6:$L$305,MATCH(GB$2,祝日!$H$6:$H$305,0),1)=0),1,0),0)</f>
        <v>0</v>
      </c>
      <c r="GC126">
        <f ca="1">IFERROR(IF(AND(GC$2&gt;INDEX(祝日!$J$2:$L$2,1),GC$2&lt;INDEX(祝日!$J$3:$L$3,1),INDEX(祝日!$J$6:$L$305,MATCH(GC$2,祝日!$H$6:$H$305,0),1)=0),1,0),0)</f>
        <v>0</v>
      </c>
      <c r="GD126">
        <f ca="1">IFERROR(IF(AND(GD$2&gt;INDEX(祝日!$J$2:$L$2,1),GD$2&lt;INDEX(祝日!$J$3:$L$3,1),INDEX(祝日!$J$6:$L$305,MATCH(GD$2,祝日!$H$6:$H$305,0),1)=0),1,0),0)</f>
        <v>0</v>
      </c>
      <c r="GE126">
        <f ca="1">IFERROR(IF(AND(GE$2&gt;INDEX(祝日!$J$2:$L$2,1),GE$2&lt;INDEX(祝日!$J$3:$L$3,1),INDEX(祝日!$J$6:$L$305,MATCH(GE$2,祝日!$H$6:$H$305,0),1)=0),1,0),0)</f>
        <v>0</v>
      </c>
      <c r="GF126">
        <f ca="1">IFERROR(IF(AND(GF$2&gt;INDEX(祝日!$J$2:$L$2,1),GF$2&lt;INDEX(祝日!$J$3:$L$3,1),INDEX(祝日!$J$6:$L$305,MATCH(GF$2,祝日!$H$6:$H$305,0),1)=0),1,0),0)</f>
        <v>0</v>
      </c>
      <c r="GG126">
        <f ca="1">IFERROR(IF(AND(GG$2&gt;INDEX(祝日!$J$2:$L$2,1),GG$2&lt;INDEX(祝日!$J$3:$L$3,1),INDEX(祝日!$J$6:$L$305,MATCH(GG$2,祝日!$H$6:$H$305,0),1)=0),1,0),0)</f>
        <v>0</v>
      </c>
      <c r="GH126">
        <f ca="1">IFERROR(IF(AND(GH$2&gt;INDEX(祝日!$J$2:$L$2,1),GH$2&lt;INDEX(祝日!$J$3:$L$3,1),INDEX(祝日!$J$6:$L$305,MATCH(GH$2,祝日!$H$6:$H$305,0),1)=0),1,0),0)</f>
        <v>0</v>
      </c>
      <c r="GI126">
        <f ca="1">IFERROR(IF(AND(GI$2&gt;INDEX(祝日!$J$2:$L$2,1),GI$2&lt;INDEX(祝日!$J$3:$L$3,1),INDEX(祝日!$J$6:$L$305,MATCH(GI$2,祝日!$H$6:$H$305,0),1)=0),1,0),0)</f>
        <v>0</v>
      </c>
      <c r="GJ126">
        <f ca="1">IFERROR(IF(AND(GJ$2&gt;INDEX(祝日!$J$2:$L$2,1),GJ$2&lt;INDEX(祝日!$J$3:$L$3,1),INDEX(祝日!$J$6:$L$305,MATCH(GJ$2,祝日!$H$6:$H$305,0),1)=0),1,0),0)</f>
        <v>0</v>
      </c>
      <c r="GK126">
        <f ca="1">IFERROR(IF(AND(GK$2&gt;INDEX(祝日!$J$2:$L$2,1),GK$2&lt;INDEX(祝日!$J$3:$L$3,1),INDEX(祝日!$J$6:$L$305,MATCH(GK$2,祝日!$H$6:$H$305,0),1)=0),1,0),0)</f>
        <v>0</v>
      </c>
      <c r="GL126">
        <f ca="1">IFERROR(IF(AND(GL$2&gt;INDEX(祝日!$J$2:$L$2,1),GL$2&lt;INDEX(祝日!$J$3:$L$3,1),INDEX(祝日!$J$6:$L$305,MATCH(GL$2,祝日!$H$6:$H$305,0),1)=0),1,0),0)</f>
        <v>0</v>
      </c>
      <c r="GM126">
        <f ca="1">IFERROR(IF(AND(GM$2&gt;INDEX(祝日!$J$2:$L$2,1),GM$2&lt;INDEX(祝日!$J$3:$L$3,1),INDEX(祝日!$J$6:$L$305,MATCH(GM$2,祝日!$H$6:$H$305,0),1)=0),1,0),0)</f>
        <v>0</v>
      </c>
      <c r="GN126">
        <f ca="1">IFERROR(IF(AND(GN$2&gt;INDEX(祝日!$J$2:$L$2,1),GN$2&lt;INDEX(祝日!$J$3:$L$3,1),INDEX(祝日!$J$6:$L$305,MATCH(GN$2,祝日!$H$6:$H$305,0),1)=0),1,0),0)</f>
        <v>0</v>
      </c>
      <c r="GO126">
        <f ca="1">IFERROR(IF(AND(GO$2&gt;INDEX(祝日!$J$2:$L$2,1),GO$2&lt;INDEX(祝日!$J$3:$L$3,1),INDEX(祝日!$J$6:$L$305,MATCH(GO$2,祝日!$H$6:$H$305,0),1)=0),1,0),0)</f>
        <v>0</v>
      </c>
      <c r="GP126">
        <f ca="1">IFERROR(IF(AND(GP$2&gt;INDEX(祝日!$J$2:$L$2,1),GP$2&lt;INDEX(祝日!$J$3:$L$3,1),INDEX(祝日!$J$6:$L$305,MATCH(GP$2,祝日!$H$6:$H$305,0),1)=0),1,0),0)</f>
        <v>0</v>
      </c>
      <c r="GQ126">
        <f ca="1">IFERROR(IF(AND(GQ$2&gt;INDEX(祝日!$J$2:$L$2,1),GQ$2&lt;INDEX(祝日!$J$3:$L$3,1),INDEX(祝日!$J$6:$L$305,MATCH(GQ$2,祝日!$H$6:$H$305,0),1)=0),1,0),0)</f>
        <v>0</v>
      </c>
      <c r="GR126">
        <f ca="1">IFERROR(IF(AND(GR$2&gt;INDEX(祝日!$J$2:$L$2,1),GR$2&lt;INDEX(祝日!$J$3:$L$3,1),INDEX(祝日!$J$6:$L$305,MATCH(GR$2,祝日!$H$6:$H$305,0),1)=0),1,0),0)</f>
        <v>0</v>
      </c>
      <c r="GS126">
        <f ca="1">IFERROR(IF(AND(GS$2&gt;INDEX(祝日!$J$2:$L$2,1),GS$2&lt;INDEX(祝日!$J$3:$L$3,1),INDEX(祝日!$J$6:$L$305,MATCH(GS$2,祝日!$H$6:$H$305,0),1)=0),1,0),0)</f>
        <v>0</v>
      </c>
      <c r="GT126">
        <f ca="1">IFERROR(IF(AND(GT$2&gt;INDEX(祝日!$J$2:$L$2,1),GT$2&lt;INDEX(祝日!$J$3:$L$3,1),INDEX(祝日!$J$6:$L$305,MATCH(GT$2,祝日!$H$6:$H$305,0),1)=0),1,0),0)</f>
        <v>0</v>
      </c>
      <c r="GU126">
        <f ca="1">IFERROR(IF(AND(GU$2&gt;INDEX(祝日!$J$2:$L$2,1),GU$2&lt;INDEX(祝日!$J$3:$L$3,1),INDEX(祝日!$J$6:$L$305,MATCH(GU$2,祝日!$H$6:$H$305,0),1)=0),1,0),0)</f>
        <v>0</v>
      </c>
      <c r="GV126">
        <f ca="1">IFERROR(IF(AND(GV$2&gt;INDEX(祝日!$J$2:$L$2,1),GV$2&lt;INDEX(祝日!$J$3:$L$3,1),INDEX(祝日!$J$6:$L$305,MATCH(GV$2,祝日!$H$6:$H$305,0),1)=0),1,0),0)</f>
        <v>0</v>
      </c>
      <c r="GW126">
        <f ca="1">IFERROR(IF(AND(GW$2&gt;INDEX(祝日!$J$2:$L$2,1),GW$2&lt;INDEX(祝日!$J$3:$L$3,1),INDEX(祝日!$J$6:$L$305,MATCH(GW$2,祝日!$H$6:$H$305,0),1)=0),1,0),0)</f>
        <v>0</v>
      </c>
      <c r="GX126">
        <f ca="1">IFERROR(IF(AND(GX$2&gt;INDEX(祝日!$J$2:$L$2,1),GX$2&lt;INDEX(祝日!$J$3:$L$3,1),INDEX(祝日!$J$6:$L$305,MATCH(GX$2,祝日!$H$6:$H$305,0),1)=0),1,0),0)</f>
        <v>0</v>
      </c>
      <c r="GY126">
        <f ca="1">IFERROR(IF(AND(GY$2&gt;INDEX(祝日!$J$2:$L$2,1),GY$2&lt;INDEX(祝日!$J$3:$L$3,1),INDEX(祝日!$J$6:$L$305,MATCH(GY$2,祝日!$H$6:$H$305,0),1)=0),1,0),0)</f>
        <v>0</v>
      </c>
      <c r="GZ126">
        <f ca="1">IFERROR(IF(AND(GZ$2&gt;INDEX(祝日!$J$2:$L$2,1),GZ$2&lt;INDEX(祝日!$J$3:$L$3,1),INDEX(祝日!$J$6:$L$305,MATCH(GZ$2,祝日!$H$6:$H$305,0),1)=0),1,0),0)</f>
        <v>0</v>
      </c>
      <c r="HA126">
        <f ca="1">IFERROR(IF(AND(HA$2&gt;INDEX(祝日!$J$2:$L$2,1),HA$2&lt;INDEX(祝日!$J$3:$L$3,1),INDEX(祝日!$J$6:$L$305,MATCH(HA$2,祝日!$H$6:$H$305,0),1)=0),1,0),0)</f>
        <v>0</v>
      </c>
      <c r="HB126">
        <f ca="1">IFERROR(IF(AND(HB$2&gt;INDEX(祝日!$J$2:$L$2,1),HB$2&lt;INDEX(祝日!$J$3:$L$3,1),INDEX(祝日!$J$6:$L$305,MATCH(HB$2,祝日!$H$6:$H$305,0),1)=0),1,0),0)</f>
        <v>0</v>
      </c>
      <c r="HC126">
        <f ca="1">IFERROR(IF(AND(HC$2&gt;INDEX(祝日!$J$2:$L$2,1),HC$2&lt;INDEX(祝日!$J$3:$L$3,1),INDEX(祝日!$J$6:$L$305,MATCH(HC$2,祝日!$H$6:$H$305,0),1)=0),1,0),0)</f>
        <v>0</v>
      </c>
      <c r="HD126">
        <f ca="1">IFERROR(IF(AND(HD$2&gt;INDEX(祝日!$J$2:$L$2,1),HD$2&lt;INDEX(祝日!$J$3:$L$3,1),INDEX(祝日!$J$6:$L$305,MATCH(HD$2,祝日!$H$6:$H$305,0),1)=0),1,0),0)</f>
        <v>0</v>
      </c>
      <c r="HE126">
        <f ca="1">IFERROR(IF(AND(HE$2&gt;INDEX(祝日!$J$2:$L$2,1),HE$2&lt;INDEX(祝日!$J$3:$L$3,1),INDEX(祝日!$J$6:$L$305,MATCH(HE$2,祝日!$H$6:$H$305,0),1)=0),1,0),0)</f>
        <v>0</v>
      </c>
      <c r="HF126">
        <f ca="1">IFERROR(IF(AND(HF$2&gt;INDEX(祝日!$J$2:$L$2,1),HF$2&lt;INDEX(祝日!$J$3:$L$3,1),INDEX(祝日!$J$6:$L$305,MATCH(HF$2,祝日!$H$6:$H$305,0),1)=0),1,0),0)</f>
        <v>0</v>
      </c>
      <c r="HG126">
        <f ca="1">IFERROR(IF(AND(HG$2&gt;INDEX(祝日!$J$2:$L$2,1),HG$2&lt;INDEX(祝日!$J$3:$L$3,1),INDEX(祝日!$J$6:$L$305,MATCH(HG$2,祝日!$H$6:$H$305,0),1)=0),1,0),0)</f>
        <v>0</v>
      </c>
      <c r="HH126">
        <f ca="1">IFERROR(IF(AND(HH$2&gt;INDEX(祝日!$J$2:$L$2,1),HH$2&lt;INDEX(祝日!$J$3:$L$3,1),INDEX(祝日!$J$6:$L$305,MATCH(HH$2,祝日!$H$6:$H$305,0),1)=0),1,0),0)</f>
        <v>0</v>
      </c>
      <c r="HI126">
        <f ca="1">IFERROR(IF(AND(HI$2&gt;INDEX(祝日!$J$2:$L$2,1),HI$2&lt;INDEX(祝日!$J$3:$L$3,1),INDEX(祝日!$J$6:$L$305,MATCH(HI$2,祝日!$H$6:$H$305,0),1)=0),1,0),0)</f>
        <v>0</v>
      </c>
      <c r="HJ126">
        <f ca="1">IFERROR(IF(AND(HJ$2&gt;INDEX(祝日!$J$2:$L$2,1),HJ$2&lt;INDEX(祝日!$J$3:$L$3,1),INDEX(祝日!$J$6:$L$305,MATCH(HJ$2,祝日!$H$6:$H$305,0),1)=0),1,0),0)</f>
        <v>0</v>
      </c>
      <c r="HK126">
        <f ca="1">IFERROR(IF(AND(HK$2&gt;INDEX(祝日!$J$2:$L$2,1),HK$2&lt;INDEX(祝日!$J$3:$L$3,1),INDEX(祝日!$J$6:$L$305,MATCH(HK$2,祝日!$H$6:$H$305,0),1)=0),1,0),0)</f>
        <v>0</v>
      </c>
      <c r="HL126">
        <f ca="1">IFERROR(IF(AND(HL$2&gt;INDEX(祝日!$J$2:$L$2,1),HL$2&lt;INDEX(祝日!$J$3:$L$3,1),INDEX(祝日!$J$6:$L$305,MATCH(HL$2,祝日!$H$6:$H$305,0),1)=0),1,0),0)</f>
        <v>0</v>
      </c>
      <c r="HM126">
        <f ca="1">IFERROR(IF(AND(HM$2&gt;INDEX(祝日!$J$2:$L$2,1),HM$2&lt;INDEX(祝日!$J$3:$L$3,1),INDEX(祝日!$J$6:$L$305,MATCH(HM$2,祝日!$H$6:$H$305,0),1)=0),1,0),0)</f>
        <v>0</v>
      </c>
      <c r="HN126">
        <f ca="1">IFERROR(IF(AND(HN$2&gt;INDEX(祝日!$J$2:$L$2,1),HN$2&lt;INDEX(祝日!$J$3:$L$3,1),INDEX(祝日!$J$6:$L$305,MATCH(HN$2,祝日!$H$6:$H$305,0),1)=0),1,0),0)</f>
        <v>0</v>
      </c>
      <c r="HO126">
        <f ca="1">IFERROR(IF(AND(HO$2&gt;INDEX(祝日!$J$2:$L$2,1),HO$2&lt;INDEX(祝日!$J$3:$L$3,1),INDEX(祝日!$J$6:$L$305,MATCH(HO$2,祝日!$H$6:$H$305,0),1)=0),1,0),0)</f>
        <v>0</v>
      </c>
      <c r="HP126">
        <f ca="1">IFERROR(IF(AND(HP$2&gt;INDEX(祝日!$J$2:$L$2,1),HP$2&lt;INDEX(祝日!$J$3:$L$3,1),INDEX(祝日!$J$6:$L$305,MATCH(HP$2,祝日!$H$6:$H$305,0),1)=0),1,0),0)</f>
        <v>0</v>
      </c>
      <c r="HQ126">
        <f ca="1">IFERROR(IF(AND(HQ$2&gt;INDEX(祝日!$J$2:$L$2,1),HQ$2&lt;INDEX(祝日!$J$3:$L$3,1),INDEX(祝日!$J$6:$L$305,MATCH(HQ$2,祝日!$H$6:$H$305,0),1)=0),1,0),0)</f>
        <v>0</v>
      </c>
      <c r="HR126">
        <f ca="1">IFERROR(IF(AND(HR$2&gt;INDEX(祝日!$J$2:$L$2,1),HR$2&lt;INDEX(祝日!$J$3:$L$3,1),INDEX(祝日!$J$6:$L$305,MATCH(HR$2,祝日!$H$6:$H$305,0),1)=0),1,0),0)</f>
        <v>0</v>
      </c>
      <c r="HS126">
        <f ca="1">IFERROR(IF(AND(HS$2&gt;INDEX(祝日!$J$2:$L$2,1),HS$2&lt;INDEX(祝日!$J$3:$L$3,1),INDEX(祝日!$J$6:$L$305,MATCH(HS$2,祝日!$H$6:$H$305,0),1)=0),1,0),0)</f>
        <v>0</v>
      </c>
      <c r="HT126">
        <f ca="1">IFERROR(IF(AND(HT$2&gt;INDEX(祝日!$J$2:$L$2,1),HT$2&lt;INDEX(祝日!$J$3:$L$3,1),INDEX(祝日!$J$6:$L$305,MATCH(HT$2,祝日!$H$6:$H$305,0),1)=0),1,0),0)</f>
        <v>0</v>
      </c>
      <c r="HU126">
        <f ca="1">IFERROR(IF(AND(HU$2&gt;INDEX(祝日!$J$2:$L$2,1),HU$2&lt;INDEX(祝日!$J$3:$L$3,1),INDEX(祝日!$J$6:$L$305,MATCH(HU$2,祝日!$H$6:$H$305,0),1)=0),1,0),0)</f>
        <v>0</v>
      </c>
      <c r="HV126">
        <f ca="1">IFERROR(IF(AND(HV$2&gt;INDEX(祝日!$J$2:$L$2,1),HV$2&lt;INDEX(祝日!$J$3:$L$3,1),INDEX(祝日!$J$6:$L$305,MATCH(HV$2,祝日!$H$6:$H$305,0),1)=0),1,0),0)</f>
        <v>0</v>
      </c>
      <c r="HW126">
        <f ca="1">IFERROR(IF(AND(HW$2&gt;INDEX(祝日!$J$2:$L$2,1),HW$2&lt;INDEX(祝日!$J$3:$L$3,1),INDEX(祝日!$J$6:$L$305,MATCH(HW$2,祝日!$H$6:$H$305,0),1)=0),1,0),0)</f>
        <v>0</v>
      </c>
      <c r="HX126">
        <f ca="1">IFERROR(IF(AND(HX$2&gt;INDEX(祝日!$J$2:$L$2,1),HX$2&lt;INDEX(祝日!$J$3:$L$3,1),INDEX(祝日!$J$6:$L$305,MATCH(HX$2,祝日!$H$6:$H$305,0),1)=0),1,0),0)</f>
        <v>0</v>
      </c>
      <c r="HY126">
        <f ca="1">IFERROR(IF(AND(HY$2&gt;INDEX(祝日!$J$2:$L$2,1),HY$2&lt;INDEX(祝日!$J$3:$L$3,1),INDEX(祝日!$J$6:$L$305,MATCH(HY$2,祝日!$H$6:$H$305,0),1)=0),1,0),0)</f>
        <v>0</v>
      </c>
      <c r="HZ126">
        <f ca="1">IFERROR(IF(AND(HZ$2&gt;INDEX(祝日!$J$2:$L$2,1),HZ$2&lt;INDEX(祝日!$J$3:$L$3,1),INDEX(祝日!$J$6:$L$305,MATCH(HZ$2,祝日!$H$6:$H$305,0),1)=0),1,0),0)</f>
        <v>0</v>
      </c>
      <c r="IA126">
        <f ca="1">IFERROR(IF(AND(IA$2&gt;INDEX(祝日!$J$2:$L$2,1),IA$2&lt;INDEX(祝日!$J$3:$L$3,1),INDEX(祝日!$J$6:$L$305,MATCH(IA$2,祝日!$H$6:$H$305,0),1)=0),1,0),0)</f>
        <v>0</v>
      </c>
      <c r="IB126">
        <f ca="1">IFERROR(IF(AND(IB$2&gt;INDEX(祝日!$J$2:$L$2,1),IB$2&lt;INDEX(祝日!$J$3:$L$3,1),INDEX(祝日!$J$6:$L$305,MATCH(IB$2,祝日!$H$6:$H$305,0),1)=0),1,0),0)</f>
        <v>0</v>
      </c>
      <c r="IC126">
        <f ca="1">IFERROR(IF(AND(IC$2&gt;INDEX(祝日!$J$2:$L$2,1),IC$2&lt;INDEX(祝日!$J$3:$L$3,1),INDEX(祝日!$J$6:$L$305,MATCH(IC$2,祝日!$H$6:$H$305,0),1)=0),1,0),0)</f>
        <v>0</v>
      </c>
      <c r="ID126">
        <f ca="1">IFERROR(IF(AND(ID$2&gt;INDEX(祝日!$J$2:$L$2,1),ID$2&lt;INDEX(祝日!$J$3:$L$3,1),INDEX(祝日!$J$6:$L$305,MATCH(ID$2,祝日!$H$6:$H$305,0),1)=0),1,0),0)</f>
        <v>0</v>
      </c>
      <c r="IE126">
        <f ca="1">IFERROR(IF(AND(IE$2&gt;INDEX(祝日!$J$2:$L$2,1),IE$2&lt;INDEX(祝日!$J$3:$L$3,1),INDEX(祝日!$J$6:$L$305,MATCH(IE$2,祝日!$H$6:$H$305,0),1)=0),1,0),0)</f>
        <v>0</v>
      </c>
      <c r="IF126">
        <f ca="1">IFERROR(IF(AND(IF$2&gt;INDEX(祝日!$J$2:$L$2,1),IF$2&lt;INDEX(祝日!$J$3:$L$3,1),INDEX(祝日!$J$6:$L$305,MATCH(IF$2,祝日!$H$6:$H$305,0),1)=0),1,0),0)</f>
        <v>0</v>
      </c>
      <c r="IG126">
        <f ca="1">IFERROR(IF(AND(IG$2&gt;INDEX(祝日!$J$2:$L$2,1),IG$2&lt;INDEX(祝日!$J$3:$L$3,1),INDEX(祝日!$J$6:$L$305,MATCH(IG$2,祝日!$H$6:$H$305,0),1)=0),1,0),0)</f>
        <v>0</v>
      </c>
      <c r="IH126">
        <f ca="1">IFERROR(IF(AND(IH$2&gt;INDEX(祝日!$J$2:$L$2,1),IH$2&lt;INDEX(祝日!$J$3:$L$3,1),INDEX(祝日!$J$6:$L$305,MATCH(IH$2,祝日!$H$6:$H$305,0),1)=0),1,0),0)</f>
        <v>0</v>
      </c>
      <c r="II126">
        <f ca="1">IFERROR(IF(AND(II$2&gt;INDEX(祝日!$J$2:$L$2,1),II$2&lt;INDEX(祝日!$J$3:$L$3,1),INDEX(祝日!$J$6:$L$305,MATCH(II$2,祝日!$H$6:$H$305,0),1)=0),1,0),0)</f>
        <v>0</v>
      </c>
      <c r="IJ126">
        <f ca="1">IFERROR(IF(AND(IJ$2&gt;INDEX(祝日!$J$2:$L$2,1),IJ$2&lt;INDEX(祝日!$J$3:$L$3,1),INDEX(祝日!$J$6:$L$305,MATCH(IJ$2,祝日!$H$6:$H$305,0),1)=0),1,0),0)</f>
        <v>0</v>
      </c>
      <c r="IK126">
        <f ca="1">IFERROR(IF(AND(IK$2&gt;INDEX(祝日!$J$2:$L$2,1),IK$2&lt;INDEX(祝日!$J$3:$L$3,1),INDEX(祝日!$J$6:$L$305,MATCH(IK$2,祝日!$H$6:$H$305,0),1)=0),1,0),0)</f>
        <v>0</v>
      </c>
      <c r="IL126">
        <f ca="1">IFERROR(IF(AND(IL$2&gt;INDEX(祝日!$J$2:$L$2,1),IL$2&lt;INDEX(祝日!$J$3:$L$3,1),INDEX(祝日!$J$6:$L$305,MATCH(IL$2,祝日!$H$6:$H$305,0),1)=0),1,0),0)</f>
        <v>0</v>
      </c>
      <c r="IM126">
        <f ca="1">IFERROR(IF(AND(IM$2&gt;INDEX(祝日!$J$2:$L$2,1),IM$2&lt;INDEX(祝日!$J$3:$L$3,1),INDEX(祝日!$J$6:$L$305,MATCH(IM$2,祝日!$H$6:$H$305,0),1)=0),1,0),0)</f>
        <v>0</v>
      </c>
      <c r="IN126">
        <f ca="1">IFERROR(IF(AND(IN$2&gt;INDEX(祝日!$J$2:$L$2,1),IN$2&lt;INDEX(祝日!$J$3:$L$3,1),INDEX(祝日!$J$6:$L$305,MATCH(IN$2,祝日!$H$6:$H$305,0),1)=0),1,0),0)</f>
        <v>0</v>
      </c>
      <c r="IO126">
        <f ca="1">IFERROR(IF(AND(IO$2&gt;INDEX(祝日!$J$2:$L$2,1),IO$2&lt;INDEX(祝日!$J$3:$L$3,1),INDEX(祝日!$J$6:$L$305,MATCH(IO$2,祝日!$H$6:$H$305,0),1)=0),1,0),0)</f>
        <v>0</v>
      </c>
      <c r="IP126">
        <f ca="1">IFERROR(IF(AND(IP$2&gt;INDEX(祝日!$J$2:$L$2,1),IP$2&lt;INDEX(祝日!$J$3:$L$3,1),INDEX(祝日!$J$6:$L$305,MATCH(IP$2,祝日!$H$6:$H$305,0),1)=0),1,0),0)</f>
        <v>0</v>
      </c>
      <c r="IQ126">
        <f ca="1">IFERROR(IF(AND(IQ$2&gt;INDEX(祝日!$J$2:$L$2,1),IQ$2&lt;INDEX(祝日!$J$3:$L$3,1),INDEX(祝日!$J$6:$L$305,MATCH(IQ$2,祝日!$H$6:$H$305,0),1)=0),1,0),0)</f>
        <v>0</v>
      </c>
      <c r="IR126">
        <f ca="1">IFERROR(IF(AND(IR$2&gt;INDEX(祝日!$J$2:$L$2,1),IR$2&lt;INDEX(祝日!$J$3:$L$3,1),INDEX(祝日!$J$6:$L$305,MATCH(IR$2,祝日!$H$6:$H$305,0),1)=0),1,0),0)</f>
        <v>0</v>
      </c>
      <c r="IS126">
        <f ca="1">IFERROR(IF(AND(IS$2&gt;INDEX(祝日!$J$2:$L$2,1),IS$2&lt;INDEX(祝日!$J$3:$L$3,1),INDEX(祝日!$J$6:$L$305,MATCH(IS$2,祝日!$H$6:$H$305,0),1)=0),1,0),0)</f>
        <v>0</v>
      </c>
      <c r="IT126">
        <f ca="1">IFERROR(IF(AND(IT$2&gt;INDEX(祝日!$J$2:$L$2,1),IT$2&lt;INDEX(祝日!$J$3:$L$3,1),INDEX(祝日!$J$6:$L$305,MATCH(IT$2,祝日!$H$6:$H$305,0),1)=0),1,0),0)</f>
        <v>0</v>
      </c>
      <c r="IU126">
        <f ca="1">IFERROR(IF(AND(IU$2&gt;INDEX(祝日!$J$2:$L$2,1),IU$2&lt;INDEX(祝日!$J$3:$L$3,1),INDEX(祝日!$J$6:$L$305,MATCH(IU$2,祝日!$H$6:$H$305,0),1)=0),1,0),0)</f>
        <v>0</v>
      </c>
      <c r="IV126">
        <f ca="1">IFERROR(IF(AND(IV$2&gt;INDEX(祝日!$J$2:$L$2,1),IV$2&lt;INDEX(祝日!$J$3:$L$3,1),INDEX(祝日!$J$6:$L$305,MATCH(IV$2,祝日!$H$6:$H$305,0),1)=0),1,0),0)</f>
        <v>0</v>
      </c>
      <c r="IW126">
        <f ca="1">IFERROR(IF(AND(IW$2&gt;INDEX(祝日!$J$2:$L$2,1),IW$2&lt;INDEX(祝日!$J$3:$L$3,1),INDEX(祝日!$J$6:$L$305,MATCH(IW$2,祝日!$H$6:$H$305,0),1)=0),1,0),0)</f>
        <v>0</v>
      </c>
      <c r="IX126">
        <f ca="1">IFERROR(IF(AND(IX$2&gt;INDEX(祝日!$J$2:$L$2,1),IX$2&lt;INDEX(祝日!$J$3:$L$3,1),INDEX(祝日!$J$6:$L$305,MATCH(IX$2,祝日!$H$6:$H$305,0),1)=0),1,0),0)</f>
        <v>0</v>
      </c>
      <c r="IY126">
        <f ca="1">IFERROR(IF(AND(IY$2&gt;INDEX(祝日!$J$2:$L$2,1),IY$2&lt;INDEX(祝日!$J$3:$L$3,1),INDEX(祝日!$J$6:$L$305,MATCH(IY$2,祝日!$H$6:$H$305,0),1)=0),1,0),0)</f>
        <v>0</v>
      </c>
      <c r="IZ126">
        <f ca="1">IFERROR(IF(AND(IZ$2&gt;INDEX(祝日!$J$2:$L$2,1),IZ$2&lt;INDEX(祝日!$J$3:$L$3,1),INDEX(祝日!$J$6:$L$305,MATCH(IZ$2,祝日!$H$6:$H$305,0),1)=0),1,0),0)</f>
        <v>0</v>
      </c>
      <c r="JA126">
        <f ca="1">IFERROR(IF(AND(JA$2&gt;INDEX(祝日!$J$2:$L$2,1),JA$2&lt;INDEX(祝日!$J$3:$L$3,1),INDEX(祝日!$J$6:$L$305,MATCH(JA$2,祝日!$H$6:$H$305,0),1)=0),1,0),0)</f>
        <v>0</v>
      </c>
      <c r="JB126">
        <f ca="1">IFERROR(IF(AND(JB$2&gt;INDEX(祝日!$J$2:$L$2,1),JB$2&lt;INDEX(祝日!$J$3:$L$3,1),INDEX(祝日!$J$6:$L$305,MATCH(JB$2,祝日!$H$6:$H$305,0),1)=0),1,0),0)</f>
        <v>0</v>
      </c>
      <c r="JC126">
        <f ca="1">IFERROR(IF(AND(JC$2&gt;INDEX(祝日!$J$2:$L$2,1),JC$2&lt;INDEX(祝日!$J$3:$L$3,1),INDEX(祝日!$J$6:$L$305,MATCH(JC$2,祝日!$H$6:$H$305,0),1)=0),1,0),0)</f>
        <v>0</v>
      </c>
      <c r="JD126">
        <f ca="1">IFERROR(IF(AND(JD$2&gt;INDEX(祝日!$J$2:$L$2,1),JD$2&lt;INDEX(祝日!$J$3:$L$3,1),INDEX(祝日!$J$6:$L$305,MATCH(JD$2,祝日!$H$6:$H$305,0),1)=0),1,0),0)</f>
        <v>0</v>
      </c>
      <c r="JE126">
        <f ca="1">IFERROR(IF(AND(JE$2&gt;INDEX(祝日!$J$2:$L$2,1),JE$2&lt;INDEX(祝日!$J$3:$L$3,1),INDEX(祝日!$J$6:$L$305,MATCH(JE$2,祝日!$H$6:$H$305,0),1)=0),1,0),0)</f>
        <v>0</v>
      </c>
      <c r="JF126">
        <f ca="1">IFERROR(IF(AND(JF$2&gt;INDEX(祝日!$J$2:$L$2,1),JF$2&lt;INDEX(祝日!$J$3:$L$3,1),INDEX(祝日!$J$6:$L$305,MATCH(JF$2,祝日!$H$6:$H$305,0),1)=0),1,0),0)</f>
        <v>0</v>
      </c>
      <c r="JG126">
        <f ca="1">IFERROR(IF(AND(JG$2&gt;INDEX(祝日!$J$2:$L$2,1),JG$2&lt;INDEX(祝日!$J$3:$L$3,1),INDEX(祝日!$J$6:$L$305,MATCH(JG$2,祝日!$H$6:$H$305,0),1)=0),1,0),0)</f>
        <v>0</v>
      </c>
      <c r="JH126">
        <f ca="1">IFERROR(IF(AND(JH$2&gt;INDEX(祝日!$J$2:$L$2,1),JH$2&lt;INDEX(祝日!$J$3:$L$3,1),INDEX(祝日!$J$6:$L$305,MATCH(JH$2,祝日!$H$6:$H$305,0),1)=0),1,0),0)</f>
        <v>0</v>
      </c>
      <c r="JI126">
        <f ca="1">IFERROR(IF(AND(JI$2&gt;INDEX(祝日!$J$2:$L$2,1),JI$2&lt;INDEX(祝日!$J$3:$L$3,1),INDEX(祝日!$J$6:$L$305,MATCH(JI$2,祝日!$H$6:$H$305,0),1)=0),1,0),0)</f>
        <v>0</v>
      </c>
    </row>
    <row r="127" spans="1:273" ht="13.5" hidden="1" x14ac:dyDescent="0.15">
      <c r="A127" t="s">
        <v>4</v>
      </c>
      <c r="AD127">
        <f ca="1">IFERROR(IF(AND(AD$2&gt;INDEX(祝日!$J$2:$L$2,2),AD$2&lt;INDEX(祝日!$J$3:$L$3,2),INDEX(祝日!$J$6:$L$305,MATCH(AD$2,祝日!$H$6:$H$305,0),2)=0),1,0),0)</f>
        <v>0</v>
      </c>
      <c r="AE127">
        <f ca="1">IFERROR(IF(AND(AE$2&gt;INDEX(祝日!$J$2:$L$2,2),AE$2&lt;INDEX(祝日!$J$3:$L$3,2),INDEX(祝日!$J$6:$L$305,MATCH(AE$2,祝日!$H$6:$H$305,0),2)=0),1,0),0)</f>
        <v>0</v>
      </c>
      <c r="AF127">
        <f ca="1">IFERROR(IF(AND(AF$2&gt;INDEX(祝日!$J$2:$L$2,2),AF$2&lt;INDEX(祝日!$J$3:$L$3,2),INDEX(祝日!$J$6:$L$305,MATCH(AF$2,祝日!$H$6:$H$305,0),2)=0),1,0),0)</f>
        <v>0</v>
      </c>
      <c r="AG127">
        <f ca="1">IFERROR(IF(AND(AG$2&gt;INDEX(祝日!$J$2:$L$2,2),AG$2&lt;INDEX(祝日!$J$3:$L$3,2),INDEX(祝日!$J$6:$L$305,MATCH(AG$2,祝日!$H$6:$H$305,0),2)=0),1,0),0)</f>
        <v>0</v>
      </c>
      <c r="AH127">
        <f ca="1">IFERROR(IF(AND(AH$2&gt;INDEX(祝日!$J$2:$L$2,2),AH$2&lt;INDEX(祝日!$J$3:$L$3,2),INDEX(祝日!$J$6:$L$305,MATCH(AH$2,祝日!$H$6:$H$305,0),2)=0),1,0),0)</f>
        <v>0</v>
      </c>
      <c r="AI127">
        <f ca="1">IFERROR(IF(AND(AI$2&gt;INDEX(祝日!$J$2:$L$2,2),AI$2&lt;INDEX(祝日!$J$3:$L$3,2),INDEX(祝日!$J$6:$L$305,MATCH(AI$2,祝日!$H$6:$H$305,0),2)=0),1,0),0)</f>
        <v>0</v>
      </c>
      <c r="AJ127">
        <f ca="1">IFERROR(IF(AND(AJ$2&gt;INDEX(祝日!$J$2:$L$2,2),AJ$2&lt;INDEX(祝日!$J$3:$L$3,2),INDEX(祝日!$J$6:$L$305,MATCH(AJ$2,祝日!$H$6:$H$305,0),2)=0),1,0),0)</f>
        <v>0</v>
      </c>
      <c r="AK127">
        <f ca="1">IFERROR(IF(AND(AK$2&gt;INDEX(祝日!$J$2:$L$2,2),AK$2&lt;INDEX(祝日!$J$3:$L$3,2),INDEX(祝日!$J$6:$L$305,MATCH(AK$2,祝日!$H$6:$H$305,0),2)=0),1,0),0)</f>
        <v>0</v>
      </c>
      <c r="AL127">
        <f ca="1">IFERROR(IF(AND(AL$2&gt;INDEX(祝日!$J$2:$L$2,2),AL$2&lt;INDEX(祝日!$J$3:$L$3,2),INDEX(祝日!$J$6:$L$305,MATCH(AL$2,祝日!$H$6:$H$305,0),2)=0),1,0),0)</f>
        <v>0</v>
      </c>
      <c r="AM127">
        <f ca="1">IFERROR(IF(AND(AM$2&gt;INDEX(祝日!$J$2:$L$2,2),AM$2&lt;INDEX(祝日!$J$3:$L$3,2),INDEX(祝日!$J$6:$L$305,MATCH(AM$2,祝日!$H$6:$H$305,0),2)=0),1,0),0)</f>
        <v>0</v>
      </c>
      <c r="AN127">
        <f ca="1">IFERROR(IF(AND(AN$2&gt;INDEX(祝日!$J$2:$L$2,2),AN$2&lt;INDEX(祝日!$J$3:$L$3,2),INDEX(祝日!$J$6:$L$305,MATCH(AN$2,祝日!$H$6:$H$305,0),2)=0),1,0),0)</f>
        <v>0</v>
      </c>
      <c r="AO127">
        <f ca="1">IFERROR(IF(AND(AO$2&gt;INDEX(祝日!$J$2:$L$2,2),AO$2&lt;INDEX(祝日!$J$3:$L$3,2),INDEX(祝日!$J$6:$L$305,MATCH(AO$2,祝日!$H$6:$H$305,0),2)=0),1,0),0)</f>
        <v>0</v>
      </c>
      <c r="AP127">
        <f ca="1">IFERROR(IF(AND(AP$2&gt;INDEX(祝日!$J$2:$L$2,2),AP$2&lt;INDEX(祝日!$J$3:$L$3,2),INDEX(祝日!$J$6:$L$305,MATCH(AP$2,祝日!$H$6:$H$305,0),2)=0),1,0),0)</f>
        <v>0</v>
      </c>
      <c r="AQ127">
        <f ca="1">IFERROR(IF(AND(AQ$2&gt;INDEX(祝日!$J$2:$L$2,2),AQ$2&lt;INDEX(祝日!$J$3:$L$3,2),INDEX(祝日!$J$6:$L$305,MATCH(AQ$2,祝日!$H$6:$H$305,0),2)=0),1,0),0)</f>
        <v>0</v>
      </c>
      <c r="AR127">
        <f ca="1">IFERROR(IF(AND(AR$2&gt;INDEX(祝日!$J$2:$L$2,2),AR$2&lt;INDEX(祝日!$J$3:$L$3,2),INDEX(祝日!$J$6:$L$305,MATCH(AR$2,祝日!$H$6:$H$305,0),2)=0),1,0),0)</f>
        <v>0</v>
      </c>
      <c r="AS127">
        <f ca="1">IFERROR(IF(AND(AS$2&gt;INDEX(祝日!$J$2:$L$2,2),AS$2&lt;INDEX(祝日!$J$3:$L$3,2),INDEX(祝日!$J$6:$L$305,MATCH(AS$2,祝日!$H$6:$H$305,0),2)=0),1,0),0)</f>
        <v>0</v>
      </c>
      <c r="AT127">
        <f ca="1">IFERROR(IF(AND(AT$2&gt;INDEX(祝日!$J$2:$L$2,2),AT$2&lt;INDEX(祝日!$J$3:$L$3,2),INDEX(祝日!$J$6:$L$305,MATCH(AT$2,祝日!$H$6:$H$305,0),2)=0),1,0),0)</f>
        <v>0</v>
      </c>
      <c r="AU127">
        <f ca="1">IFERROR(IF(AND(AU$2&gt;INDEX(祝日!$J$2:$L$2,2),AU$2&lt;INDEX(祝日!$J$3:$L$3,2),INDEX(祝日!$J$6:$L$305,MATCH(AU$2,祝日!$H$6:$H$305,0),2)=0),1,0),0)</f>
        <v>0</v>
      </c>
      <c r="AV127">
        <f ca="1">IFERROR(IF(AND(AV$2&gt;INDEX(祝日!$J$2:$L$2,2),AV$2&lt;INDEX(祝日!$J$3:$L$3,2),INDEX(祝日!$J$6:$L$305,MATCH(AV$2,祝日!$H$6:$H$305,0),2)=0),1,0),0)</f>
        <v>0</v>
      </c>
      <c r="AW127">
        <f ca="1">IFERROR(IF(AND(AW$2&gt;INDEX(祝日!$J$2:$L$2,2),AW$2&lt;INDEX(祝日!$J$3:$L$3,2),INDEX(祝日!$J$6:$L$305,MATCH(AW$2,祝日!$H$6:$H$305,0),2)=0),1,0),0)</f>
        <v>0</v>
      </c>
      <c r="AX127">
        <f ca="1">IFERROR(IF(AND(AX$2&gt;INDEX(祝日!$J$2:$L$2,2),AX$2&lt;INDEX(祝日!$J$3:$L$3,2),INDEX(祝日!$J$6:$L$305,MATCH(AX$2,祝日!$H$6:$H$305,0),2)=0),1,0),0)</f>
        <v>0</v>
      </c>
      <c r="AY127">
        <f ca="1">IFERROR(IF(AND(AY$2&gt;INDEX(祝日!$J$2:$L$2,2),AY$2&lt;INDEX(祝日!$J$3:$L$3,2),INDEX(祝日!$J$6:$L$305,MATCH(AY$2,祝日!$H$6:$H$305,0),2)=0),1,0),0)</f>
        <v>0</v>
      </c>
      <c r="AZ127">
        <f ca="1">IFERROR(IF(AND(AZ$2&gt;INDEX(祝日!$J$2:$L$2,2),AZ$2&lt;INDEX(祝日!$J$3:$L$3,2),INDEX(祝日!$J$6:$L$305,MATCH(AZ$2,祝日!$H$6:$H$305,0),2)=0),1,0),0)</f>
        <v>0</v>
      </c>
      <c r="BA127">
        <f ca="1">IFERROR(IF(AND(BA$2&gt;INDEX(祝日!$J$2:$L$2,2),BA$2&lt;INDEX(祝日!$J$3:$L$3,2),INDEX(祝日!$J$6:$L$305,MATCH(BA$2,祝日!$H$6:$H$305,0),2)=0),1,0),0)</f>
        <v>0</v>
      </c>
      <c r="BB127">
        <f ca="1">IFERROR(IF(AND(BB$2&gt;INDEX(祝日!$J$2:$L$2,2),BB$2&lt;INDEX(祝日!$J$3:$L$3,2),INDEX(祝日!$J$6:$L$305,MATCH(BB$2,祝日!$H$6:$H$305,0),2)=0),1,0),0)</f>
        <v>0</v>
      </c>
      <c r="BC127">
        <f ca="1">IFERROR(IF(AND(BC$2&gt;INDEX(祝日!$J$2:$L$2,2),BC$2&lt;INDEX(祝日!$J$3:$L$3,2),INDEX(祝日!$J$6:$L$305,MATCH(BC$2,祝日!$H$6:$H$305,0),2)=0),1,0),0)</f>
        <v>0</v>
      </c>
      <c r="BD127">
        <f ca="1">IFERROR(IF(AND(BD$2&gt;INDEX(祝日!$J$2:$L$2,2),BD$2&lt;INDEX(祝日!$J$3:$L$3,2),INDEX(祝日!$J$6:$L$305,MATCH(BD$2,祝日!$H$6:$H$305,0),2)=0),1,0),0)</f>
        <v>0</v>
      </c>
      <c r="BE127">
        <f ca="1">IFERROR(IF(AND(BE$2&gt;INDEX(祝日!$J$2:$L$2,2),BE$2&lt;INDEX(祝日!$J$3:$L$3,2),INDEX(祝日!$J$6:$L$305,MATCH(BE$2,祝日!$H$6:$H$305,0),2)=0),1,0),0)</f>
        <v>0</v>
      </c>
      <c r="BF127">
        <f ca="1">IFERROR(IF(AND(BF$2&gt;INDEX(祝日!$J$2:$L$2,2),BF$2&lt;INDEX(祝日!$J$3:$L$3,2),INDEX(祝日!$J$6:$L$305,MATCH(BF$2,祝日!$H$6:$H$305,0),2)=0),1,0),0)</f>
        <v>0</v>
      </c>
      <c r="BG127">
        <f ca="1">IFERROR(IF(AND(BG$2&gt;INDEX(祝日!$J$2:$L$2,2),BG$2&lt;INDEX(祝日!$J$3:$L$3,2),INDEX(祝日!$J$6:$L$305,MATCH(BG$2,祝日!$H$6:$H$305,0),2)=0),1,0),0)</f>
        <v>0</v>
      </c>
      <c r="BH127">
        <f ca="1">IFERROR(IF(AND(BH$2&gt;INDEX(祝日!$J$2:$L$2,2),BH$2&lt;INDEX(祝日!$J$3:$L$3,2),INDEX(祝日!$J$6:$L$305,MATCH(BH$2,祝日!$H$6:$H$305,0),2)=0),1,0),0)</f>
        <v>0</v>
      </c>
      <c r="BI127">
        <f ca="1">IFERROR(IF(AND(BI$2&gt;INDEX(祝日!$J$2:$L$2,2),BI$2&lt;INDEX(祝日!$J$3:$L$3,2),INDEX(祝日!$J$6:$L$305,MATCH(BI$2,祝日!$H$6:$H$305,0),2)=0),1,0),0)</f>
        <v>0</v>
      </c>
      <c r="BJ127">
        <f ca="1">IFERROR(IF(AND(BJ$2&gt;INDEX(祝日!$J$2:$L$2,2),BJ$2&lt;INDEX(祝日!$J$3:$L$3,2),INDEX(祝日!$J$6:$L$305,MATCH(BJ$2,祝日!$H$6:$H$305,0),2)=0),1,0),0)</f>
        <v>0</v>
      </c>
      <c r="BK127">
        <f ca="1">IFERROR(IF(AND(BK$2&gt;INDEX(祝日!$J$2:$L$2,2),BK$2&lt;INDEX(祝日!$J$3:$L$3,2),INDEX(祝日!$J$6:$L$305,MATCH(BK$2,祝日!$H$6:$H$305,0),2)=0),1,0),0)</f>
        <v>0</v>
      </c>
      <c r="BL127">
        <f ca="1">IFERROR(IF(AND(BL$2&gt;INDEX(祝日!$J$2:$L$2,2),BL$2&lt;INDEX(祝日!$J$3:$L$3,2),INDEX(祝日!$J$6:$L$305,MATCH(BL$2,祝日!$H$6:$H$305,0),2)=0),1,0),0)</f>
        <v>0</v>
      </c>
      <c r="BM127">
        <f ca="1">IFERROR(IF(AND(BM$2&gt;INDEX(祝日!$J$2:$L$2,2),BM$2&lt;INDEX(祝日!$J$3:$L$3,2),INDEX(祝日!$J$6:$L$305,MATCH(BM$2,祝日!$H$6:$H$305,0),2)=0),1,0),0)</f>
        <v>0</v>
      </c>
      <c r="BN127">
        <f ca="1">IFERROR(IF(AND(BN$2&gt;INDEX(祝日!$J$2:$L$2,2),BN$2&lt;INDEX(祝日!$J$3:$L$3,2),INDEX(祝日!$J$6:$L$305,MATCH(BN$2,祝日!$H$6:$H$305,0),2)=0),1,0),0)</f>
        <v>0</v>
      </c>
      <c r="BO127">
        <f ca="1">IFERROR(IF(AND(BO$2&gt;INDEX(祝日!$J$2:$L$2,2),BO$2&lt;INDEX(祝日!$J$3:$L$3,2),INDEX(祝日!$J$6:$L$305,MATCH(BO$2,祝日!$H$6:$H$305,0),2)=0),1,0),0)</f>
        <v>0</v>
      </c>
      <c r="BP127">
        <f ca="1">IFERROR(IF(AND(BP$2&gt;INDEX(祝日!$J$2:$L$2,2),BP$2&lt;INDEX(祝日!$J$3:$L$3,2),INDEX(祝日!$J$6:$L$305,MATCH(BP$2,祝日!$H$6:$H$305,0),2)=0),1,0),0)</f>
        <v>0</v>
      </c>
      <c r="BQ127">
        <f ca="1">IFERROR(IF(AND(BQ$2&gt;INDEX(祝日!$J$2:$L$2,2),BQ$2&lt;INDEX(祝日!$J$3:$L$3,2),INDEX(祝日!$J$6:$L$305,MATCH(BQ$2,祝日!$H$6:$H$305,0),2)=0),1,0),0)</f>
        <v>0</v>
      </c>
      <c r="BR127">
        <f ca="1">IFERROR(IF(AND(BR$2&gt;INDEX(祝日!$J$2:$L$2,2),BR$2&lt;INDEX(祝日!$J$3:$L$3,2),INDEX(祝日!$J$6:$L$305,MATCH(BR$2,祝日!$H$6:$H$305,0),2)=0),1,0),0)</f>
        <v>0</v>
      </c>
      <c r="BS127">
        <f ca="1">IFERROR(IF(AND(BS$2&gt;INDEX(祝日!$J$2:$L$2,2),BS$2&lt;INDEX(祝日!$J$3:$L$3,2),INDEX(祝日!$J$6:$L$305,MATCH(BS$2,祝日!$H$6:$H$305,0),2)=0),1,0),0)</f>
        <v>0</v>
      </c>
      <c r="BT127">
        <f ca="1">IFERROR(IF(AND(BT$2&gt;INDEX(祝日!$J$2:$L$2,2),BT$2&lt;INDEX(祝日!$J$3:$L$3,2),INDEX(祝日!$J$6:$L$305,MATCH(BT$2,祝日!$H$6:$H$305,0),2)=0),1,0),0)</f>
        <v>0</v>
      </c>
      <c r="BU127">
        <f ca="1">IFERROR(IF(AND(BU$2&gt;INDEX(祝日!$J$2:$L$2,2),BU$2&lt;INDEX(祝日!$J$3:$L$3,2),INDEX(祝日!$J$6:$L$305,MATCH(BU$2,祝日!$H$6:$H$305,0),2)=0),1,0),0)</f>
        <v>0</v>
      </c>
      <c r="BV127">
        <f ca="1">IFERROR(IF(AND(BV$2&gt;INDEX(祝日!$J$2:$L$2,2),BV$2&lt;INDEX(祝日!$J$3:$L$3,2),INDEX(祝日!$J$6:$L$305,MATCH(BV$2,祝日!$H$6:$H$305,0),2)=0),1,0),0)</f>
        <v>0</v>
      </c>
      <c r="BW127">
        <f ca="1">IFERROR(IF(AND(BW$2&gt;INDEX(祝日!$J$2:$L$2,2),BW$2&lt;INDEX(祝日!$J$3:$L$3,2),INDEX(祝日!$J$6:$L$305,MATCH(BW$2,祝日!$H$6:$H$305,0),2)=0),1,0),0)</f>
        <v>0</v>
      </c>
      <c r="BX127">
        <f ca="1">IFERROR(IF(AND(BX$2&gt;INDEX(祝日!$J$2:$L$2,2),BX$2&lt;INDEX(祝日!$J$3:$L$3,2),INDEX(祝日!$J$6:$L$305,MATCH(BX$2,祝日!$H$6:$H$305,0),2)=0),1,0),0)</f>
        <v>0</v>
      </c>
      <c r="BY127">
        <f ca="1">IFERROR(IF(AND(BY$2&gt;INDEX(祝日!$J$2:$L$2,2),BY$2&lt;INDEX(祝日!$J$3:$L$3,2),INDEX(祝日!$J$6:$L$305,MATCH(BY$2,祝日!$H$6:$H$305,0),2)=0),1,0),0)</f>
        <v>0</v>
      </c>
      <c r="BZ127">
        <f ca="1">IFERROR(IF(AND(BZ$2&gt;INDEX(祝日!$J$2:$L$2,2),BZ$2&lt;INDEX(祝日!$J$3:$L$3,2),INDEX(祝日!$J$6:$L$305,MATCH(BZ$2,祝日!$H$6:$H$305,0),2)=0),1,0),0)</f>
        <v>0</v>
      </c>
      <c r="CA127">
        <f ca="1">IFERROR(IF(AND(CA$2&gt;INDEX(祝日!$J$2:$L$2,2),CA$2&lt;INDEX(祝日!$J$3:$L$3,2),INDEX(祝日!$J$6:$L$305,MATCH(CA$2,祝日!$H$6:$H$305,0),2)=0),1,0),0)</f>
        <v>0</v>
      </c>
      <c r="CB127">
        <f ca="1">IFERROR(IF(AND(CB$2&gt;INDEX(祝日!$J$2:$L$2,2),CB$2&lt;INDEX(祝日!$J$3:$L$3,2),INDEX(祝日!$J$6:$L$305,MATCH(CB$2,祝日!$H$6:$H$305,0),2)=0),1,0),0)</f>
        <v>0</v>
      </c>
      <c r="CC127">
        <f ca="1">IFERROR(IF(AND(CC$2&gt;INDEX(祝日!$J$2:$L$2,2),CC$2&lt;INDEX(祝日!$J$3:$L$3,2),INDEX(祝日!$J$6:$L$305,MATCH(CC$2,祝日!$H$6:$H$305,0),2)=0),1,0),0)</f>
        <v>0</v>
      </c>
      <c r="CD127">
        <f ca="1">IFERROR(IF(AND(CD$2&gt;INDEX(祝日!$J$2:$L$2,2),CD$2&lt;INDEX(祝日!$J$3:$L$3,2),INDEX(祝日!$J$6:$L$305,MATCH(CD$2,祝日!$H$6:$H$305,0),2)=0),1,0),0)</f>
        <v>0</v>
      </c>
      <c r="CE127">
        <f ca="1">IFERROR(IF(AND(CE$2&gt;INDEX(祝日!$J$2:$L$2,2),CE$2&lt;INDEX(祝日!$J$3:$L$3,2),INDEX(祝日!$J$6:$L$305,MATCH(CE$2,祝日!$H$6:$H$305,0),2)=0),1,0),0)</f>
        <v>0</v>
      </c>
      <c r="CF127">
        <f ca="1">IFERROR(IF(AND(CF$2&gt;INDEX(祝日!$J$2:$L$2,2),CF$2&lt;INDEX(祝日!$J$3:$L$3,2),INDEX(祝日!$J$6:$L$305,MATCH(CF$2,祝日!$H$6:$H$305,0),2)=0),1,0),0)</f>
        <v>0</v>
      </c>
      <c r="CG127">
        <f ca="1">IFERROR(IF(AND(CG$2&gt;INDEX(祝日!$J$2:$L$2,2),CG$2&lt;INDEX(祝日!$J$3:$L$3,2),INDEX(祝日!$J$6:$L$305,MATCH(CG$2,祝日!$H$6:$H$305,0),2)=0),1,0),0)</f>
        <v>0</v>
      </c>
      <c r="CH127">
        <f ca="1">IFERROR(IF(AND(CH$2&gt;INDEX(祝日!$J$2:$L$2,2),CH$2&lt;INDEX(祝日!$J$3:$L$3,2),INDEX(祝日!$J$6:$L$305,MATCH(CH$2,祝日!$H$6:$H$305,0),2)=0),1,0),0)</f>
        <v>0</v>
      </c>
      <c r="CI127">
        <f ca="1">IFERROR(IF(AND(CI$2&gt;INDEX(祝日!$J$2:$L$2,2),CI$2&lt;INDEX(祝日!$J$3:$L$3,2),INDEX(祝日!$J$6:$L$305,MATCH(CI$2,祝日!$H$6:$H$305,0),2)=0),1,0),0)</f>
        <v>0</v>
      </c>
      <c r="CJ127">
        <f ca="1">IFERROR(IF(AND(CJ$2&gt;INDEX(祝日!$J$2:$L$2,2),CJ$2&lt;INDEX(祝日!$J$3:$L$3,2),INDEX(祝日!$J$6:$L$305,MATCH(CJ$2,祝日!$H$6:$H$305,0),2)=0),1,0),0)</f>
        <v>0</v>
      </c>
      <c r="CK127">
        <f ca="1">IFERROR(IF(AND(CK$2&gt;INDEX(祝日!$J$2:$L$2,2),CK$2&lt;INDEX(祝日!$J$3:$L$3,2),INDEX(祝日!$J$6:$L$305,MATCH(CK$2,祝日!$H$6:$H$305,0),2)=0),1,0),0)</f>
        <v>0</v>
      </c>
      <c r="CL127">
        <f ca="1">IFERROR(IF(AND(CL$2&gt;INDEX(祝日!$J$2:$L$2,2),CL$2&lt;INDEX(祝日!$J$3:$L$3,2),INDEX(祝日!$J$6:$L$305,MATCH(CL$2,祝日!$H$6:$H$305,0),2)=0),1,0),0)</f>
        <v>0</v>
      </c>
      <c r="CM127">
        <f ca="1">IFERROR(IF(AND(CM$2&gt;INDEX(祝日!$J$2:$L$2,2),CM$2&lt;INDEX(祝日!$J$3:$L$3,2),INDEX(祝日!$J$6:$L$305,MATCH(CM$2,祝日!$H$6:$H$305,0),2)=0),1,0),0)</f>
        <v>0</v>
      </c>
      <c r="CN127">
        <f ca="1">IFERROR(IF(AND(CN$2&gt;INDEX(祝日!$J$2:$L$2,2),CN$2&lt;INDEX(祝日!$J$3:$L$3,2),INDEX(祝日!$J$6:$L$305,MATCH(CN$2,祝日!$H$6:$H$305,0),2)=0),1,0),0)</f>
        <v>0</v>
      </c>
      <c r="CO127">
        <f ca="1">IFERROR(IF(AND(CO$2&gt;INDEX(祝日!$J$2:$L$2,2),CO$2&lt;INDEX(祝日!$J$3:$L$3,2),INDEX(祝日!$J$6:$L$305,MATCH(CO$2,祝日!$H$6:$H$305,0),2)=0),1,0),0)</f>
        <v>0</v>
      </c>
      <c r="CP127">
        <f ca="1">IFERROR(IF(AND(CP$2&gt;INDEX(祝日!$J$2:$L$2,2),CP$2&lt;INDEX(祝日!$J$3:$L$3,2),INDEX(祝日!$J$6:$L$305,MATCH(CP$2,祝日!$H$6:$H$305,0),2)=0),1,0),0)</f>
        <v>0</v>
      </c>
      <c r="CQ127">
        <f ca="1">IFERROR(IF(AND(CQ$2&gt;INDEX(祝日!$J$2:$L$2,2),CQ$2&lt;INDEX(祝日!$J$3:$L$3,2),INDEX(祝日!$J$6:$L$305,MATCH(CQ$2,祝日!$H$6:$H$305,0),2)=0),1,0),0)</f>
        <v>0</v>
      </c>
      <c r="CR127">
        <f ca="1">IFERROR(IF(AND(CR$2&gt;INDEX(祝日!$J$2:$L$2,2),CR$2&lt;INDEX(祝日!$J$3:$L$3,2),INDEX(祝日!$J$6:$L$305,MATCH(CR$2,祝日!$H$6:$H$305,0),2)=0),1,0),0)</f>
        <v>0</v>
      </c>
      <c r="CS127">
        <f ca="1">IFERROR(IF(AND(CS$2&gt;INDEX(祝日!$J$2:$L$2,2),CS$2&lt;INDEX(祝日!$J$3:$L$3,2),INDEX(祝日!$J$6:$L$305,MATCH(CS$2,祝日!$H$6:$H$305,0),2)=0),1,0),0)</f>
        <v>0</v>
      </c>
      <c r="CT127">
        <f ca="1">IFERROR(IF(AND(CT$2&gt;INDEX(祝日!$J$2:$L$2,2),CT$2&lt;INDEX(祝日!$J$3:$L$3,2),INDEX(祝日!$J$6:$L$305,MATCH(CT$2,祝日!$H$6:$H$305,0),2)=0),1,0),0)</f>
        <v>0</v>
      </c>
      <c r="CU127">
        <f ca="1">IFERROR(IF(AND(CU$2&gt;INDEX(祝日!$J$2:$L$2,2),CU$2&lt;INDEX(祝日!$J$3:$L$3,2),INDEX(祝日!$J$6:$L$305,MATCH(CU$2,祝日!$H$6:$H$305,0),2)=0),1,0),0)</f>
        <v>0</v>
      </c>
      <c r="CV127">
        <f ca="1">IFERROR(IF(AND(CV$2&gt;INDEX(祝日!$J$2:$L$2,2),CV$2&lt;INDEX(祝日!$J$3:$L$3,2),INDEX(祝日!$J$6:$L$305,MATCH(CV$2,祝日!$H$6:$H$305,0),2)=0),1,0),0)</f>
        <v>0</v>
      </c>
      <c r="CW127">
        <f ca="1">IFERROR(IF(AND(CW$2&gt;INDEX(祝日!$J$2:$L$2,2),CW$2&lt;INDEX(祝日!$J$3:$L$3,2),INDEX(祝日!$J$6:$L$305,MATCH(CW$2,祝日!$H$6:$H$305,0),2)=0),1,0),0)</f>
        <v>0</v>
      </c>
      <c r="CX127">
        <f ca="1">IFERROR(IF(AND(CX$2&gt;INDEX(祝日!$J$2:$L$2,2),CX$2&lt;INDEX(祝日!$J$3:$L$3,2),INDEX(祝日!$J$6:$L$305,MATCH(CX$2,祝日!$H$6:$H$305,0),2)=0),1,0),0)</f>
        <v>0</v>
      </c>
      <c r="CY127">
        <f ca="1">IFERROR(IF(AND(CY$2&gt;INDEX(祝日!$J$2:$L$2,2),CY$2&lt;INDEX(祝日!$J$3:$L$3,2),INDEX(祝日!$J$6:$L$305,MATCH(CY$2,祝日!$H$6:$H$305,0),2)=0),1,0),0)</f>
        <v>0</v>
      </c>
      <c r="CZ127">
        <f ca="1">IFERROR(IF(AND(CZ$2&gt;INDEX(祝日!$J$2:$L$2,2),CZ$2&lt;INDEX(祝日!$J$3:$L$3,2),INDEX(祝日!$J$6:$L$305,MATCH(CZ$2,祝日!$H$6:$H$305,0),2)=0),1,0),0)</f>
        <v>0</v>
      </c>
      <c r="DA127">
        <f ca="1">IFERROR(IF(AND(DA$2&gt;INDEX(祝日!$J$2:$L$2,2),DA$2&lt;INDEX(祝日!$J$3:$L$3,2),INDEX(祝日!$J$6:$L$305,MATCH(DA$2,祝日!$H$6:$H$305,0),2)=0),1,0),0)</f>
        <v>0</v>
      </c>
      <c r="DB127">
        <f ca="1">IFERROR(IF(AND(DB$2&gt;INDEX(祝日!$J$2:$L$2,2),DB$2&lt;INDEX(祝日!$J$3:$L$3,2),INDEX(祝日!$J$6:$L$305,MATCH(DB$2,祝日!$H$6:$H$305,0),2)=0),1,0),0)</f>
        <v>0</v>
      </c>
      <c r="DC127">
        <f ca="1">IFERROR(IF(AND(DC$2&gt;INDEX(祝日!$J$2:$L$2,2),DC$2&lt;INDEX(祝日!$J$3:$L$3,2),INDEX(祝日!$J$6:$L$305,MATCH(DC$2,祝日!$H$6:$H$305,0),2)=0),1,0),0)</f>
        <v>0</v>
      </c>
      <c r="DD127">
        <f ca="1">IFERROR(IF(AND(DD$2&gt;INDEX(祝日!$J$2:$L$2,2),DD$2&lt;INDEX(祝日!$J$3:$L$3,2),INDEX(祝日!$J$6:$L$305,MATCH(DD$2,祝日!$H$6:$H$305,0),2)=0),1,0),0)</f>
        <v>0</v>
      </c>
      <c r="DE127">
        <f ca="1">IFERROR(IF(AND(DE$2&gt;INDEX(祝日!$J$2:$L$2,2),DE$2&lt;INDEX(祝日!$J$3:$L$3,2),INDEX(祝日!$J$6:$L$305,MATCH(DE$2,祝日!$H$6:$H$305,0),2)=0),1,0),0)</f>
        <v>0</v>
      </c>
      <c r="DF127">
        <f ca="1">IFERROR(IF(AND(DF$2&gt;INDEX(祝日!$J$2:$L$2,2),DF$2&lt;INDEX(祝日!$J$3:$L$3,2),INDEX(祝日!$J$6:$L$305,MATCH(DF$2,祝日!$H$6:$H$305,0),2)=0),1,0),0)</f>
        <v>0</v>
      </c>
      <c r="DG127">
        <f ca="1">IFERROR(IF(AND(DG$2&gt;INDEX(祝日!$J$2:$L$2,2),DG$2&lt;INDEX(祝日!$J$3:$L$3,2),INDEX(祝日!$J$6:$L$305,MATCH(DG$2,祝日!$H$6:$H$305,0),2)=0),1,0),0)</f>
        <v>0</v>
      </c>
      <c r="DH127">
        <f ca="1">IFERROR(IF(AND(DH$2&gt;INDEX(祝日!$J$2:$L$2,2),DH$2&lt;INDEX(祝日!$J$3:$L$3,2),INDEX(祝日!$J$6:$L$305,MATCH(DH$2,祝日!$H$6:$H$305,0),2)=0),1,0),0)</f>
        <v>0</v>
      </c>
      <c r="DI127">
        <f ca="1">IFERROR(IF(AND(DI$2&gt;INDEX(祝日!$J$2:$L$2,2),DI$2&lt;INDEX(祝日!$J$3:$L$3,2),INDEX(祝日!$J$6:$L$305,MATCH(DI$2,祝日!$H$6:$H$305,0),2)=0),1,0),0)</f>
        <v>0</v>
      </c>
      <c r="DJ127">
        <f ca="1">IFERROR(IF(AND(DJ$2&gt;INDEX(祝日!$J$2:$L$2,2),DJ$2&lt;INDEX(祝日!$J$3:$L$3,2),INDEX(祝日!$J$6:$L$305,MATCH(DJ$2,祝日!$H$6:$H$305,0),2)=0),1,0),0)</f>
        <v>0</v>
      </c>
      <c r="DK127">
        <f ca="1">IFERROR(IF(AND(DK$2&gt;INDEX(祝日!$J$2:$L$2,2),DK$2&lt;INDEX(祝日!$J$3:$L$3,2),INDEX(祝日!$J$6:$L$305,MATCH(DK$2,祝日!$H$6:$H$305,0),2)=0),1,0),0)</f>
        <v>0</v>
      </c>
      <c r="DL127">
        <f ca="1">IFERROR(IF(AND(DL$2&gt;INDEX(祝日!$J$2:$L$2,2),DL$2&lt;INDEX(祝日!$J$3:$L$3,2),INDEX(祝日!$J$6:$L$305,MATCH(DL$2,祝日!$H$6:$H$305,0),2)=0),1,0),0)</f>
        <v>0</v>
      </c>
      <c r="DM127">
        <f ca="1">IFERROR(IF(AND(DM$2&gt;INDEX(祝日!$J$2:$L$2,2),DM$2&lt;INDEX(祝日!$J$3:$L$3,2),INDEX(祝日!$J$6:$L$305,MATCH(DM$2,祝日!$H$6:$H$305,0),2)=0),1,0),0)</f>
        <v>0</v>
      </c>
      <c r="DN127">
        <f ca="1">IFERROR(IF(AND(DN$2&gt;INDEX(祝日!$J$2:$L$2,2),DN$2&lt;INDEX(祝日!$J$3:$L$3,2),INDEX(祝日!$J$6:$L$305,MATCH(DN$2,祝日!$H$6:$H$305,0),2)=0),1,0),0)</f>
        <v>0</v>
      </c>
      <c r="DO127">
        <f ca="1">IFERROR(IF(AND(DO$2&gt;INDEX(祝日!$J$2:$L$2,2),DO$2&lt;INDEX(祝日!$J$3:$L$3,2),INDEX(祝日!$J$6:$L$305,MATCH(DO$2,祝日!$H$6:$H$305,0),2)=0),1,0),0)</f>
        <v>0</v>
      </c>
      <c r="DP127">
        <f ca="1">IFERROR(IF(AND(DP$2&gt;INDEX(祝日!$J$2:$L$2,2),DP$2&lt;INDEX(祝日!$J$3:$L$3,2),INDEX(祝日!$J$6:$L$305,MATCH(DP$2,祝日!$H$6:$H$305,0),2)=0),1,0),0)</f>
        <v>0</v>
      </c>
      <c r="DQ127">
        <f ca="1">IFERROR(IF(AND(DQ$2&gt;INDEX(祝日!$J$2:$L$2,2),DQ$2&lt;INDEX(祝日!$J$3:$L$3,2),INDEX(祝日!$J$6:$L$305,MATCH(DQ$2,祝日!$H$6:$H$305,0),2)=0),1,0),0)</f>
        <v>0</v>
      </c>
      <c r="DR127">
        <f ca="1">IFERROR(IF(AND(DR$2&gt;INDEX(祝日!$J$2:$L$2,2),DR$2&lt;INDEX(祝日!$J$3:$L$3,2),INDEX(祝日!$J$6:$L$305,MATCH(DR$2,祝日!$H$6:$H$305,0),2)=0),1,0),0)</f>
        <v>0</v>
      </c>
      <c r="DS127">
        <f ca="1">IFERROR(IF(AND(DS$2&gt;INDEX(祝日!$J$2:$L$2,2),DS$2&lt;INDEX(祝日!$J$3:$L$3,2),INDEX(祝日!$J$6:$L$305,MATCH(DS$2,祝日!$H$6:$H$305,0),2)=0),1,0),0)</f>
        <v>0</v>
      </c>
      <c r="DT127">
        <f ca="1">IFERROR(IF(AND(DT$2&gt;INDEX(祝日!$J$2:$L$2,2),DT$2&lt;INDEX(祝日!$J$3:$L$3,2),INDEX(祝日!$J$6:$L$305,MATCH(DT$2,祝日!$H$6:$H$305,0),2)=0),1,0),0)</f>
        <v>0</v>
      </c>
      <c r="DU127">
        <f ca="1">IFERROR(IF(AND(DU$2&gt;INDEX(祝日!$J$2:$L$2,2),DU$2&lt;INDEX(祝日!$J$3:$L$3,2),INDEX(祝日!$J$6:$L$305,MATCH(DU$2,祝日!$H$6:$H$305,0),2)=0),1,0),0)</f>
        <v>0</v>
      </c>
      <c r="DV127">
        <f ca="1">IFERROR(IF(AND(DV$2&gt;INDEX(祝日!$J$2:$L$2,2),DV$2&lt;INDEX(祝日!$J$3:$L$3,2),INDEX(祝日!$J$6:$L$305,MATCH(DV$2,祝日!$H$6:$H$305,0),2)=0),1,0),0)</f>
        <v>0</v>
      </c>
      <c r="DW127">
        <f ca="1">IFERROR(IF(AND(DW$2&gt;INDEX(祝日!$J$2:$L$2,2),DW$2&lt;INDEX(祝日!$J$3:$L$3,2),INDEX(祝日!$J$6:$L$305,MATCH(DW$2,祝日!$H$6:$H$305,0),2)=0),1,0),0)</f>
        <v>0</v>
      </c>
      <c r="DX127">
        <f ca="1">IFERROR(IF(AND(DX$2&gt;INDEX(祝日!$J$2:$L$2,2),DX$2&lt;INDEX(祝日!$J$3:$L$3,2),INDEX(祝日!$J$6:$L$305,MATCH(DX$2,祝日!$H$6:$H$305,0),2)=0),1,0),0)</f>
        <v>0</v>
      </c>
      <c r="DY127">
        <f ca="1">IFERROR(IF(AND(DY$2&gt;INDEX(祝日!$J$2:$L$2,2),DY$2&lt;INDEX(祝日!$J$3:$L$3,2),INDEX(祝日!$J$6:$L$305,MATCH(DY$2,祝日!$H$6:$H$305,0),2)=0),1,0),0)</f>
        <v>0</v>
      </c>
      <c r="DZ127">
        <f ca="1">IFERROR(IF(AND(DZ$2&gt;INDEX(祝日!$J$2:$L$2,2),DZ$2&lt;INDEX(祝日!$J$3:$L$3,2),INDEX(祝日!$J$6:$L$305,MATCH(DZ$2,祝日!$H$6:$H$305,0),2)=0),1,0),0)</f>
        <v>0</v>
      </c>
      <c r="EA127">
        <f ca="1">IFERROR(IF(AND(EA$2&gt;INDEX(祝日!$J$2:$L$2,2),EA$2&lt;INDEX(祝日!$J$3:$L$3,2),INDEX(祝日!$J$6:$L$305,MATCH(EA$2,祝日!$H$6:$H$305,0),2)=0),1,0),0)</f>
        <v>0</v>
      </c>
      <c r="EB127">
        <f ca="1">IFERROR(IF(AND(EB$2&gt;INDEX(祝日!$J$2:$L$2,2),EB$2&lt;INDEX(祝日!$J$3:$L$3,2),INDEX(祝日!$J$6:$L$305,MATCH(EB$2,祝日!$H$6:$H$305,0),2)=0),1,0),0)</f>
        <v>0</v>
      </c>
      <c r="EC127">
        <f ca="1">IFERROR(IF(AND(EC$2&gt;INDEX(祝日!$J$2:$L$2,2),EC$2&lt;INDEX(祝日!$J$3:$L$3,2),INDEX(祝日!$J$6:$L$305,MATCH(EC$2,祝日!$H$6:$H$305,0),2)=0),1,0),0)</f>
        <v>0</v>
      </c>
      <c r="ED127">
        <f ca="1">IFERROR(IF(AND(ED$2&gt;INDEX(祝日!$J$2:$L$2,2),ED$2&lt;INDEX(祝日!$J$3:$L$3,2),INDEX(祝日!$J$6:$L$305,MATCH(ED$2,祝日!$H$6:$H$305,0),2)=0),1,0),0)</f>
        <v>0</v>
      </c>
      <c r="EE127">
        <f ca="1">IFERROR(IF(AND(EE$2&gt;INDEX(祝日!$J$2:$L$2,2),EE$2&lt;INDEX(祝日!$J$3:$L$3,2),INDEX(祝日!$J$6:$L$305,MATCH(EE$2,祝日!$H$6:$H$305,0),2)=0),1,0),0)</f>
        <v>0</v>
      </c>
      <c r="EF127">
        <f ca="1">IFERROR(IF(AND(EF$2&gt;INDEX(祝日!$J$2:$L$2,2),EF$2&lt;INDEX(祝日!$J$3:$L$3,2),INDEX(祝日!$J$6:$L$305,MATCH(EF$2,祝日!$H$6:$H$305,0),2)=0),1,0),0)</f>
        <v>0</v>
      </c>
      <c r="EG127">
        <f ca="1">IFERROR(IF(AND(EG$2&gt;INDEX(祝日!$J$2:$L$2,2),EG$2&lt;INDEX(祝日!$J$3:$L$3,2),INDEX(祝日!$J$6:$L$305,MATCH(EG$2,祝日!$H$6:$H$305,0),2)=0),1,0),0)</f>
        <v>0</v>
      </c>
      <c r="EH127">
        <f ca="1">IFERROR(IF(AND(EH$2&gt;INDEX(祝日!$J$2:$L$2,2),EH$2&lt;INDEX(祝日!$J$3:$L$3,2),INDEX(祝日!$J$6:$L$305,MATCH(EH$2,祝日!$H$6:$H$305,0),2)=0),1,0),0)</f>
        <v>0</v>
      </c>
      <c r="EI127">
        <f ca="1">IFERROR(IF(AND(EI$2&gt;INDEX(祝日!$J$2:$L$2,2),EI$2&lt;INDEX(祝日!$J$3:$L$3,2),INDEX(祝日!$J$6:$L$305,MATCH(EI$2,祝日!$H$6:$H$305,0),2)=0),1,0),0)</f>
        <v>0</v>
      </c>
      <c r="EJ127">
        <f ca="1">IFERROR(IF(AND(EJ$2&gt;INDEX(祝日!$J$2:$L$2,2),EJ$2&lt;INDEX(祝日!$J$3:$L$3,2),INDEX(祝日!$J$6:$L$305,MATCH(EJ$2,祝日!$H$6:$H$305,0),2)=0),1,0),0)</f>
        <v>0</v>
      </c>
      <c r="EK127">
        <f ca="1">IFERROR(IF(AND(EK$2&gt;INDEX(祝日!$J$2:$L$2,2),EK$2&lt;INDEX(祝日!$J$3:$L$3,2),INDEX(祝日!$J$6:$L$305,MATCH(EK$2,祝日!$H$6:$H$305,0),2)=0),1,0),0)</f>
        <v>0</v>
      </c>
      <c r="EL127">
        <f ca="1">IFERROR(IF(AND(EL$2&gt;INDEX(祝日!$J$2:$L$2,2),EL$2&lt;INDEX(祝日!$J$3:$L$3,2),INDEX(祝日!$J$6:$L$305,MATCH(EL$2,祝日!$H$6:$H$305,0),2)=0),1,0),0)</f>
        <v>0</v>
      </c>
      <c r="EM127">
        <f ca="1">IFERROR(IF(AND(EM$2&gt;INDEX(祝日!$J$2:$L$2,2),EM$2&lt;INDEX(祝日!$J$3:$L$3,2),INDEX(祝日!$J$6:$L$305,MATCH(EM$2,祝日!$H$6:$H$305,0),2)=0),1,0),0)</f>
        <v>0</v>
      </c>
      <c r="EN127">
        <f ca="1">IFERROR(IF(AND(EN$2&gt;INDEX(祝日!$J$2:$L$2,2),EN$2&lt;INDEX(祝日!$J$3:$L$3,2),INDEX(祝日!$J$6:$L$305,MATCH(EN$2,祝日!$H$6:$H$305,0),2)=0),1,0),0)</f>
        <v>0</v>
      </c>
      <c r="EO127">
        <f ca="1">IFERROR(IF(AND(EO$2&gt;INDEX(祝日!$J$2:$L$2,2),EO$2&lt;INDEX(祝日!$J$3:$L$3,2),INDEX(祝日!$J$6:$L$305,MATCH(EO$2,祝日!$H$6:$H$305,0),2)=0),1,0),0)</f>
        <v>0</v>
      </c>
      <c r="EP127">
        <f ca="1">IFERROR(IF(AND(EP$2&gt;INDEX(祝日!$J$2:$L$2,2),EP$2&lt;INDEX(祝日!$J$3:$L$3,2),INDEX(祝日!$J$6:$L$305,MATCH(EP$2,祝日!$H$6:$H$305,0),2)=0),1,0),0)</f>
        <v>0</v>
      </c>
      <c r="EQ127">
        <f ca="1">IFERROR(IF(AND(EQ$2&gt;INDEX(祝日!$J$2:$L$2,2),EQ$2&lt;INDEX(祝日!$J$3:$L$3,2),INDEX(祝日!$J$6:$L$305,MATCH(EQ$2,祝日!$H$6:$H$305,0),2)=0),1,0),0)</f>
        <v>0</v>
      </c>
      <c r="ER127">
        <f ca="1">IFERROR(IF(AND(ER$2&gt;INDEX(祝日!$J$2:$L$2,2),ER$2&lt;INDEX(祝日!$J$3:$L$3,2),INDEX(祝日!$J$6:$L$305,MATCH(ER$2,祝日!$H$6:$H$305,0),2)=0),1,0),0)</f>
        <v>0</v>
      </c>
      <c r="ES127">
        <f ca="1">IFERROR(IF(AND(ES$2&gt;INDEX(祝日!$J$2:$L$2,2),ES$2&lt;INDEX(祝日!$J$3:$L$3,2),INDEX(祝日!$J$6:$L$305,MATCH(ES$2,祝日!$H$6:$H$305,0),2)=0),1,0),0)</f>
        <v>0</v>
      </c>
      <c r="ET127">
        <f ca="1">IFERROR(IF(AND(ET$2&gt;INDEX(祝日!$J$2:$L$2,2),ET$2&lt;INDEX(祝日!$J$3:$L$3,2),INDEX(祝日!$J$6:$L$305,MATCH(ET$2,祝日!$H$6:$H$305,0),2)=0),1,0),0)</f>
        <v>0</v>
      </c>
      <c r="EU127">
        <f ca="1">IFERROR(IF(AND(EU$2&gt;INDEX(祝日!$J$2:$L$2,2),EU$2&lt;INDEX(祝日!$J$3:$L$3,2),INDEX(祝日!$J$6:$L$305,MATCH(EU$2,祝日!$H$6:$H$305,0),2)=0),1,0),0)</f>
        <v>0</v>
      </c>
      <c r="EV127">
        <f ca="1">IFERROR(IF(AND(EV$2&gt;INDEX(祝日!$J$2:$L$2,2),EV$2&lt;INDEX(祝日!$J$3:$L$3,2),INDEX(祝日!$J$6:$L$305,MATCH(EV$2,祝日!$H$6:$H$305,0),2)=0),1,0),0)</f>
        <v>0</v>
      </c>
      <c r="EW127">
        <f ca="1">IFERROR(IF(AND(EW$2&gt;INDEX(祝日!$J$2:$L$2,2),EW$2&lt;INDEX(祝日!$J$3:$L$3,2),INDEX(祝日!$J$6:$L$305,MATCH(EW$2,祝日!$H$6:$H$305,0),2)=0),1,0),0)</f>
        <v>0</v>
      </c>
      <c r="EX127">
        <f ca="1">IFERROR(IF(AND(EX$2&gt;INDEX(祝日!$J$2:$L$2,2),EX$2&lt;INDEX(祝日!$J$3:$L$3,2),INDEX(祝日!$J$6:$L$305,MATCH(EX$2,祝日!$H$6:$H$305,0),2)=0),1,0),0)</f>
        <v>0</v>
      </c>
      <c r="EY127">
        <f ca="1">IFERROR(IF(AND(EY$2&gt;INDEX(祝日!$J$2:$L$2,2),EY$2&lt;INDEX(祝日!$J$3:$L$3,2),INDEX(祝日!$J$6:$L$305,MATCH(EY$2,祝日!$H$6:$H$305,0),2)=0),1,0),0)</f>
        <v>0</v>
      </c>
      <c r="EZ127">
        <f ca="1">IFERROR(IF(AND(EZ$2&gt;INDEX(祝日!$J$2:$L$2,2),EZ$2&lt;INDEX(祝日!$J$3:$L$3,2),INDEX(祝日!$J$6:$L$305,MATCH(EZ$2,祝日!$H$6:$H$305,0),2)=0),1,0),0)</f>
        <v>0</v>
      </c>
      <c r="FA127">
        <f ca="1">IFERROR(IF(AND(FA$2&gt;INDEX(祝日!$J$2:$L$2,2),FA$2&lt;INDEX(祝日!$J$3:$L$3,2),INDEX(祝日!$J$6:$L$305,MATCH(FA$2,祝日!$H$6:$H$305,0),2)=0),1,0),0)</f>
        <v>0</v>
      </c>
      <c r="FB127">
        <f ca="1">IFERROR(IF(AND(FB$2&gt;INDEX(祝日!$J$2:$L$2,2),FB$2&lt;INDEX(祝日!$J$3:$L$3,2),INDEX(祝日!$J$6:$L$305,MATCH(FB$2,祝日!$H$6:$H$305,0),2)=0),1,0),0)</f>
        <v>0</v>
      </c>
      <c r="FC127">
        <f ca="1">IFERROR(IF(AND(FC$2&gt;INDEX(祝日!$J$2:$L$2,2),FC$2&lt;INDEX(祝日!$J$3:$L$3,2),INDEX(祝日!$J$6:$L$305,MATCH(FC$2,祝日!$H$6:$H$305,0),2)=0),1,0),0)</f>
        <v>0</v>
      </c>
      <c r="FD127">
        <f ca="1">IFERROR(IF(AND(FD$2&gt;INDEX(祝日!$J$2:$L$2,2),FD$2&lt;INDEX(祝日!$J$3:$L$3,2),INDEX(祝日!$J$6:$L$305,MATCH(FD$2,祝日!$H$6:$H$305,0),2)=0),1,0),0)</f>
        <v>0</v>
      </c>
      <c r="FE127">
        <f ca="1">IFERROR(IF(AND(FE$2&gt;INDEX(祝日!$J$2:$L$2,2),FE$2&lt;INDEX(祝日!$J$3:$L$3,2),INDEX(祝日!$J$6:$L$305,MATCH(FE$2,祝日!$H$6:$H$305,0),2)=0),1,0),0)</f>
        <v>0</v>
      </c>
      <c r="FF127">
        <f ca="1">IFERROR(IF(AND(FF$2&gt;INDEX(祝日!$J$2:$L$2,2),FF$2&lt;INDEX(祝日!$J$3:$L$3,2),INDEX(祝日!$J$6:$L$305,MATCH(FF$2,祝日!$H$6:$H$305,0),2)=0),1,0),0)</f>
        <v>0</v>
      </c>
      <c r="FG127">
        <f ca="1">IFERROR(IF(AND(FG$2&gt;INDEX(祝日!$J$2:$L$2,2),FG$2&lt;INDEX(祝日!$J$3:$L$3,2),INDEX(祝日!$J$6:$L$305,MATCH(FG$2,祝日!$H$6:$H$305,0),2)=0),1,0),0)</f>
        <v>0</v>
      </c>
      <c r="FH127">
        <f ca="1">IFERROR(IF(AND(FH$2&gt;INDEX(祝日!$J$2:$L$2,2),FH$2&lt;INDEX(祝日!$J$3:$L$3,2),INDEX(祝日!$J$6:$L$305,MATCH(FH$2,祝日!$H$6:$H$305,0),2)=0),1,0),0)</f>
        <v>0</v>
      </c>
      <c r="FI127">
        <f ca="1">IFERROR(IF(AND(FI$2&gt;INDEX(祝日!$J$2:$L$2,2),FI$2&lt;INDEX(祝日!$J$3:$L$3,2),INDEX(祝日!$J$6:$L$305,MATCH(FI$2,祝日!$H$6:$H$305,0),2)=0),1,0),0)</f>
        <v>0</v>
      </c>
      <c r="FJ127">
        <f ca="1">IFERROR(IF(AND(FJ$2&gt;INDEX(祝日!$J$2:$L$2,2),FJ$2&lt;INDEX(祝日!$J$3:$L$3,2),INDEX(祝日!$J$6:$L$305,MATCH(FJ$2,祝日!$H$6:$H$305,0),2)=0),1,0),0)</f>
        <v>0</v>
      </c>
      <c r="FK127">
        <f ca="1">IFERROR(IF(AND(FK$2&gt;INDEX(祝日!$J$2:$L$2,2),FK$2&lt;INDEX(祝日!$J$3:$L$3,2),INDEX(祝日!$J$6:$L$305,MATCH(FK$2,祝日!$H$6:$H$305,0),2)=0),1,0),0)</f>
        <v>0</v>
      </c>
      <c r="FL127">
        <f ca="1">IFERROR(IF(AND(FL$2&gt;INDEX(祝日!$J$2:$L$2,2),FL$2&lt;INDEX(祝日!$J$3:$L$3,2),INDEX(祝日!$J$6:$L$305,MATCH(FL$2,祝日!$H$6:$H$305,0),2)=0),1,0),0)</f>
        <v>0</v>
      </c>
      <c r="FM127">
        <f ca="1">IFERROR(IF(AND(FM$2&gt;INDEX(祝日!$J$2:$L$2,2),FM$2&lt;INDEX(祝日!$J$3:$L$3,2),INDEX(祝日!$J$6:$L$305,MATCH(FM$2,祝日!$H$6:$H$305,0),2)=0),1,0),0)</f>
        <v>0</v>
      </c>
      <c r="FN127">
        <f ca="1">IFERROR(IF(AND(FN$2&gt;INDEX(祝日!$J$2:$L$2,2),FN$2&lt;INDEX(祝日!$J$3:$L$3,2),INDEX(祝日!$J$6:$L$305,MATCH(FN$2,祝日!$H$6:$H$305,0),2)=0),1,0),0)</f>
        <v>0</v>
      </c>
      <c r="FO127">
        <f ca="1">IFERROR(IF(AND(FO$2&gt;INDEX(祝日!$J$2:$L$2,2),FO$2&lt;INDEX(祝日!$J$3:$L$3,2),INDEX(祝日!$J$6:$L$305,MATCH(FO$2,祝日!$H$6:$H$305,0),2)=0),1,0),0)</f>
        <v>0</v>
      </c>
      <c r="FP127">
        <f ca="1">IFERROR(IF(AND(FP$2&gt;INDEX(祝日!$J$2:$L$2,2),FP$2&lt;INDEX(祝日!$J$3:$L$3,2),INDEX(祝日!$J$6:$L$305,MATCH(FP$2,祝日!$H$6:$H$305,0),2)=0),1,0),0)</f>
        <v>0</v>
      </c>
      <c r="FQ127">
        <f ca="1">IFERROR(IF(AND(FQ$2&gt;INDEX(祝日!$J$2:$L$2,2),FQ$2&lt;INDEX(祝日!$J$3:$L$3,2),INDEX(祝日!$J$6:$L$305,MATCH(FQ$2,祝日!$H$6:$H$305,0),2)=0),1,0),0)</f>
        <v>0</v>
      </c>
      <c r="FR127">
        <f ca="1">IFERROR(IF(AND(FR$2&gt;INDEX(祝日!$J$2:$L$2,2),FR$2&lt;INDEX(祝日!$J$3:$L$3,2),INDEX(祝日!$J$6:$L$305,MATCH(FR$2,祝日!$H$6:$H$305,0),2)=0),1,0),0)</f>
        <v>0</v>
      </c>
      <c r="FS127">
        <f ca="1">IFERROR(IF(AND(FS$2&gt;INDEX(祝日!$J$2:$L$2,2),FS$2&lt;INDEX(祝日!$J$3:$L$3,2),INDEX(祝日!$J$6:$L$305,MATCH(FS$2,祝日!$H$6:$H$305,0),2)=0),1,0),0)</f>
        <v>0</v>
      </c>
      <c r="FT127">
        <f ca="1">IFERROR(IF(AND(FT$2&gt;INDEX(祝日!$J$2:$L$2,2),FT$2&lt;INDEX(祝日!$J$3:$L$3,2),INDEX(祝日!$J$6:$L$305,MATCH(FT$2,祝日!$H$6:$H$305,0),2)=0),1,0),0)</f>
        <v>0</v>
      </c>
      <c r="FU127">
        <f ca="1">IFERROR(IF(AND(FU$2&gt;INDEX(祝日!$J$2:$L$2,2),FU$2&lt;INDEX(祝日!$J$3:$L$3,2),INDEX(祝日!$J$6:$L$305,MATCH(FU$2,祝日!$H$6:$H$305,0),2)=0),1,0),0)</f>
        <v>0</v>
      </c>
      <c r="FV127">
        <f ca="1">IFERROR(IF(AND(FV$2&gt;INDEX(祝日!$J$2:$L$2,2),FV$2&lt;INDEX(祝日!$J$3:$L$3,2),INDEX(祝日!$J$6:$L$305,MATCH(FV$2,祝日!$H$6:$H$305,0),2)=0),1,0),0)</f>
        <v>0</v>
      </c>
      <c r="FW127">
        <f ca="1">IFERROR(IF(AND(FW$2&gt;INDEX(祝日!$J$2:$L$2,2),FW$2&lt;INDEX(祝日!$J$3:$L$3,2),INDEX(祝日!$J$6:$L$305,MATCH(FW$2,祝日!$H$6:$H$305,0),2)=0),1,0),0)</f>
        <v>0</v>
      </c>
      <c r="FX127">
        <f ca="1">IFERROR(IF(AND(FX$2&gt;INDEX(祝日!$J$2:$L$2,2),FX$2&lt;INDEX(祝日!$J$3:$L$3,2),INDEX(祝日!$J$6:$L$305,MATCH(FX$2,祝日!$H$6:$H$305,0),2)=0),1,0),0)</f>
        <v>0</v>
      </c>
      <c r="FY127">
        <f ca="1">IFERROR(IF(AND(FY$2&gt;INDEX(祝日!$J$2:$L$2,2),FY$2&lt;INDEX(祝日!$J$3:$L$3,2),INDEX(祝日!$J$6:$L$305,MATCH(FY$2,祝日!$H$6:$H$305,0),2)=0),1,0),0)</f>
        <v>0</v>
      </c>
      <c r="FZ127">
        <f ca="1">IFERROR(IF(AND(FZ$2&gt;INDEX(祝日!$J$2:$L$2,2),FZ$2&lt;INDEX(祝日!$J$3:$L$3,2),INDEX(祝日!$J$6:$L$305,MATCH(FZ$2,祝日!$H$6:$H$305,0),2)=0),1,0),0)</f>
        <v>0</v>
      </c>
      <c r="GA127">
        <f ca="1">IFERROR(IF(AND(GA$2&gt;INDEX(祝日!$J$2:$L$2,2),GA$2&lt;INDEX(祝日!$J$3:$L$3,2),INDEX(祝日!$J$6:$L$305,MATCH(GA$2,祝日!$H$6:$H$305,0),2)=0),1,0),0)</f>
        <v>0</v>
      </c>
      <c r="GB127">
        <f ca="1">IFERROR(IF(AND(GB$2&gt;INDEX(祝日!$J$2:$L$2,2),GB$2&lt;INDEX(祝日!$J$3:$L$3,2),INDEX(祝日!$J$6:$L$305,MATCH(GB$2,祝日!$H$6:$H$305,0),2)=0),1,0),0)</f>
        <v>0</v>
      </c>
      <c r="GC127">
        <f ca="1">IFERROR(IF(AND(GC$2&gt;INDEX(祝日!$J$2:$L$2,2),GC$2&lt;INDEX(祝日!$J$3:$L$3,2),INDEX(祝日!$J$6:$L$305,MATCH(GC$2,祝日!$H$6:$H$305,0),2)=0),1,0),0)</f>
        <v>0</v>
      </c>
      <c r="GD127">
        <f ca="1">IFERROR(IF(AND(GD$2&gt;INDEX(祝日!$J$2:$L$2,2),GD$2&lt;INDEX(祝日!$J$3:$L$3,2),INDEX(祝日!$J$6:$L$305,MATCH(GD$2,祝日!$H$6:$H$305,0),2)=0),1,0),0)</f>
        <v>0</v>
      </c>
      <c r="GE127">
        <f ca="1">IFERROR(IF(AND(GE$2&gt;INDEX(祝日!$J$2:$L$2,2),GE$2&lt;INDEX(祝日!$J$3:$L$3,2),INDEX(祝日!$J$6:$L$305,MATCH(GE$2,祝日!$H$6:$H$305,0),2)=0),1,0),0)</f>
        <v>0</v>
      </c>
      <c r="GF127">
        <f ca="1">IFERROR(IF(AND(GF$2&gt;INDEX(祝日!$J$2:$L$2,2),GF$2&lt;INDEX(祝日!$J$3:$L$3,2),INDEX(祝日!$J$6:$L$305,MATCH(GF$2,祝日!$H$6:$H$305,0),2)=0),1,0),0)</f>
        <v>0</v>
      </c>
      <c r="GG127">
        <f ca="1">IFERROR(IF(AND(GG$2&gt;INDEX(祝日!$J$2:$L$2,2),GG$2&lt;INDEX(祝日!$J$3:$L$3,2),INDEX(祝日!$J$6:$L$305,MATCH(GG$2,祝日!$H$6:$H$305,0),2)=0),1,0),0)</f>
        <v>0</v>
      </c>
      <c r="GH127">
        <f ca="1">IFERROR(IF(AND(GH$2&gt;INDEX(祝日!$J$2:$L$2,2),GH$2&lt;INDEX(祝日!$J$3:$L$3,2),INDEX(祝日!$J$6:$L$305,MATCH(GH$2,祝日!$H$6:$H$305,0),2)=0),1,0),0)</f>
        <v>0</v>
      </c>
      <c r="GI127">
        <f ca="1">IFERROR(IF(AND(GI$2&gt;INDEX(祝日!$J$2:$L$2,2),GI$2&lt;INDEX(祝日!$J$3:$L$3,2),INDEX(祝日!$J$6:$L$305,MATCH(GI$2,祝日!$H$6:$H$305,0),2)=0),1,0),0)</f>
        <v>0</v>
      </c>
      <c r="GJ127">
        <f ca="1">IFERROR(IF(AND(GJ$2&gt;INDEX(祝日!$J$2:$L$2,2),GJ$2&lt;INDEX(祝日!$J$3:$L$3,2),INDEX(祝日!$J$6:$L$305,MATCH(GJ$2,祝日!$H$6:$H$305,0),2)=0),1,0),0)</f>
        <v>0</v>
      </c>
      <c r="GK127">
        <f ca="1">IFERROR(IF(AND(GK$2&gt;INDEX(祝日!$J$2:$L$2,2),GK$2&lt;INDEX(祝日!$J$3:$L$3,2),INDEX(祝日!$J$6:$L$305,MATCH(GK$2,祝日!$H$6:$H$305,0),2)=0),1,0),0)</f>
        <v>0</v>
      </c>
      <c r="GL127">
        <f ca="1">IFERROR(IF(AND(GL$2&gt;INDEX(祝日!$J$2:$L$2,2),GL$2&lt;INDEX(祝日!$J$3:$L$3,2),INDEX(祝日!$J$6:$L$305,MATCH(GL$2,祝日!$H$6:$H$305,0),2)=0),1,0),0)</f>
        <v>0</v>
      </c>
      <c r="GM127">
        <f ca="1">IFERROR(IF(AND(GM$2&gt;INDEX(祝日!$J$2:$L$2,2),GM$2&lt;INDEX(祝日!$J$3:$L$3,2),INDEX(祝日!$J$6:$L$305,MATCH(GM$2,祝日!$H$6:$H$305,0),2)=0),1,0),0)</f>
        <v>0</v>
      </c>
      <c r="GN127">
        <f ca="1">IFERROR(IF(AND(GN$2&gt;INDEX(祝日!$J$2:$L$2,2),GN$2&lt;INDEX(祝日!$J$3:$L$3,2),INDEX(祝日!$J$6:$L$305,MATCH(GN$2,祝日!$H$6:$H$305,0),2)=0),1,0),0)</f>
        <v>0</v>
      </c>
      <c r="GO127">
        <f ca="1">IFERROR(IF(AND(GO$2&gt;INDEX(祝日!$J$2:$L$2,2),GO$2&lt;INDEX(祝日!$J$3:$L$3,2),INDEX(祝日!$J$6:$L$305,MATCH(GO$2,祝日!$H$6:$H$305,0),2)=0),1,0),0)</f>
        <v>0</v>
      </c>
      <c r="GP127">
        <f ca="1">IFERROR(IF(AND(GP$2&gt;INDEX(祝日!$J$2:$L$2,2),GP$2&lt;INDEX(祝日!$J$3:$L$3,2),INDEX(祝日!$J$6:$L$305,MATCH(GP$2,祝日!$H$6:$H$305,0),2)=0),1,0),0)</f>
        <v>0</v>
      </c>
      <c r="GQ127">
        <f ca="1">IFERROR(IF(AND(GQ$2&gt;INDEX(祝日!$J$2:$L$2,2),GQ$2&lt;INDEX(祝日!$J$3:$L$3,2),INDEX(祝日!$J$6:$L$305,MATCH(GQ$2,祝日!$H$6:$H$305,0),2)=0),1,0),0)</f>
        <v>0</v>
      </c>
      <c r="GR127">
        <f ca="1">IFERROR(IF(AND(GR$2&gt;INDEX(祝日!$J$2:$L$2,2),GR$2&lt;INDEX(祝日!$J$3:$L$3,2),INDEX(祝日!$J$6:$L$305,MATCH(GR$2,祝日!$H$6:$H$305,0),2)=0),1,0),0)</f>
        <v>0</v>
      </c>
      <c r="GS127">
        <f ca="1">IFERROR(IF(AND(GS$2&gt;INDEX(祝日!$J$2:$L$2,2),GS$2&lt;INDEX(祝日!$J$3:$L$3,2),INDEX(祝日!$J$6:$L$305,MATCH(GS$2,祝日!$H$6:$H$305,0),2)=0),1,0),0)</f>
        <v>0</v>
      </c>
      <c r="GT127">
        <f ca="1">IFERROR(IF(AND(GT$2&gt;INDEX(祝日!$J$2:$L$2,2),GT$2&lt;INDEX(祝日!$J$3:$L$3,2),INDEX(祝日!$J$6:$L$305,MATCH(GT$2,祝日!$H$6:$H$305,0),2)=0),1,0),0)</f>
        <v>0</v>
      </c>
      <c r="GU127">
        <f ca="1">IFERROR(IF(AND(GU$2&gt;INDEX(祝日!$J$2:$L$2,2),GU$2&lt;INDEX(祝日!$J$3:$L$3,2),INDEX(祝日!$J$6:$L$305,MATCH(GU$2,祝日!$H$6:$H$305,0),2)=0),1,0),0)</f>
        <v>0</v>
      </c>
      <c r="GV127">
        <f ca="1">IFERROR(IF(AND(GV$2&gt;INDEX(祝日!$J$2:$L$2,2),GV$2&lt;INDEX(祝日!$J$3:$L$3,2),INDEX(祝日!$J$6:$L$305,MATCH(GV$2,祝日!$H$6:$H$305,0),2)=0),1,0),0)</f>
        <v>0</v>
      </c>
      <c r="GW127">
        <f ca="1">IFERROR(IF(AND(GW$2&gt;INDEX(祝日!$J$2:$L$2,2),GW$2&lt;INDEX(祝日!$J$3:$L$3,2),INDEX(祝日!$J$6:$L$305,MATCH(GW$2,祝日!$H$6:$H$305,0),2)=0),1,0),0)</f>
        <v>0</v>
      </c>
      <c r="GX127">
        <f ca="1">IFERROR(IF(AND(GX$2&gt;INDEX(祝日!$J$2:$L$2,2),GX$2&lt;INDEX(祝日!$J$3:$L$3,2),INDEX(祝日!$J$6:$L$305,MATCH(GX$2,祝日!$H$6:$H$305,0),2)=0),1,0),0)</f>
        <v>0</v>
      </c>
      <c r="GY127">
        <f ca="1">IFERROR(IF(AND(GY$2&gt;INDEX(祝日!$J$2:$L$2,2),GY$2&lt;INDEX(祝日!$J$3:$L$3,2),INDEX(祝日!$J$6:$L$305,MATCH(GY$2,祝日!$H$6:$H$305,0),2)=0),1,0),0)</f>
        <v>0</v>
      </c>
      <c r="GZ127">
        <f ca="1">IFERROR(IF(AND(GZ$2&gt;INDEX(祝日!$J$2:$L$2,2),GZ$2&lt;INDEX(祝日!$J$3:$L$3,2),INDEX(祝日!$J$6:$L$305,MATCH(GZ$2,祝日!$H$6:$H$305,0),2)=0),1,0),0)</f>
        <v>0</v>
      </c>
      <c r="HA127">
        <f ca="1">IFERROR(IF(AND(HA$2&gt;INDEX(祝日!$J$2:$L$2,2),HA$2&lt;INDEX(祝日!$J$3:$L$3,2),INDEX(祝日!$J$6:$L$305,MATCH(HA$2,祝日!$H$6:$H$305,0),2)=0),1,0),0)</f>
        <v>0</v>
      </c>
      <c r="HB127">
        <f ca="1">IFERROR(IF(AND(HB$2&gt;INDEX(祝日!$J$2:$L$2,2),HB$2&lt;INDEX(祝日!$J$3:$L$3,2),INDEX(祝日!$J$6:$L$305,MATCH(HB$2,祝日!$H$6:$H$305,0),2)=0),1,0),0)</f>
        <v>0</v>
      </c>
      <c r="HC127">
        <f ca="1">IFERROR(IF(AND(HC$2&gt;INDEX(祝日!$J$2:$L$2,2),HC$2&lt;INDEX(祝日!$J$3:$L$3,2),INDEX(祝日!$J$6:$L$305,MATCH(HC$2,祝日!$H$6:$H$305,0),2)=0),1,0),0)</f>
        <v>0</v>
      </c>
      <c r="HD127">
        <f ca="1">IFERROR(IF(AND(HD$2&gt;INDEX(祝日!$J$2:$L$2,2),HD$2&lt;INDEX(祝日!$J$3:$L$3,2),INDEX(祝日!$J$6:$L$305,MATCH(HD$2,祝日!$H$6:$H$305,0),2)=0),1,0),0)</f>
        <v>0</v>
      </c>
      <c r="HE127">
        <f ca="1">IFERROR(IF(AND(HE$2&gt;INDEX(祝日!$J$2:$L$2,2),HE$2&lt;INDEX(祝日!$J$3:$L$3,2),INDEX(祝日!$J$6:$L$305,MATCH(HE$2,祝日!$H$6:$H$305,0),2)=0),1,0),0)</f>
        <v>0</v>
      </c>
      <c r="HF127">
        <f ca="1">IFERROR(IF(AND(HF$2&gt;INDEX(祝日!$J$2:$L$2,2),HF$2&lt;INDEX(祝日!$J$3:$L$3,2),INDEX(祝日!$J$6:$L$305,MATCH(HF$2,祝日!$H$6:$H$305,0),2)=0),1,0),0)</f>
        <v>0</v>
      </c>
      <c r="HG127">
        <f ca="1">IFERROR(IF(AND(HG$2&gt;INDEX(祝日!$J$2:$L$2,2),HG$2&lt;INDEX(祝日!$J$3:$L$3,2),INDEX(祝日!$J$6:$L$305,MATCH(HG$2,祝日!$H$6:$H$305,0),2)=0),1,0),0)</f>
        <v>0</v>
      </c>
      <c r="HH127">
        <f ca="1">IFERROR(IF(AND(HH$2&gt;INDEX(祝日!$J$2:$L$2,2),HH$2&lt;INDEX(祝日!$J$3:$L$3,2),INDEX(祝日!$J$6:$L$305,MATCH(HH$2,祝日!$H$6:$H$305,0),2)=0),1,0),0)</f>
        <v>0</v>
      </c>
      <c r="HI127">
        <f ca="1">IFERROR(IF(AND(HI$2&gt;INDEX(祝日!$J$2:$L$2,2),HI$2&lt;INDEX(祝日!$J$3:$L$3,2),INDEX(祝日!$J$6:$L$305,MATCH(HI$2,祝日!$H$6:$H$305,0),2)=0),1,0),0)</f>
        <v>0</v>
      </c>
      <c r="HJ127">
        <f ca="1">IFERROR(IF(AND(HJ$2&gt;INDEX(祝日!$J$2:$L$2,2),HJ$2&lt;INDEX(祝日!$J$3:$L$3,2),INDEX(祝日!$J$6:$L$305,MATCH(HJ$2,祝日!$H$6:$H$305,0),2)=0),1,0),0)</f>
        <v>0</v>
      </c>
      <c r="HK127">
        <f ca="1">IFERROR(IF(AND(HK$2&gt;INDEX(祝日!$J$2:$L$2,2),HK$2&lt;INDEX(祝日!$J$3:$L$3,2),INDEX(祝日!$J$6:$L$305,MATCH(HK$2,祝日!$H$6:$H$305,0),2)=0),1,0),0)</f>
        <v>0</v>
      </c>
      <c r="HL127">
        <f ca="1">IFERROR(IF(AND(HL$2&gt;INDEX(祝日!$J$2:$L$2,2),HL$2&lt;INDEX(祝日!$J$3:$L$3,2),INDEX(祝日!$J$6:$L$305,MATCH(HL$2,祝日!$H$6:$H$305,0),2)=0),1,0),0)</f>
        <v>0</v>
      </c>
      <c r="HM127">
        <f ca="1">IFERROR(IF(AND(HM$2&gt;INDEX(祝日!$J$2:$L$2,2),HM$2&lt;INDEX(祝日!$J$3:$L$3,2),INDEX(祝日!$J$6:$L$305,MATCH(HM$2,祝日!$H$6:$H$305,0),2)=0),1,0),0)</f>
        <v>0</v>
      </c>
      <c r="HN127">
        <f ca="1">IFERROR(IF(AND(HN$2&gt;INDEX(祝日!$J$2:$L$2,2),HN$2&lt;INDEX(祝日!$J$3:$L$3,2),INDEX(祝日!$J$6:$L$305,MATCH(HN$2,祝日!$H$6:$H$305,0),2)=0),1,0),0)</f>
        <v>0</v>
      </c>
      <c r="HO127">
        <f ca="1">IFERROR(IF(AND(HO$2&gt;INDEX(祝日!$J$2:$L$2,2),HO$2&lt;INDEX(祝日!$J$3:$L$3,2),INDEX(祝日!$J$6:$L$305,MATCH(HO$2,祝日!$H$6:$H$305,0),2)=0),1,0),0)</f>
        <v>0</v>
      </c>
      <c r="HP127">
        <f ca="1">IFERROR(IF(AND(HP$2&gt;INDEX(祝日!$J$2:$L$2,2),HP$2&lt;INDEX(祝日!$J$3:$L$3,2),INDEX(祝日!$J$6:$L$305,MATCH(HP$2,祝日!$H$6:$H$305,0),2)=0),1,0),0)</f>
        <v>0</v>
      </c>
      <c r="HQ127">
        <f ca="1">IFERROR(IF(AND(HQ$2&gt;INDEX(祝日!$J$2:$L$2,2),HQ$2&lt;INDEX(祝日!$J$3:$L$3,2),INDEX(祝日!$J$6:$L$305,MATCH(HQ$2,祝日!$H$6:$H$305,0),2)=0),1,0),0)</f>
        <v>0</v>
      </c>
      <c r="HR127">
        <f ca="1">IFERROR(IF(AND(HR$2&gt;INDEX(祝日!$J$2:$L$2,2),HR$2&lt;INDEX(祝日!$J$3:$L$3,2),INDEX(祝日!$J$6:$L$305,MATCH(HR$2,祝日!$H$6:$H$305,0),2)=0),1,0),0)</f>
        <v>0</v>
      </c>
      <c r="HS127">
        <f ca="1">IFERROR(IF(AND(HS$2&gt;INDEX(祝日!$J$2:$L$2,2),HS$2&lt;INDEX(祝日!$J$3:$L$3,2),INDEX(祝日!$J$6:$L$305,MATCH(HS$2,祝日!$H$6:$H$305,0),2)=0),1,0),0)</f>
        <v>0</v>
      </c>
      <c r="HT127">
        <f ca="1">IFERROR(IF(AND(HT$2&gt;INDEX(祝日!$J$2:$L$2,2),HT$2&lt;INDEX(祝日!$J$3:$L$3,2),INDEX(祝日!$J$6:$L$305,MATCH(HT$2,祝日!$H$6:$H$305,0),2)=0),1,0),0)</f>
        <v>0</v>
      </c>
      <c r="HU127">
        <f ca="1">IFERROR(IF(AND(HU$2&gt;INDEX(祝日!$J$2:$L$2,2),HU$2&lt;INDEX(祝日!$J$3:$L$3,2),INDEX(祝日!$J$6:$L$305,MATCH(HU$2,祝日!$H$6:$H$305,0),2)=0),1,0),0)</f>
        <v>0</v>
      </c>
      <c r="HV127">
        <f ca="1">IFERROR(IF(AND(HV$2&gt;INDEX(祝日!$J$2:$L$2,2),HV$2&lt;INDEX(祝日!$J$3:$L$3,2),INDEX(祝日!$J$6:$L$305,MATCH(HV$2,祝日!$H$6:$H$305,0),2)=0),1,0),0)</f>
        <v>0</v>
      </c>
      <c r="HW127">
        <f ca="1">IFERROR(IF(AND(HW$2&gt;INDEX(祝日!$J$2:$L$2,2),HW$2&lt;INDEX(祝日!$J$3:$L$3,2),INDEX(祝日!$J$6:$L$305,MATCH(HW$2,祝日!$H$6:$H$305,0),2)=0),1,0),0)</f>
        <v>0</v>
      </c>
      <c r="HX127">
        <f ca="1">IFERROR(IF(AND(HX$2&gt;INDEX(祝日!$J$2:$L$2,2),HX$2&lt;INDEX(祝日!$J$3:$L$3,2),INDEX(祝日!$J$6:$L$305,MATCH(HX$2,祝日!$H$6:$H$305,0),2)=0),1,0),0)</f>
        <v>0</v>
      </c>
      <c r="HY127">
        <f ca="1">IFERROR(IF(AND(HY$2&gt;INDEX(祝日!$J$2:$L$2,2),HY$2&lt;INDEX(祝日!$J$3:$L$3,2),INDEX(祝日!$J$6:$L$305,MATCH(HY$2,祝日!$H$6:$H$305,0),2)=0),1,0),0)</f>
        <v>0</v>
      </c>
      <c r="HZ127">
        <f ca="1">IFERROR(IF(AND(HZ$2&gt;INDEX(祝日!$J$2:$L$2,2),HZ$2&lt;INDEX(祝日!$J$3:$L$3,2),INDEX(祝日!$J$6:$L$305,MATCH(HZ$2,祝日!$H$6:$H$305,0),2)=0),1,0),0)</f>
        <v>0</v>
      </c>
      <c r="IA127">
        <f ca="1">IFERROR(IF(AND(IA$2&gt;INDEX(祝日!$J$2:$L$2,2),IA$2&lt;INDEX(祝日!$J$3:$L$3,2),INDEX(祝日!$J$6:$L$305,MATCH(IA$2,祝日!$H$6:$H$305,0),2)=0),1,0),0)</f>
        <v>0</v>
      </c>
      <c r="IB127">
        <f ca="1">IFERROR(IF(AND(IB$2&gt;INDEX(祝日!$J$2:$L$2,2),IB$2&lt;INDEX(祝日!$J$3:$L$3,2),INDEX(祝日!$J$6:$L$305,MATCH(IB$2,祝日!$H$6:$H$305,0),2)=0),1,0),0)</f>
        <v>0</v>
      </c>
      <c r="IC127">
        <f ca="1">IFERROR(IF(AND(IC$2&gt;INDEX(祝日!$J$2:$L$2,2),IC$2&lt;INDEX(祝日!$J$3:$L$3,2),INDEX(祝日!$J$6:$L$305,MATCH(IC$2,祝日!$H$6:$H$305,0),2)=0),1,0),0)</f>
        <v>0</v>
      </c>
      <c r="ID127">
        <f ca="1">IFERROR(IF(AND(ID$2&gt;INDEX(祝日!$J$2:$L$2,2),ID$2&lt;INDEX(祝日!$J$3:$L$3,2),INDEX(祝日!$J$6:$L$305,MATCH(ID$2,祝日!$H$6:$H$305,0),2)=0),1,0),0)</f>
        <v>0</v>
      </c>
      <c r="IE127">
        <f ca="1">IFERROR(IF(AND(IE$2&gt;INDEX(祝日!$J$2:$L$2,2),IE$2&lt;INDEX(祝日!$J$3:$L$3,2),INDEX(祝日!$J$6:$L$305,MATCH(IE$2,祝日!$H$6:$H$305,0),2)=0),1,0),0)</f>
        <v>0</v>
      </c>
      <c r="IF127">
        <f ca="1">IFERROR(IF(AND(IF$2&gt;INDEX(祝日!$J$2:$L$2,2),IF$2&lt;INDEX(祝日!$J$3:$L$3,2),INDEX(祝日!$J$6:$L$305,MATCH(IF$2,祝日!$H$6:$H$305,0),2)=0),1,0),0)</f>
        <v>0</v>
      </c>
      <c r="IG127">
        <f ca="1">IFERROR(IF(AND(IG$2&gt;INDEX(祝日!$J$2:$L$2,2),IG$2&lt;INDEX(祝日!$J$3:$L$3,2),INDEX(祝日!$J$6:$L$305,MATCH(IG$2,祝日!$H$6:$H$305,0),2)=0),1,0),0)</f>
        <v>0</v>
      </c>
      <c r="IH127">
        <f ca="1">IFERROR(IF(AND(IH$2&gt;INDEX(祝日!$J$2:$L$2,2),IH$2&lt;INDEX(祝日!$J$3:$L$3,2),INDEX(祝日!$J$6:$L$305,MATCH(IH$2,祝日!$H$6:$H$305,0),2)=0),1,0),0)</f>
        <v>0</v>
      </c>
      <c r="II127">
        <f ca="1">IFERROR(IF(AND(II$2&gt;INDEX(祝日!$J$2:$L$2,2),II$2&lt;INDEX(祝日!$J$3:$L$3,2),INDEX(祝日!$J$6:$L$305,MATCH(II$2,祝日!$H$6:$H$305,0),2)=0),1,0),0)</f>
        <v>0</v>
      </c>
      <c r="IJ127">
        <f ca="1">IFERROR(IF(AND(IJ$2&gt;INDEX(祝日!$J$2:$L$2,2),IJ$2&lt;INDEX(祝日!$J$3:$L$3,2),INDEX(祝日!$J$6:$L$305,MATCH(IJ$2,祝日!$H$6:$H$305,0),2)=0),1,0),0)</f>
        <v>0</v>
      </c>
      <c r="IK127">
        <f ca="1">IFERROR(IF(AND(IK$2&gt;INDEX(祝日!$J$2:$L$2,2),IK$2&lt;INDEX(祝日!$J$3:$L$3,2),INDEX(祝日!$J$6:$L$305,MATCH(IK$2,祝日!$H$6:$H$305,0),2)=0),1,0),0)</f>
        <v>0</v>
      </c>
      <c r="IL127">
        <f ca="1">IFERROR(IF(AND(IL$2&gt;INDEX(祝日!$J$2:$L$2,2),IL$2&lt;INDEX(祝日!$J$3:$L$3,2),INDEX(祝日!$J$6:$L$305,MATCH(IL$2,祝日!$H$6:$H$305,0),2)=0),1,0),0)</f>
        <v>0</v>
      </c>
      <c r="IM127">
        <f ca="1">IFERROR(IF(AND(IM$2&gt;INDEX(祝日!$J$2:$L$2,2),IM$2&lt;INDEX(祝日!$J$3:$L$3,2),INDEX(祝日!$J$6:$L$305,MATCH(IM$2,祝日!$H$6:$H$305,0),2)=0),1,0),0)</f>
        <v>0</v>
      </c>
      <c r="IN127">
        <f ca="1">IFERROR(IF(AND(IN$2&gt;INDEX(祝日!$J$2:$L$2,2),IN$2&lt;INDEX(祝日!$J$3:$L$3,2),INDEX(祝日!$J$6:$L$305,MATCH(IN$2,祝日!$H$6:$H$305,0),2)=0),1,0),0)</f>
        <v>0</v>
      </c>
      <c r="IO127">
        <f ca="1">IFERROR(IF(AND(IO$2&gt;INDEX(祝日!$J$2:$L$2,2),IO$2&lt;INDEX(祝日!$J$3:$L$3,2),INDEX(祝日!$J$6:$L$305,MATCH(IO$2,祝日!$H$6:$H$305,0),2)=0),1,0),0)</f>
        <v>0</v>
      </c>
      <c r="IP127">
        <f ca="1">IFERROR(IF(AND(IP$2&gt;INDEX(祝日!$J$2:$L$2,2),IP$2&lt;INDEX(祝日!$J$3:$L$3,2),INDEX(祝日!$J$6:$L$305,MATCH(IP$2,祝日!$H$6:$H$305,0),2)=0),1,0),0)</f>
        <v>0</v>
      </c>
      <c r="IQ127">
        <f ca="1">IFERROR(IF(AND(IQ$2&gt;INDEX(祝日!$J$2:$L$2,2),IQ$2&lt;INDEX(祝日!$J$3:$L$3,2),INDEX(祝日!$J$6:$L$305,MATCH(IQ$2,祝日!$H$6:$H$305,0),2)=0),1,0),0)</f>
        <v>0</v>
      </c>
      <c r="IR127">
        <f ca="1">IFERROR(IF(AND(IR$2&gt;INDEX(祝日!$J$2:$L$2,2),IR$2&lt;INDEX(祝日!$J$3:$L$3,2),INDEX(祝日!$J$6:$L$305,MATCH(IR$2,祝日!$H$6:$H$305,0),2)=0),1,0),0)</f>
        <v>0</v>
      </c>
      <c r="IS127">
        <f ca="1">IFERROR(IF(AND(IS$2&gt;INDEX(祝日!$J$2:$L$2,2),IS$2&lt;INDEX(祝日!$J$3:$L$3,2),INDEX(祝日!$J$6:$L$305,MATCH(IS$2,祝日!$H$6:$H$305,0),2)=0),1,0),0)</f>
        <v>0</v>
      </c>
      <c r="IT127">
        <f ca="1">IFERROR(IF(AND(IT$2&gt;INDEX(祝日!$J$2:$L$2,2),IT$2&lt;INDEX(祝日!$J$3:$L$3,2),INDEX(祝日!$J$6:$L$305,MATCH(IT$2,祝日!$H$6:$H$305,0),2)=0),1,0),0)</f>
        <v>0</v>
      </c>
      <c r="IU127">
        <f ca="1">IFERROR(IF(AND(IU$2&gt;INDEX(祝日!$J$2:$L$2,2),IU$2&lt;INDEX(祝日!$J$3:$L$3,2),INDEX(祝日!$J$6:$L$305,MATCH(IU$2,祝日!$H$6:$H$305,0),2)=0),1,0),0)</f>
        <v>0</v>
      </c>
      <c r="IV127">
        <f ca="1">IFERROR(IF(AND(IV$2&gt;INDEX(祝日!$J$2:$L$2,2),IV$2&lt;INDEX(祝日!$J$3:$L$3,2),INDEX(祝日!$J$6:$L$305,MATCH(IV$2,祝日!$H$6:$H$305,0),2)=0),1,0),0)</f>
        <v>0</v>
      </c>
      <c r="IW127">
        <f ca="1">IFERROR(IF(AND(IW$2&gt;INDEX(祝日!$J$2:$L$2,2),IW$2&lt;INDEX(祝日!$J$3:$L$3,2),INDEX(祝日!$J$6:$L$305,MATCH(IW$2,祝日!$H$6:$H$305,0),2)=0),1,0),0)</f>
        <v>0</v>
      </c>
      <c r="IX127">
        <f ca="1">IFERROR(IF(AND(IX$2&gt;INDEX(祝日!$J$2:$L$2,2),IX$2&lt;INDEX(祝日!$J$3:$L$3,2),INDEX(祝日!$J$6:$L$305,MATCH(IX$2,祝日!$H$6:$H$305,0),2)=0),1,0),0)</f>
        <v>0</v>
      </c>
      <c r="IY127">
        <f ca="1">IFERROR(IF(AND(IY$2&gt;INDEX(祝日!$J$2:$L$2,2),IY$2&lt;INDEX(祝日!$J$3:$L$3,2),INDEX(祝日!$J$6:$L$305,MATCH(IY$2,祝日!$H$6:$H$305,0),2)=0),1,0),0)</f>
        <v>0</v>
      </c>
      <c r="IZ127">
        <f ca="1">IFERROR(IF(AND(IZ$2&gt;INDEX(祝日!$J$2:$L$2,2),IZ$2&lt;INDEX(祝日!$J$3:$L$3,2),INDEX(祝日!$J$6:$L$305,MATCH(IZ$2,祝日!$H$6:$H$305,0),2)=0),1,0),0)</f>
        <v>0</v>
      </c>
      <c r="JA127">
        <f ca="1">IFERROR(IF(AND(JA$2&gt;INDEX(祝日!$J$2:$L$2,2),JA$2&lt;INDEX(祝日!$J$3:$L$3,2),INDEX(祝日!$J$6:$L$305,MATCH(JA$2,祝日!$H$6:$H$305,0),2)=0),1,0),0)</f>
        <v>0</v>
      </c>
      <c r="JB127">
        <f ca="1">IFERROR(IF(AND(JB$2&gt;INDEX(祝日!$J$2:$L$2,2),JB$2&lt;INDEX(祝日!$J$3:$L$3,2),INDEX(祝日!$J$6:$L$305,MATCH(JB$2,祝日!$H$6:$H$305,0),2)=0),1,0),0)</f>
        <v>0</v>
      </c>
      <c r="JC127">
        <f ca="1">IFERROR(IF(AND(JC$2&gt;INDEX(祝日!$J$2:$L$2,2),JC$2&lt;INDEX(祝日!$J$3:$L$3,2),INDEX(祝日!$J$6:$L$305,MATCH(JC$2,祝日!$H$6:$H$305,0),2)=0),1,0),0)</f>
        <v>0</v>
      </c>
      <c r="JD127">
        <f ca="1">IFERROR(IF(AND(JD$2&gt;INDEX(祝日!$J$2:$L$2,2),JD$2&lt;INDEX(祝日!$J$3:$L$3,2),INDEX(祝日!$J$6:$L$305,MATCH(JD$2,祝日!$H$6:$H$305,0),2)=0),1,0),0)</f>
        <v>0</v>
      </c>
      <c r="JE127">
        <f ca="1">IFERROR(IF(AND(JE$2&gt;INDEX(祝日!$J$2:$L$2,2),JE$2&lt;INDEX(祝日!$J$3:$L$3,2),INDEX(祝日!$J$6:$L$305,MATCH(JE$2,祝日!$H$6:$H$305,0),2)=0),1,0),0)</f>
        <v>0</v>
      </c>
      <c r="JF127">
        <f ca="1">IFERROR(IF(AND(JF$2&gt;INDEX(祝日!$J$2:$L$2,2),JF$2&lt;INDEX(祝日!$J$3:$L$3,2),INDEX(祝日!$J$6:$L$305,MATCH(JF$2,祝日!$H$6:$H$305,0),2)=0),1,0),0)</f>
        <v>0</v>
      </c>
      <c r="JG127">
        <f ca="1">IFERROR(IF(AND(JG$2&gt;INDEX(祝日!$J$2:$L$2,2),JG$2&lt;INDEX(祝日!$J$3:$L$3,2),INDEX(祝日!$J$6:$L$305,MATCH(JG$2,祝日!$H$6:$H$305,0),2)=0),1,0),0)</f>
        <v>0</v>
      </c>
      <c r="JH127">
        <f ca="1">IFERROR(IF(AND(JH$2&gt;INDEX(祝日!$J$2:$L$2,2),JH$2&lt;INDEX(祝日!$J$3:$L$3,2),INDEX(祝日!$J$6:$L$305,MATCH(JH$2,祝日!$H$6:$H$305,0),2)=0),1,0),0)</f>
        <v>0</v>
      </c>
      <c r="JI127">
        <f ca="1">IFERROR(IF(AND(JI$2&gt;INDEX(祝日!$J$2:$L$2,2),JI$2&lt;INDEX(祝日!$J$3:$L$3,2),INDEX(祝日!$J$6:$L$305,MATCH(JI$2,祝日!$H$6:$H$305,0),2)=0),1,0),0)</f>
        <v>0</v>
      </c>
    </row>
    <row r="128" spans="1:273" ht="13.5" hidden="1" x14ac:dyDescent="0.15">
      <c r="A128" t="s">
        <v>5</v>
      </c>
      <c r="AD128">
        <f ca="1">IFERROR(IF(AND(AD$2&gt;INDEX(祝日!$J$2:$L$2,3),AD$2&lt;INDEX(祝日!$J$3:$L$3,3),INDEX(祝日!$J$6:$L$305,MATCH(AD$2,祝日!$H$6:$H$305,0),3)=0),1,0),0)</f>
        <v>0</v>
      </c>
      <c r="AE128">
        <f ca="1">IFERROR(IF(AND(AE$2&gt;INDEX(祝日!$J$2:$L$2,3),AE$2&lt;INDEX(祝日!$J$3:$L$3,3),INDEX(祝日!$J$6:$L$305,MATCH(AE$2,祝日!$H$6:$H$305,0),3)=0),1,0),0)</f>
        <v>0</v>
      </c>
      <c r="AF128">
        <f ca="1">IFERROR(IF(AND(AF$2&gt;INDEX(祝日!$J$2:$L$2,3),AF$2&lt;INDEX(祝日!$J$3:$L$3,3),INDEX(祝日!$J$6:$L$305,MATCH(AF$2,祝日!$H$6:$H$305,0),3)=0),1,0),0)</f>
        <v>0</v>
      </c>
      <c r="AG128">
        <f ca="1">IFERROR(IF(AND(AG$2&gt;INDEX(祝日!$J$2:$L$2,3),AG$2&lt;INDEX(祝日!$J$3:$L$3,3),INDEX(祝日!$J$6:$L$305,MATCH(AG$2,祝日!$H$6:$H$305,0),3)=0),1,0),0)</f>
        <v>0</v>
      </c>
      <c r="AH128">
        <f ca="1">IFERROR(IF(AND(AH$2&gt;INDEX(祝日!$J$2:$L$2,3),AH$2&lt;INDEX(祝日!$J$3:$L$3,3),INDEX(祝日!$J$6:$L$305,MATCH(AH$2,祝日!$H$6:$H$305,0),3)=0),1,0),0)</f>
        <v>0</v>
      </c>
      <c r="AI128">
        <f ca="1">IFERROR(IF(AND(AI$2&gt;INDEX(祝日!$J$2:$L$2,3),AI$2&lt;INDEX(祝日!$J$3:$L$3,3),INDEX(祝日!$J$6:$L$305,MATCH(AI$2,祝日!$H$6:$H$305,0),3)=0),1,0),0)</f>
        <v>0</v>
      </c>
      <c r="AJ128">
        <f ca="1">IFERROR(IF(AND(AJ$2&gt;INDEX(祝日!$J$2:$L$2,3),AJ$2&lt;INDEX(祝日!$J$3:$L$3,3),INDEX(祝日!$J$6:$L$305,MATCH(AJ$2,祝日!$H$6:$H$305,0),3)=0),1,0),0)</f>
        <v>0</v>
      </c>
      <c r="AK128">
        <f ca="1">IFERROR(IF(AND(AK$2&gt;INDEX(祝日!$J$2:$L$2,3),AK$2&lt;INDEX(祝日!$J$3:$L$3,3),INDEX(祝日!$J$6:$L$305,MATCH(AK$2,祝日!$H$6:$H$305,0),3)=0),1,0),0)</f>
        <v>0</v>
      </c>
      <c r="AL128">
        <f ca="1">IFERROR(IF(AND(AL$2&gt;INDEX(祝日!$J$2:$L$2,3),AL$2&lt;INDEX(祝日!$J$3:$L$3,3),INDEX(祝日!$J$6:$L$305,MATCH(AL$2,祝日!$H$6:$H$305,0),3)=0),1,0),0)</f>
        <v>0</v>
      </c>
      <c r="AM128">
        <f ca="1">IFERROR(IF(AND(AM$2&gt;INDEX(祝日!$J$2:$L$2,3),AM$2&lt;INDEX(祝日!$J$3:$L$3,3),INDEX(祝日!$J$6:$L$305,MATCH(AM$2,祝日!$H$6:$H$305,0),3)=0),1,0),0)</f>
        <v>0</v>
      </c>
      <c r="AN128">
        <f ca="1">IFERROR(IF(AND(AN$2&gt;INDEX(祝日!$J$2:$L$2,3),AN$2&lt;INDEX(祝日!$J$3:$L$3,3),INDEX(祝日!$J$6:$L$305,MATCH(AN$2,祝日!$H$6:$H$305,0),3)=0),1,0),0)</f>
        <v>0</v>
      </c>
      <c r="AO128">
        <f ca="1">IFERROR(IF(AND(AO$2&gt;INDEX(祝日!$J$2:$L$2,3),AO$2&lt;INDEX(祝日!$J$3:$L$3,3),INDEX(祝日!$J$6:$L$305,MATCH(AO$2,祝日!$H$6:$H$305,0),3)=0),1,0),0)</f>
        <v>0</v>
      </c>
      <c r="AP128">
        <f ca="1">IFERROR(IF(AND(AP$2&gt;INDEX(祝日!$J$2:$L$2,3),AP$2&lt;INDEX(祝日!$J$3:$L$3,3),INDEX(祝日!$J$6:$L$305,MATCH(AP$2,祝日!$H$6:$H$305,0),3)=0),1,0),0)</f>
        <v>0</v>
      </c>
      <c r="AQ128">
        <f ca="1">IFERROR(IF(AND(AQ$2&gt;INDEX(祝日!$J$2:$L$2,3),AQ$2&lt;INDEX(祝日!$J$3:$L$3,3),INDEX(祝日!$J$6:$L$305,MATCH(AQ$2,祝日!$H$6:$H$305,0),3)=0),1,0),0)</f>
        <v>0</v>
      </c>
      <c r="AR128">
        <f ca="1">IFERROR(IF(AND(AR$2&gt;INDEX(祝日!$J$2:$L$2,3),AR$2&lt;INDEX(祝日!$J$3:$L$3,3),INDEX(祝日!$J$6:$L$305,MATCH(AR$2,祝日!$H$6:$H$305,0),3)=0),1,0),0)</f>
        <v>0</v>
      </c>
      <c r="AS128">
        <f ca="1">IFERROR(IF(AND(AS$2&gt;INDEX(祝日!$J$2:$L$2,3),AS$2&lt;INDEX(祝日!$J$3:$L$3,3),INDEX(祝日!$J$6:$L$305,MATCH(AS$2,祝日!$H$6:$H$305,0),3)=0),1,0),0)</f>
        <v>0</v>
      </c>
      <c r="AT128">
        <f ca="1">IFERROR(IF(AND(AT$2&gt;INDEX(祝日!$J$2:$L$2,3),AT$2&lt;INDEX(祝日!$J$3:$L$3,3),INDEX(祝日!$J$6:$L$305,MATCH(AT$2,祝日!$H$6:$H$305,0),3)=0),1,0),0)</f>
        <v>0</v>
      </c>
      <c r="AU128">
        <f ca="1">IFERROR(IF(AND(AU$2&gt;INDEX(祝日!$J$2:$L$2,3),AU$2&lt;INDEX(祝日!$J$3:$L$3,3),INDEX(祝日!$J$6:$L$305,MATCH(AU$2,祝日!$H$6:$H$305,0),3)=0),1,0),0)</f>
        <v>0</v>
      </c>
      <c r="AV128">
        <f ca="1">IFERROR(IF(AND(AV$2&gt;INDEX(祝日!$J$2:$L$2,3),AV$2&lt;INDEX(祝日!$J$3:$L$3,3),INDEX(祝日!$J$6:$L$305,MATCH(AV$2,祝日!$H$6:$H$305,0),3)=0),1,0),0)</f>
        <v>0</v>
      </c>
      <c r="AW128">
        <f ca="1">IFERROR(IF(AND(AW$2&gt;INDEX(祝日!$J$2:$L$2,3),AW$2&lt;INDEX(祝日!$J$3:$L$3,3),INDEX(祝日!$J$6:$L$305,MATCH(AW$2,祝日!$H$6:$H$305,0),3)=0),1,0),0)</f>
        <v>0</v>
      </c>
      <c r="AX128">
        <f ca="1">IFERROR(IF(AND(AX$2&gt;INDEX(祝日!$J$2:$L$2,3),AX$2&lt;INDEX(祝日!$J$3:$L$3,3),INDEX(祝日!$J$6:$L$305,MATCH(AX$2,祝日!$H$6:$H$305,0),3)=0),1,0),0)</f>
        <v>0</v>
      </c>
      <c r="AY128">
        <f ca="1">IFERROR(IF(AND(AY$2&gt;INDEX(祝日!$J$2:$L$2,3),AY$2&lt;INDEX(祝日!$J$3:$L$3,3),INDEX(祝日!$J$6:$L$305,MATCH(AY$2,祝日!$H$6:$H$305,0),3)=0),1,0),0)</f>
        <v>0</v>
      </c>
      <c r="AZ128">
        <f ca="1">IFERROR(IF(AND(AZ$2&gt;INDEX(祝日!$J$2:$L$2,3),AZ$2&lt;INDEX(祝日!$J$3:$L$3,3),INDEX(祝日!$J$6:$L$305,MATCH(AZ$2,祝日!$H$6:$H$305,0),3)=0),1,0),0)</f>
        <v>0</v>
      </c>
      <c r="BA128">
        <f ca="1">IFERROR(IF(AND(BA$2&gt;INDEX(祝日!$J$2:$L$2,3),BA$2&lt;INDEX(祝日!$J$3:$L$3,3),INDEX(祝日!$J$6:$L$305,MATCH(BA$2,祝日!$H$6:$H$305,0),3)=0),1,0),0)</f>
        <v>0</v>
      </c>
      <c r="BB128">
        <f ca="1">IFERROR(IF(AND(BB$2&gt;INDEX(祝日!$J$2:$L$2,3),BB$2&lt;INDEX(祝日!$J$3:$L$3,3),INDEX(祝日!$J$6:$L$305,MATCH(BB$2,祝日!$H$6:$H$305,0),3)=0),1,0),0)</f>
        <v>0</v>
      </c>
      <c r="BC128">
        <f ca="1">IFERROR(IF(AND(BC$2&gt;INDEX(祝日!$J$2:$L$2,3),BC$2&lt;INDEX(祝日!$J$3:$L$3,3),INDEX(祝日!$J$6:$L$305,MATCH(BC$2,祝日!$H$6:$H$305,0),3)=0),1,0),0)</f>
        <v>0</v>
      </c>
      <c r="BD128">
        <f ca="1">IFERROR(IF(AND(BD$2&gt;INDEX(祝日!$J$2:$L$2,3),BD$2&lt;INDEX(祝日!$J$3:$L$3,3),INDEX(祝日!$J$6:$L$305,MATCH(BD$2,祝日!$H$6:$H$305,0),3)=0),1,0),0)</f>
        <v>0</v>
      </c>
      <c r="BE128">
        <f ca="1">IFERROR(IF(AND(BE$2&gt;INDEX(祝日!$J$2:$L$2,3),BE$2&lt;INDEX(祝日!$J$3:$L$3,3),INDEX(祝日!$J$6:$L$305,MATCH(BE$2,祝日!$H$6:$H$305,0),3)=0),1,0),0)</f>
        <v>0</v>
      </c>
      <c r="BF128">
        <f ca="1">IFERROR(IF(AND(BF$2&gt;INDEX(祝日!$J$2:$L$2,3),BF$2&lt;INDEX(祝日!$J$3:$L$3,3),INDEX(祝日!$J$6:$L$305,MATCH(BF$2,祝日!$H$6:$H$305,0),3)=0),1,0),0)</f>
        <v>0</v>
      </c>
      <c r="BG128">
        <f ca="1">IFERROR(IF(AND(BG$2&gt;INDEX(祝日!$J$2:$L$2,3),BG$2&lt;INDEX(祝日!$J$3:$L$3,3),INDEX(祝日!$J$6:$L$305,MATCH(BG$2,祝日!$H$6:$H$305,0),3)=0),1,0),0)</f>
        <v>0</v>
      </c>
      <c r="BH128">
        <f ca="1">IFERROR(IF(AND(BH$2&gt;INDEX(祝日!$J$2:$L$2,3),BH$2&lt;INDEX(祝日!$J$3:$L$3,3),INDEX(祝日!$J$6:$L$305,MATCH(BH$2,祝日!$H$6:$H$305,0),3)=0),1,0),0)</f>
        <v>0</v>
      </c>
      <c r="BI128">
        <f ca="1">IFERROR(IF(AND(BI$2&gt;INDEX(祝日!$J$2:$L$2,3),BI$2&lt;INDEX(祝日!$J$3:$L$3,3),INDEX(祝日!$J$6:$L$305,MATCH(BI$2,祝日!$H$6:$H$305,0),3)=0),1,0),0)</f>
        <v>0</v>
      </c>
      <c r="BJ128">
        <f ca="1">IFERROR(IF(AND(BJ$2&gt;INDEX(祝日!$J$2:$L$2,3),BJ$2&lt;INDEX(祝日!$J$3:$L$3,3),INDEX(祝日!$J$6:$L$305,MATCH(BJ$2,祝日!$H$6:$H$305,0),3)=0),1,0),0)</f>
        <v>0</v>
      </c>
      <c r="BK128">
        <f ca="1">IFERROR(IF(AND(BK$2&gt;INDEX(祝日!$J$2:$L$2,3),BK$2&lt;INDEX(祝日!$J$3:$L$3,3),INDEX(祝日!$J$6:$L$305,MATCH(BK$2,祝日!$H$6:$H$305,0),3)=0),1,0),0)</f>
        <v>0</v>
      </c>
      <c r="BL128">
        <f ca="1">IFERROR(IF(AND(BL$2&gt;INDEX(祝日!$J$2:$L$2,3),BL$2&lt;INDEX(祝日!$J$3:$L$3,3),INDEX(祝日!$J$6:$L$305,MATCH(BL$2,祝日!$H$6:$H$305,0),3)=0),1,0),0)</f>
        <v>0</v>
      </c>
      <c r="BM128">
        <f ca="1">IFERROR(IF(AND(BM$2&gt;INDEX(祝日!$J$2:$L$2,3),BM$2&lt;INDEX(祝日!$J$3:$L$3,3),INDEX(祝日!$J$6:$L$305,MATCH(BM$2,祝日!$H$6:$H$305,0),3)=0),1,0),0)</f>
        <v>0</v>
      </c>
      <c r="BN128">
        <f ca="1">IFERROR(IF(AND(BN$2&gt;INDEX(祝日!$J$2:$L$2,3),BN$2&lt;INDEX(祝日!$J$3:$L$3,3),INDEX(祝日!$J$6:$L$305,MATCH(BN$2,祝日!$H$6:$H$305,0),3)=0),1,0),0)</f>
        <v>0</v>
      </c>
      <c r="BO128">
        <f ca="1">IFERROR(IF(AND(BO$2&gt;INDEX(祝日!$J$2:$L$2,3),BO$2&lt;INDEX(祝日!$J$3:$L$3,3),INDEX(祝日!$J$6:$L$305,MATCH(BO$2,祝日!$H$6:$H$305,0),3)=0),1,0),0)</f>
        <v>0</v>
      </c>
      <c r="BP128">
        <f ca="1">IFERROR(IF(AND(BP$2&gt;INDEX(祝日!$J$2:$L$2,3),BP$2&lt;INDEX(祝日!$J$3:$L$3,3),INDEX(祝日!$J$6:$L$305,MATCH(BP$2,祝日!$H$6:$H$305,0),3)=0),1,0),0)</f>
        <v>0</v>
      </c>
      <c r="BQ128">
        <f ca="1">IFERROR(IF(AND(BQ$2&gt;INDEX(祝日!$J$2:$L$2,3),BQ$2&lt;INDEX(祝日!$J$3:$L$3,3),INDEX(祝日!$J$6:$L$305,MATCH(BQ$2,祝日!$H$6:$H$305,0),3)=0),1,0),0)</f>
        <v>0</v>
      </c>
      <c r="BR128">
        <f ca="1">IFERROR(IF(AND(BR$2&gt;INDEX(祝日!$J$2:$L$2,3),BR$2&lt;INDEX(祝日!$J$3:$L$3,3),INDEX(祝日!$J$6:$L$305,MATCH(BR$2,祝日!$H$6:$H$305,0),3)=0),1,0),0)</f>
        <v>0</v>
      </c>
      <c r="BS128">
        <f ca="1">IFERROR(IF(AND(BS$2&gt;INDEX(祝日!$J$2:$L$2,3),BS$2&lt;INDEX(祝日!$J$3:$L$3,3),INDEX(祝日!$J$6:$L$305,MATCH(BS$2,祝日!$H$6:$H$305,0),3)=0),1,0),0)</f>
        <v>0</v>
      </c>
      <c r="BT128">
        <f ca="1">IFERROR(IF(AND(BT$2&gt;INDEX(祝日!$J$2:$L$2,3),BT$2&lt;INDEX(祝日!$J$3:$L$3,3),INDEX(祝日!$J$6:$L$305,MATCH(BT$2,祝日!$H$6:$H$305,0),3)=0),1,0),0)</f>
        <v>0</v>
      </c>
      <c r="BU128">
        <f ca="1">IFERROR(IF(AND(BU$2&gt;INDEX(祝日!$J$2:$L$2,3),BU$2&lt;INDEX(祝日!$J$3:$L$3,3),INDEX(祝日!$J$6:$L$305,MATCH(BU$2,祝日!$H$6:$H$305,0),3)=0),1,0),0)</f>
        <v>0</v>
      </c>
      <c r="BV128">
        <f ca="1">IFERROR(IF(AND(BV$2&gt;INDEX(祝日!$J$2:$L$2,3),BV$2&lt;INDEX(祝日!$J$3:$L$3,3),INDEX(祝日!$J$6:$L$305,MATCH(BV$2,祝日!$H$6:$H$305,0),3)=0),1,0),0)</f>
        <v>0</v>
      </c>
      <c r="BW128">
        <f ca="1">IFERROR(IF(AND(BW$2&gt;INDEX(祝日!$J$2:$L$2,3),BW$2&lt;INDEX(祝日!$J$3:$L$3,3),INDEX(祝日!$J$6:$L$305,MATCH(BW$2,祝日!$H$6:$H$305,0),3)=0),1,0),0)</f>
        <v>0</v>
      </c>
      <c r="BX128">
        <f ca="1">IFERROR(IF(AND(BX$2&gt;INDEX(祝日!$J$2:$L$2,3),BX$2&lt;INDEX(祝日!$J$3:$L$3,3),INDEX(祝日!$J$6:$L$305,MATCH(BX$2,祝日!$H$6:$H$305,0),3)=0),1,0),0)</f>
        <v>0</v>
      </c>
      <c r="BY128">
        <f ca="1">IFERROR(IF(AND(BY$2&gt;INDEX(祝日!$J$2:$L$2,3),BY$2&lt;INDEX(祝日!$J$3:$L$3,3),INDEX(祝日!$J$6:$L$305,MATCH(BY$2,祝日!$H$6:$H$305,0),3)=0),1,0),0)</f>
        <v>0</v>
      </c>
      <c r="BZ128">
        <f ca="1">IFERROR(IF(AND(BZ$2&gt;INDEX(祝日!$J$2:$L$2,3),BZ$2&lt;INDEX(祝日!$J$3:$L$3,3),INDEX(祝日!$J$6:$L$305,MATCH(BZ$2,祝日!$H$6:$H$305,0),3)=0),1,0),0)</f>
        <v>0</v>
      </c>
      <c r="CA128">
        <f ca="1">IFERROR(IF(AND(CA$2&gt;INDEX(祝日!$J$2:$L$2,3),CA$2&lt;INDEX(祝日!$J$3:$L$3,3),INDEX(祝日!$J$6:$L$305,MATCH(CA$2,祝日!$H$6:$H$305,0),3)=0),1,0),0)</f>
        <v>0</v>
      </c>
      <c r="CB128">
        <f ca="1">IFERROR(IF(AND(CB$2&gt;INDEX(祝日!$J$2:$L$2,3),CB$2&lt;INDEX(祝日!$J$3:$L$3,3),INDEX(祝日!$J$6:$L$305,MATCH(CB$2,祝日!$H$6:$H$305,0),3)=0),1,0),0)</f>
        <v>0</v>
      </c>
      <c r="CC128">
        <f ca="1">IFERROR(IF(AND(CC$2&gt;INDEX(祝日!$J$2:$L$2,3),CC$2&lt;INDEX(祝日!$J$3:$L$3,3),INDEX(祝日!$J$6:$L$305,MATCH(CC$2,祝日!$H$6:$H$305,0),3)=0),1,0),0)</f>
        <v>0</v>
      </c>
      <c r="CD128">
        <f ca="1">IFERROR(IF(AND(CD$2&gt;INDEX(祝日!$J$2:$L$2,3),CD$2&lt;INDEX(祝日!$J$3:$L$3,3),INDEX(祝日!$J$6:$L$305,MATCH(CD$2,祝日!$H$6:$H$305,0),3)=0),1,0),0)</f>
        <v>0</v>
      </c>
      <c r="CE128">
        <f ca="1">IFERROR(IF(AND(CE$2&gt;INDEX(祝日!$J$2:$L$2,3),CE$2&lt;INDEX(祝日!$J$3:$L$3,3),INDEX(祝日!$J$6:$L$305,MATCH(CE$2,祝日!$H$6:$H$305,0),3)=0),1,0),0)</f>
        <v>0</v>
      </c>
      <c r="CF128">
        <f ca="1">IFERROR(IF(AND(CF$2&gt;INDEX(祝日!$J$2:$L$2,3),CF$2&lt;INDEX(祝日!$J$3:$L$3,3),INDEX(祝日!$J$6:$L$305,MATCH(CF$2,祝日!$H$6:$H$305,0),3)=0),1,0),0)</f>
        <v>0</v>
      </c>
      <c r="CG128">
        <f ca="1">IFERROR(IF(AND(CG$2&gt;INDEX(祝日!$J$2:$L$2,3),CG$2&lt;INDEX(祝日!$J$3:$L$3,3),INDEX(祝日!$J$6:$L$305,MATCH(CG$2,祝日!$H$6:$H$305,0),3)=0),1,0),0)</f>
        <v>0</v>
      </c>
      <c r="CH128">
        <f ca="1">IFERROR(IF(AND(CH$2&gt;INDEX(祝日!$J$2:$L$2,3),CH$2&lt;INDEX(祝日!$J$3:$L$3,3),INDEX(祝日!$J$6:$L$305,MATCH(CH$2,祝日!$H$6:$H$305,0),3)=0),1,0),0)</f>
        <v>0</v>
      </c>
      <c r="CI128">
        <f ca="1">IFERROR(IF(AND(CI$2&gt;INDEX(祝日!$J$2:$L$2,3),CI$2&lt;INDEX(祝日!$J$3:$L$3,3),INDEX(祝日!$J$6:$L$305,MATCH(CI$2,祝日!$H$6:$H$305,0),3)=0),1,0),0)</f>
        <v>0</v>
      </c>
      <c r="CJ128">
        <f ca="1">IFERROR(IF(AND(CJ$2&gt;INDEX(祝日!$J$2:$L$2,3),CJ$2&lt;INDEX(祝日!$J$3:$L$3,3),INDEX(祝日!$J$6:$L$305,MATCH(CJ$2,祝日!$H$6:$H$305,0),3)=0),1,0),0)</f>
        <v>0</v>
      </c>
      <c r="CK128">
        <f ca="1">IFERROR(IF(AND(CK$2&gt;INDEX(祝日!$J$2:$L$2,3),CK$2&lt;INDEX(祝日!$J$3:$L$3,3),INDEX(祝日!$J$6:$L$305,MATCH(CK$2,祝日!$H$6:$H$305,0),3)=0),1,0),0)</f>
        <v>0</v>
      </c>
      <c r="CL128">
        <f ca="1">IFERROR(IF(AND(CL$2&gt;INDEX(祝日!$J$2:$L$2,3),CL$2&lt;INDEX(祝日!$J$3:$L$3,3),INDEX(祝日!$J$6:$L$305,MATCH(CL$2,祝日!$H$6:$H$305,0),3)=0),1,0),0)</f>
        <v>0</v>
      </c>
      <c r="CM128">
        <f ca="1">IFERROR(IF(AND(CM$2&gt;INDEX(祝日!$J$2:$L$2,3),CM$2&lt;INDEX(祝日!$J$3:$L$3,3),INDEX(祝日!$J$6:$L$305,MATCH(CM$2,祝日!$H$6:$H$305,0),3)=0),1,0),0)</f>
        <v>0</v>
      </c>
      <c r="CN128">
        <f ca="1">IFERROR(IF(AND(CN$2&gt;INDEX(祝日!$J$2:$L$2,3),CN$2&lt;INDEX(祝日!$J$3:$L$3,3),INDEX(祝日!$J$6:$L$305,MATCH(CN$2,祝日!$H$6:$H$305,0),3)=0),1,0),0)</f>
        <v>0</v>
      </c>
      <c r="CO128">
        <f ca="1">IFERROR(IF(AND(CO$2&gt;INDEX(祝日!$J$2:$L$2,3),CO$2&lt;INDEX(祝日!$J$3:$L$3,3),INDEX(祝日!$J$6:$L$305,MATCH(CO$2,祝日!$H$6:$H$305,0),3)=0),1,0),0)</f>
        <v>0</v>
      </c>
      <c r="CP128">
        <f ca="1">IFERROR(IF(AND(CP$2&gt;INDEX(祝日!$J$2:$L$2,3),CP$2&lt;INDEX(祝日!$J$3:$L$3,3),INDEX(祝日!$J$6:$L$305,MATCH(CP$2,祝日!$H$6:$H$305,0),3)=0),1,0),0)</f>
        <v>0</v>
      </c>
      <c r="CQ128">
        <f ca="1">IFERROR(IF(AND(CQ$2&gt;INDEX(祝日!$J$2:$L$2,3),CQ$2&lt;INDEX(祝日!$J$3:$L$3,3),INDEX(祝日!$J$6:$L$305,MATCH(CQ$2,祝日!$H$6:$H$305,0),3)=0),1,0),0)</f>
        <v>0</v>
      </c>
      <c r="CR128">
        <f ca="1">IFERROR(IF(AND(CR$2&gt;INDEX(祝日!$J$2:$L$2,3),CR$2&lt;INDEX(祝日!$J$3:$L$3,3),INDEX(祝日!$J$6:$L$305,MATCH(CR$2,祝日!$H$6:$H$305,0),3)=0),1,0),0)</f>
        <v>0</v>
      </c>
      <c r="CS128">
        <f ca="1">IFERROR(IF(AND(CS$2&gt;INDEX(祝日!$J$2:$L$2,3),CS$2&lt;INDEX(祝日!$J$3:$L$3,3),INDEX(祝日!$J$6:$L$305,MATCH(CS$2,祝日!$H$6:$H$305,0),3)=0),1,0),0)</f>
        <v>0</v>
      </c>
      <c r="CT128">
        <f ca="1">IFERROR(IF(AND(CT$2&gt;INDEX(祝日!$J$2:$L$2,3),CT$2&lt;INDEX(祝日!$J$3:$L$3,3),INDEX(祝日!$J$6:$L$305,MATCH(CT$2,祝日!$H$6:$H$305,0),3)=0),1,0),0)</f>
        <v>0</v>
      </c>
      <c r="CU128">
        <f ca="1">IFERROR(IF(AND(CU$2&gt;INDEX(祝日!$J$2:$L$2,3),CU$2&lt;INDEX(祝日!$J$3:$L$3,3),INDEX(祝日!$J$6:$L$305,MATCH(CU$2,祝日!$H$6:$H$305,0),3)=0),1,0),0)</f>
        <v>0</v>
      </c>
      <c r="CV128">
        <f ca="1">IFERROR(IF(AND(CV$2&gt;INDEX(祝日!$J$2:$L$2,3),CV$2&lt;INDEX(祝日!$J$3:$L$3,3),INDEX(祝日!$J$6:$L$305,MATCH(CV$2,祝日!$H$6:$H$305,0),3)=0),1,0),0)</f>
        <v>0</v>
      </c>
      <c r="CW128">
        <f ca="1">IFERROR(IF(AND(CW$2&gt;INDEX(祝日!$J$2:$L$2,3),CW$2&lt;INDEX(祝日!$J$3:$L$3,3),INDEX(祝日!$J$6:$L$305,MATCH(CW$2,祝日!$H$6:$H$305,0),3)=0),1,0),0)</f>
        <v>0</v>
      </c>
      <c r="CX128">
        <f ca="1">IFERROR(IF(AND(CX$2&gt;INDEX(祝日!$J$2:$L$2,3),CX$2&lt;INDEX(祝日!$J$3:$L$3,3),INDEX(祝日!$J$6:$L$305,MATCH(CX$2,祝日!$H$6:$H$305,0),3)=0),1,0),0)</f>
        <v>0</v>
      </c>
      <c r="CY128">
        <f ca="1">IFERROR(IF(AND(CY$2&gt;INDEX(祝日!$J$2:$L$2,3),CY$2&lt;INDEX(祝日!$J$3:$L$3,3),INDEX(祝日!$J$6:$L$305,MATCH(CY$2,祝日!$H$6:$H$305,0),3)=0),1,0),0)</f>
        <v>0</v>
      </c>
      <c r="CZ128">
        <f ca="1">IFERROR(IF(AND(CZ$2&gt;INDEX(祝日!$J$2:$L$2,3),CZ$2&lt;INDEX(祝日!$J$3:$L$3,3),INDEX(祝日!$J$6:$L$305,MATCH(CZ$2,祝日!$H$6:$H$305,0),3)=0),1,0),0)</f>
        <v>0</v>
      </c>
      <c r="DA128">
        <f ca="1">IFERROR(IF(AND(DA$2&gt;INDEX(祝日!$J$2:$L$2,3),DA$2&lt;INDEX(祝日!$J$3:$L$3,3),INDEX(祝日!$J$6:$L$305,MATCH(DA$2,祝日!$H$6:$H$305,0),3)=0),1,0),0)</f>
        <v>0</v>
      </c>
      <c r="DB128">
        <f ca="1">IFERROR(IF(AND(DB$2&gt;INDEX(祝日!$J$2:$L$2,3),DB$2&lt;INDEX(祝日!$J$3:$L$3,3),INDEX(祝日!$J$6:$L$305,MATCH(DB$2,祝日!$H$6:$H$305,0),3)=0),1,0),0)</f>
        <v>0</v>
      </c>
      <c r="DC128">
        <f ca="1">IFERROR(IF(AND(DC$2&gt;INDEX(祝日!$J$2:$L$2,3),DC$2&lt;INDEX(祝日!$J$3:$L$3,3),INDEX(祝日!$J$6:$L$305,MATCH(DC$2,祝日!$H$6:$H$305,0),3)=0),1,0),0)</f>
        <v>0</v>
      </c>
      <c r="DD128">
        <f ca="1">IFERROR(IF(AND(DD$2&gt;INDEX(祝日!$J$2:$L$2,3),DD$2&lt;INDEX(祝日!$J$3:$L$3,3),INDEX(祝日!$J$6:$L$305,MATCH(DD$2,祝日!$H$6:$H$305,0),3)=0),1,0),0)</f>
        <v>0</v>
      </c>
      <c r="DE128">
        <f ca="1">IFERROR(IF(AND(DE$2&gt;INDEX(祝日!$J$2:$L$2,3),DE$2&lt;INDEX(祝日!$J$3:$L$3,3),INDEX(祝日!$J$6:$L$305,MATCH(DE$2,祝日!$H$6:$H$305,0),3)=0),1,0),0)</f>
        <v>0</v>
      </c>
      <c r="DF128">
        <f ca="1">IFERROR(IF(AND(DF$2&gt;INDEX(祝日!$J$2:$L$2,3),DF$2&lt;INDEX(祝日!$J$3:$L$3,3),INDEX(祝日!$J$6:$L$305,MATCH(DF$2,祝日!$H$6:$H$305,0),3)=0),1,0),0)</f>
        <v>0</v>
      </c>
      <c r="DG128">
        <f ca="1">IFERROR(IF(AND(DG$2&gt;INDEX(祝日!$J$2:$L$2,3),DG$2&lt;INDEX(祝日!$J$3:$L$3,3),INDEX(祝日!$J$6:$L$305,MATCH(DG$2,祝日!$H$6:$H$305,0),3)=0),1,0),0)</f>
        <v>0</v>
      </c>
      <c r="DH128">
        <f ca="1">IFERROR(IF(AND(DH$2&gt;INDEX(祝日!$J$2:$L$2,3),DH$2&lt;INDEX(祝日!$J$3:$L$3,3),INDEX(祝日!$J$6:$L$305,MATCH(DH$2,祝日!$H$6:$H$305,0),3)=0),1,0),0)</f>
        <v>0</v>
      </c>
      <c r="DI128">
        <f ca="1">IFERROR(IF(AND(DI$2&gt;INDEX(祝日!$J$2:$L$2,3),DI$2&lt;INDEX(祝日!$J$3:$L$3,3),INDEX(祝日!$J$6:$L$305,MATCH(DI$2,祝日!$H$6:$H$305,0),3)=0),1,0),0)</f>
        <v>0</v>
      </c>
      <c r="DJ128">
        <f ca="1">IFERROR(IF(AND(DJ$2&gt;INDEX(祝日!$J$2:$L$2,3),DJ$2&lt;INDEX(祝日!$J$3:$L$3,3),INDEX(祝日!$J$6:$L$305,MATCH(DJ$2,祝日!$H$6:$H$305,0),3)=0),1,0),0)</f>
        <v>0</v>
      </c>
      <c r="DK128">
        <f ca="1">IFERROR(IF(AND(DK$2&gt;INDEX(祝日!$J$2:$L$2,3),DK$2&lt;INDEX(祝日!$J$3:$L$3,3),INDEX(祝日!$J$6:$L$305,MATCH(DK$2,祝日!$H$6:$H$305,0),3)=0),1,0),0)</f>
        <v>0</v>
      </c>
      <c r="DL128">
        <f ca="1">IFERROR(IF(AND(DL$2&gt;INDEX(祝日!$J$2:$L$2,3),DL$2&lt;INDEX(祝日!$J$3:$L$3,3),INDEX(祝日!$J$6:$L$305,MATCH(DL$2,祝日!$H$6:$H$305,0),3)=0),1,0),0)</f>
        <v>0</v>
      </c>
      <c r="DM128">
        <f ca="1">IFERROR(IF(AND(DM$2&gt;INDEX(祝日!$J$2:$L$2,3),DM$2&lt;INDEX(祝日!$J$3:$L$3,3),INDEX(祝日!$J$6:$L$305,MATCH(DM$2,祝日!$H$6:$H$305,0),3)=0),1,0),0)</f>
        <v>0</v>
      </c>
      <c r="DN128">
        <f ca="1">IFERROR(IF(AND(DN$2&gt;INDEX(祝日!$J$2:$L$2,3),DN$2&lt;INDEX(祝日!$J$3:$L$3,3),INDEX(祝日!$J$6:$L$305,MATCH(DN$2,祝日!$H$6:$H$305,0),3)=0),1,0),0)</f>
        <v>0</v>
      </c>
      <c r="DO128">
        <f ca="1">IFERROR(IF(AND(DO$2&gt;INDEX(祝日!$J$2:$L$2,3),DO$2&lt;INDEX(祝日!$J$3:$L$3,3),INDEX(祝日!$J$6:$L$305,MATCH(DO$2,祝日!$H$6:$H$305,0),3)=0),1,0),0)</f>
        <v>0</v>
      </c>
      <c r="DP128">
        <f ca="1">IFERROR(IF(AND(DP$2&gt;INDEX(祝日!$J$2:$L$2,3),DP$2&lt;INDEX(祝日!$J$3:$L$3,3),INDEX(祝日!$J$6:$L$305,MATCH(DP$2,祝日!$H$6:$H$305,0),3)=0),1,0),0)</f>
        <v>0</v>
      </c>
      <c r="DQ128">
        <f ca="1">IFERROR(IF(AND(DQ$2&gt;INDEX(祝日!$J$2:$L$2,3),DQ$2&lt;INDEX(祝日!$J$3:$L$3,3),INDEX(祝日!$J$6:$L$305,MATCH(DQ$2,祝日!$H$6:$H$305,0),3)=0),1,0),0)</f>
        <v>0</v>
      </c>
      <c r="DR128">
        <f ca="1">IFERROR(IF(AND(DR$2&gt;INDEX(祝日!$J$2:$L$2,3),DR$2&lt;INDEX(祝日!$J$3:$L$3,3),INDEX(祝日!$J$6:$L$305,MATCH(DR$2,祝日!$H$6:$H$305,0),3)=0),1,0),0)</f>
        <v>0</v>
      </c>
      <c r="DS128">
        <f ca="1">IFERROR(IF(AND(DS$2&gt;INDEX(祝日!$J$2:$L$2,3),DS$2&lt;INDEX(祝日!$J$3:$L$3,3),INDEX(祝日!$J$6:$L$305,MATCH(DS$2,祝日!$H$6:$H$305,0),3)=0),1,0),0)</f>
        <v>0</v>
      </c>
      <c r="DT128">
        <f ca="1">IFERROR(IF(AND(DT$2&gt;INDEX(祝日!$J$2:$L$2,3),DT$2&lt;INDEX(祝日!$J$3:$L$3,3),INDEX(祝日!$J$6:$L$305,MATCH(DT$2,祝日!$H$6:$H$305,0),3)=0),1,0),0)</f>
        <v>0</v>
      </c>
      <c r="DU128">
        <f ca="1">IFERROR(IF(AND(DU$2&gt;INDEX(祝日!$J$2:$L$2,3),DU$2&lt;INDEX(祝日!$J$3:$L$3,3),INDEX(祝日!$J$6:$L$305,MATCH(DU$2,祝日!$H$6:$H$305,0),3)=0),1,0),0)</f>
        <v>0</v>
      </c>
      <c r="DV128">
        <f ca="1">IFERROR(IF(AND(DV$2&gt;INDEX(祝日!$J$2:$L$2,3),DV$2&lt;INDEX(祝日!$J$3:$L$3,3),INDEX(祝日!$J$6:$L$305,MATCH(DV$2,祝日!$H$6:$H$305,0),3)=0),1,0),0)</f>
        <v>0</v>
      </c>
      <c r="DW128">
        <f ca="1">IFERROR(IF(AND(DW$2&gt;INDEX(祝日!$J$2:$L$2,3),DW$2&lt;INDEX(祝日!$J$3:$L$3,3),INDEX(祝日!$J$6:$L$305,MATCH(DW$2,祝日!$H$6:$H$305,0),3)=0),1,0),0)</f>
        <v>0</v>
      </c>
      <c r="DX128">
        <f ca="1">IFERROR(IF(AND(DX$2&gt;INDEX(祝日!$J$2:$L$2,3),DX$2&lt;INDEX(祝日!$J$3:$L$3,3),INDEX(祝日!$J$6:$L$305,MATCH(DX$2,祝日!$H$6:$H$305,0),3)=0),1,0),0)</f>
        <v>0</v>
      </c>
      <c r="DY128">
        <f ca="1">IFERROR(IF(AND(DY$2&gt;INDEX(祝日!$J$2:$L$2,3),DY$2&lt;INDEX(祝日!$J$3:$L$3,3),INDEX(祝日!$J$6:$L$305,MATCH(DY$2,祝日!$H$6:$H$305,0),3)=0),1,0),0)</f>
        <v>0</v>
      </c>
      <c r="DZ128">
        <f ca="1">IFERROR(IF(AND(DZ$2&gt;INDEX(祝日!$J$2:$L$2,3),DZ$2&lt;INDEX(祝日!$J$3:$L$3,3),INDEX(祝日!$J$6:$L$305,MATCH(DZ$2,祝日!$H$6:$H$305,0),3)=0),1,0),0)</f>
        <v>0</v>
      </c>
      <c r="EA128">
        <f ca="1">IFERROR(IF(AND(EA$2&gt;INDEX(祝日!$J$2:$L$2,3),EA$2&lt;INDEX(祝日!$J$3:$L$3,3),INDEX(祝日!$J$6:$L$305,MATCH(EA$2,祝日!$H$6:$H$305,0),3)=0),1,0),0)</f>
        <v>0</v>
      </c>
      <c r="EB128">
        <f ca="1">IFERROR(IF(AND(EB$2&gt;INDEX(祝日!$J$2:$L$2,3),EB$2&lt;INDEX(祝日!$J$3:$L$3,3),INDEX(祝日!$J$6:$L$305,MATCH(EB$2,祝日!$H$6:$H$305,0),3)=0),1,0),0)</f>
        <v>0</v>
      </c>
      <c r="EC128">
        <f ca="1">IFERROR(IF(AND(EC$2&gt;INDEX(祝日!$J$2:$L$2,3),EC$2&lt;INDEX(祝日!$J$3:$L$3,3),INDEX(祝日!$J$6:$L$305,MATCH(EC$2,祝日!$H$6:$H$305,0),3)=0),1,0),0)</f>
        <v>0</v>
      </c>
      <c r="ED128">
        <f ca="1">IFERROR(IF(AND(ED$2&gt;INDEX(祝日!$J$2:$L$2,3),ED$2&lt;INDEX(祝日!$J$3:$L$3,3),INDEX(祝日!$J$6:$L$305,MATCH(ED$2,祝日!$H$6:$H$305,0),3)=0),1,0),0)</f>
        <v>0</v>
      </c>
      <c r="EE128">
        <f ca="1">IFERROR(IF(AND(EE$2&gt;INDEX(祝日!$J$2:$L$2,3),EE$2&lt;INDEX(祝日!$J$3:$L$3,3),INDEX(祝日!$J$6:$L$305,MATCH(EE$2,祝日!$H$6:$H$305,0),3)=0),1,0),0)</f>
        <v>0</v>
      </c>
      <c r="EF128">
        <f ca="1">IFERROR(IF(AND(EF$2&gt;INDEX(祝日!$J$2:$L$2,3),EF$2&lt;INDEX(祝日!$J$3:$L$3,3),INDEX(祝日!$J$6:$L$305,MATCH(EF$2,祝日!$H$6:$H$305,0),3)=0),1,0),0)</f>
        <v>0</v>
      </c>
      <c r="EG128">
        <f ca="1">IFERROR(IF(AND(EG$2&gt;INDEX(祝日!$J$2:$L$2,3),EG$2&lt;INDEX(祝日!$J$3:$L$3,3),INDEX(祝日!$J$6:$L$305,MATCH(EG$2,祝日!$H$6:$H$305,0),3)=0),1,0),0)</f>
        <v>0</v>
      </c>
      <c r="EH128">
        <f ca="1">IFERROR(IF(AND(EH$2&gt;INDEX(祝日!$J$2:$L$2,3),EH$2&lt;INDEX(祝日!$J$3:$L$3,3),INDEX(祝日!$J$6:$L$305,MATCH(EH$2,祝日!$H$6:$H$305,0),3)=0),1,0),0)</f>
        <v>0</v>
      </c>
      <c r="EI128">
        <f ca="1">IFERROR(IF(AND(EI$2&gt;INDEX(祝日!$J$2:$L$2,3),EI$2&lt;INDEX(祝日!$J$3:$L$3,3),INDEX(祝日!$J$6:$L$305,MATCH(EI$2,祝日!$H$6:$H$305,0),3)=0),1,0),0)</f>
        <v>0</v>
      </c>
      <c r="EJ128">
        <f ca="1">IFERROR(IF(AND(EJ$2&gt;INDEX(祝日!$J$2:$L$2,3),EJ$2&lt;INDEX(祝日!$J$3:$L$3,3),INDEX(祝日!$J$6:$L$305,MATCH(EJ$2,祝日!$H$6:$H$305,0),3)=0),1,0),0)</f>
        <v>0</v>
      </c>
      <c r="EK128">
        <f ca="1">IFERROR(IF(AND(EK$2&gt;INDEX(祝日!$J$2:$L$2,3),EK$2&lt;INDEX(祝日!$J$3:$L$3,3),INDEX(祝日!$J$6:$L$305,MATCH(EK$2,祝日!$H$6:$H$305,0),3)=0),1,0),0)</f>
        <v>0</v>
      </c>
      <c r="EL128">
        <f ca="1">IFERROR(IF(AND(EL$2&gt;INDEX(祝日!$J$2:$L$2,3),EL$2&lt;INDEX(祝日!$J$3:$L$3,3),INDEX(祝日!$J$6:$L$305,MATCH(EL$2,祝日!$H$6:$H$305,0),3)=0),1,0),0)</f>
        <v>0</v>
      </c>
      <c r="EM128">
        <f ca="1">IFERROR(IF(AND(EM$2&gt;INDEX(祝日!$J$2:$L$2,3),EM$2&lt;INDEX(祝日!$J$3:$L$3,3),INDEX(祝日!$J$6:$L$305,MATCH(EM$2,祝日!$H$6:$H$305,0),3)=0),1,0),0)</f>
        <v>0</v>
      </c>
      <c r="EN128">
        <f ca="1">IFERROR(IF(AND(EN$2&gt;INDEX(祝日!$J$2:$L$2,3),EN$2&lt;INDEX(祝日!$J$3:$L$3,3),INDEX(祝日!$J$6:$L$305,MATCH(EN$2,祝日!$H$6:$H$305,0),3)=0),1,0),0)</f>
        <v>0</v>
      </c>
      <c r="EO128">
        <f ca="1">IFERROR(IF(AND(EO$2&gt;INDEX(祝日!$J$2:$L$2,3),EO$2&lt;INDEX(祝日!$J$3:$L$3,3),INDEX(祝日!$J$6:$L$305,MATCH(EO$2,祝日!$H$6:$H$305,0),3)=0),1,0),0)</f>
        <v>0</v>
      </c>
      <c r="EP128">
        <f ca="1">IFERROR(IF(AND(EP$2&gt;INDEX(祝日!$J$2:$L$2,3),EP$2&lt;INDEX(祝日!$J$3:$L$3,3),INDEX(祝日!$J$6:$L$305,MATCH(EP$2,祝日!$H$6:$H$305,0),3)=0),1,0),0)</f>
        <v>0</v>
      </c>
      <c r="EQ128">
        <f ca="1">IFERROR(IF(AND(EQ$2&gt;INDEX(祝日!$J$2:$L$2,3),EQ$2&lt;INDEX(祝日!$J$3:$L$3,3),INDEX(祝日!$J$6:$L$305,MATCH(EQ$2,祝日!$H$6:$H$305,0),3)=0),1,0),0)</f>
        <v>0</v>
      </c>
      <c r="ER128">
        <f ca="1">IFERROR(IF(AND(ER$2&gt;INDEX(祝日!$J$2:$L$2,3),ER$2&lt;INDEX(祝日!$J$3:$L$3,3),INDEX(祝日!$J$6:$L$305,MATCH(ER$2,祝日!$H$6:$H$305,0),3)=0),1,0),0)</f>
        <v>0</v>
      </c>
      <c r="ES128">
        <f ca="1">IFERROR(IF(AND(ES$2&gt;INDEX(祝日!$J$2:$L$2,3),ES$2&lt;INDEX(祝日!$J$3:$L$3,3),INDEX(祝日!$J$6:$L$305,MATCH(ES$2,祝日!$H$6:$H$305,0),3)=0),1,0),0)</f>
        <v>0</v>
      </c>
      <c r="ET128">
        <f ca="1">IFERROR(IF(AND(ET$2&gt;INDEX(祝日!$J$2:$L$2,3),ET$2&lt;INDEX(祝日!$J$3:$L$3,3),INDEX(祝日!$J$6:$L$305,MATCH(ET$2,祝日!$H$6:$H$305,0),3)=0),1,0),0)</f>
        <v>0</v>
      </c>
      <c r="EU128">
        <f ca="1">IFERROR(IF(AND(EU$2&gt;INDEX(祝日!$J$2:$L$2,3),EU$2&lt;INDEX(祝日!$J$3:$L$3,3),INDEX(祝日!$J$6:$L$305,MATCH(EU$2,祝日!$H$6:$H$305,0),3)=0),1,0),0)</f>
        <v>0</v>
      </c>
      <c r="EV128">
        <f ca="1">IFERROR(IF(AND(EV$2&gt;INDEX(祝日!$J$2:$L$2,3),EV$2&lt;INDEX(祝日!$J$3:$L$3,3),INDEX(祝日!$J$6:$L$305,MATCH(EV$2,祝日!$H$6:$H$305,0),3)=0),1,0),0)</f>
        <v>0</v>
      </c>
      <c r="EW128">
        <f ca="1">IFERROR(IF(AND(EW$2&gt;INDEX(祝日!$J$2:$L$2,3),EW$2&lt;INDEX(祝日!$J$3:$L$3,3),INDEX(祝日!$J$6:$L$305,MATCH(EW$2,祝日!$H$6:$H$305,0),3)=0),1,0),0)</f>
        <v>0</v>
      </c>
      <c r="EX128">
        <f ca="1">IFERROR(IF(AND(EX$2&gt;INDEX(祝日!$J$2:$L$2,3),EX$2&lt;INDEX(祝日!$J$3:$L$3,3),INDEX(祝日!$J$6:$L$305,MATCH(EX$2,祝日!$H$6:$H$305,0),3)=0),1,0),0)</f>
        <v>0</v>
      </c>
      <c r="EY128">
        <f ca="1">IFERROR(IF(AND(EY$2&gt;INDEX(祝日!$J$2:$L$2,3),EY$2&lt;INDEX(祝日!$J$3:$L$3,3),INDEX(祝日!$J$6:$L$305,MATCH(EY$2,祝日!$H$6:$H$305,0),3)=0),1,0),0)</f>
        <v>0</v>
      </c>
      <c r="EZ128">
        <f ca="1">IFERROR(IF(AND(EZ$2&gt;INDEX(祝日!$J$2:$L$2,3),EZ$2&lt;INDEX(祝日!$J$3:$L$3,3),INDEX(祝日!$J$6:$L$305,MATCH(EZ$2,祝日!$H$6:$H$305,0),3)=0),1,0),0)</f>
        <v>0</v>
      </c>
      <c r="FA128">
        <f ca="1">IFERROR(IF(AND(FA$2&gt;INDEX(祝日!$J$2:$L$2,3),FA$2&lt;INDEX(祝日!$J$3:$L$3,3),INDEX(祝日!$J$6:$L$305,MATCH(FA$2,祝日!$H$6:$H$305,0),3)=0),1,0),0)</f>
        <v>0</v>
      </c>
      <c r="FB128">
        <f ca="1">IFERROR(IF(AND(FB$2&gt;INDEX(祝日!$J$2:$L$2,3),FB$2&lt;INDEX(祝日!$J$3:$L$3,3),INDEX(祝日!$J$6:$L$305,MATCH(FB$2,祝日!$H$6:$H$305,0),3)=0),1,0),0)</f>
        <v>0</v>
      </c>
      <c r="FC128">
        <f ca="1">IFERROR(IF(AND(FC$2&gt;INDEX(祝日!$J$2:$L$2,3),FC$2&lt;INDEX(祝日!$J$3:$L$3,3),INDEX(祝日!$J$6:$L$305,MATCH(FC$2,祝日!$H$6:$H$305,0),3)=0),1,0),0)</f>
        <v>0</v>
      </c>
      <c r="FD128">
        <f ca="1">IFERROR(IF(AND(FD$2&gt;INDEX(祝日!$J$2:$L$2,3),FD$2&lt;INDEX(祝日!$J$3:$L$3,3),INDEX(祝日!$J$6:$L$305,MATCH(FD$2,祝日!$H$6:$H$305,0),3)=0),1,0),0)</f>
        <v>0</v>
      </c>
      <c r="FE128">
        <f ca="1">IFERROR(IF(AND(FE$2&gt;INDEX(祝日!$J$2:$L$2,3),FE$2&lt;INDEX(祝日!$J$3:$L$3,3),INDEX(祝日!$J$6:$L$305,MATCH(FE$2,祝日!$H$6:$H$305,0),3)=0),1,0),0)</f>
        <v>0</v>
      </c>
      <c r="FF128">
        <f ca="1">IFERROR(IF(AND(FF$2&gt;INDEX(祝日!$J$2:$L$2,3),FF$2&lt;INDEX(祝日!$J$3:$L$3,3),INDEX(祝日!$J$6:$L$305,MATCH(FF$2,祝日!$H$6:$H$305,0),3)=0),1,0),0)</f>
        <v>0</v>
      </c>
      <c r="FG128">
        <f ca="1">IFERROR(IF(AND(FG$2&gt;INDEX(祝日!$J$2:$L$2,3),FG$2&lt;INDEX(祝日!$J$3:$L$3,3),INDEX(祝日!$J$6:$L$305,MATCH(FG$2,祝日!$H$6:$H$305,0),3)=0),1,0),0)</f>
        <v>0</v>
      </c>
      <c r="FH128">
        <f ca="1">IFERROR(IF(AND(FH$2&gt;INDEX(祝日!$J$2:$L$2,3),FH$2&lt;INDEX(祝日!$J$3:$L$3,3),INDEX(祝日!$J$6:$L$305,MATCH(FH$2,祝日!$H$6:$H$305,0),3)=0),1,0),0)</f>
        <v>0</v>
      </c>
      <c r="FI128">
        <f ca="1">IFERROR(IF(AND(FI$2&gt;INDEX(祝日!$J$2:$L$2,3),FI$2&lt;INDEX(祝日!$J$3:$L$3,3),INDEX(祝日!$J$6:$L$305,MATCH(FI$2,祝日!$H$6:$H$305,0),3)=0),1,0),0)</f>
        <v>0</v>
      </c>
      <c r="FJ128">
        <f ca="1">IFERROR(IF(AND(FJ$2&gt;INDEX(祝日!$J$2:$L$2,3),FJ$2&lt;INDEX(祝日!$J$3:$L$3,3),INDEX(祝日!$J$6:$L$305,MATCH(FJ$2,祝日!$H$6:$H$305,0),3)=0),1,0),0)</f>
        <v>0</v>
      </c>
      <c r="FK128">
        <f ca="1">IFERROR(IF(AND(FK$2&gt;INDEX(祝日!$J$2:$L$2,3),FK$2&lt;INDEX(祝日!$J$3:$L$3,3),INDEX(祝日!$J$6:$L$305,MATCH(FK$2,祝日!$H$6:$H$305,0),3)=0),1,0),0)</f>
        <v>0</v>
      </c>
      <c r="FL128">
        <f ca="1">IFERROR(IF(AND(FL$2&gt;INDEX(祝日!$J$2:$L$2,3),FL$2&lt;INDEX(祝日!$J$3:$L$3,3),INDEX(祝日!$J$6:$L$305,MATCH(FL$2,祝日!$H$6:$H$305,0),3)=0),1,0),0)</f>
        <v>0</v>
      </c>
      <c r="FM128">
        <f ca="1">IFERROR(IF(AND(FM$2&gt;INDEX(祝日!$J$2:$L$2,3),FM$2&lt;INDEX(祝日!$J$3:$L$3,3),INDEX(祝日!$J$6:$L$305,MATCH(FM$2,祝日!$H$6:$H$305,0),3)=0),1,0),0)</f>
        <v>0</v>
      </c>
      <c r="FN128">
        <f ca="1">IFERROR(IF(AND(FN$2&gt;INDEX(祝日!$J$2:$L$2,3),FN$2&lt;INDEX(祝日!$J$3:$L$3,3),INDEX(祝日!$J$6:$L$305,MATCH(FN$2,祝日!$H$6:$H$305,0),3)=0),1,0),0)</f>
        <v>0</v>
      </c>
      <c r="FO128">
        <f ca="1">IFERROR(IF(AND(FO$2&gt;INDEX(祝日!$J$2:$L$2,3),FO$2&lt;INDEX(祝日!$J$3:$L$3,3),INDEX(祝日!$J$6:$L$305,MATCH(FO$2,祝日!$H$6:$H$305,0),3)=0),1,0),0)</f>
        <v>0</v>
      </c>
      <c r="FP128">
        <f ca="1">IFERROR(IF(AND(FP$2&gt;INDEX(祝日!$J$2:$L$2,3),FP$2&lt;INDEX(祝日!$J$3:$L$3,3),INDEX(祝日!$J$6:$L$305,MATCH(FP$2,祝日!$H$6:$H$305,0),3)=0),1,0),0)</f>
        <v>0</v>
      </c>
      <c r="FQ128">
        <f ca="1">IFERROR(IF(AND(FQ$2&gt;INDEX(祝日!$J$2:$L$2,3),FQ$2&lt;INDEX(祝日!$J$3:$L$3,3),INDEX(祝日!$J$6:$L$305,MATCH(FQ$2,祝日!$H$6:$H$305,0),3)=0),1,0),0)</f>
        <v>0</v>
      </c>
      <c r="FR128">
        <f ca="1">IFERROR(IF(AND(FR$2&gt;INDEX(祝日!$J$2:$L$2,3),FR$2&lt;INDEX(祝日!$J$3:$L$3,3),INDEX(祝日!$J$6:$L$305,MATCH(FR$2,祝日!$H$6:$H$305,0),3)=0),1,0),0)</f>
        <v>0</v>
      </c>
      <c r="FS128">
        <f ca="1">IFERROR(IF(AND(FS$2&gt;INDEX(祝日!$J$2:$L$2,3),FS$2&lt;INDEX(祝日!$J$3:$L$3,3),INDEX(祝日!$J$6:$L$305,MATCH(FS$2,祝日!$H$6:$H$305,0),3)=0),1,0),0)</f>
        <v>0</v>
      </c>
      <c r="FT128">
        <f ca="1">IFERROR(IF(AND(FT$2&gt;INDEX(祝日!$J$2:$L$2,3),FT$2&lt;INDEX(祝日!$J$3:$L$3,3),INDEX(祝日!$J$6:$L$305,MATCH(FT$2,祝日!$H$6:$H$305,0),3)=0),1,0),0)</f>
        <v>0</v>
      </c>
      <c r="FU128">
        <f ca="1">IFERROR(IF(AND(FU$2&gt;INDEX(祝日!$J$2:$L$2,3),FU$2&lt;INDEX(祝日!$J$3:$L$3,3),INDEX(祝日!$J$6:$L$305,MATCH(FU$2,祝日!$H$6:$H$305,0),3)=0),1,0),0)</f>
        <v>0</v>
      </c>
      <c r="FV128">
        <f ca="1">IFERROR(IF(AND(FV$2&gt;INDEX(祝日!$J$2:$L$2,3),FV$2&lt;INDEX(祝日!$J$3:$L$3,3),INDEX(祝日!$J$6:$L$305,MATCH(FV$2,祝日!$H$6:$H$305,0),3)=0),1,0),0)</f>
        <v>0</v>
      </c>
      <c r="FW128">
        <f ca="1">IFERROR(IF(AND(FW$2&gt;INDEX(祝日!$J$2:$L$2,3),FW$2&lt;INDEX(祝日!$J$3:$L$3,3),INDEX(祝日!$J$6:$L$305,MATCH(FW$2,祝日!$H$6:$H$305,0),3)=0),1,0),0)</f>
        <v>0</v>
      </c>
      <c r="FX128">
        <f ca="1">IFERROR(IF(AND(FX$2&gt;INDEX(祝日!$J$2:$L$2,3),FX$2&lt;INDEX(祝日!$J$3:$L$3,3),INDEX(祝日!$J$6:$L$305,MATCH(FX$2,祝日!$H$6:$H$305,0),3)=0),1,0),0)</f>
        <v>0</v>
      </c>
      <c r="FY128">
        <f ca="1">IFERROR(IF(AND(FY$2&gt;INDEX(祝日!$J$2:$L$2,3),FY$2&lt;INDEX(祝日!$J$3:$L$3,3),INDEX(祝日!$J$6:$L$305,MATCH(FY$2,祝日!$H$6:$H$305,0),3)=0),1,0),0)</f>
        <v>0</v>
      </c>
      <c r="FZ128">
        <f ca="1">IFERROR(IF(AND(FZ$2&gt;INDEX(祝日!$J$2:$L$2,3),FZ$2&lt;INDEX(祝日!$J$3:$L$3,3),INDEX(祝日!$J$6:$L$305,MATCH(FZ$2,祝日!$H$6:$H$305,0),3)=0),1,0),0)</f>
        <v>0</v>
      </c>
      <c r="GA128">
        <f ca="1">IFERROR(IF(AND(GA$2&gt;INDEX(祝日!$J$2:$L$2,3),GA$2&lt;INDEX(祝日!$J$3:$L$3,3),INDEX(祝日!$J$6:$L$305,MATCH(GA$2,祝日!$H$6:$H$305,0),3)=0),1,0),0)</f>
        <v>0</v>
      </c>
      <c r="GB128">
        <f ca="1">IFERROR(IF(AND(GB$2&gt;INDEX(祝日!$J$2:$L$2,3),GB$2&lt;INDEX(祝日!$J$3:$L$3,3),INDEX(祝日!$J$6:$L$305,MATCH(GB$2,祝日!$H$6:$H$305,0),3)=0),1,0),0)</f>
        <v>0</v>
      </c>
      <c r="GC128">
        <f ca="1">IFERROR(IF(AND(GC$2&gt;INDEX(祝日!$J$2:$L$2,3),GC$2&lt;INDEX(祝日!$J$3:$L$3,3),INDEX(祝日!$J$6:$L$305,MATCH(GC$2,祝日!$H$6:$H$305,0),3)=0),1,0),0)</f>
        <v>0</v>
      </c>
      <c r="GD128">
        <f ca="1">IFERROR(IF(AND(GD$2&gt;INDEX(祝日!$J$2:$L$2,3),GD$2&lt;INDEX(祝日!$J$3:$L$3,3),INDEX(祝日!$J$6:$L$305,MATCH(GD$2,祝日!$H$6:$H$305,0),3)=0),1,0),0)</f>
        <v>0</v>
      </c>
      <c r="GE128">
        <f ca="1">IFERROR(IF(AND(GE$2&gt;INDEX(祝日!$J$2:$L$2,3),GE$2&lt;INDEX(祝日!$J$3:$L$3,3),INDEX(祝日!$J$6:$L$305,MATCH(GE$2,祝日!$H$6:$H$305,0),3)=0),1,0),0)</f>
        <v>0</v>
      </c>
      <c r="GF128">
        <f ca="1">IFERROR(IF(AND(GF$2&gt;INDEX(祝日!$J$2:$L$2,3),GF$2&lt;INDEX(祝日!$J$3:$L$3,3),INDEX(祝日!$J$6:$L$305,MATCH(GF$2,祝日!$H$6:$H$305,0),3)=0),1,0),0)</f>
        <v>0</v>
      </c>
      <c r="GG128">
        <f ca="1">IFERROR(IF(AND(GG$2&gt;INDEX(祝日!$J$2:$L$2,3),GG$2&lt;INDEX(祝日!$J$3:$L$3,3),INDEX(祝日!$J$6:$L$305,MATCH(GG$2,祝日!$H$6:$H$305,0),3)=0),1,0),0)</f>
        <v>0</v>
      </c>
      <c r="GH128">
        <f ca="1">IFERROR(IF(AND(GH$2&gt;INDEX(祝日!$J$2:$L$2,3),GH$2&lt;INDEX(祝日!$J$3:$L$3,3),INDEX(祝日!$J$6:$L$305,MATCH(GH$2,祝日!$H$6:$H$305,0),3)=0),1,0),0)</f>
        <v>0</v>
      </c>
      <c r="GI128">
        <f ca="1">IFERROR(IF(AND(GI$2&gt;INDEX(祝日!$J$2:$L$2,3),GI$2&lt;INDEX(祝日!$J$3:$L$3,3),INDEX(祝日!$J$6:$L$305,MATCH(GI$2,祝日!$H$6:$H$305,0),3)=0),1,0),0)</f>
        <v>0</v>
      </c>
      <c r="GJ128">
        <f ca="1">IFERROR(IF(AND(GJ$2&gt;INDEX(祝日!$J$2:$L$2,3),GJ$2&lt;INDEX(祝日!$J$3:$L$3,3),INDEX(祝日!$J$6:$L$305,MATCH(GJ$2,祝日!$H$6:$H$305,0),3)=0),1,0),0)</f>
        <v>0</v>
      </c>
      <c r="GK128">
        <f ca="1">IFERROR(IF(AND(GK$2&gt;INDEX(祝日!$J$2:$L$2,3),GK$2&lt;INDEX(祝日!$J$3:$L$3,3),INDEX(祝日!$J$6:$L$305,MATCH(GK$2,祝日!$H$6:$H$305,0),3)=0),1,0),0)</f>
        <v>0</v>
      </c>
      <c r="GL128">
        <f ca="1">IFERROR(IF(AND(GL$2&gt;INDEX(祝日!$J$2:$L$2,3),GL$2&lt;INDEX(祝日!$J$3:$L$3,3),INDEX(祝日!$J$6:$L$305,MATCH(GL$2,祝日!$H$6:$H$305,0),3)=0),1,0),0)</f>
        <v>0</v>
      </c>
      <c r="GM128">
        <f ca="1">IFERROR(IF(AND(GM$2&gt;INDEX(祝日!$J$2:$L$2,3),GM$2&lt;INDEX(祝日!$J$3:$L$3,3),INDEX(祝日!$J$6:$L$305,MATCH(GM$2,祝日!$H$6:$H$305,0),3)=0),1,0),0)</f>
        <v>0</v>
      </c>
      <c r="GN128">
        <f ca="1">IFERROR(IF(AND(GN$2&gt;INDEX(祝日!$J$2:$L$2,3),GN$2&lt;INDEX(祝日!$J$3:$L$3,3),INDEX(祝日!$J$6:$L$305,MATCH(GN$2,祝日!$H$6:$H$305,0),3)=0),1,0),0)</f>
        <v>0</v>
      </c>
      <c r="GO128">
        <f ca="1">IFERROR(IF(AND(GO$2&gt;INDEX(祝日!$J$2:$L$2,3),GO$2&lt;INDEX(祝日!$J$3:$L$3,3),INDEX(祝日!$J$6:$L$305,MATCH(GO$2,祝日!$H$6:$H$305,0),3)=0),1,0),0)</f>
        <v>0</v>
      </c>
      <c r="GP128">
        <f ca="1">IFERROR(IF(AND(GP$2&gt;INDEX(祝日!$J$2:$L$2,3),GP$2&lt;INDEX(祝日!$J$3:$L$3,3),INDEX(祝日!$J$6:$L$305,MATCH(GP$2,祝日!$H$6:$H$305,0),3)=0),1,0),0)</f>
        <v>0</v>
      </c>
      <c r="GQ128">
        <f ca="1">IFERROR(IF(AND(GQ$2&gt;INDEX(祝日!$J$2:$L$2,3),GQ$2&lt;INDEX(祝日!$J$3:$L$3,3),INDEX(祝日!$J$6:$L$305,MATCH(GQ$2,祝日!$H$6:$H$305,0),3)=0),1,0),0)</f>
        <v>0</v>
      </c>
      <c r="GR128">
        <f ca="1">IFERROR(IF(AND(GR$2&gt;INDEX(祝日!$J$2:$L$2,3),GR$2&lt;INDEX(祝日!$J$3:$L$3,3),INDEX(祝日!$J$6:$L$305,MATCH(GR$2,祝日!$H$6:$H$305,0),3)=0),1,0),0)</f>
        <v>0</v>
      </c>
      <c r="GS128">
        <f ca="1">IFERROR(IF(AND(GS$2&gt;INDEX(祝日!$J$2:$L$2,3),GS$2&lt;INDEX(祝日!$J$3:$L$3,3),INDEX(祝日!$J$6:$L$305,MATCH(GS$2,祝日!$H$6:$H$305,0),3)=0),1,0),0)</f>
        <v>0</v>
      </c>
      <c r="GT128">
        <f ca="1">IFERROR(IF(AND(GT$2&gt;INDEX(祝日!$J$2:$L$2,3),GT$2&lt;INDEX(祝日!$J$3:$L$3,3),INDEX(祝日!$J$6:$L$305,MATCH(GT$2,祝日!$H$6:$H$305,0),3)=0),1,0),0)</f>
        <v>0</v>
      </c>
      <c r="GU128">
        <f ca="1">IFERROR(IF(AND(GU$2&gt;INDEX(祝日!$J$2:$L$2,3),GU$2&lt;INDEX(祝日!$J$3:$L$3,3),INDEX(祝日!$J$6:$L$305,MATCH(GU$2,祝日!$H$6:$H$305,0),3)=0),1,0),0)</f>
        <v>0</v>
      </c>
      <c r="GV128">
        <f ca="1">IFERROR(IF(AND(GV$2&gt;INDEX(祝日!$J$2:$L$2,3),GV$2&lt;INDEX(祝日!$J$3:$L$3,3),INDEX(祝日!$J$6:$L$305,MATCH(GV$2,祝日!$H$6:$H$305,0),3)=0),1,0),0)</f>
        <v>0</v>
      </c>
      <c r="GW128">
        <f ca="1">IFERROR(IF(AND(GW$2&gt;INDEX(祝日!$J$2:$L$2,3),GW$2&lt;INDEX(祝日!$J$3:$L$3,3),INDEX(祝日!$J$6:$L$305,MATCH(GW$2,祝日!$H$6:$H$305,0),3)=0),1,0),0)</f>
        <v>0</v>
      </c>
      <c r="GX128">
        <f ca="1">IFERROR(IF(AND(GX$2&gt;INDEX(祝日!$J$2:$L$2,3),GX$2&lt;INDEX(祝日!$J$3:$L$3,3),INDEX(祝日!$J$6:$L$305,MATCH(GX$2,祝日!$H$6:$H$305,0),3)=0),1,0),0)</f>
        <v>0</v>
      </c>
      <c r="GY128">
        <f ca="1">IFERROR(IF(AND(GY$2&gt;INDEX(祝日!$J$2:$L$2,3),GY$2&lt;INDEX(祝日!$J$3:$L$3,3),INDEX(祝日!$J$6:$L$305,MATCH(GY$2,祝日!$H$6:$H$305,0),3)=0),1,0),0)</f>
        <v>0</v>
      </c>
      <c r="GZ128">
        <f ca="1">IFERROR(IF(AND(GZ$2&gt;INDEX(祝日!$J$2:$L$2,3),GZ$2&lt;INDEX(祝日!$J$3:$L$3,3),INDEX(祝日!$J$6:$L$305,MATCH(GZ$2,祝日!$H$6:$H$305,0),3)=0),1,0),0)</f>
        <v>0</v>
      </c>
      <c r="HA128">
        <f ca="1">IFERROR(IF(AND(HA$2&gt;INDEX(祝日!$J$2:$L$2,3),HA$2&lt;INDEX(祝日!$J$3:$L$3,3),INDEX(祝日!$J$6:$L$305,MATCH(HA$2,祝日!$H$6:$H$305,0),3)=0),1,0),0)</f>
        <v>0</v>
      </c>
      <c r="HB128">
        <f ca="1">IFERROR(IF(AND(HB$2&gt;INDEX(祝日!$J$2:$L$2,3),HB$2&lt;INDEX(祝日!$J$3:$L$3,3),INDEX(祝日!$J$6:$L$305,MATCH(HB$2,祝日!$H$6:$H$305,0),3)=0),1,0),0)</f>
        <v>0</v>
      </c>
      <c r="HC128">
        <f ca="1">IFERROR(IF(AND(HC$2&gt;INDEX(祝日!$J$2:$L$2,3),HC$2&lt;INDEX(祝日!$J$3:$L$3,3),INDEX(祝日!$J$6:$L$305,MATCH(HC$2,祝日!$H$6:$H$305,0),3)=0),1,0),0)</f>
        <v>0</v>
      </c>
      <c r="HD128">
        <f ca="1">IFERROR(IF(AND(HD$2&gt;INDEX(祝日!$J$2:$L$2,3),HD$2&lt;INDEX(祝日!$J$3:$L$3,3),INDEX(祝日!$J$6:$L$305,MATCH(HD$2,祝日!$H$6:$H$305,0),3)=0),1,0),0)</f>
        <v>0</v>
      </c>
      <c r="HE128">
        <f ca="1">IFERROR(IF(AND(HE$2&gt;INDEX(祝日!$J$2:$L$2,3),HE$2&lt;INDEX(祝日!$J$3:$L$3,3),INDEX(祝日!$J$6:$L$305,MATCH(HE$2,祝日!$H$6:$H$305,0),3)=0),1,0),0)</f>
        <v>0</v>
      </c>
      <c r="HF128">
        <f ca="1">IFERROR(IF(AND(HF$2&gt;INDEX(祝日!$J$2:$L$2,3),HF$2&lt;INDEX(祝日!$J$3:$L$3,3),INDEX(祝日!$J$6:$L$305,MATCH(HF$2,祝日!$H$6:$H$305,0),3)=0),1,0),0)</f>
        <v>0</v>
      </c>
      <c r="HG128">
        <f ca="1">IFERROR(IF(AND(HG$2&gt;INDEX(祝日!$J$2:$L$2,3),HG$2&lt;INDEX(祝日!$J$3:$L$3,3),INDEX(祝日!$J$6:$L$305,MATCH(HG$2,祝日!$H$6:$H$305,0),3)=0),1,0),0)</f>
        <v>0</v>
      </c>
      <c r="HH128">
        <f ca="1">IFERROR(IF(AND(HH$2&gt;INDEX(祝日!$J$2:$L$2,3),HH$2&lt;INDEX(祝日!$J$3:$L$3,3),INDEX(祝日!$J$6:$L$305,MATCH(HH$2,祝日!$H$6:$H$305,0),3)=0),1,0),0)</f>
        <v>0</v>
      </c>
      <c r="HI128">
        <f ca="1">IFERROR(IF(AND(HI$2&gt;INDEX(祝日!$J$2:$L$2,3),HI$2&lt;INDEX(祝日!$J$3:$L$3,3),INDEX(祝日!$J$6:$L$305,MATCH(HI$2,祝日!$H$6:$H$305,0),3)=0),1,0),0)</f>
        <v>0</v>
      </c>
      <c r="HJ128">
        <f ca="1">IFERROR(IF(AND(HJ$2&gt;INDEX(祝日!$J$2:$L$2,3),HJ$2&lt;INDEX(祝日!$J$3:$L$3,3),INDEX(祝日!$J$6:$L$305,MATCH(HJ$2,祝日!$H$6:$H$305,0),3)=0),1,0),0)</f>
        <v>0</v>
      </c>
      <c r="HK128">
        <f ca="1">IFERROR(IF(AND(HK$2&gt;INDEX(祝日!$J$2:$L$2,3),HK$2&lt;INDEX(祝日!$J$3:$L$3,3),INDEX(祝日!$J$6:$L$305,MATCH(HK$2,祝日!$H$6:$H$305,0),3)=0),1,0),0)</f>
        <v>0</v>
      </c>
      <c r="HL128">
        <f ca="1">IFERROR(IF(AND(HL$2&gt;INDEX(祝日!$J$2:$L$2,3),HL$2&lt;INDEX(祝日!$J$3:$L$3,3),INDEX(祝日!$J$6:$L$305,MATCH(HL$2,祝日!$H$6:$H$305,0),3)=0),1,0),0)</f>
        <v>0</v>
      </c>
      <c r="HM128">
        <f ca="1">IFERROR(IF(AND(HM$2&gt;INDEX(祝日!$J$2:$L$2,3),HM$2&lt;INDEX(祝日!$J$3:$L$3,3),INDEX(祝日!$J$6:$L$305,MATCH(HM$2,祝日!$H$6:$H$305,0),3)=0),1,0),0)</f>
        <v>0</v>
      </c>
      <c r="HN128">
        <f ca="1">IFERROR(IF(AND(HN$2&gt;INDEX(祝日!$J$2:$L$2,3),HN$2&lt;INDEX(祝日!$J$3:$L$3,3),INDEX(祝日!$J$6:$L$305,MATCH(HN$2,祝日!$H$6:$H$305,0),3)=0),1,0),0)</f>
        <v>0</v>
      </c>
      <c r="HO128">
        <f ca="1">IFERROR(IF(AND(HO$2&gt;INDEX(祝日!$J$2:$L$2,3),HO$2&lt;INDEX(祝日!$J$3:$L$3,3),INDEX(祝日!$J$6:$L$305,MATCH(HO$2,祝日!$H$6:$H$305,0),3)=0),1,0),0)</f>
        <v>0</v>
      </c>
      <c r="HP128">
        <f ca="1">IFERROR(IF(AND(HP$2&gt;INDEX(祝日!$J$2:$L$2,3),HP$2&lt;INDEX(祝日!$J$3:$L$3,3),INDEX(祝日!$J$6:$L$305,MATCH(HP$2,祝日!$H$6:$H$305,0),3)=0),1,0),0)</f>
        <v>0</v>
      </c>
      <c r="HQ128">
        <f ca="1">IFERROR(IF(AND(HQ$2&gt;INDEX(祝日!$J$2:$L$2,3),HQ$2&lt;INDEX(祝日!$J$3:$L$3,3),INDEX(祝日!$J$6:$L$305,MATCH(HQ$2,祝日!$H$6:$H$305,0),3)=0),1,0),0)</f>
        <v>0</v>
      </c>
      <c r="HR128">
        <f ca="1">IFERROR(IF(AND(HR$2&gt;INDEX(祝日!$J$2:$L$2,3),HR$2&lt;INDEX(祝日!$J$3:$L$3,3),INDEX(祝日!$J$6:$L$305,MATCH(HR$2,祝日!$H$6:$H$305,0),3)=0),1,0),0)</f>
        <v>0</v>
      </c>
      <c r="HS128">
        <f ca="1">IFERROR(IF(AND(HS$2&gt;INDEX(祝日!$J$2:$L$2,3),HS$2&lt;INDEX(祝日!$J$3:$L$3,3),INDEX(祝日!$J$6:$L$305,MATCH(HS$2,祝日!$H$6:$H$305,0),3)=0),1,0),0)</f>
        <v>0</v>
      </c>
      <c r="HT128">
        <f ca="1">IFERROR(IF(AND(HT$2&gt;INDEX(祝日!$J$2:$L$2,3),HT$2&lt;INDEX(祝日!$J$3:$L$3,3),INDEX(祝日!$J$6:$L$305,MATCH(HT$2,祝日!$H$6:$H$305,0),3)=0),1,0),0)</f>
        <v>0</v>
      </c>
      <c r="HU128">
        <f ca="1">IFERROR(IF(AND(HU$2&gt;INDEX(祝日!$J$2:$L$2,3),HU$2&lt;INDEX(祝日!$J$3:$L$3,3),INDEX(祝日!$J$6:$L$305,MATCH(HU$2,祝日!$H$6:$H$305,0),3)=0),1,0),0)</f>
        <v>0</v>
      </c>
      <c r="HV128">
        <f ca="1">IFERROR(IF(AND(HV$2&gt;INDEX(祝日!$J$2:$L$2,3),HV$2&lt;INDEX(祝日!$J$3:$L$3,3),INDEX(祝日!$J$6:$L$305,MATCH(HV$2,祝日!$H$6:$H$305,0),3)=0),1,0),0)</f>
        <v>0</v>
      </c>
      <c r="HW128">
        <f ca="1">IFERROR(IF(AND(HW$2&gt;INDEX(祝日!$J$2:$L$2,3),HW$2&lt;INDEX(祝日!$J$3:$L$3,3),INDEX(祝日!$J$6:$L$305,MATCH(HW$2,祝日!$H$6:$H$305,0),3)=0),1,0),0)</f>
        <v>0</v>
      </c>
      <c r="HX128">
        <f ca="1">IFERROR(IF(AND(HX$2&gt;INDEX(祝日!$J$2:$L$2,3),HX$2&lt;INDEX(祝日!$J$3:$L$3,3),INDEX(祝日!$J$6:$L$305,MATCH(HX$2,祝日!$H$6:$H$305,0),3)=0),1,0),0)</f>
        <v>0</v>
      </c>
      <c r="HY128">
        <f ca="1">IFERROR(IF(AND(HY$2&gt;INDEX(祝日!$J$2:$L$2,3),HY$2&lt;INDEX(祝日!$J$3:$L$3,3),INDEX(祝日!$J$6:$L$305,MATCH(HY$2,祝日!$H$6:$H$305,0),3)=0),1,0),0)</f>
        <v>0</v>
      </c>
      <c r="HZ128">
        <f ca="1">IFERROR(IF(AND(HZ$2&gt;INDEX(祝日!$J$2:$L$2,3),HZ$2&lt;INDEX(祝日!$J$3:$L$3,3),INDEX(祝日!$J$6:$L$305,MATCH(HZ$2,祝日!$H$6:$H$305,0),3)=0),1,0),0)</f>
        <v>0</v>
      </c>
      <c r="IA128">
        <f ca="1">IFERROR(IF(AND(IA$2&gt;INDEX(祝日!$J$2:$L$2,3),IA$2&lt;INDEX(祝日!$J$3:$L$3,3),INDEX(祝日!$J$6:$L$305,MATCH(IA$2,祝日!$H$6:$H$305,0),3)=0),1,0),0)</f>
        <v>0</v>
      </c>
      <c r="IB128">
        <f ca="1">IFERROR(IF(AND(IB$2&gt;INDEX(祝日!$J$2:$L$2,3),IB$2&lt;INDEX(祝日!$J$3:$L$3,3),INDEX(祝日!$J$6:$L$305,MATCH(IB$2,祝日!$H$6:$H$305,0),3)=0),1,0),0)</f>
        <v>0</v>
      </c>
      <c r="IC128">
        <f ca="1">IFERROR(IF(AND(IC$2&gt;INDEX(祝日!$J$2:$L$2,3),IC$2&lt;INDEX(祝日!$J$3:$L$3,3),INDEX(祝日!$J$6:$L$305,MATCH(IC$2,祝日!$H$6:$H$305,0),3)=0),1,0),0)</f>
        <v>0</v>
      </c>
      <c r="ID128">
        <f ca="1">IFERROR(IF(AND(ID$2&gt;INDEX(祝日!$J$2:$L$2,3),ID$2&lt;INDEX(祝日!$J$3:$L$3,3),INDEX(祝日!$J$6:$L$305,MATCH(ID$2,祝日!$H$6:$H$305,0),3)=0),1,0),0)</f>
        <v>0</v>
      </c>
      <c r="IE128">
        <f ca="1">IFERROR(IF(AND(IE$2&gt;INDEX(祝日!$J$2:$L$2,3),IE$2&lt;INDEX(祝日!$J$3:$L$3,3),INDEX(祝日!$J$6:$L$305,MATCH(IE$2,祝日!$H$6:$H$305,0),3)=0),1,0),0)</f>
        <v>0</v>
      </c>
      <c r="IF128">
        <f ca="1">IFERROR(IF(AND(IF$2&gt;INDEX(祝日!$J$2:$L$2,3),IF$2&lt;INDEX(祝日!$J$3:$L$3,3),INDEX(祝日!$J$6:$L$305,MATCH(IF$2,祝日!$H$6:$H$305,0),3)=0),1,0),0)</f>
        <v>0</v>
      </c>
      <c r="IG128">
        <f ca="1">IFERROR(IF(AND(IG$2&gt;INDEX(祝日!$J$2:$L$2,3),IG$2&lt;INDEX(祝日!$J$3:$L$3,3),INDEX(祝日!$J$6:$L$305,MATCH(IG$2,祝日!$H$6:$H$305,0),3)=0),1,0),0)</f>
        <v>0</v>
      </c>
      <c r="IH128">
        <f ca="1">IFERROR(IF(AND(IH$2&gt;INDEX(祝日!$J$2:$L$2,3),IH$2&lt;INDEX(祝日!$J$3:$L$3,3),INDEX(祝日!$J$6:$L$305,MATCH(IH$2,祝日!$H$6:$H$305,0),3)=0),1,0),0)</f>
        <v>0</v>
      </c>
      <c r="II128">
        <f ca="1">IFERROR(IF(AND(II$2&gt;INDEX(祝日!$J$2:$L$2,3),II$2&lt;INDEX(祝日!$J$3:$L$3,3),INDEX(祝日!$J$6:$L$305,MATCH(II$2,祝日!$H$6:$H$305,0),3)=0),1,0),0)</f>
        <v>0</v>
      </c>
      <c r="IJ128">
        <f ca="1">IFERROR(IF(AND(IJ$2&gt;INDEX(祝日!$J$2:$L$2,3),IJ$2&lt;INDEX(祝日!$J$3:$L$3,3),INDEX(祝日!$J$6:$L$305,MATCH(IJ$2,祝日!$H$6:$H$305,0),3)=0),1,0),0)</f>
        <v>0</v>
      </c>
      <c r="IK128">
        <f ca="1">IFERROR(IF(AND(IK$2&gt;INDEX(祝日!$J$2:$L$2,3),IK$2&lt;INDEX(祝日!$J$3:$L$3,3),INDEX(祝日!$J$6:$L$305,MATCH(IK$2,祝日!$H$6:$H$305,0),3)=0),1,0),0)</f>
        <v>0</v>
      </c>
      <c r="IL128">
        <f ca="1">IFERROR(IF(AND(IL$2&gt;INDEX(祝日!$J$2:$L$2,3),IL$2&lt;INDEX(祝日!$J$3:$L$3,3),INDEX(祝日!$J$6:$L$305,MATCH(IL$2,祝日!$H$6:$H$305,0),3)=0),1,0),0)</f>
        <v>0</v>
      </c>
      <c r="IM128">
        <f ca="1">IFERROR(IF(AND(IM$2&gt;INDEX(祝日!$J$2:$L$2,3),IM$2&lt;INDEX(祝日!$J$3:$L$3,3),INDEX(祝日!$J$6:$L$305,MATCH(IM$2,祝日!$H$6:$H$305,0),3)=0),1,0),0)</f>
        <v>0</v>
      </c>
      <c r="IN128">
        <f ca="1">IFERROR(IF(AND(IN$2&gt;INDEX(祝日!$J$2:$L$2,3),IN$2&lt;INDEX(祝日!$J$3:$L$3,3),INDEX(祝日!$J$6:$L$305,MATCH(IN$2,祝日!$H$6:$H$305,0),3)=0),1,0),0)</f>
        <v>0</v>
      </c>
      <c r="IO128">
        <f ca="1">IFERROR(IF(AND(IO$2&gt;INDEX(祝日!$J$2:$L$2,3),IO$2&lt;INDEX(祝日!$J$3:$L$3,3),INDEX(祝日!$J$6:$L$305,MATCH(IO$2,祝日!$H$6:$H$305,0),3)=0),1,0),0)</f>
        <v>0</v>
      </c>
      <c r="IP128">
        <f ca="1">IFERROR(IF(AND(IP$2&gt;INDEX(祝日!$J$2:$L$2,3),IP$2&lt;INDEX(祝日!$J$3:$L$3,3),INDEX(祝日!$J$6:$L$305,MATCH(IP$2,祝日!$H$6:$H$305,0),3)=0),1,0),0)</f>
        <v>0</v>
      </c>
      <c r="IQ128">
        <f ca="1">IFERROR(IF(AND(IQ$2&gt;INDEX(祝日!$J$2:$L$2,3),IQ$2&lt;INDEX(祝日!$J$3:$L$3,3),INDEX(祝日!$J$6:$L$305,MATCH(IQ$2,祝日!$H$6:$H$305,0),3)=0),1,0),0)</f>
        <v>0</v>
      </c>
      <c r="IR128">
        <f ca="1">IFERROR(IF(AND(IR$2&gt;INDEX(祝日!$J$2:$L$2,3),IR$2&lt;INDEX(祝日!$J$3:$L$3,3),INDEX(祝日!$J$6:$L$305,MATCH(IR$2,祝日!$H$6:$H$305,0),3)=0),1,0),0)</f>
        <v>0</v>
      </c>
      <c r="IS128">
        <f ca="1">IFERROR(IF(AND(IS$2&gt;INDEX(祝日!$J$2:$L$2,3),IS$2&lt;INDEX(祝日!$J$3:$L$3,3),INDEX(祝日!$J$6:$L$305,MATCH(IS$2,祝日!$H$6:$H$305,0),3)=0),1,0),0)</f>
        <v>0</v>
      </c>
      <c r="IT128">
        <f ca="1">IFERROR(IF(AND(IT$2&gt;INDEX(祝日!$J$2:$L$2,3),IT$2&lt;INDEX(祝日!$J$3:$L$3,3),INDEX(祝日!$J$6:$L$305,MATCH(IT$2,祝日!$H$6:$H$305,0),3)=0),1,0),0)</f>
        <v>0</v>
      </c>
      <c r="IU128">
        <f ca="1">IFERROR(IF(AND(IU$2&gt;INDEX(祝日!$J$2:$L$2,3),IU$2&lt;INDEX(祝日!$J$3:$L$3,3),INDEX(祝日!$J$6:$L$305,MATCH(IU$2,祝日!$H$6:$H$305,0),3)=0),1,0),0)</f>
        <v>0</v>
      </c>
      <c r="IV128">
        <f ca="1">IFERROR(IF(AND(IV$2&gt;INDEX(祝日!$J$2:$L$2,3),IV$2&lt;INDEX(祝日!$J$3:$L$3,3),INDEX(祝日!$J$6:$L$305,MATCH(IV$2,祝日!$H$6:$H$305,0),3)=0),1,0),0)</f>
        <v>0</v>
      </c>
      <c r="IW128">
        <f ca="1">IFERROR(IF(AND(IW$2&gt;INDEX(祝日!$J$2:$L$2,3),IW$2&lt;INDEX(祝日!$J$3:$L$3,3),INDEX(祝日!$J$6:$L$305,MATCH(IW$2,祝日!$H$6:$H$305,0),3)=0),1,0),0)</f>
        <v>0</v>
      </c>
      <c r="IX128">
        <f ca="1">IFERROR(IF(AND(IX$2&gt;INDEX(祝日!$J$2:$L$2,3),IX$2&lt;INDEX(祝日!$J$3:$L$3,3),INDEX(祝日!$J$6:$L$305,MATCH(IX$2,祝日!$H$6:$H$305,0),3)=0),1,0),0)</f>
        <v>0</v>
      </c>
      <c r="IY128">
        <f ca="1">IFERROR(IF(AND(IY$2&gt;INDEX(祝日!$J$2:$L$2,3),IY$2&lt;INDEX(祝日!$J$3:$L$3,3),INDEX(祝日!$J$6:$L$305,MATCH(IY$2,祝日!$H$6:$H$305,0),3)=0),1,0),0)</f>
        <v>0</v>
      </c>
      <c r="IZ128">
        <f ca="1">IFERROR(IF(AND(IZ$2&gt;INDEX(祝日!$J$2:$L$2,3),IZ$2&lt;INDEX(祝日!$J$3:$L$3,3),INDEX(祝日!$J$6:$L$305,MATCH(IZ$2,祝日!$H$6:$H$305,0),3)=0),1,0),0)</f>
        <v>0</v>
      </c>
      <c r="JA128">
        <f ca="1">IFERROR(IF(AND(JA$2&gt;INDEX(祝日!$J$2:$L$2,3),JA$2&lt;INDEX(祝日!$J$3:$L$3,3),INDEX(祝日!$J$6:$L$305,MATCH(JA$2,祝日!$H$6:$H$305,0),3)=0),1,0),0)</f>
        <v>0</v>
      </c>
      <c r="JB128">
        <f ca="1">IFERROR(IF(AND(JB$2&gt;INDEX(祝日!$J$2:$L$2,3),JB$2&lt;INDEX(祝日!$J$3:$L$3,3),INDEX(祝日!$J$6:$L$305,MATCH(JB$2,祝日!$H$6:$H$305,0),3)=0),1,0),0)</f>
        <v>0</v>
      </c>
      <c r="JC128">
        <f ca="1">IFERROR(IF(AND(JC$2&gt;INDEX(祝日!$J$2:$L$2,3),JC$2&lt;INDEX(祝日!$J$3:$L$3,3),INDEX(祝日!$J$6:$L$305,MATCH(JC$2,祝日!$H$6:$H$305,0),3)=0),1,0),0)</f>
        <v>0</v>
      </c>
      <c r="JD128">
        <f ca="1">IFERROR(IF(AND(JD$2&gt;INDEX(祝日!$J$2:$L$2,3),JD$2&lt;INDEX(祝日!$J$3:$L$3,3),INDEX(祝日!$J$6:$L$305,MATCH(JD$2,祝日!$H$6:$H$305,0),3)=0),1,0),0)</f>
        <v>0</v>
      </c>
      <c r="JE128">
        <f ca="1">IFERROR(IF(AND(JE$2&gt;INDEX(祝日!$J$2:$L$2,3),JE$2&lt;INDEX(祝日!$J$3:$L$3,3),INDEX(祝日!$J$6:$L$305,MATCH(JE$2,祝日!$H$6:$H$305,0),3)=0),1,0),0)</f>
        <v>0</v>
      </c>
      <c r="JF128">
        <f ca="1">IFERROR(IF(AND(JF$2&gt;INDEX(祝日!$J$2:$L$2,3),JF$2&lt;INDEX(祝日!$J$3:$L$3,3),INDEX(祝日!$J$6:$L$305,MATCH(JF$2,祝日!$H$6:$H$305,0),3)=0),1,0),0)</f>
        <v>0</v>
      </c>
      <c r="JG128">
        <f ca="1">IFERROR(IF(AND(JG$2&gt;INDEX(祝日!$J$2:$L$2,3),JG$2&lt;INDEX(祝日!$J$3:$L$3,3),INDEX(祝日!$J$6:$L$305,MATCH(JG$2,祝日!$H$6:$H$305,0),3)=0),1,0),0)</f>
        <v>0</v>
      </c>
      <c r="JH128">
        <f ca="1">IFERROR(IF(AND(JH$2&gt;INDEX(祝日!$J$2:$L$2,3),JH$2&lt;INDEX(祝日!$J$3:$L$3,3),INDEX(祝日!$J$6:$L$305,MATCH(JH$2,祝日!$H$6:$H$305,0),3)=0),1,0),0)</f>
        <v>0</v>
      </c>
      <c r="JI128">
        <f ca="1">IFERROR(IF(AND(JI$2&gt;INDEX(祝日!$J$2:$L$2,3),JI$2&lt;INDEX(祝日!$J$3:$L$3,3),INDEX(祝日!$J$6:$L$305,MATCH(JI$2,祝日!$H$6:$H$305,0),3)=0),1,0),0)</f>
        <v>0</v>
      </c>
    </row>
  </sheetData>
  <phoneticPr fontId="4"/>
  <conditionalFormatting sqref="A4:B123">
    <cfRule type="expression" dxfId="13" priority="6">
      <formula>AND($A4&lt;&gt;"",$A4=$A3, $B4=$B3)</formula>
    </cfRule>
  </conditionalFormatting>
  <conditionalFormatting sqref="A4:D123">
    <cfRule type="expression" dxfId="12" priority="12">
      <formula>AND($JL4=0,AND($A4&lt;&gt;"",OR($B4&lt;&gt;$B3,$A4&lt;&gt;$A3)))</formula>
    </cfRule>
    <cfRule type="expression" dxfId="11" priority="13" stopIfTrue="1">
      <formula>AND($E4&lt;&gt;"",$JL4=1)</formula>
    </cfRule>
  </conditionalFormatting>
  <conditionalFormatting sqref="D4:D123">
    <cfRule type="expression" dxfId="10" priority="7">
      <formula>AND($JL4=0,$D4="未着手")</formula>
    </cfRule>
    <cfRule type="expression" dxfId="9" priority="8">
      <formula>AND($JL4=0,$D4="作業中")</formula>
    </cfRule>
    <cfRule type="expression" dxfId="8" priority="9">
      <formula>AND($JL4=0,$D4="中断")</formula>
    </cfRule>
    <cfRule type="expression" dxfId="6" priority="11">
      <formula>AND($JL4=0,$D4="FIX")</formula>
    </cfRule>
  </conditionalFormatting>
  <conditionalFormatting sqref="AD2:JI3">
    <cfRule type="expression" dxfId="5" priority="5" stopIfTrue="1">
      <formula>AD$2=$B$2</formula>
    </cfRule>
  </conditionalFormatting>
  <conditionalFormatting sqref="AD4:JI123">
    <cfRule type="expression" dxfId="4" priority="1" stopIfTrue="1">
      <formula>AND($E4&lt;&gt;"",OR(AND($F4&lt;&gt;"",$G4="",AD$2&gt;=$F4,AD$2&lt;=$B$2),AND($H4&lt;&gt;"",$I4="",AD$2&gt;=$H4,AD$2&lt;=$B$2),AND($J4&lt;&gt;"",$K4="",AD$2&gt;=$J4,AD$2&lt;=$B$2),AND($L4&lt;&gt;"",$M4="",AD$2&gt;=$L4,AD$2&lt;=$B$2),AND($N4&lt;&gt;"",$O4="",AD$2&gt;=$N4,AD$2&lt;=$B$2),AND($P4&lt;&gt;"",$Q4="",AD$2&gt;=$P4,AD$2&lt;=$B$2),AND($R4&lt;&gt;"",$S4="",AD$2&gt;=$R4,AD$2&lt;=$B$2),AND($T4&lt;&gt;"",$U4="",AD$2&gt;=$T4,AD$2&lt;=$B$2),AND($V4&lt;&gt;"",$W4="",AD$2&gt;=$V4,AD$2&lt;=$B$2),AND($X4&lt;&gt;"",$Y4="",AD$2&gt;=$X4,AD$2&lt;=$B$2),AND($Z4&lt;&gt;"",$AA4="",AD$2&gt;=$Z4,AD$2&lt;=$B$2),AND($AB4&lt;&gt;"",$AC4="",AD$2&gt;=$AB4,AD$2&lt;=$B$2)))</formula>
    </cfRule>
    <cfRule type="expression" dxfId="3" priority="2" stopIfTrue="1">
      <formula>AND($E4&lt;&gt;"",OR(AND($F4&lt;&gt;"",$G4&lt;&gt;"",AD$2&gt;=$F4,AD$2&lt;=$G4),AND($H4&lt;&gt;"",$I4&lt;&gt;"",AD$2&gt;=$H4,AD$2&lt;=$I4),AND($J4&lt;&gt;"",$K4&lt;&gt;"",AD$2&gt;=$J4,AD$2&lt;=$K4),AND($L4&lt;&gt;"",$M4&lt;&gt;"",AD$2&gt;=$L4,AD$2&lt;=$M4),AND($N4&lt;&gt;"",$O4&lt;&gt;"",AD$2&gt;=$N4,AD$2&lt;=$O4),AND($P4&lt;&gt;"",$Q4&lt;&gt;"",AD$2&gt;=$P4,AD$2&lt;=$Q4),AND($R4&lt;&gt;"",$S4&lt;&gt;"",AD$2&gt;=$R4,AD$2&lt;=$S4),AND($T4&lt;&gt;"",$U4&lt;&gt;"",AD$2&gt;=$T4,AD$2&lt;=$U4),AND($V4&lt;&gt;"",$W4&lt;&gt;"",AD$2&gt;=$V4,AD$2&lt;=$W4),AND($X4&lt;&gt;"",$Y4&lt;&gt;"",AD$2&gt;=$X4,AD$2&lt;=$Y4),AND($Z4&lt;&gt;"",$AA4&lt;&gt;"",AD$2&gt;=$Z4,AD$2&lt;=$AA4),AND($AB4&lt;&gt;"",$AC4&lt;&gt;"",AD$2&gt;=$AB4,AD$2&lt;=$AC4)))</formula>
    </cfRule>
    <cfRule type="expression" dxfId="2" priority="4" stopIfTrue="1">
      <formula>AND($JL4=0,AND($E4&lt;&gt;"",AD$2=$B$2))</formula>
    </cfRule>
    <cfRule type="expression" dxfId="1" priority="15" stopIfTrue="1">
      <formula>AND($E4&lt;&gt;"",$JL4=0,$JM4&lt;&gt;"",INDEX(AD$126:AD$128,$JM4)=1)</formula>
    </cfRule>
    <cfRule type="expression" dxfId="0" priority="20" stopIfTrue="1">
      <formula>AND($E4&lt;&gt;"",$JL4=1)</formula>
    </cfRule>
  </conditionalFormatting>
  <pageMargins left="0.75" right="0.75" top="1" bottom="1" header="0.5" footer="0.5"/>
  <ignoredErrors>
    <ignoredError sqref="A4:JM128" numberStoredAsText="1" formula="1" formulaRange="1" unlockedFormula="1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5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1" width="14" customWidth="1"/>
    <col min="2" max="2" width="24" customWidth="1"/>
    <col min="8" max="8" width="13" customWidth="1"/>
    <col min="9" max="9" width="7" customWidth="1"/>
    <col min="10" max="12" width="9" customWidth="1"/>
  </cols>
  <sheetData>
    <row r="1" spans="1:12" x14ac:dyDescent="0.15">
      <c r="A1" s="3" t="s">
        <v>58</v>
      </c>
      <c r="B1" s="3" t="s">
        <v>59</v>
      </c>
      <c r="D1" s="4" t="s">
        <v>60</v>
      </c>
      <c r="H1" s="35" t="s">
        <v>61</v>
      </c>
      <c r="I1" s="35" t="s">
        <v>62</v>
      </c>
      <c r="J1" s="35" t="str">
        <f>IF(工数管理!$A$3="","",工数管理!$A$3)</f>
        <v>CH01</v>
      </c>
      <c r="K1" s="35" t="str">
        <f>IF(工数管理!$A$24="","",工数管理!$A$24)</f>
        <v>CH02</v>
      </c>
      <c r="L1" s="35" t="str">
        <f>IF(工数管理!$A$45="","",工数管理!$A$45)</f>
        <v>CH03</v>
      </c>
    </row>
    <row r="2" spans="1:12" x14ac:dyDescent="0.15">
      <c r="A2" s="5">
        <v>46023</v>
      </c>
      <c r="B2" s="6" t="s">
        <v>63</v>
      </c>
      <c r="H2" s="36" t="s">
        <v>64</v>
      </c>
      <c r="I2" s="37"/>
      <c r="J2" s="38">
        <f ca="1">IFERROR(INDEX($H$6:$H$305,MATCH(TRUE,INDEX(J$6:J$305&gt;0,0),0)),"")</f>
        <v>46174</v>
      </c>
      <c r="K2" s="38">
        <f ca="1">IFERROR(INDEX($H$6:$H$305,MATCH(TRUE,INDEX(K$6:K$305&gt;0,0),0)),"")</f>
        <v>46204</v>
      </c>
      <c r="L2" s="38">
        <f ca="1">IFERROR(INDEX($H$6:$H$305,MATCH(TRUE,INDEX(L$6:L$305&gt;0,0),0)),"")</f>
        <v>46204</v>
      </c>
    </row>
    <row r="3" spans="1:12" x14ac:dyDescent="0.15">
      <c r="A3" s="5">
        <v>46024</v>
      </c>
      <c r="B3" s="6" t="s">
        <v>65</v>
      </c>
      <c r="H3" s="36" t="s">
        <v>66</v>
      </c>
      <c r="I3" s="37"/>
      <c r="J3" s="38">
        <f ca="1">IFERROR(LOOKUP(2,1/(J$6:J$305&gt;0),$H$6:$H$305),"")</f>
        <v>46302</v>
      </c>
      <c r="K3" s="38">
        <f ca="1">IFERROR(LOOKUP(2,1/(K$6:K$305&gt;0),$H$6:$H$305),"")</f>
        <v>46302</v>
      </c>
      <c r="L3" s="38">
        <f ca="1">IFERROR(LOOKUP(2,1/(L$6:L$305&gt;0),$H$6:$H$305),"")</f>
        <v>46302</v>
      </c>
    </row>
    <row r="4" spans="1:12" x14ac:dyDescent="0.15">
      <c r="A4" s="5">
        <v>46025</v>
      </c>
      <c r="B4" s="6" t="s">
        <v>65</v>
      </c>
      <c r="H4" s="36" t="s">
        <v>67</v>
      </c>
      <c r="I4" s="37"/>
      <c r="J4" s="39">
        <f ca="1">IF(OR(J2="",J3=""),"",SUMPRODUCT($I$6:$I$305*(J$6:J$305=0)*($H$6:$H$305&gt;J2)*($H$6:$H$305&lt;J3)))</f>
        <v>17</v>
      </c>
      <c r="K4" s="39">
        <f ca="1">IF(OR(K2="",K3=""),"",SUMPRODUCT($I$6:$I$305*(K$6:K$305=0)*($H$6:$H$305&gt;K2)*($H$6:$H$305&lt;K3)))</f>
        <v>0</v>
      </c>
      <c r="L4" s="39">
        <f ca="1">IF(OR(L2="",L3=""),"",SUMPRODUCT($I$6:$I$305*(L$6:L$305=0)*($H$6:$H$305&gt;L2)*($H$6:$H$305&lt;L3)))</f>
        <v>0</v>
      </c>
    </row>
    <row r="5" spans="1:12" x14ac:dyDescent="0.15">
      <c r="A5" s="5">
        <v>46026</v>
      </c>
      <c r="B5" s="6" t="s">
        <v>65</v>
      </c>
      <c r="H5" s="40" t="s">
        <v>68</v>
      </c>
    </row>
    <row r="6" spans="1:12" x14ac:dyDescent="0.15">
      <c r="A6" s="5">
        <v>46034</v>
      </c>
      <c r="B6" s="6" t="s">
        <v>69</v>
      </c>
      <c r="H6" s="41">
        <v>46174</v>
      </c>
      <c r="I6" s="42">
        <f t="shared" ref="I6:I69" si="0">IF(NETWORKDAYS(H6,H6,$A$2:$A$200)=1,1,0)</f>
        <v>1</v>
      </c>
      <c r="J6" s="42">
        <f ca="1">IF(J$1="",0,COUNTIFS(工数管理!$AK$3:$AK$98,J$1,工数管理!$K$3:$K$98,"&lt;="&amp;$H6,工数管理!$L$3:$L$98,"&gt;="&amp;$H6)+COUNTIFS(工数管理!$AK$3:$AK$98,J$1,工数管理!$M$3:$M$98,"&lt;="&amp;$H6,工数管理!$N$3:$N$98,"&gt;="&amp;$H6)+COUNTIFS(工数管理!$AK$3:$AK$98,J$1,工数管理!$O$3:$O$98,"&lt;="&amp;$H6,工数管理!$P$3:$P$98,"&gt;="&amp;$H6)+COUNTIFS(工数管理!$AK$3:$AK$98,J$1,工数管理!$Q$3:$Q$98,"&lt;="&amp;$H6,工数管理!$R$3:$R$98,"&gt;="&amp;$H6)+COUNTIFS(工数管理!$AK$3:$AK$98,J$1,工数管理!$S$3:$S$98,"&lt;="&amp;$H6,工数管理!$T$3:$T$98,"&gt;="&amp;$H6)+COUNTIFS(工数管理!$AK$3:$AK$98,J$1,工数管理!$U$3:$U$98,"&lt;="&amp;$H6,工数管理!$V$3:$V$98,"&gt;="&amp;$H6)+COUNTIFS(工数管理!$AK$3:$AK$98,J$1,工数管理!$W$3:$W$98,"&lt;="&amp;$H6,工数管理!$X$3:$X$98,"&gt;="&amp;$H6)+COUNTIFS(工数管理!$AK$3:$AK$98,J$1,工数管理!$Y$3:$Y$98,"&lt;="&amp;$H6,工数管理!$Z$3:$Z$98,"&gt;="&amp;$H6)+COUNTIFS(工数管理!$AK$3:$AK$98,J$1,工数管理!$AA$3:$AA$98,"&lt;="&amp;$H6,工数管理!$AB$3:$AB$98,"&gt;="&amp;$H6)+COUNTIFS(工数管理!$AK$3:$AK$98,J$1,工数管理!$AC$3:$AC$98,"&lt;="&amp;$H6,工数管理!$AD$3:$AD$98,"&gt;="&amp;$H6)+COUNTIFS(工数管理!$AK$3:$AK$98,J$1,工数管理!$AE$3:$AE$98,"&lt;="&amp;$H6,工数管理!$AF$3:$AF$98,"&gt;="&amp;$H6)+COUNTIFS(工数管理!$AK$3:$AK$98,J$1,工数管理!$AG$3:$AG$98,"&lt;="&amp;$H6,工数管理!$AH$3:$AH$98,"&gt;="&amp;$H6)+(COUNTIFS(工数管理!$AK$3:$AK$98,J$1,工数管理!$K$3:$K$98,"&lt;="&amp;$H6,工数管理!$L$3:$L$98,"")+COUNTIFS(工数管理!$AK$3:$AK$98,J$1,工数管理!$M$3:$M$98,"&lt;="&amp;$H6,工数管理!$N$3:$N$98,"")+COUNTIFS(工数管理!$AK$3:$AK$98,J$1,工数管理!$O$3:$O$98,"&lt;="&amp;$H6,工数管理!$P$3:$P$98,"")+COUNTIFS(工数管理!$AK$3:$AK$98,J$1,工数管理!$Q$3:$Q$98,"&lt;="&amp;$H6,工数管理!$R$3:$R$98,"")+COUNTIFS(工数管理!$AK$3:$AK$98,J$1,工数管理!$S$3:$S$98,"&lt;="&amp;$H6,工数管理!$T$3:$T$98,"")+COUNTIFS(工数管理!$AK$3:$AK$98,J$1,工数管理!$U$3:$U$98,"&lt;="&amp;$H6,工数管理!$V$3:$V$98,"")+COUNTIFS(工数管理!$AK$3:$AK$98,J$1,工数管理!$W$3:$W$98,"&lt;="&amp;$H6,工数管理!$X$3:$X$98,"")+COUNTIFS(工数管理!$AK$3:$AK$98,J$1,工数管理!$Y$3:$Y$98,"&lt;="&amp;$H6,工数管理!$Z$3:$Z$98,"")+COUNTIFS(工数管理!$AK$3:$AK$98,J$1,工数管理!$AA$3:$AA$98,"&lt;="&amp;$H6,工数管理!$AB$3:$AB$98,"")+COUNTIFS(工数管理!$AK$3:$AK$98,J$1,工数管理!$AC$3:$AC$98,"&lt;="&amp;$H6,工数管理!$AD$3:$AD$98,"")+COUNTIFS(工数管理!$AK$3:$AK$98,J$1,工数管理!$AE$3:$AE$98,"&lt;="&amp;$H6,工数管理!$AF$3:$AF$98,"")+COUNTIFS(工数管理!$AK$3:$AK$98,J$1,工数管理!$AG$3:$AG$98,"&lt;="&amp;$H6,工数管理!$AH$3:$AH$98,""))*($H6&lt;=工数管理!$AI$1))</f>
        <v>1</v>
      </c>
      <c r="K6" s="42">
        <f ca="1">IF(K$1="",0,COUNTIFS(工数管理!$AK$3:$AK$98,K$1,工数管理!$K$3:$K$98,"&lt;="&amp;$H6,工数管理!$L$3:$L$98,"&gt;="&amp;$H6)+COUNTIFS(工数管理!$AK$3:$AK$98,K$1,工数管理!$M$3:$M$98,"&lt;="&amp;$H6,工数管理!$N$3:$N$98,"&gt;="&amp;$H6)+COUNTIFS(工数管理!$AK$3:$AK$98,K$1,工数管理!$O$3:$O$98,"&lt;="&amp;$H6,工数管理!$P$3:$P$98,"&gt;="&amp;$H6)+COUNTIFS(工数管理!$AK$3:$AK$98,K$1,工数管理!$Q$3:$Q$98,"&lt;="&amp;$H6,工数管理!$R$3:$R$98,"&gt;="&amp;$H6)+COUNTIFS(工数管理!$AK$3:$AK$98,K$1,工数管理!$S$3:$S$98,"&lt;="&amp;$H6,工数管理!$T$3:$T$98,"&gt;="&amp;$H6)+COUNTIFS(工数管理!$AK$3:$AK$98,K$1,工数管理!$U$3:$U$98,"&lt;="&amp;$H6,工数管理!$V$3:$V$98,"&gt;="&amp;$H6)+COUNTIFS(工数管理!$AK$3:$AK$98,K$1,工数管理!$W$3:$W$98,"&lt;="&amp;$H6,工数管理!$X$3:$X$98,"&gt;="&amp;$H6)+COUNTIFS(工数管理!$AK$3:$AK$98,K$1,工数管理!$Y$3:$Y$98,"&lt;="&amp;$H6,工数管理!$Z$3:$Z$98,"&gt;="&amp;$H6)+COUNTIFS(工数管理!$AK$3:$AK$98,K$1,工数管理!$AA$3:$AA$98,"&lt;="&amp;$H6,工数管理!$AB$3:$AB$98,"&gt;="&amp;$H6)+COUNTIFS(工数管理!$AK$3:$AK$98,K$1,工数管理!$AC$3:$AC$98,"&lt;="&amp;$H6,工数管理!$AD$3:$AD$98,"&gt;="&amp;$H6)+COUNTIFS(工数管理!$AK$3:$AK$98,K$1,工数管理!$AE$3:$AE$98,"&lt;="&amp;$H6,工数管理!$AF$3:$AF$98,"&gt;="&amp;$H6)+COUNTIFS(工数管理!$AK$3:$AK$98,K$1,工数管理!$AG$3:$AG$98,"&lt;="&amp;$H6,工数管理!$AH$3:$AH$98,"&gt;="&amp;$H6)+(COUNTIFS(工数管理!$AK$3:$AK$98,K$1,工数管理!$K$3:$K$98,"&lt;="&amp;$H6,工数管理!$L$3:$L$98,"")+COUNTIFS(工数管理!$AK$3:$AK$98,K$1,工数管理!$M$3:$M$98,"&lt;="&amp;$H6,工数管理!$N$3:$N$98,"")+COUNTIFS(工数管理!$AK$3:$AK$98,K$1,工数管理!$O$3:$O$98,"&lt;="&amp;$H6,工数管理!$P$3:$P$98,"")+COUNTIFS(工数管理!$AK$3:$AK$98,K$1,工数管理!$Q$3:$Q$98,"&lt;="&amp;$H6,工数管理!$R$3:$R$98,"")+COUNTIFS(工数管理!$AK$3:$AK$98,K$1,工数管理!$S$3:$S$98,"&lt;="&amp;$H6,工数管理!$T$3:$T$98,"")+COUNTIFS(工数管理!$AK$3:$AK$98,K$1,工数管理!$U$3:$U$98,"&lt;="&amp;$H6,工数管理!$V$3:$V$98,"")+COUNTIFS(工数管理!$AK$3:$AK$98,K$1,工数管理!$W$3:$W$98,"&lt;="&amp;$H6,工数管理!$X$3:$X$98,"")+COUNTIFS(工数管理!$AK$3:$AK$98,K$1,工数管理!$Y$3:$Y$98,"&lt;="&amp;$H6,工数管理!$Z$3:$Z$98,"")+COUNTIFS(工数管理!$AK$3:$AK$98,K$1,工数管理!$AA$3:$AA$98,"&lt;="&amp;$H6,工数管理!$AB$3:$AB$98,"")+COUNTIFS(工数管理!$AK$3:$AK$98,K$1,工数管理!$AC$3:$AC$98,"&lt;="&amp;$H6,工数管理!$AD$3:$AD$98,"")+COUNTIFS(工数管理!$AK$3:$AK$98,K$1,工数管理!$AE$3:$AE$98,"&lt;="&amp;$H6,工数管理!$AF$3:$AF$98,"")+COUNTIFS(工数管理!$AK$3:$AK$98,K$1,工数管理!$AG$3:$AG$98,"&lt;="&amp;$H6,工数管理!$AH$3:$AH$98,""))*($H6&lt;=工数管理!$AI$1))</f>
        <v>0</v>
      </c>
      <c r="L6" s="42">
        <f ca="1">IF(L$1="",0,COUNTIFS(工数管理!$AK$3:$AK$98,L$1,工数管理!$K$3:$K$98,"&lt;="&amp;$H6,工数管理!$L$3:$L$98,"&gt;="&amp;$H6)+COUNTIFS(工数管理!$AK$3:$AK$98,L$1,工数管理!$M$3:$M$98,"&lt;="&amp;$H6,工数管理!$N$3:$N$98,"&gt;="&amp;$H6)+COUNTIFS(工数管理!$AK$3:$AK$98,L$1,工数管理!$O$3:$O$98,"&lt;="&amp;$H6,工数管理!$P$3:$P$98,"&gt;="&amp;$H6)+COUNTIFS(工数管理!$AK$3:$AK$98,L$1,工数管理!$Q$3:$Q$98,"&lt;="&amp;$H6,工数管理!$R$3:$R$98,"&gt;="&amp;$H6)+COUNTIFS(工数管理!$AK$3:$AK$98,L$1,工数管理!$S$3:$S$98,"&lt;="&amp;$H6,工数管理!$T$3:$T$98,"&gt;="&amp;$H6)+COUNTIFS(工数管理!$AK$3:$AK$98,L$1,工数管理!$U$3:$U$98,"&lt;="&amp;$H6,工数管理!$V$3:$V$98,"&gt;="&amp;$H6)+COUNTIFS(工数管理!$AK$3:$AK$98,L$1,工数管理!$W$3:$W$98,"&lt;="&amp;$H6,工数管理!$X$3:$X$98,"&gt;="&amp;$H6)+COUNTIFS(工数管理!$AK$3:$AK$98,L$1,工数管理!$Y$3:$Y$98,"&lt;="&amp;$H6,工数管理!$Z$3:$Z$98,"&gt;="&amp;$H6)+COUNTIFS(工数管理!$AK$3:$AK$98,L$1,工数管理!$AA$3:$AA$98,"&lt;="&amp;$H6,工数管理!$AB$3:$AB$98,"&gt;="&amp;$H6)+COUNTIFS(工数管理!$AK$3:$AK$98,L$1,工数管理!$AC$3:$AC$98,"&lt;="&amp;$H6,工数管理!$AD$3:$AD$98,"&gt;="&amp;$H6)+COUNTIFS(工数管理!$AK$3:$AK$98,L$1,工数管理!$AE$3:$AE$98,"&lt;="&amp;$H6,工数管理!$AF$3:$AF$98,"&gt;="&amp;$H6)+COUNTIFS(工数管理!$AK$3:$AK$98,L$1,工数管理!$AG$3:$AG$98,"&lt;="&amp;$H6,工数管理!$AH$3:$AH$98,"&gt;="&amp;$H6)+(COUNTIFS(工数管理!$AK$3:$AK$98,L$1,工数管理!$K$3:$K$98,"&lt;="&amp;$H6,工数管理!$L$3:$L$98,"")+COUNTIFS(工数管理!$AK$3:$AK$98,L$1,工数管理!$M$3:$M$98,"&lt;="&amp;$H6,工数管理!$N$3:$N$98,"")+COUNTIFS(工数管理!$AK$3:$AK$98,L$1,工数管理!$O$3:$O$98,"&lt;="&amp;$H6,工数管理!$P$3:$P$98,"")+COUNTIFS(工数管理!$AK$3:$AK$98,L$1,工数管理!$Q$3:$Q$98,"&lt;="&amp;$H6,工数管理!$R$3:$R$98,"")+COUNTIFS(工数管理!$AK$3:$AK$98,L$1,工数管理!$S$3:$S$98,"&lt;="&amp;$H6,工数管理!$T$3:$T$98,"")+COUNTIFS(工数管理!$AK$3:$AK$98,L$1,工数管理!$U$3:$U$98,"&lt;="&amp;$H6,工数管理!$V$3:$V$98,"")+COUNTIFS(工数管理!$AK$3:$AK$98,L$1,工数管理!$W$3:$W$98,"&lt;="&amp;$H6,工数管理!$X$3:$X$98,"")+COUNTIFS(工数管理!$AK$3:$AK$98,L$1,工数管理!$Y$3:$Y$98,"&lt;="&amp;$H6,工数管理!$Z$3:$Z$98,"")+COUNTIFS(工数管理!$AK$3:$AK$98,L$1,工数管理!$AA$3:$AA$98,"&lt;="&amp;$H6,工数管理!$AB$3:$AB$98,"")+COUNTIFS(工数管理!$AK$3:$AK$98,L$1,工数管理!$AC$3:$AC$98,"&lt;="&amp;$H6,工数管理!$AD$3:$AD$98,"")+COUNTIFS(工数管理!$AK$3:$AK$98,L$1,工数管理!$AE$3:$AE$98,"&lt;="&amp;$H6,工数管理!$AF$3:$AF$98,"")+COUNTIFS(工数管理!$AK$3:$AK$98,L$1,工数管理!$AG$3:$AG$98,"&lt;="&amp;$H6,工数管理!$AH$3:$AH$98,""))*($H6&lt;=工数管理!$AI$1))</f>
        <v>0</v>
      </c>
    </row>
    <row r="7" spans="1:12" x14ac:dyDescent="0.15">
      <c r="A7" s="5">
        <v>46064</v>
      </c>
      <c r="B7" s="6" t="s">
        <v>70</v>
      </c>
      <c r="H7" s="41">
        <f t="shared" ref="H7:H70" si="1">H6+1</f>
        <v>46175</v>
      </c>
      <c r="I7" s="42">
        <f t="shared" si="0"/>
        <v>1</v>
      </c>
      <c r="J7" s="42">
        <f ca="1">IF(J$1="",0,COUNTIFS(工数管理!$AK$3:$AK$98,J$1,工数管理!$K$3:$K$98,"&lt;="&amp;$H7,工数管理!$L$3:$L$98,"&gt;="&amp;$H7)+COUNTIFS(工数管理!$AK$3:$AK$98,J$1,工数管理!$M$3:$M$98,"&lt;="&amp;$H7,工数管理!$N$3:$N$98,"&gt;="&amp;$H7)+COUNTIFS(工数管理!$AK$3:$AK$98,J$1,工数管理!$O$3:$O$98,"&lt;="&amp;$H7,工数管理!$P$3:$P$98,"&gt;="&amp;$H7)+COUNTIFS(工数管理!$AK$3:$AK$98,J$1,工数管理!$Q$3:$Q$98,"&lt;="&amp;$H7,工数管理!$R$3:$R$98,"&gt;="&amp;$H7)+COUNTIFS(工数管理!$AK$3:$AK$98,J$1,工数管理!$S$3:$S$98,"&lt;="&amp;$H7,工数管理!$T$3:$T$98,"&gt;="&amp;$H7)+COUNTIFS(工数管理!$AK$3:$AK$98,J$1,工数管理!$U$3:$U$98,"&lt;="&amp;$H7,工数管理!$V$3:$V$98,"&gt;="&amp;$H7)+COUNTIFS(工数管理!$AK$3:$AK$98,J$1,工数管理!$W$3:$W$98,"&lt;="&amp;$H7,工数管理!$X$3:$X$98,"&gt;="&amp;$H7)+COUNTIFS(工数管理!$AK$3:$AK$98,J$1,工数管理!$Y$3:$Y$98,"&lt;="&amp;$H7,工数管理!$Z$3:$Z$98,"&gt;="&amp;$H7)+COUNTIFS(工数管理!$AK$3:$AK$98,J$1,工数管理!$AA$3:$AA$98,"&lt;="&amp;$H7,工数管理!$AB$3:$AB$98,"&gt;="&amp;$H7)+COUNTIFS(工数管理!$AK$3:$AK$98,J$1,工数管理!$AC$3:$AC$98,"&lt;="&amp;$H7,工数管理!$AD$3:$AD$98,"&gt;="&amp;$H7)+COUNTIFS(工数管理!$AK$3:$AK$98,J$1,工数管理!$AE$3:$AE$98,"&lt;="&amp;$H7,工数管理!$AF$3:$AF$98,"&gt;="&amp;$H7)+COUNTIFS(工数管理!$AK$3:$AK$98,J$1,工数管理!$AG$3:$AG$98,"&lt;="&amp;$H7,工数管理!$AH$3:$AH$98,"&gt;="&amp;$H7)+(COUNTIFS(工数管理!$AK$3:$AK$98,J$1,工数管理!$K$3:$K$98,"&lt;="&amp;$H7,工数管理!$L$3:$L$98,"")+COUNTIFS(工数管理!$AK$3:$AK$98,J$1,工数管理!$M$3:$M$98,"&lt;="&amp;$H7,工数管理!$N$3:$N$98,"")+COUNTIFS(工数管理!$AK$3:$AK$98,J$1,工数管理!$O$3:$O$98,"&lt;="&amp;$H7,工数管理!$P$3:$P$98,"")+COUNTIFS(工数管理!$AK$3:$AK$98,J$1,工数管理!$Q$3:$Q$98,"&lt;="&amp;$H7,工数管理!$R$3:$R$98,"")+COUNTIFS(工数管理!$AK$3:$AK$98,J$1,工数管理!$S$3:$S$98,"&lt;="&amp;$H7,工数管理!$T$3:$T$98,"")+COUNTIFS(工数管理!$AK$3:$AK$98,J$1,工数管理!$U$3:$U$98,"&lt;="&amp;$H7,工数管理!$V$3:$V$98,"")+COUNTIFS(工数管理!$AK$3:$AK$98,J$1,工数管理!$W$3:$W$98,"&lt;="&amp;$H7,工数管理!$X$3:$X$98,"")+COUNTIFS(工数管理!$AK$3:$AK$98,J$1,工数管理!$Y$3:$Y$98,"&lt;="&amp;$H7,工数管理!$Z$3:$Z$98,"")+COUNTIFS(工数管理!$AK$3:$AK$98,J$1,工数管理!$AA$3:$AA$98,"&lt;="&amp;$H7,工数管理!$AB$3:$AB$98,"")+COUNTIFS(工数管理!$AK$3:$AK$98,J$1,工数管理!$AC$3:$AC$98,"&lt;="&amp;$H7,工数管理!$AD$3:$AD$98,"")+COUNTIFS(工数管理!$AK$3:$AK$98,J$1,工数管理!$AE$3:$AE$98,"&lt;="&amp;$H7,工数管理!$AF$3:$AF$98,"")+COUNTIFS(工数管理!$AK$3:$AK$98,J$1,工数管理!$AG$3:$AG$98,"&lt;="&amp;$H7,工数管理!$AH$3:$AH$98,""))*($H7&lt;=工数管理!$AI$1))</f>
        <v>1</v>
      </c>
      <c r="K7" s="42">
        <f ca="1">IF(K$1="",0,COUNTIFS(工数管理!$AK$3:$AK$98,K$1,工数管理!$K$3:$K$98,"&lt;="&amp;$H7,工数管理!$L$3:$L$98,"&gt;="&amp;$H7)+COUNTIFS(工数管理!$AK$3:$AK$98,K$1,工数管理!$M$3:$M$98,"&lt;="&amp;$H7,工数管理!$N$3:$N$98,"&gt;="&amp;$H7)+COUNTIFS(工数管理!$AK$3:$AK$98,K$1,工数管理!$O$3:$O$98,"&lt;="&amp;$H7,工数管理!$P$3:$P$98,"&gt;="&amp;$H7)+COUNTIFS(工数管理!$AK$3:$AK$98,K$1,工数管理!$Q$3:$Q$98,"&lt;="&amp;$H7,工数管理!$R$3:$R$98,"&gt;="&amp;$H7)+COUNTIFS(工数管理!$AK$3:$AK$98,K$1,工数管理!$S$3:$S$98,"&lt;="&amp;$H7,工数管理!$T$3:$T$98,"&gt;="&amp;$H7)+COUNTIFS(工数管理!$AK$3:$AK$98,K$1,工数管理!$U$3:$U$98,"&lt;="&amp;$H7,工数管理!$V$3:$V$98,"&gt;="&amp;$H7)+COUNTIFS(工数管理!$AK$3:$AK$98,K$1,工数管理!$W$3:$W$98,"&lt;="&amp;$H7,工数管理!$X$3:$X$98,"&gt;="&amp;$H7)+COUNTIFS(工数管理!$AK$3:$AK$98,K$1,工数管理!$Y$3:$Y$98,"&lt;="&amp;$H7,工数管理!$Z$3:$Z$98,"&gt;="&amp;$H7)+COUNTIFS(工数管理!$AK$3:$AK$98,K$1,工数管理!$AA$3:$AA$98,"&lt;="&amp;$H7,工数管理!$AB$3:$AB$98,"&gt;="&amp;$H7)+COUNTIFS(工数管理!$AK$3:$AK$98,K$1,工数管理!$AC$3:$AC$98,"&lt;="&amp;$H7,工数管理!$AD$3:$AD$98,"&gt;="&amp;$H7)+COUNTIFS(工数管理!$AK$3:$AK$98,K$1,工数管理!$AE$3:$AE$98,"&lt;="&amp;$H7,工数管理!$AF$3:$AF$98,"&gt;="&amp;$H7)+COUNTIFS(工数管理!$AK$3:$AK$98,K$1,工数管理!$AG$3:$AG$98,"&lt;="&amp;$H7,工数管理!$AH$3:$AH$98,"&gt;="&amp;$H7)+(COUNTIFS(工数管理!$AK$3:$AK$98,K$1,工数管理!$K$3:$K$98,"&lt;="&amp;$H7,工数管理!$L$3:$L$98,"")+COUNTIFS(工数管理!$AK$3:$AK$98,K$1,工数管理!$M$3:$M$98,"&lt;="&amp;$H7,工数管理!$N$3:$N$98,"")+COUNTIFS(工数管理!$AK$3:$AK$98,K$1,工数管理!$O$3:$O$98,"&lt;="&amp;$H7,工数管理!$P$3:$P$98,"")+COUNTIFS(工数管理!$AK$3:$AK$98,K$1,工数管理!$Q$3:$Q$98,"&lt;="&amp;$H7,工数管理!$R$3:$R$98,"")+COUNTIFS(工数管理!$AK$3:$AK$98,K$1,工数管理!$S$3:$S$98,"&lt;="&amp;$H7,工数管理!$T$3:$T$98,"")+COUNTIFS(工数管理!$AK$3:$AK$98,K$1,工数管理!$U$3:$U$98,"&lt;="&amp;$H7,工数管理!$V$3:$V$98,"")+COUNTIFS(工数管理!$AK$3:$AK$98,K$1,工数管理!$W$3:$W$98,"&lt;="&amp;$H7,工数管理!$X$3:$X$98,"")+COUNTIFS(工数管理!$AK$3:$AK$98,K$1,工数管理!$Y$3:$Y$98,"&lt;="&amp;$H7,工数管理!$Z$3:$Z$98,"")+COUNTIFS(工数管理!$AK$3:$AK$98,K$1,工数管理!$AA$3:$AA$98,"&lt;="&amp;$H7,工数管理!$AB$3:$AB$98,"")+COUNTIFS(工数管理!$AK$3:$AK$98,K$1,工数管理!$AC$3:$AC$98,"&lt;="&amp;$H7,工数管理!$AD$3:$AD$98,"")+COUNTIFS(工数管理!$AK$3:$AK$98,K$1,工数管理!$AE$3:$AE$98,"&lt;="&amp;$H7,工数管理!$AF$3:$AF$98,"")+COUNTIFS(工数管理!$AK$3:$AK$98,K$1,工数管理!$AG$3:$AG$98,"&lt;="&amp;$H7,工数管理!$AH$3:$AH$98,""))*($H7&lt;=工数管理!$AI$1))</f>
        <v>0</v>
      </c>
      <c r="L7" s="42">
        <f ca="1">IF(L$1="",0,COUNTIFS(工数管理!$AK$3:$AK$98,L$1,工数管理!$K$3:$K$98,"&lt;="&amp;$H7,工数管理!$L$3:$L$98,"&gt;="&amp;$H7)+COUNTIFS(工数管理!$AK$3:$AK$98,L$1,工数管理!$M$3:$M$98,"&lt;="&amp;$H7,工数管理!$N$3:$N$98,"&gt;="&amp;$H7)+COUNTIFS(工数管理!$AK$3:$AK$98,L$1,工数管理!$O$3:$O$98,"&lt;="&amp;$H7,工数管理!$P$3:$P$98,"&gt;="&amp;$H7)+COUNTIFS(工数管理!$AK$3:$AK$98,L$1,工数管理!$Q$3:$Q$98,"&lt;="&amp;$H7,工数管理!$R$3:$R$98,"&gt;="&amp;$H7)+COUNTIFS(工数管理!$AK$3:$AK$98,L$1,工数管理!$S$3:$S$98,"&lt;="&amp;$H7,工数管理!$T$3:$T$98,"&gt;="&amp;$H7)+COUNTIFS(工数管理!$AK$3:$AK$98,L$1,工数管理!$U$3:$U$98,"&lt;="&amp;$H7,工数管理!$V$3:$V$98,"&gt;="&amp;$H7)+COUNTIFS(工数管理!$AK$3:$AK$98,L$1,工数管理!$W$3:$W$98,"&lt;="&amp;$H7,工数管理!$X$3:$X$98,"&gt;="&amp;$H7)+COUNTIFS(工数管理!$AK$3:$AK$98,L$1,工数管理!$Y$3:$Y$98,"&lt;="&amp;$H7,工数管理!$Z$3:$Z$98,"&gt;="&amp;$H7)+COUNTIFS(工数管理!$AK$3:$AK$98,L$1,工数管理!$AA$3:$AA$98,"&lt;="&amp;$H7,工数管理!$AB$3:$AB$98,"&gt;="&amp;$H7)+COUNTIFS(工数管理!$AK$3:$AK$98,L$1,工数管理!$AC$3:$AC$98,"&lt;="&amp;$H7,工数管理!$AD$3:$AD$98,"&gt;="&amp;$H7)+COUNTIFS(工数管理!$AK$3:$AK$98,L$1,工数管理!$AE$3:$AE$98,"&lt;="&amp;$H7,工数管理!$AF$3:$AF$98,"&gt;="&amp;$H7)+COUNTIFS(工数管理!$AK$3:$AK$98,L$1,工数管理!$AG$3:$AG$98,"&lt;="&amp;$H7,工数管理!$AH$3:$AH$98,"&gt;="&amp;$H7)+(COUNTIFS(工数管理!$AK$3:$AK$98,L$1,工数管理!$K$3:$K$98,"&lt;="&amp;$H7,工数管理!$L$3:$L$98,"")+COUNTIFS(工数管理!$AK$3:$AK$98,L$1,工数管理!$M$3:$M$98,"&lt;="&amp;$H7,工数管理!$N$3:$N$98,"")+COUNTIFS(工数管理!$AK$3:$AK$98,L$1,工数管理!$O$3:$O$98,"&lt;="&amp;$H7,工数管理!$P$3:$P$98,"")+COUNTIFS(工数管理!$AK$3:$AK$98,L$1,工数管理!$Q$3:$Q$98,"&lt;="&amp;$H7,工数管理!$R$3:$R$98,"")+COUNTIFS(工数管理!$AK$3:$AK$98,L$1,工数管理!$S$3:$S$98,"&lt;="&amp;$H7,工数管理!$T$3:$T$98,"")+COUNTIFS(工数管理!$AK$3:$AK$98,L$1,工数管理!$U$3:$U$98,"&lt;="&amp;$H7,工数管理!$V$3:$V$98,"")+COUNTIFS(工数管理!$AK$3:$AK$98,L$1,工数管理!$W$3:$W$98,"&lt;="&amp;$H7,工数管理!$X$3:$X$98,"")+COUNTIFS(工数管理!$AK$3:$AK$98,L$1,工数管理!$Y$3:$Y$98,"&lt;="&amp;$H7,工数管理!$Z$3:$Z$98,"")+COUNTIFS(工数管理!$AK$3:$AK$98,L$1,工数管理!$AA$3:$AA$98,"&lt;="&amp;$H7,工数管理!$AB$3:$AB$98,"")+COUNTIFS(工数管理!$AK$3:$AK$98,L$1,工数管理!$AC$3:$AC$98,"&lt;="&amp;$H7,工数管理!$AD$3:$AD$98,"")+COUNTIFS(工数管理!$AK$3:$AK$98,L$1,工数管理!$AE$3:$AE$98,"&lt;="&amp;$H7,工数管理!$AF$3:$AF$98,"")+COUNTIFS(工数管理!$AK$3:$AK$98,L$1,工数管理!$AG$3:$AG$98,"&lt;="&amp;$H7,工数管理!$AH$3:$AH$98,""))*($H7&lt;=工数管理!$AI$1))</f>
        <v>0</v>
      </c>
    </row>
    <row r="8" spans="1:12" x14ac:dyDescent="0.15">
      <c r="A8" s="5">
        <v>46076</v>
      </c>
      <c r="B8" s="6" t="s">
        <v>71</v>
      </c>
      <c r="H8" s="41">
        <f t="shared" si="1"/>
        <v>46176</v>
      </c>
      <c r="I8" s="42">
        <f t="shared" si="0"/>
        <v>1</v>
      </c>
      <c r="J8" s="42">
        <f ca="1">IF(J$1="",0,COUNTIFS(工数管理!$AK$3:$AK$98,J$1,工数管理!$K$3:$K$98,"&lt;="&amp;$H8,工数管理!$L$3:$L$98,"&gt;="&amp;$H8)+COUNTIFS(工数管理!$AK$3:$AK$98,J$1,工数管理!$M$3:$M$98,"&lt;="&amp;$H8,工数管理!$N$3:$N$98,"&gt;="&amp;$H8)+COUNTIFS(工数管理!$AK$3:$AK$98,J$1,工数管理!$O$3:$O$98,"&lt;="&amp;$H8,工数管理!$P$3:$P$98,"&gt;="&amp;$H8)+COUNTIFS(工数管理!$AK$3:$AK$98,J$1,工数管理!$Q$3:$Q$98,"&lt;="&amp;$H8,工数管理!$R$3:$R$98,"&gt;="&amp;$H8)+COUNTIFS(工数管理!$AK$3:$AK$98,J$1,工数管理!$S$3:$S$98,"&lt;="&amp;$H8,工数管理!$T$3:$T$98,"&gt;="&amp;$H8)+COUNTIFS(工数管理!$AK$3:$AK$98,J$1,工数管理!$U$3:$U$98,"&lt;="&amp;$H8,工数管理!$V$3:$V$98,"&gt;="&amp;$H8)+COUNTIFS(工数管理!$AK$3:$AK$98,J$1,工数管理!$W$3:$W$98,"&lt;="&amp;$H8,工数管理!$X$3:$X$98,"&gt;="&amp;$H8)+COUNTIFS(工数管理!$AK$3:$AK$98,J$1,工数管理!$Y$3:$Y$98,"&lt;="&amp;$H8,工数管理!$Z$3:$Z$98,"&gt;="&amp;$H8)+COUNTIFS(工数管理!$AK$3:$AK$98,J$1,工数管理!$AA$3:$AA$98,"&lt;="&amp;$H8,工数管理!$AB$3:$AB$98,"&gt;="&amp;$H8)+COUNTIFS(工数管理!$AK$3:$AK$98,J$1,工数管理!$AC$3:$AC$98,"&lt;="&amp;$H8,工数管理!$AD$3:$AD$98,"&gt;="&amp;$H8)+COUNTIFS(工数管理!$AK$3:$AK$98,J$1,工数管理!$AE$3:$AE$98,"&lt;="&amp;$H8,工数管理!$AF$3:$AF$98,"&gt;="&amp;$H8)+COUNTIFS(工数管理!$AK$3:$AK$98,J$1,工数管理!$AG$3:$AG$98,"&lt;="&amp;$H8,工数管理!$AH$3:$AH$98,"&gt;="&amp;$H8)+(COUNTIFS(工数管理!$AK$3:$AK$98,J$1,工数管理!$K$3:$K$98,"&lt;="&amp;$H8,工数管理!$L$3:$L$98,"")+COUNTIFS(工数管理!$AK$3:$AK$98,J$1,工数管理!$M$3:$M$98,"&lt;="&amp;$H8,工数管理!$N$3:$N$98,"")+COUNTIFS(工数管理!$AK$3:$AK$98,J$1,工数管理!$O$3:$O$98,"&lt;="&amp;$H8,工数管理!$P$3:$P$98,"")+COUNTIFS(工数管理!$AK$3:$AK$98,J$1,工数管理!$Q$3:$Q$98,"&lt;="&amp;$H8,工数管理!$R$3:$R$98,"")+COUNTIFS(工数管理!$AK$3:$AK$98,J$1,工数管理!$S$3:$S$98,"&lt;="&amp;$H8,工数管理!$T$3:$T$98,"")+COUNTIFS(工数管理!$AK$3:$AK$98,J$1,工数管理!$U$3:$U$98,"&lt;="&amp;$H8,工数管理!$V$3:$V$98,"")+COUNTIFS(工数管理!$AK$3:$AK$98,J$1,工数管理!$W$3:$W$98,"&lt;="&amp;$H8,工数管理!$X$3:$X$98,"")+COUNTIFS(工数管理!$AK$3:$AK$98,J$1,工数管理!$Y$3:$Y$98,"&lt;="&amp;$H8,工数管理!$Z$3:$Z$98,"")+COUNTIFS(工数管理!$AK$3:$AK$98,J$1,工数管理!$AA$3:$AA$98,"&lt;="&amp;$H8,工数管理!$AB$3:$AB$98,"")+COUNTIFS(工数管理!$AK$3:$AK$98,J$1,工数管理!$AC$3:$AC$98,"&lt;="&amp;$H8,工数管理!$AD$3:$AD$98,"")+COUNTIFS(工数管理!$AK$3:$AK$98,J$1,工数管理!$AE$3:$AE$98,"&lt;="&amp;$H8,工数管理!$AF$3:$AF$98,"")+COUNTIFS(工数管理!$AK$3:$AK$98,J$1,工数管理!$AG$3:$AG$98,"&lt;="&amp;$H8,工数管理!$AH$3:$AH$98,""))*($H8&lt;=工数管理!$AI$1))</f>
        <v>1</v>
      </c>
      <c r="K8" s="42">
        <f ca="1">IF(K$1="",0,COUNTIFS(工数管理!$AK$3:$AK$98,K$1,工数管理!$K$3:$K$98,"&lt;="&amp;$H8,工数管理!$L$3:$L$98,"&gt;="&amp;$H8)+COUNTIFS(工数管理!$AK$3:$AK$98,K$1,工数管理!$M$3:$M$98,"&lt;="&amp;$H8,工数管理!$N$3:$N$98,"&gt;="&amp;$H8)+COUNTIFS(工数管理!$AK$3:$AK$98,K$1,工数管理!$O$3:$O$98,"&lt;="&amp;$H8,工数管理!$P$3:$P$98,"&gt;="&amp;$H8)+COUNTIFS(工数管理!$AK$3:$AK$98,K$1,工数管理!$Q$3:$Q$98,"&lt;="&amp;$H8,工数管理!$R$3:$R$98,"&gt;="&amp;$H8)+COUNTIFS(工数管理!$AK$3:$AK$98,K$1,工数管理!$S$3:$S$98,"&lt;="&amp;$H8,工数管理!$T$3:$T$98,"&gt;="&amp;$H8)+COUNTIFS(工数管理!$AK$3:$AK$98,K$1,工数管理!$U$3:$U$98,"&lt;="&amp;$H8,工数管理!$V$3:$V$98,"&gt;="&amp;$H8)+COUNTIFS(工数管理!$AK$3:$AK$98,K$1,工数管理!$W$3:$W$98,"&lt;="&amp;$H8,工数管理!$X$3:$X$98,"&gt;="&amp;$H8)+COUNTIFS(工数管理!$AK$3:$AK$98,K$1,工数管理!$Y$3:$Y$98,"&lt;="&amp;$H8,工数管理!$Z$3:$Z$98,"&gt;="&amp;$H8)+COUNTIFS(工数管理!$AK$3:$AK$98,K$1,工数管理!$AA$3:$AA$98,"&lt;="&amp;$H8,工数管理!$AB$3:$AB$98,"&gt;="&amp;$H8)+COUNTIFS(工数管理!$AK$3:$AK$98,K$1,工数管理!$AC$3:$AC$98,"&lt;="&amp;$H8,工数管理!$AD$3:$AD$98,"&gt;="&amp;$H8)+COUNTIFS(工数管理!$AK$3:$AK$98,K$1,工数管理!$AE$3:$AE$98,"&lt;="&amp;$H8,工数管理!$AF$3:$AF$98,"&gt;="&amp;$H8)+COUNTIFS(工数管理!$AK$3:$AK$98,K$1,工数管理!$AG$3:$AG$98,"&lt;="&amp;$H8,工数管理!$AH$3:$AH$98,"&gt;="&amp;$H8)+(COUNTIFS(工数管理!$AK$3:$AK$98,K$1,工数管理!$K$3:$K$98,"&lt;="&amp;$H8,工数管理!$L$3:$L$98,"")+COUNTIFS(工数管理!$AK$3:$AK$98,K$1,工数管理!$M$3:$M$98,"&lt;="&amp;$H8,工数管理!$N$3:$N$98,"")+COUNTIFS(工数管理!$AK$3:$AK$98,K$1,工数管理!$O$3:$O$98,"&lt;="&amp;$H8,工数管理!$P$3:$P$98,"")+COUNTIFS(工数管理!$AK$3:$AK$98,K$1,工数管理!$Q$3:$Q$98,"&lt;="&amp;$H8,工数管理!$R$3:$R$98,"")+COUNTIFS(工数管理!$AK$3:$AK$98,K$1,工数管理!$S$3:$S$98,"&lt;="&amp;$H8,工数管理!$T$3:$T$98,"")+COUNTIFS(工数管理!$AK$3:$AK$98,K$1,工数管理!$U$3:$U$98,"&lt;="&amp;$H8,工数管理!$V$3:$V$98,"")+COUNTIFS(工数管理!$AK$3:$AK$98,K$1,工数管理!$W$3:$W$98,"&lt;="&amp;$H8,工数管理!$X$3:$X$98,"")+COUNTIFS(工数管理!$AK$3:$AK$98,K$1,工数管理!$Y$3:$Y$98,"&lt;="&amp;$H8,工数管理!$Z$3:$Z$98,"")+COUNTIFS(工数管理!$AK$3:$AK$98,K$1,工数管理!$AA$3:$AA$98,"&lt;="&amp;$H8,工数管理!$AB$3:$AB$98,"")+COUNTIFS(工数管理!$AK$3:$AK$98,K$1,工数管理!$AC$3:$AC$98,"&lt;="&amp;$H8,工数管理!$AD$3:$AD$98,"")+COUNTIFS(工数管理!$AK$3:$AK$98,K$1,工数管理!$AE$3:$AE$98,"&lt;="&amp;$H8,工数管理!$AF$3:$AF$98,"")+COUNTIFS(工数管理!$AK$3:$AK$98,K$1,工数管理!$AG$3:$AG$98,"&lt;="&amp;$H8,工数管理!$AH$3:$AH$98,""))*($H8&lt;=工数管理!$AI$1))</f>
        <v>0</v>
      </c>
      <c r="L8" s="42">
        <f ca="1">IF(L$1="",0,COUNTIFS(工数管理!$AK$3:$AK$98,L$1,工数管理!$K$3:$K$98,"&lt;="&amp;$H8,工数管理!$L$3:$L$98,"&gt;="&amp;$H8)+COUNTIFS(工数管理!$AK$3:$AK$98,L$1,工数管理!$M$3:$M$98,"&lt;="&amp;$H8,工数管理!$N$3:$N$98,"&gt;="&amp;$H8)+COUNTIFS(工数管理!$AK$3:$AK$98,L$1,工数管理!$O$3:$O$98,"&lt;="&amp;$H8,工数管理!$P$3:$P$98,"&gt;="&amp;$H8)+COUNTIFS(工数管理!$AK$3:$AK$98,L$1,工数管理!$Q$3:$Q$98,"&lt;="&amp;$H8,工数管理!$R$3:$R$98,"&gt;="&amp;$H8)+COUNTIFS(工数管理!$AK$3:$AK$98,L$1,工数管理!$S$3:$S$98,"&lt;="&amp;$H8,工数管理!$T$3:$T$98,"&gt;="&amp;$H8)+COUNTIFS(工数管理!$AK$3:$AK$98,L$1,工数管理!$U$3:$U$98,"&lt;="&amp;$H8,工数管理!$V$3:$V$98,"&gt;="&amp;$H8)+COUNTIFS(工数管理!$AK$3:$AK$98,L$1,工数管理!$W$3:$W$98,"&lt;="&amp;$H8,工数管理!$X$3:$X$98,"&gt;="&amp;$H8)+COUNTIFS(工数管理!$AK$3:$AK$98,L$1,工数管理!$Y$3:$Y$98,"&lt;="&amp;$H8,工数管理!$Z$3:$Z$98,"&gt;="&amp;$H8)+COUNTIFS(工数管理!$AK$3:$AK$98,L$1,工数管理!$AA$3:$AA$98,"&lt;="&amp;$H8,工数管理!$AB$3:$AB$98,"&gt;="&amp;$H8)+COUNTIFS(工数管理!$AK$3:$AK$98,L$1,工数管理!$AC$3:$AC$98,"&lt;="&amp;$H8,工数管理!$AD$3:$AD$98,"&gt;="&amp;$H8)+COUNTIFS(工数管理!$AK$3:$AK$98,L$1,工数管理!$AE$3:$AE$98,"&lt;="&amp;$H8,工数管理!$AF$3:$AF$98,"&gt;="&amp;$H8)+COUNTIFS(工数管理!$AK$3:$AK$98,L$1,工数管理!$AG$3:$AG$98,"&lt;="&amp;$H8,工数管理!$AH$3:$AH$98,"&gt;="&amp;$H8)+(COUNTIFS(工数管理!$AK$3:$AK$98,L$1,工数管理!$K$3:$K$98,"&lt;="&amp;$H8,工数管理!$L$3:$L$98,"")+COUNTIFS(工数管理!$AK$3:$AK$98,L$1,工数管理!$M$3:$M$98,"&lt;="&amp;$H8,工数管理!$N$3:$N$98,"")+COUNTIFS(工数管理!$AK$3:$AK$98,L$1,工数管理!$O$3:$O$98,"&lt;="&amp;$H8,工数管理!$P$3:$P$98,"")+COUNTIFS(工数管理!$AK$3:$AK$98,L$1,工数管理!$Q$3:$Q$98,"&lt;="&amp;$H8,工数管理!$R$3:$R$98,"")+COUNTIFS(工数管理!$AK$3:$AK$98,L$1,工数管理!$S$3:$S$98,"&lt;="&amp;$H8,工数管理!$T$3:$T$98,"")+COUNTIFS(工数管理!$AK$3:$AK$98,L$1,工数管理!$U$3:$U$98,"&lt;="&amp;$H8,工数管理!$V$3:$V$98,"")+COUNTIFS(工数管理!$AK$3:$AK$98,L$1,工数管理!$W$3:$W$98,"&lt;="&amp;$H8,工数管理!$X$3:$X$98,"")+COUNTIFS(工数管理!$AK$3:$AK$98,L$1,工数管理!$Y$3:$Y$98,"&lt;="&amp;$H8,工数管理!$Z$3:$Z$98,"")+COUNTIFS(工数管理!$AK$3:$AK$98,L$1,工数管理!$AA$3:$AA$98,"&lt;="&amp;$H8,工数管理!$AB$3:$AB$98,"")+COUNTIFS(工数管理!$AK$3:$AK$98,L$1,工数管理!$AC$3:$AC$98,"&lt;="&amp;$H8,工数管理!$AD$3:$AD$98,"")+COUNTIFS(工数管理!$AK$3:$AK$98,L$1,工数管理!$AE$3:$AE$98,"&lt;="&amp;$H8,工数管理!$AF$3:$AF$98,"")+COUNTIFS(工数管理!$AK$3:$AK$98,L$1,工数管理!$AG$3:$AG$98,"&lt;="&amp;$H8,工数管理!$AH$3:$AH$98,""))*($H8&lt;=工数管理!$AI$1))</f>
        <v>0</v>
      </c>
    </row>
    <row r="9" spans="1:12" x14ac:dyDescent="0.15">
      <c r="A9" s="5">
        <v>46101</v>
      </c>
      <c r="B9" s="6" t="s">
        <v>72</v>
      </c>
      <c r="H9" s="41">
        <f t="shared" si="1"/>
        <v>46177</v>
      </c>
      <c r="I9" s="42">
        <f t="shared" si="0"/>
        <v>1</v>
      </c>
      <c r="J9" s="42">
        <f ca="1">IF(J$1="",0,COUNTIFS(工数管理!$AK$3:$AK$98,J$1,工数管理!$K$3:$K$98,"&lt;="&amp;$H9,工数管理!$L$3:$L$98,"&gt;="&amp;$H9)+COUNTIFS(工数管理!$AK$3:$AK$98,J$1,工数管理!$M$3:$M$98,"&lt;="&amp;$H9,工数管理!$N$3:$N$98,"&gt;="&amp;$H9)+COUNTIFS(工数管理!$AK$3:$AK$98,J$1,工数管理!$O$3:$O$98,"&lt;="&amp;$H9,工数管理!$P$3:$P$98,"&gt;="&amp;$H9)+COUNTIFS(工数管理!$AK$3:$AK$98,J$1,工数管理!$Q$3:$Q$98,"&lt;="&amp;$H9,工数管理!$R$3:$R$98,"&gt;="&amp;$H9)+COUNTIFS(工数管理!$AK$3:$AK$98,J$1,工数管理!$S$3:$S$98,"&lt;="&amp;$H9,工数管理!$T$3:$T$98,"&gt;="&amp;$H9)+COUNTIFS(工数管理!$AK$3:$AK$98,J$1,工数管理!$U$3:$U$98,"&lt;="&amp;$H9,工数管理!$V$3:$V$98,"&gt;="&amp;$H9)+COUNTIFS(工数管理!$AK$3:$AK$98,J$1,工数管理!$W$3:$W$98,"&lt;="&amp;$H9,工数管理!$X$3:$X$98,"&gt;="&amp;$H9)+COUNTIFS(工数管理!$AK$3:$AK$98,J$1,工数管理!$Y$3:$Y$98,"&lt;="&amp;$H9,工数管理!$Z$3:$Z$98,"&gt;="&amp;$H9)+COUNTIFS(工数管理!$AK$3:$AK$98,J$1,工数管理!$AA$3:$AA$98,"&lt;="&amp;$H9,工数管理!$AB$3:$AB$98,"&gt;="&amp;$H9)+COUNTIFS(工数管理!$AK$3:$AK$98,J$1,工数管理!$AC$3:$AC$98,"&lt;="&amp;$H9,工数管理!$AD$3:$AD$98,"&gt;="&amp;$H9)+COUNTIFS(工数管理!$AK$3:$AK$98,J$1,工数管理!$AE$3:$AE$98,"&lt;="&amp;$H9,工数管理!$AF$3:$AF$98,"&gt;="&amp;$H9)+COUNTIFS(工数管理!$AK$3:$AK$98,J$1,工数管理!$AG$3:$AG$98,"&lt;="&amp;$H9,工数管理!$AH$3:$AH$98,"&gt;="&amp;$H9)+(COUNTIFS(工数管理!$AK$3:$AK$98,J$1,工数管理!$K$3:$K$98,"&lt;="&amp;$H9,工数管理!$L$3:$L$98,"")+COUNTIFS(工数管理!$AK$3:$AK$98,J$1,工数管理!$M$3:$M$98,"&lt;="&amp;$H9,工数管理!$N$3:$N$98,"")+COUNTIFS(工数管理!$AK$3:$AK$98,J$1,工数管理!$O$3:$O$98,"&lt;="&amp;$H9,工数管理!$P$3:$P$98,"")+COUNTIFS(工数管理!$AK$3:$AK$98,J$1,工数管理!$Q$3:$Q$98,"&lt;="&amp;$H9,工数管理!$R$3:$R$98,"")+COUNTIFS(工数管理!$AK$3:$AK$98,J$1,工数管理!$S$3:$S$98,"&lt;="&amp;$H9,工数管理!$T$3:$T$98,"")+COUNTIFS(工数管理!$AK$3:$AK$98,J$1,工数管理!$U$3:$U$98,"&lt;="&amp;$H9,工数管理!$V$3:$V$98,"")+COUNTIFS(工数管理!$AK$3:$AK$98,J$1,工数管理!$W$3:$W$98,"&lt;="&amp;$H9,工数管理!$X$3:$X$98,"")+COUNTIFS(工数管理!$AK$3:$AK$98,J$1,工数管理!$Y$3:$Y$98,"&lt;="&amp;$H9,工数管理!$Z$3:$Z$98,"")+COUNTIFS(工数管理!$AK$3:$AK$98,J$1,工数管理!$AA$3:$AA$98,"&lt;="&amp;$H9,工数管理!$AB$3:$AB$98,"")+COUNTIFS(工数管理!$AK$3:$AK$98,J$1,工数管理!$AC$3:$AC$98,"&lt;="&amp;$H9,工数管理!$AD$3:$AD$98,"")+COUNTIFS(工数管理!$AK$3:$AK$98,J$1,工数管理!$AE$3:$AE$98,"&lt;="&amp;$H9,工数管理!$AF$3:$AF$98,"")+COUNTIFS(工数管理!$AK$3:$AK$98,J$1,工数管理!$AG$3:$AG$98,"&lt;="&amp;$H9,工数管理!$AH$3:$AH$98,""))*($H9&lt;=工数管理!$AI$1))</f>
        <v>1</v>
      </c>
      <c r="K9" s="42">
        <f ca="1">IF(K$1="",0,COUNTIFS(工数管理!$AK$3:$AK$98,K$1,工数管理!$K$3:$K$98,"&lt;="&amp;$H9,工数管理!$L$3:$L$98,"&gt;="&amp;$H9)+COUNTIFS(工数管理!$AK$3:$AK$98,K$1,工数管理!$M$3:$M$98,"&lt;="&amp;$H9,工数管理!$N$3:$N$98,"&gt;="&amp;$H9)+COUNTIFS(工数管理!$AK$3:$AK$98,K$1,工数管理!$O$3:$O$98,"&lt;="&amp;$H9,工数管理!$P$3:$P$98,"&gt;="&amp;$H9)+COUNTIFS(工数管理!$AK$3:$AK$98,K$1,工数管理!$Q$3:$Q$98,"&lt;="&amp;$H9,工数管理!$R$3:$R$98,"&gt;="&amp;$H9)+COUNTIFS(工数管理!$AK$3:$AK$98,K$1,工数管理!$S$3:$S$98,"&lt;="&amp;$H9,工数管理!$T$3:$T$98,"&gt;="&amp;$H9)+COUNTIFS(工数管理!$AK$3:$AK$98,K$1,工数管理!$U$3:$U$98,"&lt;="&amp;$H9,工数管理!$V$3:$V$98,"&gt;="&amp;$H9)+COUNTIFS(工数管理!$AK$3:$AK$98,K$1,工数管理!$W$3:$W$98,"&lt;="&amp;$H9,工数管理!$X$3:$X$98,"&gt;="&amp;$H9)+COUNTIFS(工数管理!$AK$3:$AK$98,K$1,工数管理!$Y$3:$Y$98,"&lt;="&amp;$H9,工数管理!$Z$3:$Z$98,"&gt;="&amp;$H9)+COUNTIFS(工数管理!$AK$3:$AK$98,K$1,工数管理!$AA$3:$AA$98,"&lt;="&amp;$H9,工数管理!$AB$3:$AB$98,"&gt;="&amp;$H9)+COUNTIFS(工数管理!$AK$3:$AK$98,K$1,工数管理!$AC$3:$AC$98,"&lt;="&amp;$H9,工数管理!$AD$3:$AD$98,"&gt;="&amp;$H9)+COUNTIFS(工数管理!$AK$3:$AK$98,K$1,工数管理!$AE$3:$AE$98,"&lt;="&amp;$H9,工数管理!$AF$3:$AF$98,"&gt;="&amp;$H9)+COUNTIFS(工数管理!$AK$3:$AK$98,K$1,工数管理!$AG$3:$AG$98,"&lt;="&amp;$H9,工数管理!$AH$3:$AH$98,"&gt;="&amp;$H9)+(COUNTIFS(工数管理!$AK$3:$AK$98,K$1,工数管理!$K$3:$K$98,"&lt;="&amp;$H9,工数管理!$L$3:$L$98,"")+COUNTIFS(工数管理!$AK$3:$AK$98,K$1,工数管理!$M$3:$M$98,"&lt;="&amp;$H9,工数管理!$N$3:$N$98,"")+COUNTIFS(工数管理!$AK$3:$AK$98,K$1,工数管理!$O$3:$O$98,"&lt;="&amp;$H9,工数管理!$P$3:$P$98,"")+COUNTIFS(工数管理!$AK$3:$AK$98,K$1,工数管理!$Q$3:$Q$98,"&lt;="&amp;$H9,工数管理!$R$3:$R$98,"")+COUNTIFS(工数管理!$AK$3:$AK$98,K$1,工数管理!$S$3:$S$98,"&lt;="&amp;$H9,工数管理!$T$3:$T$98,"")+COUNTIFS(工数管理!$AK$3:$AK$98,K$1,工数管理!$U$3:$U$98,"&lt;="&amp;$H9,工数管理!$V$3:$V$98,"")+COUNTIFS(工数管理!$AK$3:$AK$98,K$1,工数管理!$W$3:$W$98,"&lt;="&amp;$H9,工数管理!$X$3:$X$98,"")+COUNTIFS(工数管理!$AK$3:$AK$98,K$1,工数管理!$Y$3:$Y$98,"&lt;="&amp;$H9,工数管理!$Z$3:$Z$98,"")+COUNTIFS(工数管理!$AK$3:$AK$98,K$1,工数管理!$AA$3:$AA$98,"&lt;="&amp;$H9,工数管理!$AB$3:$AB$98,"")+COUNTIFS(工数管理!$AK$3:$AK$98,K$1,工数管理!$AC$3:$AC$98,"&lt;="&amp;$H9,工数管理!$AD$3:$AD$98,"")+COUNTIFS(工数管理!$AK$3:$AK$98,K$1,工数管理!$AE$3:$AE$98,"&lt;="&amp;$H9,工数管理!$AF$3:$AF$98,"")+COUNTIFS(工数管理!$AK$3:$AK$98,K$1,工数管理!$AG$3:$AG$98,"&lt;="&amp;$H9,工数管理!$AH$3:$AH$98,""))*($H9&lt;=工数管理!$AI$1))</f>
        <v>0</v>
      </c>
      <c r="L9" s="42">
        <f ca="1">IF(L$1="",0,COUNTIFS(工数管理!$AK$3:$AK$98,L$1,工数管理!$K$3:$K$98,"&lt;="&amp;$H9,工数管理!$L$3:$L$98,"&gt;="&amp;$H9)+COUNTIFS(工数管理!$AK$3:$AK$98,L$1,工数管理!$M$3:$M$98,"&lt;="&amp;$H9,工数管理!$N$3:$N$98,"&gt;="&amp;$H9)+COUNTIFS(工数管理!$AK$3:$AK$98,L$1,工数管理!$O$3:$O$98,"&lt;="&amp;$H9,工数管理!$P$3:$P$98,"&gt;="&amp;$H9)+COUNTIFS(工数管理!$AK$3:$AK$98,L$1,工数管理!$Q$3:$Q$98,"&lt;="&amp;$H9,工数管理!$R$3:$R$98,"&gt;="&amp;$H9)+COUNTIFS(工数管理!$AK$3:$AK$98,L$1,工数管理!$S$3:$S$98,"&lt;="&amp;$H9,工数管理!$T$3:$T$98,"&gt;="&amp;$H9)+COUNTIFS(工数管理!$AK$3:$AK$98,L$1,工数管理!$U$3:$U$98,"&lt;="&amp;$H9,工数管理!$V$3:$V$98,"&gt;="&amp;$H9)+COUNTIFS(工数管理!$AK$3:$AK$98,L$1,工数管理!$W$3:$W$98,"&lt;="&amp;$H9,工数管理!$X$3:$X$98,"&gt;="&amp;$H9)+COUNTIFS(工数管理!$AK$3:$AK$98,L$1,工数管理!$Y$3:$Y$98,"&lt;="&amp;$H9,工数管理!$Z$3:$Z$98,"&gt;="&amp;$H9)+COUNTIFS(工数管理!$AK$3:$AK$98,L$1,工数管理!$AA$3:$AA$98,"&lt;="&amp;$H9,工数管理!$AB$3:$AB$98,"&gt;="&amp;$H9)+COUNTIFS(工数管理!$AK$3:$AK$98,L$1,工数管理!$AC$3:$AC$98,"&lt;="&amp;$H9,工数管理!$AD$3:$AD$98,"&gt;="&amp;$H9)+COUNTIFS(工数管理!$AK$3:$AK$98,L$1,工数管理!$AE$3:$AE$98,"&lt;="&amp;$H9,工数管理!$AF$3:$AF$98,"&gt;="&amp;$H9)+COUNTIFS(工数管理!$AK$3:$AK$98,L$1,工数管理!$AG$3:$AG$98,"&lt;="&amp;$H9,工数管理!$AH$3:$AH$98,"&gt;="&amp;$H9)+(COUNTIFS(工数管理!$AK$3:$AK$98,L$1,工数管理!$K$3:$K$98,"&lt;="&amp;$H9,工数管理!$L$3:$L$98,"")+COUNTIFS(工数管理!$AK$3:$AK$98,L$1,工数管理!$M$3:$M$98,"&lt;="&amp;$H9,工数管理!$N$3:$N$98,"")+COUNTIFS(工数管理!$AK$3:$AK$98,L$1,工数管理!$O$3:$O$98,"&lt;="&amp;$H9,工数管理!$P$3:$P$98,"")+COUNTIFS(工数管理!$AK$3:$AK$98,L$1,工数管理!$Q$3:$Q$98,"&lt;="&amp;$H9,工数管理!$R$3:$R$98,"")+COUNTIFS(工数管理!$AK$3:$AK$98,L$1,工数管理!$S$3:$S$98,"&lt;="&amp;$H9,工数管理!$T$3:$T$98,"")+COUNTIFS(工数管理!$AK$3:$AK$98,L$1,工数管理!$U$3:$U$98,"&lt;="&amp;$H9,工数管理!$V$3:$V$98,"")+COUNTIFS(工数管理!$AK$3:$AK$98,L$1,工数管理!$W$3:$W$98,"&lt;="&amp;$H9,工数管理!$X$3:$X$98,"")+COUNTIFS(工数管理!$AK$3:$AK$98,L$1,工数管理!$Y$3:$Y$98,"&lt;="&amp;$H9,工数管理!$Z$3:$Z$98,"")+COUNTIFS(工数管理!$AK$3:$AK$98,L$1,工数管理!$AA$3:$AA$98,"&lt;="&amp;$H9,工数管理!$AB$3:$AB$98,"")+COUNTIFS(工数管理!$AK$3:$AK$98,L$1,工数管理!$AC$3:$AC$98,"&lt;="&amp;$H9,工数管理!$AD$3:$AD$98,"")+COUNTIFS(工数管理!$AK$3:$AK$98,L$1,工数管理!$AE$3:$AE$98,"&lt;="&amp;$H9,工数管理!$AF$3:$AF$98,"")+COUNTIFS(工数管理!$AK$3:$AK$98,L$1,工数管理!$AG$3:$AG$98,"&lt;="&amp;$H9,工数管理!$AH$3:$AH$98,""))*($H9&lt;=工数管理!$AI$1))</f>
        <v>0</v>
      </c>
    </row>
    <row r="10" spans="1:12" x14ac:dyDescent="0.15">
      <c r="A10" s="5">
        <v>46141</v>
      </c>
      <c r="B10" s="6" t="s">
        <v>73</v>
      </c>
      <c r="H10" s="41">
        <f t="shared" si="1"/>
        <v>46178</v>
      </c>
      <c r="I10" s="42">
        <f t="shared" si="0"/>
        <v>1</v>
      </c>
      <c r="J10" s="42">
        <f ca="1">IF(J$1="",0,COUNTIFS(工数管理!$AK$3:$AK$98,J$1,工数管理!$K$3:$K$98,"&lt;="&amp;$H10,工数管理!$L$3:$L$98,"&gt;="&amp;$H10)+COUNTIFS(工数管理!$AK$3:$AK$98,J$1,工数管理!$M$3:$M$98,"&lt;="&amp;$H10,工数管理!$N$3:$N$98,"&gt;="&amp;$H10)+COUNTIFS(工数管理!$AK$3:$AK$98,J$1,工数管理!$O$3:$O$98,"&lt;="&amp;$H10,工数管理!$P$3:$P$98,"&gt;="&amp;$H10)+COUNTIFS(工数管理!$AK$3:$AK$98,J$1,工数管理!$Q$3:$Q$98,"&lt;="&amp;$H10,工数管理!$R$3:$R$98,"&gt;="&amp;$H10)+COUNTIFS(工数管理!$AK$3:$AK$98,J$1,工数管理!$S$3:$S$98,"&lt;="&amp;$H10,工数管理!$T$3:$T$98,"&gt;="&amp;$H10)+COUNTIFS(工数管理!$AK$3:$AK$98,J$1,工数管理!$U$3:$U$98,"&lt;="&amp;$H10,工数管理!$V$3:$V$98,"&gt;="&amp;$H10)+COUNTIFS(工数管理!$AK$3:$AK$98,J$1,工数管理!$W$3:$W$98,"&lt;="&amp;$H10,工数管理!$X$3:$X$98,"&gt;="&amp;$H10)+COUNTIFS(工数管理!$AK$3:$AK$98,J$1,工数管理!$Y$3:$Y$98,"&lt;="&amp;$H10,工数管理!$Z$3:$Z$98,"&gt;="&amp;$H10)+COUNTIFS(工数管理!$AK$3:$AK$98,J$1,工数管理!$AA$3:$AA$98,"&lt;="&amp;$H10,工数管理!$AB$3:$AB$98,"&gt;="&amp;$H10)+COUNTIFS(工数管理!$AK$3:$AK$98,J$1,工数管理!$AC$3:$AC$98,"&lt;="&amp;$H10,工数管理!$AD$3:$AD$98,"&gt;="&amp;$H10)+COUNTIFS(工数管理!$AK$3:$AK$98,J$1,工数管理!$AE$3:$AE$98,"&lt;="&amp;$H10,工数管理!$AF$3:$AF$98,"&gt;="&amp;$H10)+COUNTIFS(工数管理!$AK$3:$AK$98,J$1,工数管理!$AG$3:$AG$98,"&lt;="&amp;$H10,工数管理!$AH$3:$AH$98,"&gt;="&amp;$H10)+(COUNTIFS(工数管理!$AK$3:$AK$98,J$1,工数管理!$K$3:$K$98,"&lt;="&amp;$H10,工数管理!$L$3:$L$98,"")+COUNTIFS(工数管理!$AK$3:$AK$98,J$1,工数管理!$M$3:$M$98,"&lt;="&amp;$H10,工数管理!$N$3:$N$98,"")+COUNTIFS(工数管理!$AK$3:$AK$98,J$1,工数管理!$O$3:$O$98,"&lt;="&amp;$H10,工数管理!$P$3:$P$98,"")+COUNTIFS(工数管理!$AK$3:$AK$98,J$1,工数管理!$Q$3:$Q$98,"&lt;="&amp;$H10,工数管理!$R$3:$R$98,"")+COUNTIFS(工数管理!$AK$3:$AK$98,J$1,工数管理!$S$3:$S$98,"&lt;="&amp;$H10,工数管理!$T$3:$T$98,"")+COUNTIFS(工数管理!$AK$3:$AK$98,J$1,工数管理!$U$3:$U$98,"&lt;="&amp;$H10,工数管理!$V$3:$V$98,"")+COUNTIFS(工数管理!$AK$3:$AK$98,J$1,工数管理!$W$3:$W$98,"&lt;="&amp;$H10,工数管理!$X$3:$X$98,"")+COUNTIFS(工数管理!$AK$3:$AK$98,J$1,工数管理!$Y$3:$Y$98,"&lt;="&amp;$H10,工数管理!$Z$3:$Z$98,"")+COUNTIFS(工数管理!$AK$3:$AK$98,J$1,工数管理!$AA$3:$AA$98,"&lt;="&amp;$H10,工数管理!$AB$3:$AB$98,"")+COUNTIFS(工数管理!$AK$3:$AK$98,J$1,工数管理!$AC$3:$AC$98,"&lt;="&amp;$H10,工数管理!$AD$3:$AD$98,"")+COUNTIFS(工数管理!$AK$3:$AK$98,J$1,工数管理!$AE$3:$AE$98,"&lt;="&amp;$H10,工数管理!$AF$3:$AF$98,"")+COUNTIFS(工数管理!$AK$3:$AK$98,J$1,工数管理!$AG$3:$AG$98,"&lt;="&amp;$H10,工数管理!$AH$3:$AH$98,""))*($H10&lt;=工数管理!$AI$1))</f>
        <v>1</v>
      </c>
      <c r="K10" s="42">
        <f ca="1">IF(K$1="",0,COUNTIFS(工数管理!$AK$3:$AK$98,K$1,工数管理!$K$3:$K$98,"&lt;="&amp;$H10,工数管理!$L$3:$L$98,"&gt;="&amp;$H10)+COUNTIFS(工数管理!$AK$3:$AK$98,K$1,工数管理!$M$3:$M$98,"&lt;="&amp;$H10,工数管理!$N$3:$N$98,"&gt;="&amp;$H10)+COUNTIFS(工数管理!$AK$3:$AK$98,K$1,工数管理!$O$3:$O$98,"&lt;="&amp;$H10,工数管理!$P$3:$P$98,"&gt;="&amp;$H10)+COUNTIFS(工数管理!$AK$3:$AK$98,K$1,工数管理!$Q$3:$Q$98,"&lt;="&amp;$H10,工数管理!$R$3:$R$98,"&gt;="&amp;$H10)+COUNTIFS(工数管理!$AK$3:$AK$98,K$1,工数管理!$S$3:$S$98,"&lt;="&amp;$H10,工数管理!$T$3:$T$98,"&gt;="&amp;$H10)+COUNTIFS(工数管理!$AK$3:$AK$98,K$1,工数管理!$U$3:$U$98,"&lt;="&amp;$H10,工数管理!$V$3:$V$98,"&gt;="&amp;$H10)+COUNTIFS(工数管理!$AK$3:$AK$98,K$1,工数管理!$W$3:$W$98,"&lt;="&amp;$H10,工数管理!$X$3:$X$98,"&gt;="&amp;$H10)+COUNTIFS(工数管理!$AK$3:$AK$98,K$1,工数管理!$Y$3:$Y$98,"&lt;="&amp;$H10,工数管理!$Z$3:$Z$98,"&gt;="&amp;$H10)+COUNTIFS(工数管理!$AK$3:$AK$98,K$1,工数管理!$AA$3:$AA$98,"&lt;="&amp;$H10,工数管理!$AB$3:$AB$98,"&gt;="&amp;$H10)+COUNTIFS(工数管理!$AK$3:$AK$98,K$1,工数管理!$AC$3:$AC$98,"&lt;="&amp;$H10,工数管理!$AD$3:$AD$98,"&gt;="&amp;$H10)+COUNTIFS(工数管理!$AK$3:$AK$98,K$1,工数管理!$AE$3:$AE$98,"&lt;="&amp;$H10,工数管理!$AF$3:$AF$98,"&gt;="&amp;$H10)+COUNTIFS(工数管理!$AK$3:$AK$98,K$1,工数管理!$AG$3:$AG$98,"&lt;="&amp;$H10,工数管理!$AH$3:$AH$98,"&gt;="&amp;$H10)+(COUNTIFS(工数管理!$AK$3:$AK$98,K$1,工数管理!$K$3:$K$98,"&lt;="&amp;$H10,工数管理!$L$3:$L$98,"")+COUNTIFS(工数管理!$AK$3:$AK$98,K$1,工数管理!$M$3:$M$98,"&lt;="&amp;$H10,工数管理!$N$3:$N$98,"")+COUNTIFS(工数管理!$AK$3:$AK$98,K$1,工数管理!$O$3:$O$98,"&lt;="&amp;$H10,工数管理!$P$3:$P$98,"")+COUNTIFS(工数管理!$AK$3:$AK$98,K$1,工数管理!$Q$3:$Q$98,"&lt;="&amp;$H10,工数管理!$R$3:$R$98,"")+COUNTIFS(工数管理!$AK$3:$AK$98,K$1,工数管理!$S$3:$S$98,"&lt;="&amp;$H10,工数管理!$T$3:$T$98,"")+COUNTIFS(工数管理!$AK$3:$AK$98,K$1,工数管理!$U$3:$U$98,"&lt;="&amp;$H10,工数管理!$V$3:$V$98,"")+COUNTIFS(工数管理!$AK$3:$AK$98,K$1,工数管理!$W$3:$W$98,"&lt;="&amp;$H10,工数管理!$X$3:$X$98,"")+COUNTIFS(工数管理!$AK$3:$AK$98,K$1,工数管理!$Y$3:$Y$98,"&lt;="&amp;$H10,工数管理!$Z$3:$Z$98,"")+COUNTIFS(工数管理!$AK$3:$AK$98,K$1,工数管理!$AA$3:$AA$98,"&lt;="&amp;$H10,工数管理!$AB$3:$AB$98,"")+COUNTIFS(工数管理!$AK$3:$AK$98,K$1,工数管理!$AC$3:$AC$98,"&lt;="&amp;$H10,工数管理!$AD$3:$AD$98,"")+COUNTIFS(工数管理!$AK$3:$AK$98,K$1,工数管理!$AE$3:$AE$98,"&lt;="&amp;$H10,工数管理!$AF$3:$AF$98,"")+COUNTIFS(工数管理!$AK$3:$AK$98,K$1,工数管理!$AG$3:$AG$98,"&lt;="&amp;$H10,工数管理!$AH$3:$AH$98,""))*($H10&lt;=工数管理!$AI$1))</f>
        <v>0</v>
      </c>
      <c r="L10" s="42">
        <f ca="1">IF(L$1="",0,COUNTIFS(工数管理!$AK$3:$AK$98,L$1,工数管理!$K$3:$K$98,"&lt;="&amp;$H10,工数管理!$L$3:$L$98,"&gt;="&amp;$H10)+COUNTIFS(工数管理!$AK$3:$AK$98,L$1,工数管理!$M$3:$M$98,"&lt;="&amp;$H10,工数管理!$N$3:$N$98,"&gt;="&amp;$H10)+COUNTIFS(工数管理!$AK$3:$AK$98,L$1,工数管理!$O$3:$O$98,"&lt;="&amp;$H10,工数管理!$P$3:$P$98,"&gt;="&amp;$H10)+COUNTIFS(工数管理!$AK$3:$AK$98,L$1,工数管理!$Q$3:$Q$98,"&lt;="&amp;$H10,工数管理!$R$3:$R$98,"&gt;="&amp;$H10)+COUNTIFS(工数管理!$AK$3:$AK$98,L$1,工数管理!$S$3:$S$98,"&lt;="&amp;$H10,工数管理!$T$3:$T$98,"&gt;="&amp;$H10)+COUNTIFS(工数管理!$AK$3:$AK$98,L$1,工数管理!$U$3:$U$98,"&lt;="&amp;$H10,工数管理!$V$3:$V$98,"&gt;="&amp;$H10)+COUNTIFS(工数管理!$AK$3:$AK$98,L$1,工数管理!$W$3:$W$98,"&lt;="&amp;$H10,工数管理!$X$3:$X$98,"&gt;="&amp;$H10)+COUNTIFS(工数管理!$AK$3:$AK$98,L$1,工数管理!$Y$3:$Y$98,"&lt;="&amp;$H10,工数管理!$Z$3:$Z$98,"&gt;="&amp;$H10)+COUNTIFS(工数管理!$AK$3:$AK$98,L$1,工数管理!$AA$3:$AA$98,"&lt;="&amp;$H10,工数管理!$AB$3:$AB$98,"&gt;="&amp;$H10)+COUNTIFS(工数管理!$AK$3:$AK$98,L$1,工数管理!$AC$3:$AC$98,"&lt;="&amp;$H10,工数管理!$AD$3:$AD$98,"&gt;="&amp;$H10)+COUNTIFS(工数管理!$AK$3:$AK$98,L$1,工数管理!$AE$3:$AE$98,"&lt;="&amp;$H10,工数管理!$AF$3:$AF$98,"&gt;="&amp;$H10)+COUNTIFS(工数管理!$AK$3:$AK$98,L$1,工数管理!$AG$3:$AG$98,"&lt;="&amp;$H10,工数管理!$AH$3:$AH$98,"&gt;="&amp;$H10)+(COUNTIFS(工数管理!$AK$3:$AK$98,L$1,工数管理!$K$3:$K$98,"&lt;="&amp;$H10,工数管理!$L$3:$L$98,"")+COUNTIFS(工数管理!$AK$3:$AK$98,L$1,工数管理!$M$3:$M$98,"&lt;="&amp;$H10,工数管理!$N$3:$N$98,"")+COUNTIFS(工数管理!$AK$3:$AK$98,L$1,工数管理!$O$3:$O$98,"&lt;="&amp;$H10,工数管理!$P$3:$P$98,"")+COUNTIFS(工数管理!$AK$3:$AK$98,L$1,工数管理!$Q$3:$Q$98,"&lt;="&amp;$H10,工数管理!$R$3:$R$98,"")+COUNTIFS(工数管理!$AK$3:$AK$98,L$1,工数管理!$S$3:$S$98,"&lt;="&amp;$H10,工数管理!$T$3:$T$98,"")+COUNTIFS(工数管理!$AK$3:$AK$98,L$1,工数管理!$U$3:$U$98,"&lt;="&amp;$H10,工数管理!$V$3:$V$98,"")+COUNTIFS(工数管理!$AK$3:$AK$98,L$1,工数管理!$W$3:$W$98,"&lt;="&amp;$H10,工数管理!$X$3:$X$98,"")+COUNTIFS(工数管理!$AK$3:$AK$98,L$1,工数管理!$Y$3:$Y$98,"&lt;="&amp;$H10,工数管理!$Z$3:$Z$98,"")+COUNTIFS(工数管理!$AK$3:$AK$98,L$1,工数管理!$AA$3:$AA$98,"&lt;="&amp;$H10,工数管理!$AB$3:$AB$98,"")+COUNTIFS(工数管理!$AK$3:$AK$98,L$1,工数管理!$AC$3:$AC$98,"&lt;="&amp;$H10,工数管理!$AD$3:$AD$98,"")+COUNTIFS(工数管理!$AK$3:$AK$98,L$1,工数管理!$AE$3:$AE$98,"&lt;="&amp;$H10,工数管理!$AF$3:$AF$98,"")+COUNTIFS(工数管理!$AK$3:$AK$98,L$1,工数管理!$AG$3:$AG$98,"&lt;="&amp;$H10,工数管理!$AH$3:$AH$98,""))*($H10&lt;=工数管理!$AI$1))</f>
        <v>0</v>
      </c>
    </row>
    <row r="11" spans="1:12" x14ac:dyDescent="0.15">
      <c r="A11" s="5">
        <v>46145</v>
      </c>
      <c r="B11" s="6" t="s">
        <v>74</v>
      </c>
      <c r="H11" s="41">
        <f t="shared" si="1"/>
        <v>46179</v>
      </c>
      <c r="I11" s="42">
        <f t="shared" si="0"/>
        <v>0</v>
      </c>
      <c r="J11" s="42">
        <f ca="1">IF(J$1="",0,COUNTIFS(工数管理!$AK$3:$AK$98,J$1,工数管理!$K$3:$K$98,"&lt;="&amp;$H11,工数管理!$L$3:$L$98,"&gt;="&amp;$H11)+COUNTIFS(工数管理!$AK$3:$AK$98,J$1,工数管理!$M$3:$M$98,"&lt;="&amp;$H11,工数管理!$N$3:$N$98,"&gt;="&amp;$H11)+COUNTIFS(工数管理!$AK$3:$AK$98,J$1,工数管理!$O$3:$O$98,"&lt;="&amp;$H11,工数管理!$P$3:$P$98,"&gt;="&amp;$H11)+COUNTIFS(工数管理!$AK$3:$AK$98,J$1,工数管理!$Q$3:$Q$98,"&lt;="&amp;$H11,工数管理!$R$3:$R$98,"&gt;="&amp;$H11)+COUNTIFS(工数管理!$AK$3:$AK$98,J$1,工数管理!$S$3:$S$98,"&lt;="&amp;$H11,工数管理!$T$3:$T$98,"&gt;="&amp;$H11)+COUNTIFS(工数管理!$AK$3:$AK$98,J$1,工数管理!$U$3:$U$98,"&lt;="&amp;$H11,工数管理!$V$3:$V$98,"&gt;="&amp;$H11)+COUNTIFS(工数管理!$AK$3:$AK$98,J$1,工数管理!$W$3:$W$98,"&lt;="&amp;$H11,工数管理!$X$3:$X$98,"&gt;="&amp;$H11)+COUNTIFS(工数管理!$AK$3:$AK$98,J$1,工数管理!$Y$3:$Y$98,"&lt;="&amp;$H11,工数管理!$Z$3:$Z$98,"&gt;="&amp;$H11)+COUNTIFS(工数管理!$AK$3:$AK$98,J$1,工数管理!$AA$3:$AA$98,"&lt;="&amp;$H11,工数管理!$AB$3:$AB$98,"&gt;="&amp;$H11)+COUNTIFS(工数管理!$AK$3:$AK$98,J$1,工数管理!$AC$3:$AC$98,"&lt;="&amp;$H11,工数管理!$AD$3:$AD$98,"&gt;="&amp;$H11)+COUNTIFS(工数管理!$AK$3:$AK$98,J$1,工数管理!$AE$3:$AE$98,"&lt;="&amp;$H11,工数管理!$AF$3:$AF$98,"&gt;="&amp;$H11)+COUNTIFS(工数管理!$AK$3:$AK$98,J$1,工数管理!$AG$3:$AG$98,"&lt;="&amp;$H11,工数管理!$AH$3:$AH$98,"&gt;="&amp;$H11)+(COUNTIFS(工数管理!$AK$3:$AK$98,J$1,工数管理!$K$3:$K$98,"&lt;="&amp;$H11,工数管理!$L$3:$L$98,"")+COUNTIFS(工数管理!$AK$3:$AK$98,J$1,工数管理!$M$3:$M$98,"&lt;="&amp;$H11,工数管理!$N$3:$N$98,"")+COUNTIFS(工数管理!$AK$3:$AK$98,J$1,工数管理!$O$3:$O$98,"&lt;="&amp;$H11,工数管理!$P$3:$P$98,"")+COUNTIFS(工数管理!$AK$3:$AK$98,J$1,工数管理!$Q$3:$Q$98,"&lt;="&amp;$H11,工数管理!$R$3:$R$98,"")+COUNTIFS(工数管理!$AK$3:$AK$98,J$1,工数管理!$S$3:$S$98,"&lt;="&amp;$H11,工数管理!$T$3:$T$98,"")+COUNTIFS(工数管理!$AK$3:$AK$98,J$1,工数管理!$U$3:$U$98,"&lt;="&amp;$H11,工数管理!$V$3:$V$98,"")+COUNTIFS(工数管理!$AK$3:$AK$98,J$1,工数管理!$W$3:$W$98,"&lt;="&amp;$H11,工数管理!$X$3:$X$98,"")+COUNTIFS(工数管理!$AK$3:$AK$98,J$1,工数管理!$Y$3:$Y$98,"&lt;="&amp;$H11,工数管理!$Z$3:$Z$98,"")+COUNTIFS(工数管理!$AK$3:$AK$98,J$1,工数管理!$AA$3:$AA$98,"&lt;="&amp;$H11,工数管理!$AB$3:$AB$98,"")+COUNTIFS(工数管理!$AK$3:$AK$98,J$1,工数管理!$AC$3:$AC$98,"&lt;="&amp;$H11,工数管理!$AD$3:$AD$98,"")+COUNTIFS(工数管理!$AK$3:$AK$98,J$1,工数管理!$AE$3:$AE$98,"&lt;="&amp;$H11,工数管理!$AF$3:$AF$98,"")+COUNTIFS(工数管理!$AK$3:$AK$98,J$1,工数管理!$AG$3:$AG$98,"&lt;="&amp;$H11,工数管理!$AH$3:$AH$98,""))*($H11&lt;=工数管理!$AI$1))</f>
        <v>1</v>
      </c>
      <c r="K11" s="42">
        <f ca="1">IF(K$1="",0,COUNTIFS(工数管理!$AK$3:$AK$98,K$1,工数管理!$K$3:$K$98,"&lt;="&amp;$H11,工数管理!$L$3:$L$98,"&gt;="&amp;$H11)+COUNTIFS(工数管理!$AK$3:$AK$98,K$1,工数管理!$M$3:$M$98,"&lt;="&amp;$H11,工数管理!$N$3:$N$98,"&gt;="&amp;$H11)+COUNTIFS(工数管理!$AK$3:$AK$98,K$1,工数管理!$O$3:$O$98,"&lt;="&amp;$H11,工数管理!$P$3:$P$98,"&gt;="&amp;$H11)+COUNTIFS(工数管理!$AK$3:$AK$98,K$1,工数管理!$Q$3:$Q$98,"&lt;="&amp;$H11,工数管理!$R$3:$R$98,"&gt;="&amp;$H11)+COUNTIFS(工数管理!$AK$3:$AK$98,K$1,工数管理!$S$3:$S$98,"&lt;="&amp;$H11,工数管理!$T$3:$T$98,"&gt;="&amp;$H11)+COUNTIFS(工数管理!$AK$3:$AK$98,K$1,工数管理!$U$3:$U$98,"&lt;="&amp;$H11,工数管理!$V$3:$V$98,"&gt;="&amp;$H11)+COUNTIFS(工数管理!$AK$3:$AK$98,K$1,工数管理!$W$3:$W$98,"&lt;="&amp;$H11,工数管理!$X$3:$X$98,"&gt;="&amp;$H11)+COUNTIFS(工数管理!$AK$3:$AK$98,K$1,工数管理!$Y$3:$Y$98,"&lt;="&amp;$H11,工数管理!$Z$3:$Z$98,"&gt;="&amp;$H11)+COUNTIFS(工数管理!$AK$3:$AK$98,K$1,工数管理!$AA$3:$AA$98,"&lt;="&amp;$H11,工数管理!$AB$3:$AB$98,"&gt;="&amp;$H11)+COUNTIFS(工数管理!$AK$3:$AK$98,K$1,工数管理!$AC$3:$AC$98,"&lt;="&amp;$H11,工数管理!$AD$3:$AD$98,"&gt;="&amp;$H11)+COUNTIFS(工数管理!$AK$3:$AK$98,K$1,工数管理!$AE$3:$AE$98,"&lt;="&amp;$H11,工数管理!$AF$3:$AF$98,"&gt;="&amp;$H11)+COUNTIFS(工数管理!$AK$3:$AK$98,K$1,工数管理!$AG$3:$AG$98,"&lt;="&amp;$H11,工数管理!$AH$3:$AH$98,"&gt;="&amp;$H11)+(COUNTIFS(工数管理!$AK$3:$AK$98,K$1,工数管理!$K$3:$K$98,"&lt;="&amp;$H11,工数管理!$L$3:$L$98,"")+COUNTIFS(工数管理!$AK$3:$AK$98,K$1,工数管理!$M$3:$M$98,"&lt;="&amp;$H11,工数管理!$N$3:$N$98,"")+COUNTIFS(工数管理!$AK$3:$AK$98,K$1,工数管理!$O$3:$O$98,"&lt;="&amp;$H11,工数管理!$P$3:$P$98,"")+COUNTIFS(工数管理!$AK$3:$AK$98,K$1,工数管理!$Q$3:$Q$98,"&lt;="&amp;$H11,工数管理!$R$3:$R$98,"")+COUNTIFS(工数管理!$AK$3:$AK$98,K$1,工数管理!$S$3:$S$98,"&lt;="&amp;$H11,工数管理!$T$3:$T$98,"")+COUNTIFS(工数管理!$AK$3:$AK$98,K$1,工数管理!$U$3:$U$98,"&lt;="&amp;$H11,工数管理!$V$3:$V$98,"")+COUNTIFS(工数管理!$AK$3:$AK$98,K$1,工数管理!$W$3:$W$98,"&lt;="&amp;$H11,工数管理!$X$3:$X$98,"")+COUNTIFS(工数管理!$AK$3:$AK$98,K$1,工数管理!$Y$3:$Y$98,"&lt;="&amp;$H11,工数管理!$Z$3:$Z$98,"")+COUNTIFS(工数管理!$AK$3:$AK$98,K$1,工数管理!$AA$3:$AA$98,"&lt;="&amp;$H11,工数管理!$AB$3:$AB$98,"")+COUNTIFS(工数管理!$AK$3:$AK$98,K$1,工数管理!$AC$3:$AC$98,"&lt;="&amp;$H11,工数管理!$AD$3:$AD$98,"")+COUNTIFS(工数管理!$AK$3:$AK$98,K$1,工数管理!$AE$3:$AE$98,"&lt;="&amp;$H11,工数管理!$AF$3:$AF$98,"")+COUNTIFS(工数管理!$AK$3:$AK$98,K$1,工数管理!$AG$3:$AG$98,"&lt;="&amp;$H11,工数管理!$AH$3:$AH$98,""))*($H11&lt;=工数管理!$AI$1))</f>
        <v>0</v>
      </c>
      <c r="L11" s="42">
        <f ca="1">IF(L$1="",0,COUNTIFS(工数管理!$AK$3:$AK$98,L$1,工数管理!$K$3:$K$98,"&lt;="&amp;$H11,工数管理!$L$3:$L$98,"&gt;="&amp;$H11)+COUNTIFS(工数管理!$AK$3:$AK$98,L$1,工数管理!$M$3:$M$98,"&lt;="&amp;$H11,工数管理!$N$3:$N$98,"&gt;="&amp;$H11)+COUNTIFS(工数管理!$AK$3:$AK$98,L$1,工数管理!$O$3:$O$98,"&lt;="&amp;$H11,工数管理!$P$3:$P$98,"&gt;="&amp;$H11)+COUNTIFS(工数管理!$AK$3:$AK$98,L$1,工数管理!$Q$3:$Q$98,"&lt;="&amp;$H11,工数管理!$R$3:$R$98,"&gt;="&amp;$H11)+COUNTIFS(工数管理!$AK$3:$AK$98,L$1,工数管理!$S$3:$S$98,"&lt;="&amp;$H11,工数管理!$T$3:$T$98,"&gt;="&amp;$H11)+COUNTIFS(工数管理!$AK$3:$AK$98,L$1,工数管理!$U$3:$U$98,"&lt;="&amp;$H11,工数管理!$V$3:$V$98,"&gt;="&amp;$H11)+COUNTIFS(工数管理!$AK$3:$AK$98,L$1,工数管理!$W$3:$W$98,"&lt;="&amp;$H11,工数管理!$X$3:$X$98,"&gt;="&amp;$H11)+COUNTIFS(工数管理!$AK$3:$AK$98,L$1,工数管理!$Y$3:$Y$98,"&lt;="&amp;$H11,工数管理!$Z$3:$Z$98,"&gt;="&amp;$H11)+COUNTIFS(工数管理!$AK$3:$AK$98,L$1,工数管理!$AA$3:$AA$98,"&lt;="&amp;$H11,工数管理!$AB$3:$AB$98,"&gt;="&amp;$H11)+COUNTIFS(工数管理!$AK$3:$AK$98,L$1,工数管理!$AC$3:$AC$98,"&lt;="&amp;$H11,工数管理!$AD$3:$AD$98,"&gt;="&amp;$H11)+COUNTIFS(工数管理!$AK$3:$AK$98,L$1,工数管理!$AE$3:$AE$98,"&lt;="&amp;$H11,工数管理!$AF$3:$AF$98,"&gt;="&amp;$H11)+COUNTIFS(工数管理!$AK$3:$AK$98,L$1,工数管理!$AG$3:$AG$98,"&lt;="&amp;$H11,工数管理!$AH$3:$AH$98,"&gt;="&amp;$H11)+(COUNTIFS(工数管理!$AK$3:$AK$98,L$1,工数管理!$K$3:$K$98,"&lt;="&amp;$H11,工数管理!$L$3:$L$98,"")+COUNTIFS(工数管理!$AK$3:$AK$98,L$1,工数管理!$M$3:$M$98,"&lt;="&amp;$H11,工数管理!$N$3:$N$98,"")+COUNTIFS(工数管理!$AK$3:$AK$98,L$1,工数管理!$O$3:$O$98,"&lt;="&amp;$H11,工数管理!$P$3:$P$98,"")+COUNTIFS(工数管理!$AK$3:$AK$98,L$1,工数管理!$Q$3:$Q$98,"&lt;="&amp;$H11,工数管理!$R$3:$R$98,"")+COUNTIFS(工数管理!$AK$3:$AK$98,L$1,工数管理!$S$3:$S$98,"&lt;="&amp;$H11,工数管理!$T$3:$T$98,"")+COUNTIFS(工数管理!$AK$3:$AK$98,L$1,工数管理!$U$3:$U$98,"&lt;="&amp;$H11,工数管理!$V$3:$V$98,"")+COUNTIFS(工数管理!$AK$3:$AK$98,L$1,工数管理!$W$3:$W$98,"&lt;="&amp;$H11,工数管理!$X$3:$X$98,"")+COUNTIFS(工数管理!$AK$3:$AK$98,L$1,工数管理!$Y$3:$Y$98,"&lt;="&amp;$H11,工数管理!$Z$3:$Z$98,"")+COUNTIFS(工数管理!$AK$3:$AK$98,L$1,工数管理!$AA$3:$AA$98,"&lt;="&amp;$H11,工数管理!$AB$3:$AB$98,"")+COUNTIFS(工数管理!$AK$3:$AK$98,L$1,工数管理!$AC$3:$AC$98,"&lt;="&amp;$H11,工数管理!$AD$3:$AD$98,"")+COUNTIFS(工数管理!$AK$3:$AK$98,L$1,工数管理!$AE$3:$AE$98,"&lt;="&amp;$H11,工数管理!$AF$3:$AF$98,"")+COUNTIFS(工数管理!$AK$3:$AK$98,L$1,工数管理!$AG$3:$AG$98,"&lt;="&amp;$H11,工数管理!$AH$3:$AH$98,""))*($H11&lt;=工数管理!$AI$1))</f>
        <v>0</v>
      </c>
    </row>
    <row r="12" spans="1:12" x14ac:dyDescent="0.15">
      <c r="A12" s="5">
        <v>46146</v>
      </c>
      <c r="B12" s="6" t="s">
        <v>75</v>
      </c>
      <c r="H12" s="41">
        <f t="shared" si="1"/>
        <v>46180</v>
      </c>
      <c r="I12" s="42">
        <f t="shared" si="0"/>
        <v>0</v>
      </c>
      <c r="J12" s="42">
        <f ca="1">IF(J$1="",0,COUNTIFS(工数管理!$AK$3:$AK$98,J$1,工数管理!$K$3:$K$98,"&lt;="&amp;$H12,工数管理!$L$3:$L$98,"&gt;="&amp;$H12)+COUNTIFS(工数管理!$AK$3:$AK$98,J$1,工数管理!$M$3:$M$98,"&lt;="&amp;$H12,工数管理!$N$3:$N$98,"&gt;="&amp;$H12)+COUNTIFS(工数管理!$AK$3:$AK$98,J$1,工数管理!$O$3:$O$98,"&lt;="&amp;$H12,工数管理!$P$3:$P$98,"&gt;="&amp;$H12)+COUNTIFS(工数管理!$AK$3:$AK$98,J$1,工数管理!$Q$3:$Q$98,"&lt;="&amp;$H12,工数管理!$R$3:$R$98,"&gt;="&amp;$H12)+COUNTIFS(工数管理!$AK$3:$AK$98,J$1,工数管理!$S$3:$S$98,"&lt;="&amp;$H12,工数管理!$T$3:$T$98,"&gt;="&amp;$H12)+COUNTIFS(工数管理!$AK$3:$AK$98,J$1,工数管理!$U$3:$U$98,"&lt;="&amp;$H12,工数管理!$V$3:$V$98,"&gt;="&amp;$H12)+COUNTIFS(工数管理!$AK$3:$AK$98,J$1,工数管理!$W$3:$W$98,"&lt;="&amp;$H12,工数管理!$X$3:$X$98,"&gt;="&amp;$H12)+COUNTIFS(工数管理!$AK$3:$AK$98,J$1,工数管理!$Y$3:$Y$98,"&lt;="&amp;$H12,工数管理!$Z$3:$Z$98,"&gt;="&amp;$H12)+COUNTIFS(工数管理!$AK$3:$AK$98,J$1,工数管理!$AA$3:$AA$98,"&lt;="&amp;$H12,工数管理!$AB$3:$AB$98,"&gt;="&amp;$H12)+COUNTIFS(工数管理!$AK$3:$AK$98,J$1,工数管理!$AC$3:$AC$98,"&lt;="&amp;$H12,工数管理!$AD$3:$AD$98,"&gt;="&amp;$H12)+COUNTIFS(工数管理!$AK$3:$AK$98,J$1,工数管理!$AE$3:$AE$98,"&lt;="&amp;$H12,工数管理!$AF$3:$AF$98,"&gt;="&amp;$H12)+COUNTIFS(工数管理!$AK$3:$AK$98,J$1,工数管理!$AG$3:$AG$98,"&lt;="&amp;$H12,工数管理!$AH$3:$AH$98,"&gt;="&amp;$H12)+(COUNTIFS(工数管理!$AK$3:$AK$98,J$1,工数管理!$K$3:$K$98,"&lt;="&amp;$H12,工数管理!$L$3:$L$98,"")+COUNTIFS(工数管理!$AK$3:$AK$98,J$1,工数管理!$M$3:$M$98,"&lt;="&amp;$H12,工数管理!$N$3:$N$98,"")+COUNTIFS(工数管理!$AK$3:$AK$98,J$1,工数管理!$O$3:$O$98,"&lt;="&amp;$H12,工数管理!$P$3:$P$98,"")+COUNTIFS(工数管理!$AK$3:$AK$98,J$1,工数管理!$Q$3:$Q$98,"&lt;="&amp;$H12,工数管理!$R$3:$R$98,"")+COUNTIFS(工数管理!$AK$3:$AK$98,J$1,工数管理!$S$3:$S$98,"&lt;="&amp;$H12,工数管理!$T$3:$T$98,"")+COUNTIFS(工数管理!$AK$3:$AK$98,J$1,工数管理!$U$3:$U$98,"&lt;="&amp;$H12,工数管理!$V$3:$V$98,"")+COUNTIFS(工数管理!$AK$3:$AK$98,J$1,工数管理!$W$3:$W$98,"&lt;="&amp;$H12,工数管理!$X$3:$X$98,"")+COUNTIFS(工数管理!$AK$3:$AK$98,J$1,工数管理!$Y$3:$Y$98,"&lt;="&amp;$H12,工数管理!$Z$3:$Z$98,"")+COUNTIFS(工数管理!$AK$3:$AK$98,J$1,工数管理!$AA$3:$AA$98,"&lt;="&amp;$H12,工数管理!$AB$3:$AB$98,"")+COUNTIFS(工数管理!$AK$3:$AK$98,J$1,工数管理!$AC$3:$AC$98,"&lt;="&amp;$H12,工数管理!$AD$3:$AD$98,"")+COUNTIFS(工数管理!$AK$3:$AK$98,J$1,工数管理!$AE$3:$AE$98,"&lt;="&amp;$H12,工数管理!$AF$3:$AF$98,"")+COUNTIFS(工数管理!$AK$3:$AK$98,J$1,工数管理!$AG$3:$AG$98,"&lt;="&amp;$H12,工数管理!$AH$3:$AH$98,""))*($H12&lt;=工数管理!$AI$1))</f>
        <v>1</v>
      </c>
      <c r="K12" s="42">
        <f ca="1">IF(K$1="",0,COUNTIFS(工数管理!$AK$3:$AK$98,K$1,工数管理!$K$3:$K$98,"&lt;="&amp;$H12,工数管理!$L$3:$L$98,"&gt;="&amp;$H12)+COUNTIFS(工数管理!$AK$3:$AK$98,K$1,工数管理!$M$3:$M$98,"&lt;="&amp;$H12,工数管理!$N$3:$N$98,"&gt;="&amp;$H12)+COUNTIFS(工数管理!$AK$3:$AK$98,K$1,工数管理!$O$3:$O$98,"&lt;="&amp;$H12,工数管理!$P$3:$P$98,"&gt;="&amp;$H12)+COUNTIFS(工数管理!$AK$3:$AK$98,K$1,工数管理!$Q$3:$Q$98,"&lt;="&amp;$H12,工数管理!$R$3:$R$98,"&gt;="&amp;$H12)+COUNTIFS(工数管理!$AK$3:$AK$98,K$1,工数管理!$S$3:$S$98,"&lt;="&amp;$H12,工数管理!$T$3:$T$98,"&gt;="&amp;$H12)+COUNTIFS(工数管理!$AK$3:$AK$98,K$1,工数管理!$U$3:$U$98,"&lt;="&amp;$H12,工数管理!$V$3:$V$98,"&gt;="&amp;$H12)+COUNTIFS(工数管理!$AK$3:$AK$98,K$1,工数管理!$W$3:$W$98,"&lt;="&amp;$H12,工数管理!$X$3:$X$98,"&gt;="&amp;$H12)+COUNTIFS(工数管理!$AK$3:$AK$98,K$1,工数管理!$Y$3:$Y$98,"&lt;="&amp;$H12,工数管理!$Z$3:$Z$98,"&gt;="&amp;$H12)+COUNTIFS(工数管理!$AK$3:$AK$98,K$1,工数管理!$AA$3:$AA$98,"&lt;="&amp;$H12,工数管理!$AB$3:$AB$98,"&gt;="&amp;$H12)+COUNTIFS(工数管理!$AK$3:$AK$98,K$1,工数管理!$AC$3:$AC$98,"&lt;="&amp;$H12,工数管理!$AD$3:$AD$98,"&gt;="&amp;$H12)+COUNTIFS(工数管理!$AK$3:$AK$98,K$1,工数管理!$AE$3:$AE$98,"&lt;="&amp;$H12,工数管理!$AF$3:$AF$98,"&gt;="&amp;$H12)+COUNTIFS(工数管理!$AK$3:$AK$98,K$1,工数管理!$AG$3:$AG$98,"&lt;="&amp;$H12,工数管理!$AH$3:$AH$98,"&gt;="&amp;$H12)+(COUNTIFS(工数管理!$AK$3:$AK$98,K$1,工数管理!$K$3:$K$98,"&lt;="&amp;$H12,工数管理!$L$3:$L$98,"")+COUNTIFS(工数管理!$AK$3:$AK$98,K$1,工数管理!$M$3:$M$98,"&lt;="&amp;$H12,工数管理!$N$3:$N$98,"")+COUNTIFS(工数管理!$AK$3:$AK$98,K$1,工数管理!$O$3:$O$98,"&lt;="&amp;$H12,工数管理!$P$3:$P$98,"")+COUNTIFS(工数管理!$AK$3:$AK$98,K$1,工数管理!$Q$3:$Q$98,"&lt;="&amp;$H12,工数管理!$R$3:$R$98,"")+COUNTIFS(工数管理!$AK$3:$AK$98,K$1,工数管理!$S$3:$S$98,"&lt;="&amp;$H12,工数管理!$T$3:$T$98,"")+COUNTIFS(工数管理!$AK$3:$AK$98,K$1,工数管理!$U$3:$U$98,"&lt;="&amp;$H12,工数管理!$V$3:$V$98,"")+COUNTIFS(工数管理!$AK$3:$AK$98,K$1,工数管理!$W$3:$W$98,"&lt;="&amp;$H12,工数管理!$X$3:$X$98,"")+COUNTIFS(工数管理!$AK$3:$AK$98,K$1,工数管理!$Y$3:$Y$98,"&lt;="&amp;$H12,工数管理!$Z$3:$Z$98,"")+COUNTIFS(工数管理!$AK$3:$AK$98,K$1,工数管理!$AA$3:$AA$98,"&lt;="&amp;$H12,工数管理!$AB$3:$AB$98,"")+COUNTIFS(工数管理!$AK$3:$AK$98,K$1,工数管理!$AC$3:$AC$98,"&lt;="&amp;$H12,工数管理!$AD$3:$AD$98,"")+COUNTIFS(工数管理!$AK$3:$AK$98,K$1,工数管理!$AE$3:$AE$98,"&lt;="&amp;$H12,工数管理!$AF$3:$AF$98,"")+COUNTIFS(工数管理!$AK$3:$AK$98,K$1,工数管理!$AG$3:$AG$98,"&lt;="&amp;$H12,工数管理!$AH$3:$AH$98,""))*($H12&lt;=工数管理!$AI$1))</f>
        <v>0</v>
      </c>
      <c r="L12" s="42">
        <f ca="1">IF(L$1="",0,COUNTIFS(工数管理!$AK$3:$AK$98,L$1,工数管理!$K$3:$K$98,"&lt;="&amp;$H12,工数管理!$L$3:$L$98,"&gt;="&amp;$H12)+COUNTIFS(工数管理!$AK$3:$AK$98,L$1,工数管理!$M$3:$M$98,"&lt;="&amp;$H12,工数管理!$N$3:$N$98,"&gt;="&amp;$H12)+COUNTIFS(工数管理!$AK$3:$AK$98,L$1,工数管理!$O$3:$O$98,"&lt;="&amp;$H12,工数管理!$P$3:$P$98,"&gt;="&amp;$H12)+COUNTIFS(工数管理!$AK$3:$AK$98,L$1,工数管理!$Q$3:$Q$98,"&lt;="&amp;$H12,工数管理!$R$3:$R$98,"&gt;="&amp;$H12)+COUNTIFS(工数管理!$AK$3:$AK$98,L$1,工数管理!$S$3:$S$98,"&lt;="&amp;$H12,工数管理!$T$3:$T$98,"&gt;="&amp;$H12)+COUNTIFS(工数管理!$AK$3:$AK$98,L$1,工数管理!$U$3:$U$98,"&lt;="&amp;$H12,工数管理!$V$3:$V$98,"&gt;="&amp;$H12)+COUNTIFS(工数管理!$AK$3:$AK$98,L$1,工数管理!$W$3:$W$98,"&lt;="&amp;$H12,工数管理!$X$3:$X$98,"&gt;="&amp;$H12)+COUNTIFS(工数管理!$AK$3:$AK$98,L$1,工数管理!$Y$3:$Y$98,"&lt;="&amp;$H12,工数管理!$Z$3:$Z$98,"&gt;="&amp;$H12)+COUNTIFS(工数管理!$AK$3:$AK$98,L$1,工数管理!$AA$3:$AA$98,"&lt;="&amp;$H12,工数管理!$AB$3:$AB$98,"&gt;="&amp;$H12)+COUNTIFS(工数管理!$AK$3:$AK$98,L$1,工数管理!$AC$3:$AC$98,"&lt;="&amp;$H12,工数管理!$AD$3:$AD$98,"&gt;="&amp;$H12)+COUNTIFS(工数管理!$AK$3:$AK$98,L$1,工数管理!$AE$3:$AE$98,"&lt;="&amp;$H12,工数管理!$AF$3:$AF$98,"&gt;="&amp;$H12)+COUNTIFS(工数管理!$AK$3:$AK$98,L$1,工数管理!$AG$3:$AG$98,"&lt;="&amp;$H12,工数管理!$AH$3:$AH$98,"&gt;="&amp;$H12)+(COUNTIFS(工数管理!$AK$3:$AK$98,L$1,工数管理!$K$3:$K$98,"&lt;="&amp;$H12,工数管理!$L$3:$L$98,"")+COUNTIFS(工数管理!$AK$3:$AK$98,L$1,工数管理!$M$3:$M$98,"&lt;="&amp;$H12,工数管理!$N$3:$N$98,"")+COUNTIFS(工数管理!$AK$3:$AK$98,L$1,工数管理!$O$3:$O$98,"&lt;="&amp;$H12,工数管理!$P$3:$P$98,"")+COUNTIFS(工数管理!$AK$3:$AK$98,L$1,工数管理!$Q$3:$Q$98,"&lt;="&amp;$H12,工数管理!$R$3:$R$98,"")+COUNTIFS(工数管理!$AK$3:$AK$98,L$1,工数管理!$S$3:$S$98,"&lt;="&amp;$H12,工数管理!$T$3:$T$98,"")+COUNTIFS(工数管理!$AK$3:$AK$98,L$1,工数管理!$U$3:$U$98,"&lt;="&amp;$H12,工数管理!$V$3:$V$98,"")+COUNTIFS(工数管理!$AK$3:$AK$98,L$1,工数管理!$W$3:$W$98,"&lt;="&amp;$H12,工数管理!$X$3:$X$98,"")+COUNTIFS(工数管理!$AK$3:$AK$98,L$1,工数管理!$Y$3:$Y$98,"&lt;="&amp;$H12,工数管理!$Z$3:$Z$98,"")+COUNTIFS(工数管理!$AK$3:$AK$98,L$1,工数管理!$AA$3:$AA$98,"&lt;="&amp;$H12,工数管理!$AB$3:$AB$98,"")+COUNTIFS(工数管理!$AK$3:$AK$98,L$1,工数管理!$AC$3:$AC$98,"&lt;="&amp;$H12,工数管理!$AD$3:$AD$98,"")+COUNTIFS(工数管理!$AK$3:$AK$98,L$1,工数管理!$AE$3:$AE$98,"&lt;="&amp;$H12,工数管理!$AF$3:$AF$98,"")+COUNTIFS(工数管理!$AK$3:$AK$98,L$1,工数管理!$AG$3:$AG$98,"&lt;="&amp;$H12,工数管理!$AH$3:$AH$98,""))*($H12&lt;=工数管理!$AI$1))</f>
        <v>0</v>
      </c>
    </row>
    <row r="13" spans="1:12" x14ac:dyDescent="0.15">
      <c r="A13" s="5">
        <v>46147</v>
      </c>
      <c r="B13" s="6" t="s">
        <v>76</v>
      </c>
      <c r="H13" s="41">
        <f t="shared" si="1"/>
        <v>46181</v>
      </c>
      <c r="I13" s="42">
        <f t="shared" si="0"/>
        <v>1</v>
      </c>
      <c r="J13" s="42">
        <f ca="1">IF(J$1="",0,COUNTIFS(工数管理!$AK$3:$AK$98,J$1,工数管理!$K$3:$K$98,"&lt;="&amp;$H13,工数管理!$L$3:$L$98,"&gt;="&amp;$H13)+COUNTIFS(工数管理!$AK$3:$AK$98,J$1,工数管理!$M$3:$M$98,"&lt;="&amp;$H13,工数管理!$N$3:$N$98,"&gt;="&amp;$H13)+COUNTIFS(工数管理!$AK$3:$AK$98,J$1,工数管理!$O$3:$O$98,"&lt;="&amp;$H13,工数管理!$P$3:$P$98,"&gt;="&amp;$H13)+COUNTIFS(工数管理!$AK$3:$AK$98,J$1,工数管理!$Q$3:$Q$98,"&lt;="&amp;$H13,工数管理!$R$3:$R$98,"&gt;="&amp;$H13)+COUNTIFS(工数管理!$AK$3:$AK$98,J$1,工数管理!$S$3:$S$98,"&lt;="&amp;$H13,工数管理!$T$3:$T$98,"&gt;="&amp;$H13)+COUNTIFS(工数管理!$AK$3:$AK$98,J$1,工数管理!$U$3:$U$98,"&lt;="&amp;$H13,工数管理!$V$3:$V$98,"&gt;="&amp;$H13)+COUNTIFS(工数管理!$AK$3:$AK$98,J$1,工数管理!$W$3:$W$98,"&lt;="&amp;$H13,工数管理!$X$3:$X$98,"&gt;="&amp;$H13)+COUNTIFS(工数管理!$AK$3:$AK$98,J$1,工数管理!$Y$3:$Y$98,"&lt;="&amp;$H13,工数管理!$Z$3:$Z$98,"&gt;="&amp;$H13)+COUNTIFS(工数管理!$AK$3:$AK$98,J$1,工数管理!$AA$3:$AA$98,"&lt;="&amp;$H13,工数管理!$AB$3:$AB$98,"&gt;="&amp;$H13)+COUNTIFS(工数管理!$AK$3:$AK$98,J$1,工数管理!$AC$3:$AC$98,"&lt;="&amp;$H13,工数管理!$AD$3:$AD$98,"&gt;="&amp;$H13)+COUNTIFS(工数管理!$AK$3:$AK$98,J$1,工数管理!$AE$3:$AE$98,"&lt;="&amp;$H13,工数管理!$AF$3:$AF$98,"&gt;="&amp;$H13)+COUNTIFS(工数管理!$AK$3:$AK$98,J$1,工数管理!$AG$3:$AG$98,"&lt;="&amp;$H13,工数管理!$AH$3:$AH$98,"&gt;="&amp;$H13)+(COUNTIFS(工数管理!$AK$3:$AK$98,J$1,工数管理!$K$3:$K$98,"&lt;="&amp;$H13,工数管理!$L$3:$L$98,"")+COUNTIFS(工数管理!$AK$3:$AK$98,J$1,工数管理!$M$3:$M$98,"&lt;="&amp;$H13,工数管理!$N$3:$N$98,"")+COUNTIFS(工数管理!$AK$3:$AK$98,J$1,工数管理!$O$3:$O$98,"&lt;="&amp;$H13,工数管理!$P$3:$P$98,"")+COUNTIFS(工数管理!$AK$3:$AK$98,J$1,工数管理!$Q$3:$Q$98,"&lt;="&amp;$H13,工数管理!$R$3:$R$98,"")+COUNTIFS(工数管理!$AK$3:$AK$98,J$1,工数管理!$S$3:$S$98,"&lt;="&amp;$H13,工数管理!$T$3:$T$98,"")+COUNTIFS(工数管理!$AK$3:$AK$98,J$1,工数管理!$U$3:$U$98,"&lt;="&amp;$H13,工数管理!$V$3:$V$98,"")+COUNTIFS(工数管理!$AK$3:$AK$98,J$1,工数管理!$W$3:$W$98,"&lt;="&amp;$H13,工数管理!$X$3:$X$98,"")+COUNTIFS(工数管理!$AK$3:$AK$98,J$1,工数管理!$Y$3:$Y$98,"&lt;="&amp;$H13,工数管理!$Z$3:$Z$98,"")+COUNTIFS(工数管理!$AK$3:$AK$98,J$1,工数管理!$AA$3:$AA$98,"&lt;="&amp;$H13,工数管理!$AB$3:$AB$98,"")+COUNTIFS(工数管理!$AK$3:$AK$98,J$1,工数管理!$AC$3:$AC$98,"&lt;="&amp;$H13,工数管理!$AD$3:$AD$98,"")+COUNTIFS(工数管理!$AK$3:$AK$98,J$1,工数管理!$AE$3:$AE$98,"&lt;="&amp;$H13,工数管理!$AF$3:$AF$98,"")+COUNTIFS(工数管理!$AK$3:$AK$98,J$1,工数管理!$AG$3:$AG$98,"&lt;="&amp;$H13,工数管理!$AH$3:$AH$98,""))*($H13&lt;=工数管理!$AI$1))</f>
        <v>1</v>
      </c>
      <c r="K13" s="42">
        <f ca="1">IF(K$1="",0,COUNTIFS(工数管理!$AK$3:$AK$98,K$1,工数管理!$K$3:$K$98,"&lt;="&amp;$H13,工数管理!$L$3:$L$98,"&gt;="&amp;$H13)+COUNTIFS(工数管理!$AK$3:$AK$98,K$1,工数管理!$M$3:$M$98,"&lt;="&amp;$H13,工数管理!$N$3:$N$98,"&gt;="&amp;$H13)+COUNTIFS(工数管理!$AK$3:$AK$98,K$1,工数管理!$O$3:$O$98,"&lt;="&amp;$H13,工数管理!$P$3:$P$98,"&gt;="&amp;$H13)+COUNTIFS(工数管理!$AK$3:$AK$98,K$1,工数管理!$Q$3:$Q$98,"&lt;="&amp;$H13,工数管理!$R$3:$R$98,"&gt;="&amp;$H13)+COUNTIFS(工数管理!$AK$3:$AK$98,K$1,工数管理!$S$3:$S$98,"&lt;="&amp;$H13,工数管理!$T$3:$T$98,"&gt;="&amp;$H13)+COUNTIFS(工数管理!$AK$3:$AK$98,K$1,工数管理!$U$3:$U$98,"&lt;="&amp;$H13,工数管理!$V$3:$V$98,"&gt;="&amp;$H13)+COUNTIFS(工数管理!$AK$3:$AK$98,K$1,工数管理!$W$3:$W$98,"&lt;="&amp;$H13,工数管理!$X$3:$X$98,"&gt;="&amp;$H13)+COUNTIFS(工数管理!$AK$3:$AK$98,K$1,工数管理!$Y$3:$Y$98,"&lt;="&amp;$H13,工数管理!$Z$3:$Z$98,"&gt;="&amp;$H13)+COUNTIFS(工数管理!$AK$3:$AK$98,K$1,工数管理!$AA$3:$AA$98,"&lt;="&amp;$H13,工数管理!$AB$3:$AB$98,"&gt;="&amp;$H13)+COUNTIFS(工数管理!$AK$3:$AK$98,K$1,工数管理!$AC$3:$AC$98,"&lt;="&amp;$H13,工数管理!$AD$3:$AD$98,"&gt;="&amp;$H13)+COUNTIFS(工数管理!$AK$3:$AK$98,K$1,工数管理!$AE$3:$AE$98,"&lt;="&amp;$H13,工数管理!$AF$3:$AF$98,"&gt;="&amp;$H13)+COUNTIFS(工数管理!$AK$3:$AK$98,K$1,工数管理!$AG$3:$AG$98,"&lt;="&amp;$H13,工数管理!$AH$3:$AH$98,"&gt;="&amp;$H13)+(COUNTIFS(工数管理!$AK$3:$AK$98,K$1,工数管理!$K$3:$K$98,"&lt;="&amp;$H13,工数管理!$L$3:$L$98,"")+COUNTIFS(工数管理!$AK$3:$AK$98,K$1,工数管理!$M$3:$M$98,"&lt;="&amp;$H13,工数管理!$N$3:$N$98,"")+COUNTIFS(工数管理!$AK$3:$AK$98,K$1,工数管理!$O$3:$O$98,"&lt;="&amp;$H13,工数管理!$P$3:$P$98,"")+COUNTIFS(工数管理!$AK$3:$AK$98,K$1,工数管理!$Q$3:$Q$98,"&lt;="&amp;$H13,工数管理!$R$3:$R$98,"")+COUNTIFS(工数管理!$AK$3:$AK$98,K$1,工数管理!$S$3:$S$98,"&lt;="&amp;$H13,工数管理!$T$3:$T$98,"")+COUNTIFS(工数管理!$AK$3:$AK$98,K$1,工数管理!$U$3:$U$98,"&lt;="&amp;$H13,工数管理!$V$3:$V$98,"")+COUNTIFS(工数管理!$AK$3:$AK$98,K$1,工数管理!$W$3:$W$98,"&lt;="&amp;$H13,工数管理!$X$3:$X$98,"")+COUNTIFS(工数管理!$AK$3:$AK$98,K$1,工数管理!$Y$3:$Y$98,"&lt;="&amp;$H13,工数管理!$Z$3:$Z$98,"")+COUNTIFS(工数管理!$AK$3:$AK$98,K$1,工数管理!$AA$3:$AA$98,"&lt;="&amp;$H13,工数管理!$AB$3:$AB$98,"")+COUNTIFS(工数管理!$AK$3:$AK$98,K$1,工数管理!$AC$3:$AC$98,"&lt;="&amp;$H13,工数管理!$AD$3:$AD$98,"")+COUNTIFS(工数管理!$AK$3:$AK$98,K$1,工数管理!$AE$3:$AE$98,"&lt;="&amp;$H13,工数管理!$AF$3:$AF$98,"")+COUNTIFS(工数管理!$AK$3:$AK$98,K$1,工数管理!$AG$3:$AG$98,"&lt;="&amp;$H13,工数管理!$AH$3:$AH$98,""))*($H13&lt;=工数管理!$AI$1))</f>
        <v>0</v>
      </c>
      <c r="L13" s="42">
        <f ca="1">IF(L$1="",0,COUNTIFS(工数管理!$AK$3:$AK$98,L$1,工数管理!$K$3:$K$98,"&lt;="&amp;$H13,工数管理!$L$3:$L$98,"&gt;="&amp;$H13)+COUNTIFS(工数管理!$AK$3:$AK$98,L$1,工数管理!$M$3:$M$98,"&lt;="&amp;$H13,工数管理!$N$3:$N$98,"&gt;="&amp;$H13)+COUNTIFS(工数管理!$AK$3:$AK$98,L$1,工数管理!$O$3:$O$98,"&lt;="&amp;$H13,工数管理!$P$3:$P$98,"&gt;="&amp;$H13)+COUNTIFS(工数管理!$AK$3:$AK$98,L$1,工数管理!$Q$3:$Q$98,"&lt;="&amp;$H13,工数管理!$R$3:$R$98,"&gt;="&amp;$H13)+COUNTIFS(工数管理!$AK$3:$AK$98,L$1,工数管理!$S$3:$S$98,"&lt;="&amp;$H13,工数管理!$T$3:$T$98,"&gt;="&amp;$H13)+COUNTIFS(工数管理!$AK$3:$AK$98,L$1,工数管理!$U$3:$U$98,"&lt;="&amp;$H13,工数管理!$V$3:$V$98,"&gt;="&amp;$H13)+COUNTIFS(工数管理!$AK$3:$AK$98,L$1,工数管理!$W$3:$W$98,"&lt;="&amp;$H13,工数管理!$X$3:$X$98,"&gt;="&amp;$H13)+COUNTIFS(工数管理!$AK$3:$AK$98,L$1,工数管理!$Y$3:$Y$98,"&lt;="&amp;$H13,工数管理!$Z$3:$Z$98,"&gt;="&amp;$H13)+COUNTIFS(工数管理!$AK$3:$AK$98,L$1,工数管理!$AA$3:$AA$98,"&lt;="&amp;$H13,工数管理!$AB$3:$AB$98,"&gt;="&amp;$H13)+COUNTIFS(工数管理!$AK$3:$AK$98,L$1,工数管理!$AC$3:$AC$98,"&lt;="&amp;$H13,工数管理!$AD$3:$AD$98,"&gt;="&amp;$H13)+COUNTIFS(工数管理!$AK$3:$AK$98,L$1,工数管理!$AE$3:$AE$98,"&lt;="&amp;$H13,工数管理!$AF$3:$AF$98,"&gt;="&amp;$H13)+COUNTIFS(工数管理!$AK$3:$AK$98,L$1,工数管理!$AG$3:$AG$98,"&lt;="&amp;$H13,工数管理!$AH$3:$AH$98,"&gt;="&amp;$H13)+(COUNTIFS(工数管理!$AK$3:$AK$98,L$1,工数管理!$K$3:$K$98,"&lt;="&amp;$H13,工数管理!$L$3:$L$98,"")+COUNTIFS(工数管理!$AK$3:$AK$98,L$1,工数管理!$M$3:$M$98,"&lt;="&amp;$H13,工数管理!$N$3:$N$98,"")+COUNTIFS(工数管理!$AK$3:$AK$98,L$1,工数管理!$O$3:$O$98,"&lt;="&amp;$H13,工数管理!$P$3:$P$98,"")+COUNTIFS(工数管理!$AK$3:$AK$98,L$1,工数管理!$Q$3:$Q$98,"&lt;="&amp;$H13,工数管理!$R$3:$R$98,"")+COUNTIFS(工数管理!$AK$3:$AK$98,L$1,工数管理!$S$3:$S$98,"&lt;="&amp;$H13,工数管理!$T$3:$T$98,"")+COUNTIFS(工数管理!$AK$3:$AK$98,L$1,工数管理!$U$3:$U$98,"&lt;="&amp;$H13,工数管理!$V$3:$V$98,"")+COUNTIFS(工数管理!$AK$3:$AK$98,L$1,工数管理!$W$3:$W$98,"&lt;="&amp;$H13,工数管理!$X$3:$X$98,"")+COUNTIFS(工数管理!$AK$3:$AK$98,L$1,工数管理!$Y$3:$Y$98,"&lt;="&amp;$H13,工数管理!$Z$3:$Z$98,"")+COUNTIFS(工数管理!$AK$3:$AK$98,L$1,工数管理!$AA$3:$AA$98,"&lt;="&amp;$H13,工数管理!$AB$3:$AB$98,"")+COUNTIFS(工数管理!$AK$3:$AK$98,L$1,工数管理!$AC$3:$AC$98,"&lt;="&amp;$H13,工数管理!$AD$3:$AD$98,"")+COUNTIFS(工数管理!$AK$3:$AK$98,L$1,工数管理!$AE$3:$AE$98,"&lt;="&amp;$H13,工数管理!$AF$3:$AF$98,"")+COUNTIFS(工数管理!$AK$3:$AK$98,L$1,工数管理!$AG$3:$AG$98,"&lt;="&amp;$H13,工数管理!$AH$3:$AH$98,""))*($H13&lt;=工数管理!$AI$1))</f>
        <v>0</v>
      </c>
    </row>
    <row r="14" spans="1:12" x14ac:dyDescent="0.15">
      <c r="A14" s="5">
        <v>46148</v>
      </c>
      <c r="B14" s="6" t="s">
        <v>77</v>
      </c>
      <c r="H14" s="41">
        <f t="shared" si="1"/>
        <v>46182</v>
      </c>
      <c r="I14" s="42">
        <f t="shared" si="0"/>
        <v>1</v>
      </c>
      <c r="J14" s="42">
        <f ca="1">IF(J$1="",0,COUNTIFS(工数管理!$AK$3:$AK$98,J$1,工数管理!$K$3:$K$98,"&lt;="&amp;$H14,工数管理!$L$3:$L$98,"&gt;="&amp;$H14)+COUNTIFS(工数管理!$AK$3:$AK$98,J$1,工数管理!$M$3:$M$98,"&lt;="&amp;$H14,工数管理!$N$3:$N$98,"&gt;="&amp;$H14)+COUNTIFS(工数管理!$AK$3:$AK$98,J$1,工数管理!$O$3:$O$98,"&lt;="&amp;$H14,工数管理!$P$3:$P$98,"&gt;="&amp;$H14)+COUNTIFS(工数管理!$AK$3:$AK$98,J$1,工数管理!$Q$3:$Q$98,"&lt;="&amp;$H14,工数管理!$R$3:$R$98,"&gt;="&amp;$H14)+COUNTIFS(工数管理!$AK$3:$AK$98,J$1,工数管理!$S$3:$S$98,"&lt;="&amp;$H14,工数管理!$T$3:$T$98,"&gt;="&amp;$H14)+COUNTIFS(工数管理!$AK$3:$AK$98,J$1,工数管理!$U$3:$U$98,"&lt;="&amp;$H14,工数管理!$V$3:$V$98,"&gt;="&amp;$H14)+COUNTIFS(工数管理!$AK$3:$AK$98,J$1,工数管理!$W$3:$W$98,"&lt;="&amp;$H14,工数管理!$X$3:$X$98,"&gt;="&amp;$H14)+COUNTIFS(工数管理!$AK$3:$AK$98,J$1,工数管理!$Y$3:$Y$98,"&lt;="&amp;$H14,工数管理!$Z$3:$Z$98,"&gt;="&amp;$H14)+COUNTIFS(工数管理!$AK$3:$AK$98,J$1,工数管理!$AA$3:$AA$98,"&lt;="&amp;$H14,工数管理!$AB$3:$AB$98,"&gt;="&amp;$H14)+COUNTIFS(工数管理!$AK$3:$AK$98,J$1,工数管理!$AC$3:$AC$98,"&lt;="&amp;$H14,工数管理!$AD$3:$AD$98,"&gt;="&amp;$H14)+COUNTIFS(工数管理!$AK$3:$AK$98,J$1,工数管理!$AE$3:$AE$98,"&lt;="&amp;$H14,工数管理!$AF$3:$AF$98,"&gt;="&amp;$H14)+COUNTIFS(工数管理!$AK$3:$AK$98,J$1,工数管理!$AG$3:$AG$98,"&lt;="&amp;$H14,工数管理!$AH$3:$AH$98,"&gt;="&amp;$H14)+(COUNTIFS(工数管理!$AK$3:$AK$98,J$1,工数管理!$K$3:$K$98,"&lt;="&amp;$H14,工数管理!$L$3:$L$98,"")+COUNTIFS(工数管理!$AK$3:$AK$98,J$1,工数管理!$M$3:$M$98,"&lt;="&amp;$H14,工数管理!$N$3:$N$98,"")+COUNTIFS(工数管理!$AK$3:$AK$98,J$1,工数管理!$O$3:$O$98,"&lt;="&amp;$H14,工数管理!$P$3:$P$98,"")+COUNTIFS(工数管理!$AK$3:$AK$98,J$1,工数管理!$Q$3:$Q$98,"&lt;="&amp;$H14,工数管理!$R$3:$R$98,"")+COUNTIFS(工数管理!$AK$3:$AK$98,J$1,工数管理!$S$3:$S$98,"&lt;="&amp;$H14,工数管理!$T$3:$T$98,"")+COUNTIFS(工数管理!$AK$3:$AK$98,J$1,工数管理!$U$3:$U$98,"&lt;="&amp;$H14,工数管理!$V$3:$V$98,"")+COUNTIFS(工数管理!$AK$3:$AK$98,J$1,工数管理!$W$3:$W$98,"&lt;="&amp;$H14,工数管理!$X$3:$X$98,"")+COUNTIFS(工数管理!$AK$3:$AK$98,J$1,工数管理!$Y$3:$Y$98,"&lt;="&amp;$H14,工数管理!$Z$3:$Z$98,"")+COUNTIFS(工数管理!$AK$3:$AK$98,J$1,工数管理!$AA$3:$AA$98,"&lt;="&amp;$H14,工数管理!$AB$3:$AB$98,"")+COUNTIFS(工数管理!$AK$3:$AK$98,J$1,工数管理!$AC$3:$AC$98,"&lt;="&amp;$H14,工数管理!$AD$3:$AD$98,"")+COUNTIFS(工数管理!$AK$3:$AK$98,J$1,工数管理!$AE$3:$AE$98,"&lt;="&amp;$H14,工数管理!$AF$3:$AF$98,"")+COUNTIFS(工数管理!$AK$3:$AK$98,J$1,工数管理!$AG$3:$AG$98,"&lt;="&amp;$H14,工数管理!$AH$3:$AH$98,""))*($H14&lt;=工数管理!$AI$1))</f>
        <v>1</v>
      </c>
      <c r="K14" s="42">
        <f ca="1">IF(K$1="",0,COUNTIFS(工数管理!$AK$3:$AK$98,K$1,工数管理!$K$3:$K$98,"&lt;="&amp;$H14,工数管理!$L$3:$L$98,"&gt;="&amp;$H14)+COUNTIFS(工数管理!$AK$3:$AK$98,K$1,工数管理!$M$3:$M$98,"&lt;="&amp;$H14,工数管理!$N$3:$N$98,"&gt;="&amp;$H14)+COUNTIFS(工数管理!$AK$3:$AK$98,K$1,工数管理!$O$3:$O$98,"&lt;="&amp;$H14,工数管理!$P$3:$P$98,"&gt;="&amp;$H14)+COUNTIFS(工数管理!$AK$3:$AK$98,K$1,工数管理!$Q$3:$Q$98,"&lt;="&amp;$H14,工数管理!$R$3:$R$98,"&gt;="&amp;$H14)+COUNTIFS(工数管理!$AK$3:$AK$98,K$1,工数管理!$S$3:$S$98,"&lt;="&amp;$H14,工数管理!$T$3:$T$98,"&gt;="&amp;$H14)+COUNTIFS(工数管理!$AK$3:$AK$98,K$1,工数管理!$U$3:$U$98,"&lt;="&amp;$H14,工数管理!$V$3:$V$98,"&gt;="&amp;$H14)+COUNTIFS(工数管理!$AK$3:$AK$98,K$1,工数管理!$W$3:$W$98,"&lt;="&amp;$H14,工数管理!$X$3:$X$98,"&gt;="&amp;$H14)+COUNTIFS(工数管理!$AK$3:$AK$98,K$1,工数管理!$Y$3:$Y$98,"&lt;="&amp;$H14,工数管理!$Z$3:$Z$98,"&gt;="&amp;$H14)+COUNTIFS(工数管理!$AK$3:$AK$98,K$1,工数管理!$AA$3:$AA$98,"&lt;="&amp;$H14,工数管理!$AB$3:$AB$98,"&gt;="&amp;$H14)+COUNTIFS(工数管理!$AK$3:$AK$98,K$1,工数管理!$AC$3:$AC$98,"&lt;="&amp;$H14,工数管理!$AD$3:$AD$98,"&gt;="&amp;$H14)+COUNTIFS(工数管理!$AK$3:$AK$98,K$1,工数管理!$AE$3:$AE$98,"&lt;="&amp;$H14,工数管理!$AF$3:$AF$98,"&gt;="&amp;$H14)+COUNTIFS(工数管理!$AK$3:$AK$98,K$1,工数管理!$AG$3:$AG$98,"&lt;="&amp;$H14,工数管理!$AH$3:$AH$98,"&gt;="&amp;$H14)+(COUNTIFS(工数管理!$AK$3:$AK$98,K$1,工数管理!$K$3:$K$98,"&lt;="&amp;$H14,工数管理!$L$3:$L$98,"")+COUNTIFS(工数管理!$AK$3:$AK$98,K$1,工数管理!$M$3:$M$98,"&lt;="&amp;$H14,工数管理!$N$3:$N$98,"")+COUNTIFS(工数管理!$AK$3:$AK$98,K$1,工数管理!$O$3:$O$98,"&lt;="&amp;$H14,工数管理!$P$3:$P$98,"")+COUNTIFS(工数管理!$AK$3:$AK$98,K$1,工数管理!$Q$3:$Q$98,"&lt;="&amp;$H14,工数管理!$R$3:$R$98,"")+COUNTIFS(工数管理!$AK$3:$AK$98,K$1,工数管理!$S$3:$S$98,"&lt;="&amp;$H14,工数管理!$T$3:$T$98,"")+COUNTIFS(工数管理!$AK$3:$AK$98,K$1,工数管理!$U$3:$U$98,"&lt;="&amp;$H14,工数管理!$V$3:$V$98,"")+COUNTIFS(工数管理!$AK$3:$AK$98,K$1,工数管理!$W$3:$W$98,"&lt;="&amp;$H14,工数管理!$X$3:$X$98,"")+COUNTIFS(工数管理!$AK$3:$AK$98,K$1,工数管理!$Y$3:$Y$98,"&lt;="&amp;$H14,工数管理!$Z$3:$Z$98,"")+COUNTIFS(工数管理!$AK$3:$AK$98,K$1,工数管理!$AA$3:$AA$98,"&lt;="&amp;$H14,工数管理!$AB$3:$AB$98,"")+COUNTIFS(工数管理!$AK$3:$AK$98,K$1,工数管理!$AC$3:$AC$98,"&lt;="&amp;$H14,工数管理!$AD$3:$AD$98,"")+COUNTIFS(工数管理!$AK$3:$AK$98,K$1,工数管理!$AE$3:$AE$98,"&lt;="&amp;$H14,工数管理!$AF$3:$AF$98,"")+COUNTIFS(工数管理!$AK$3:$AK$98,K$1,工数管理!$AG$3:$AG$98,"&lt;="&amp;$H14,工数管理!$AH$3:$AH$98,""))*($H14&lt;=工数管理!$AI$1))</f>
        <v>0</v>
      </c>
      <c r="L14" s="42">
        <f ca="1">IF(L$1="",0,COUNTIFS(工数管理!$AK$3:$AK$98,L$1,工数管理!$K$3:$K$98,"&lt;="&amp;$H14,工数管理!$L$3:$L$98,"&gt;="&amp;$H14)+COUNTIFS(工数管理!$AK$3:$AK$98,L$1,工数管理!$M$3:$M$98,"&lt;="&amp;$H14,工数管理!$N$3:$N$98,"&gt;="&amp;$H14)+COUNTIFS(工数管理!$AK$3:$AK$98,L$1,工数管理!$O$3:$O$98,"&lt;="&amp;$H14,工数管理!$P$3:$P$98,"&gt;="&amp;$H14)+COUNTIFS(工数管理!$AK$3:$AK$98,L$1,工数管理!$Q$3:$Q$98,"&lt;="&amp;$H14,工数管理!$R$3:$R$98,"&gt;="&amp;$H14)+COUNTIFS(工数管理!$AK$3:$AK$98,L$1,工数管理!$S$3:$S$98,"&lt;="&amp;$H14,工数管理!$T$3:$T$98,"&gt;="&amp;$H14)+COUNTIFS(工数管理!$AK$3:$AK$98,L$1,工数管理!$U$3:$U$98,"&lt;="&amp;$H14,工数管理!$V$3:$V$98,"&gt;="&amp;$H14)+COUNTIFS(工数管理!$AK$3:$AK$98,L$1,工数管理!$W$3:$W$98,"&lt;="&amp;$H14,工数管理!$X$3:$X$98,"&gt;="&amp;$H14)+COUNTIFS(工数管理!$AK$3:$AK$98,L$1,工数管理!$Y$3:$Y$98,"&lt;="&amp;$H14,工数管理!$Z$3:$Z$98,"&gt;="&amp;$H14)+COUNTIFS(工数管理!$AK$3:$AK$98,L$1,工数管理!$AA$3:$AA$98,"&lt;="&amp;$H14,工数管理!$AB$3:$AB$98,"&gt;="&amp;$H14)+COUNTIFS(工数管理!$AK$3:$AK$98,L$1,工数管理!$AC$3:$AC$98,"&lt;="&amp;$H14,工数管理!$AD$3:$AD$98,"&gt;="&amp;$H14)+COUNTIFS(工数管理!$AK$3:$AK$98,L$1,工数管理!$AE$3:$AE$98,"&lt;="&amp;$H14,工数管理!$AF$3:$AF$98,"&gt;="&amp;$H14)+COUNTIFS(工数管理!$AK$3:$AK$98,L$1,工数管理!$AG$3:$AG$98,"&lt;="&amp;$H14,工数管理!$AH$3:$AH$98,"&gt;="&amp;$H14)+(COUNTIFS(工数管理!$AK$3:$AK$98,L$1,工数管理!$K$3:$K$98,"&lt;="&amp;$H14,工数管理!$L$3:$L$98,"")+COUNTIFS(工数管理!$AK$3:$AK$98,L$1,工数管理!$M$3:$M$98,"&lt;="&amp;$H14,工数管理!$N$3:$N$98,"")+COUNTIFS(工数管理!$AK$3:$AK$98,L$1,工数管理!$O$3:$O$98,"&lt;="&amp;$H14,工数管理!$P$3:$P$98,"")+COUNTIFS(工数管理!$AK$3:$AK$98,L$1,工数管理!$Q$3:$Q$98,"&lt;="&amp;$H14,工数管理!$R$3:$R$98,"")+COUNTIFS(工数管理!$AK$3:$AK$98,L$1,工数管理!$S$3:$S$98,"&lt;="&amp;$H14,工数管理!$T$3:$T$98,"")+COUNTIFS(工数管理!$AK$3:$AK$98,L$1,工数管理!$U$3:$U$98,"&lt;="&amp;$H14,工数管理!$V$3:$V$98,"")+COUNTIFS(工数管理!$AK$3:$AK$98,L$1,工数管理!$W$3:$W$98,"&lt;="&amp;$H14,工数管理!$X$3:$X$98,"")+COUNTIFS(工数管理!$AK$3:$AK$98,L$1,工数管理!$Y$3:$Y$98,"&lt;="&amp;$H14,工数管理!$Z$3:$Z$98,"")+COUNTIFS(工数管理!$AK$3:$AK$98,L$1,工数管理!$AA$3:$AA$98,"&lt;="&amp;$H14,工数管理!$AB$3:$AB$98,"")+COUNTIFS(工数管理!$AK$3:$AK$98,L$1,工数管理!$AC$3:$AC$98,"&lt;="&amp;$H14,工数管理!$AD$3:$AD$98,"")+COUNTIFS(工数管理!$AK$3:$AK$98,L$1,工数管理!$AE$3:$AE$98,"&lt;="&amp;$H14,工数管理!$AF$3:$AF$98,"")+COUNTIFS(工数管理!$AK$3:$AK$98,L$1,工数管理!$AG$3:$AG$98,"&lt;="&amp;$H14,工数管理!$AH$3:$AH$98,""))*($H14&lt;=工数管理!$AI$1))</f>
        <v>0</v>
      </c>
    </row>
    <row r="15" spans="1:12" x14ac:dyDescent="0.15">
      <c r="A15" s="5">
        <v>46223</v>
      </c>
      <c r="B15" s="6" t="s">
        <v>78</v>
      </c>
      <c r="H15" s="41">
        <f t="shared" si="1"/>
        <v>46183</v>
      </c>
      <c r="I15" s="42">
        <f t="shared" si="0"/>
        <v>1</v>
      </c>
      <c r="J15" s="42">
        <f ca="1">IF(J$1="",0,COUNTIFS(工数管理!$AK$3:$AK$98,J$1,工数管理!$K$3:$K$98,"&lt;="&amp;$H15,工数管理!$L$3:$L$98,"&gt;="&amp;$H15)+COUNTIFS(工数管理!$AK$3:$AK$98,J$1,工数管理!$M$3:$M$98,"&lt;="&amp;$H15,工数管理!$N$3:$N$98,"&gt;="&amp;$H15)+COUNTIFS(工数管理!$AK$3:$AK$98,J$1,工数管理!$O$3:$O$98,"&lt;="&amp;$H15,工数管理!$P$3:$P$98,"&gt;="&amp;$H15)+COUNTIFS(工数管理!$AK$3:$AK$98,J$1,工数管理!$Q$3:$Q$98,"&lt;="&amp;$H15,工数管理!$R$3:$R$98,"&gt;="&amp;$H15)+COUNTIFS(工数管理!$AK$3:$AK$98,J$1,工数管理!$S$3:$S$98,"&lt;="&amp;$H15,工数管理!$T$3:$T$98,"&gt;="&amp;$H15)+COUNTIFS(工数管理!$AK$3:$AK$98,J$1,工数管理!$U$3:$U$98,"&lt;="&amp;$H15,工数管理!$V$3:$V$98,"&gt;="&amp;$H15)+COUNTIFS(工数管理!$AK$3:$AK$98,J$1,工数管理!$W$3:$W$98,"&lt;="&amp;$H15,工数管理!$X$3:$X$98,"&gt;="&amp;$H15)+COUNTIFS(工数管理!$AK$3:$AK$98,J$1,工数管理!$Y$3:$Y$98,"&lt;="&amp;$H15,工数管理!$Z$3:$Z$98,"&gt;="&amp;$H15)+COUNTIFS(工数管理!$AK$3:$AK$98,J$1,工数管理!$AA$3:$AA$98,"&lt;="&amp;$H15,工数管理!$AB$3:$AB$98,"&gt;="&amp;$H15)+COUNTIFS(工数管理!$AK$3:$AK$98,J$1,工数管理!$AC$3:$AC$98,"&lt;="&amp;$H15,工数管理!$AD$3:$AD$98,"&gt;="&amp;$H15)+COUNTIFS(工数管理!$AK$3:$AK$98,J$1,工数管理!$AE$3:$AE$98,"&lt;="&amp;$H15,工数管理!$AF$3:$AF$98,"&gt;="&amp;$H15)+COUNTIFS(工数管理!$AK$3:$AK$98,J$1,工数管理!$AG$3:$AG$98,"&lt;="&amp;$H15,工数管理!$AH$3:$AH$98,"&gt;="&amp;$H15)+(COUNTIFS(工数管理!$AK$3:$AK$98,J$1,工数管理!$K$3:$K$98,"&lt;="&amp;$H15,工数管理!$L$3:$L$98,"")+COUNTIFS(工数管理!$AK$3:$AK$98,J$1,工数管理!$M$3:$M$98,"&lt;="&amp;$H15,工数管理!$N$3:$N$98,"")+COUNTIFS(工数管理!$AK$3:$AK$98,J$1,工数管理!$O$3:$O$98,"&lt;="&amp;$H15,工数管理!$P$3:$P$98,"")+COUNTIFS(工数管理!$AK$3:$AK$98,J$1,工数管理!$Q$3:$Q$98,"&lt;="&amp;$H15,工数管理!$R$3:$R$98,"")+COUNTIFS(工数管理!$AK$3:$AK$98,J$1,工数管理!$S$3:$S$98,"&lt;="&amp;$H15,工数管理!$T$3:$T$98,"")+COUNTIFS(工数管理!$AK$3:$AK$98,J$1,工数管理!$U$3:$U$98,"&lt;="&amp;$H15,工数管理!$V$3:$V$98,"")+COUNTIFS(工数管理!$AK$3:$AK$98,J$1,工数管理!$W$3:$W$98,"&lt;="&amp;$H15,工数管理!$X$3:$X$98,"")+COUNTIFS(工数管理!$AK$3:$AK$98,J$1,工数管理!$Y$3:$Y$98,"&lt;="&amp;$H15,工数管理!$Z$3:$Z$98,"")+COUNTIFS(工数管理!$AK$3:$AK$98,J$1,工数管理!$AA$3:$AA$98,"&lt;="&amp;$H15,工数管理!$AB$3:$AB$98,"")+COUNTIFS(工数管理!$AK$3:$AK$98,J$1,工数管理!$AC$3:$AC$98,"&lt;="&amp;$H15,工数管理!$AD$3:$AD$98,"")+COUNTIFS(工数管理!$AK$3:$AK$98,J$1,工数管理!$AE$3:$AE$98,"&lt;="&amp;$H15,工数管理!$AF$3:$AF$98,"")+COUNTIFS(工数管理!$AK$3:$AK$98,J$1,工数管理!$AG$3:$AG$98,"&lt;="&amp;$H15,工数管理!$AH$3:$AH$98,""))*($H15&lt;=工数管理!$AI$1))</f>
        <v>1</v>
      </c>
      <c r="K15" s="42">
        <f ca="1">IF(K$1="",0,COUNTIFS(工数管理!$AK$3:$AK$98,K$1,工数管理!$K$3:$K$98,"&lt;="&amp;$H15,工数管理!$L$3:$L$98,"&gt;="&amp;$H15)+COUNTIFS(工数管理!$AK$3:$AK$98,K$1,工数管理!$M$3:$M$98,"&lt;="&amp;$H15,工数管理!$N$3:$N$98,"&gt;="&amp;$H15)+COUNTIFS(工数管理!$AK$3:$AK$98,K$1,工数管理!$O$3:$O$98,"&lt;="&amp;$H15,工数管理!$P$3:$P$98,"&gt;="&amp;$H15)+COUNTIFS(工数管理!$AK$3:$AK$98,K$1,工数管理!$Q$3:$Q$98,"&lt;="&amp;$H15,工数管理!$R$3:$R$98,"&gt;="&amp;$H15)+COUNTIFS(工数管理!$AK$3:$AK$98,K$1,工数管理!$S$3:$S$98,"&lt;="&amp;$H15,工数管理!$T$3:$T$98,"&gt;="&amp;$H15)+COUNTIFS(工数管理!$AK$3:$AK$98,K$1,工数管理!$U$3:$U$98,"&lt;="&amp;$H15,工数管理!$V$3:$V$98,"&gt;="&amp;$H15)+COUNTIFS(工数管理!$AK$3:$AK$98,K$1,工数管理!$W$3:$W$98,"&lt;="&amp;$H15,工数管理!$X$3:$X$98,"&gt;="&amp;$H15)+COUNTIFS(工数管理!$AK$3:$AK$98,K$1,工数管理!$Y$3:$Y$98,"&lt;="&amp;$H15,工数管理!$Z$3:$Z$98,"&gt;="&amp;$H15)+COUNTIFS(工数管理!$AK$3:$AK$98,K$1,工数管理!$AA$3:$AA$98,"&lt;="&amp;$H15,工数管理!$AB$3:$AB$98,"&gt;="&amp;$H15)+COUNTIFS(工数管理!$AK$3:$AK$98,K$1,工数管理!$AC$3:$AC$98,"&lt;="&amp;$H15,工数管理!$AD$3:$AD$98,"&gt;="&amp;$H15)+COUNTIFS(工数管理!$AK$3:$AK$98,K$1,工数管理!$AE$3:$AE$98,"&lt;="&amp;$H15,工数管理!$AF$3:$AF$98,"&gt;="&amp;$H15)+COUNTIFS(工数管理!$AK$3:$AK$98,K$1,工数管理!$AG$3:$AG$98,"&lt;="&amp;$H15,工数管理!$AH$3:$AH$98,"&gt;="&amp;$H15)+(COUNTIFS(工数管理!$AK$3:$AK$98,K$1,工数管理!$K$3:$K$98,"&lt;="&amp;$H15,工数管理!$L$3:$L$98,"")+COUNTIFS(工数管理!$AK$3:$AK$98,K$1,工数管理!$M$3:$M$98,"&lt;="&amp;$H15,工数管理!$N$3:$N$98,"")+COUNTIFS(工数管理!$AK$3:$AK$98,K$1,工数管理!$O$3:$O$98,"&lt;="&amp;$H15,工数管理!$P$3:$P$98,"")+COUNTIFS(工数管理!$AK$3:$AK$98,K$1,工数管理!$Q$3:$Q$98,"&lt;="&amp;$H15,工数管理!$R$3:$R$98,"")+COUNTIFS(工数管理!$AK$3:$AK$98,K$1,工数管理!$S$3:$S$98,"&lt;="&amp;$H15,工数管理!$T$3:$T$98,"")+COUNTIFS(工数管理!$AK$3:$AK$98,K$1,工数管理!$U$3:$U$98,"&lt;="&amp;$H15,工数管理!$V$3:$V$98,"")+COUNTIFS(工数管理!$AK$3:$AK$98,K$1,工数管理!$W$3:$W$98,"&lt;="&amp;$H15,工数管理!$X$3:$X$98,"")+COUNTIFS(工数管理!$AK$3:$AK$98,K$1,工数管理!$Y$3:$Y$98,"&lt;="&amp;$H15,工数管理!$Z$3:$Z$98,"")+COUNTIFS(工数管理!$AK$3:$AK$98,K$1,工数管理!$AA$3:$AA$98,"&lt;="&amp;$H15,工数管理!$AB$3:$AB$98,"")+COUNTIFS(工数管理!$AK$3:$AK$98,K$1,工数管理!$AC$3:$AC$98,"&lt;="&amp;$H15,工数管理!$AD$3:$AD$98,"")+COUNTIFS(工数管理!$AK$3:$AK$98,K$1,工数管理!$AE$3:$AE$98,"&lt;="&amp;$H15,工数管理!$AF$3:$AF$98,"")+COUNTIFS(工数管理!$AK$3:$AK$98,K$1,工数管理!$AG$3:$AG$98,"&lt;="&amp;$H15,工数管理!$AH$3:$AH$98,""))*($H15&lt;=工数管理!$AI$1))</f>
        <v>0</v>
      </c>
      <c r="L15" s="42">
        <f ca="1">IF(L$1="",0,COUNTIFS(工数管理!$AK$3:$AK$98,L$1,工数管理!$K$3:$K$98,"&lt;="&amp;$H15,工数管理!$L$3:$L$98,"&gt;="&amp;$H15)+COUNTIFS(工数管理!$AK$3:$AK$98,L$1,工数管理!$M$3:$M$98,"&lt;="&amp;$H15,工数管理!$N$3:$N$98,"&gt;="&amp;$H15)+COUNTIFS(工数管理!$AK$3:$AK$98,L$1,工数管理!$O$3:$O$98,"&lt;="&amp;$H15,工数管理!$P$3:$P$98,"&gt;="&amp;$H15)+COUNTIFS(工数管理!$AK$3:$AK$98,L$1,工数管理!$Q$3:$Q$98,"&lt;="&amp;$H15,工数管理!$R$3:$R$98,"&gt;="&amp;$H15)+COUNTIFS(工数管理!$AK$3:$AK$98,L$1,工数管理!$S$3:$S$98,"&lt;="&amp;$H15,工数管理!$T$3:$T$98,"&gt;="&amp;$H15)+COUNTIFS(工数管理!$AK$3:$AK$98,L$1,工数管理!$U$3:$U$98,"&lt;="&amp;$H15,工数管理!$V$3:$V$98,"&gt;="&amp;$H15)+COUNTIFS(工数管理!$AK$3:$AK$98,L$1,工数管理!$W$3:$W$98,"&lt;="&amp;$H15,工数管理!$X$3:$X$98,"&gt;="&amp;$H15)+COUNTIFS(工数管理!$AK$3:$AK$98,L$1,工数管理!$Y$3:$Y$98,"&lt;="&amp;$H15,工数管理!$Z$3:$Z$98,"&gt;="&amp;$H15)+COUNTIFS(工数管理!$AK$3:$AK$98,L$1,工数管理!$AA$3:$AA$98,"&lt;="&amp;$H15,工数管理!$AB$3:$AB$98,"&gt;="&amp;$H15)+COUNTIFS(工数管理!$AK$3:$AK$98,L$1,工数管理!$AC$3:$AC$98,"&lt;="&amp;$H15,工数管理!$AD$3:$AD$98,"&gt;="&amp;$H15)+COUNTIFS(工数管理!$AK$3:$AK$98,L$1,工数管理!$AE$3:$AE$98,"&lt;="&amp;$H15,工数管理!$AF$3:$AF$98,"&gt;="&amp;$H15)+COUNTIFS(工数管理!$AK$3:$AK$98,L$1,工数管理!$AG$3:$AG$98,"&lt;="&amp;$H15,工数管理!$AH$3:$AH$98,"&gt;="&amp;$H15)+(COUNTIFS(工数管理!$AK$3:$AK$98,L$1,工数管理!$K$3:$K$98,"&lt;="&amp;$H15,工数管理!$L$3:$L$98,"")+COUNTIFS(工数管理!$AK$3:$AK$98,L$1,工数管理!$M$3:$M$98,"&lt;="&amp;$H15,工数管理!$N$3:$N$98,"")+COUNTIFS(工数管理!$AK$3:$AK$98,L$1,工数管理!$O$3:$O$98,"&lt;="&amp;$H15,工数管理!$P$3:$P$98,"")+COUNTIFS(工数管理!$AK$3:$AK$98,L$1,工数管理!$Q$3:$Q$98,"&lt;="&amp;$H15,工数管理!$R$3:$R$98,"")+COUNTIFS(工数管理!$AK$3:$AK$98,L$1,工数管理!$S$3:$S$98,"&lt;="&amp;$H15,工数管理!$T$3:$T$98,"")+COUNTIFS(工数管理!$AK$3:$AK$98,L$1,工数管理!$U$3:$U$98,"&lt;="&amp;$H15,工数管理!$V$3:$V$98,"")+COUNTIFS(工数管理!$AK$3:$AK$98,L$1,工数管理!$W$3:$W$98,"&lt;="&amp;$H15,工数管理!$X$3:$X$98,"")+COUNTIFS(工数管理!$AK$3:$AK$98,L$1,工数管理!$Y$3:$Y$98,"&lt;="&amp;$H15,工数管理!$Z$3:$Z$98,"")+COUNTIFS(工数管理!$AK$3:$AK$98,L$1,工数管理!$AA$3:$AA$98,"&lt;="&amp;$H15,工数管理!$AB$3:$AB$98,"")+COUNTIFS(工数管理!$AK$3:$AK$98,L$1,工数管理!$AC$3:$AC$98,"&lt;="&amp;$H15,工数管理!$AD$3:$AD$98,"")+COUNTIFS(工数管理!$AK$3:$AK$98,L$1,工数管理!$AE$3:$AE$98,"&lt;="&amp;$H15,工数管理!$AF$3:$AF$98,"")+COUNTIFS(工数管理!$AK$3:$AK$98,L$1,工数管理!$AG$3:$AG$98,"&lt;="&amp;$H15,工数管理!$AH$3:$AH$98,""))*($H15&lt;=工数管理!$AI$1))</f>
        <v>0</v>
      </c>
    </row>
    <row r="16" spans="1:12" x14ac:dyDescent="0.15">
      <c r="A16" s="5">
        <v>46245</v>
      </c>
      <c r="B16" s="6" t="s">
        <v>79</v>
      </c>
      <c r="H16" s="41">
        <f t="shared" si="1"/>
        <v>46184</v>
      </c>
      <c r="I16" s="42">
        <f t="shared" si="0"/>
        <v>1</v>
      </c>
      <c r="J16" s="42">
        <f ca="1">IF(J$1="",0,COUNTIFS(工数管理!$AK$3:$AK$98,J$1,工数管理!$K$3:$K$98,"&lt;="&amp;$H16,工数管理!$L$3:$L$98,"&gt;="&amp;$H16)+COUNTIFS(工数管理!$AK$3:$AK$98,J$1,工数管理!$M$3:$M$98,"&lt;="&amp;$H16,工数管理!$N$3:$N$98,"&gt;="&amp;$H16)+COUNTIFS(工数管理!$AK$3:$AK$98,J$1,工数管理!$O$3:$O$98,"&lt;="&amp;$H16,工数管理!$P$3:$P$98,"&gt;="&amp;$H16)+COUNTIFS(工数管理!$AK$3:$AK$98,J$1,工数管理!$Q$3:$Q$98,"&lt;="&amp;$H16,工数管理!$R$3:$R$98,"&gt;="&amp;$H16)+COUNTIFS(工数管理!$AK$3:$AK$98,J$1,工数管理!$S$3:$S$98,"&lt;="&amp;$H16,工数管理!$T$3:$T$98,"&gt;="&amp;$H16)+COUNTIFS(工数管理!$AK$3:$AK$98,J$1,工数管理!$U$3:$U$98,"&lt;="&amp;$H16,工数管理!$V$3:$V$98,"&gt;="&amp;$H16)+COUNTIFS(工数管理!$AK$3:$AK$98,J$1,工数管理!$W$3:$W$98,"&lt;="&amp;$H16,工数管理!$X$3:$X$98,"&gt;="&amp;$H16)+COUNTIFS(工数管理!$AK$3:$AK$98,J$1,工数管理!$Y$3:$Y$98,"&lt;="&amp;$H16,工数管理!$Z$3:$Z$98,"&gt;="&amp;$H16)+COUNTIFS(工数管理!$AK$3:$AK$98,J$1,工数管理!$AA$3:$AA$98,"&lt;="&amp;$H16,工数管理!$AB$3:$AB$98,"&gt;="&amp;$H16)+COUNTIFS(工数管理!$AK$3:$AK$98,J$1,工数管理!$AC$3:$AC$98,"&lt;="&amp;$H16,工数管理!$AD$3:$AD$98,"&gt;="&amp;$H16)+COUNTIFS(工数管理!$AK$3:$AK$98,J$1,工数管理!$AE$3:$AE$98,"&lt;="&amp;$H16,工数管理!$AF$3:$AF$98,"&gt;="&amp;$H16)+COUNTIFS(工数管理!$AK$3:$AK$98,J$1,工数管理!$AG$3:$AG$98,"&lt;="&amp;$H16,工数管理!$AH$3:$AH$98,"&gt;="&amp;$H16)+(COUNTIFS(工数管理!$AK$3:$AK$98,J$1,工数管理!$K$3:$K$98,"&lt;="&amp;$H16,工数管理!$L$3:$L$98,"")+COUNTIFS(工数管理!$AK$3:$AK$98,J$1,工数管理!$M$3:$M$98,"&lt;="&amp;$H16,工数管理!$N$3:$N$98,"")+COUNTIFS(工数管理!$AK$3:$AK$98,J$1,工数管理!$O$3:$O$98,"&lt;="&amp;$H16,工数管理!$P$3:$P$98,"")+COUNTIFS(工数管理!$AK$3:$AK$98,J$1,工数管理!$Q$3:$Q$98,"&lt;="&amp;$H16,工数管理!$R$3:$R$98,"")+COUNTIFS(工数管理!$AK$3:$AK$98,J$1,工数管理!$S$3:$S$98,"&lt;="&amp;$H16,工数管理!$T$3:$T$98,"")+COUNTIFS(工数管理!$AK$3:$AK$98,J$1,工数管理!$U$3:$U$98,"&lt;="&amp;$H16,工数管理!$V$3:$V$98,"")+COUNTIFS(工数管理!$AK$3:$AK$98,J$1,工数管理!$W$3:$W$98,"&lt;="&amp;$H16,工数管理!$X$3:$X$98,"")+COUNTIFS(工数管理!$AK$3:$AK$98,J$1,工数管理!$Y$3:$Y$98,"&lt;="&amp;$H16,工数管理!$Z$3:$Z$98,"")+COUNTIFS(工数管理!$AK$3:$AK$98,J$1,工数管理!$AA$3:$AA$98,"&lt;="&amp;$H16,工数管理!$AB$3:$AB$98,"")+COUNTIFS(工数管理!$AK$3:$AK$98,J$1,工数管理!$AC$3:$AC$98,"&lt;="&amp;$H16,工数管理!$AD$3:$AD$98,"")+COUNTIFS(工数管理!$AK$3:$AK$98,J$1,工数管理!$AE$3:$AE$98,"&lt;="&amp;$H16,工数管理!$AF$3:$AF$98,"")+COUNTIFS(工数管理!$AK$3:$AK$98,J$1,工数管理!$AG$3:$AG$98,"&lt;="&amp;$H16,工数管理!$AH$3:$AH$98,""))*($H16&lt;=工数管理!$AI$1))</f>
        <v>1</v>
      </c>
      <c r="K16" s="42">
        <f ca="1">IF(K$1="",0,COUNTIFS(工数管理!$AK$3:$AK$98,K$1,工数管理!$K$3:$K$98,"&lt;="&amp;$H16,工数管理!$L$3:$L$98,"&gt;="&amp;$H16)+COUNTIFS(工数管理!$AK$3:$AK$98,K$1,工数管理!$M$3:$M$98,"&lt;="&amp;$H16,工数管理!$N$3:$N$98,"&gt;="&amp;$H16)+COUNTIFS(工数管理!$AK$3:$AK$98,K$1,工数管理!$O$3:$O$98,"&lt;="&amp;$H16,工数管理!$P$3:$P$98,"&gt;="&amp;$H16)+COUNTIFS(工数管理!$AK$3:$AK$98,K$1,工数管理!$Q$3:$Q$98,"&lt;="&amp;$H16,工数管理!$R$3:$R$98,"&gt;="&amp;$H16)+COUNTIFS(工数管理!$AK$3:$AK$98,K$1,工数管理!$S$3:$S$98,"&lt;="&amp;$H16,工数管理!$T$3:$T$98,"&gt;="&amp;$H16)+COUNTIFS(工数管理!$AK$3:$AK$98,K$1,工数管理!$U$3:$U$98,"&lt;="&amp;$H16,工数管理!$V$3:$V$98,"&gt;="&amp;$H16)+COUNTIFS(工数管理!$AK$3:$AK$98,K$1,工数管理!$W$3:$W$98,"&lt;="&amp;$H16,工数管理!$X$3:$X$98,"&gt;="&amp;$H16)+COUNTIFS(工数管理!$AK$3:$AK$98,K$1,工数管理!$Y$3:$Y$98,"&lt;="&amp;$H16,工数管理!$Z$3:$Z$98,"&gt;="&amp;$H16)+COUNTIFS(工数管理!$AK$3:$AK$98,K$1,工数管理!$AA$3:$AA$98,"&lt;="&amp;$H16,工数管理!$AB$3:$AB$98,"&gt;="&amp;$H16)+COUNTIFS(工数管理!$AK$3:$AK$98,K$1,工数管理!$AC$3:$AC$98,"&lt;="&amp;$H16,工数管理!$AD$3:$AD$98,"&gt;="&amp;$H16)+COUNTIFS(工数管理!$AK$3:$AK$98,K$1,工数管理!$AE$3:$AE$98,"&lt;="&amp;$H16,工数管理!$AF$3:$AF$98,"&gt;="&amp;$H16)+COUNTIFS(工数管理!$AK$3:$AK$98,K$1,工数管理!$AG$3:$AG$98,"&lt;="&amp;$H16,工数管理!$AH$3:$AH$98,"&gt;="&amp;$H16)+(COUNTIFS(工数管理!$AK$3:$AK$98,K$1,工数管理!$K$3:$K$98,"&lt;="&amp;$H16,工数管理!$L$3:$L$98,"")+COUNTIFS(工数管理!$AK$3:$AK$98,K$1,工数管理!$M$3:$M$98,"&lt;="&amp;$H16,工数管理!$N$3:$N$98,"")+COUNTIFS(工数管理!$AK$3:$AK$98,K$1,工数管理!$O$3:$O$98,"&lt;="&amp;$H16,工数管理!$P$3:$P$98,"")+COUNTIFS(工数管理!$AK$3:$AK$98,K$1,工数管理!$Q$3:$Q$98,"&lt;="&amp;$H16,工数管理!$R$3:$R$98,"")+COUNTIFS(工数管理!$AK$3:$AK$98,K$1,工数管理!$S$3:$S$98,"&lt;="&amp;$H16,工数管理!$T$3:$T$98,"")+COUNTIFS(工数管理!$AK$3:$AK$98,K$1,工数管理!$U$3:$U$98,"&lt;="&amp;$H16,工数管理!$V$3:$V$98,"")+COUNTIFS(工数管理!$AK$3:$AK$98,K$1,工数管理!$W$3:$W$98,"&lt;="&amp;$H16,工数管理!$X$3:$X$98,"")+COUNTIFS(工数管理!$AK$3:$AK$98,K$1,工数管理!$Y$3:$Y$98,"&lt;="&amp;$H16,工数管理!$Z$3:$Z$98,"")+COUNTIFS(工数管理!$AK$3:$AK$98,K$1,工数管理!$AA$3:$AA$98,"&lt;="&amp;$H16,工数管理!$AB$3:$AB$98,"")+COUNTIFS(工数管理!$AK$3:$AK$98,K$1,工数管理!$AC$3:$AC$98,"&lt;="&amp;$H16,工数管理!$AD$3:$AD$98,"")+COUNTIFS(工数管理!$AK$3:$AK$98,K$1,工数管理!$AE$3:$AE$98,"&lt;="&amp;$H16,工数管理!$AF$3:$AF$98,"")+COUNTIFS(工数管理!$AK$3:$AK$98,K$1,工数管理!$AG$3:$AG$98,"&lt;="&amp;$H16,工数管理!$AH$3:$AH$98,""))*($H16&lt;=工数管理!$AI$1))</f>
        <v>0</v>
      </c>
      <c r="L16" s="42">
        <f ca="1">IF(L$1="",0,COUNTIFS(工数管理!$AK$3:$AK$98,L$1,工数管理!$K$3:$K$98,"&lt;="&amp;$H16,工数管理!$L$3:$L$98,"&gt;="&amp;$H16)+COUNTIFS(工数管理!$AK$3:$AK$98,L$1,工数管理!$M$3:$M$98,"&lt;="&amp;$H16,工数管理!$N$3:$N$98,"&gt;="&amp;$H16)+COUNTIFS(工数管理!$AK$3:$AK$98,L$1,工数管理!$O$3:$O$98,"&lt;="&amp;$H16,工数管理!$P$3:$P$98,"&gt;="&amp;$H16)+COUNTIFS(工数管理!$AK$3:$AK$98,L$1,工数管理!$Q$3:$Q$98,"&lt;="&amp;$H16,工数管理!$R$3:$R$98,"&gt;="&amp;$H16)+COUNTIFS(工数管理!$AK$3:$AK$98,L$1,工数管理!$S$3:$S$98,"&lt;="&amp;$H16,工数管理!$T$3:$T$98,"&gt;="&amp;$H16)+COUNTIFS(工数管理!$AK$3:$AK$98,L$1,工数管理!$U$3:$U$98,"&lt;="&amp;$H16,工数管理!$V$3:$V$98,"&gt;="&amp;$H16)+COUNTIFS(工数管理!$AK$3:$AK$98,L$1,工数管理!$W$3:$W$98,"&lt;="&amp;$H16,工数管理!$X$3:$X$98,"&gt;="&amp;$H16)+COUNTIFS(工数管理!$AK$3:$AK$98,L$1,工数管理!$Y$3:$Y$98,"&lt;="&amp;$H16,工数管理!$Z$3:$Z$98,"&gt;="&amp;$H16)+COUNTIFS(工数管理!$AK$3:$AK$98,L$1,工数管理!$AA$3:$AA$98,"&lt;="&amp;$H16,工数管理!$AB$3:$AB$98,"&gt;="&amp;$H16)+COUNTIFS(工数管理!$AK$3:$AK$98,L$1,工数管理!$AC$3:$AC$98,"&lt;="&amp;$H16,工数管理!$AD$3:$AD$98,"&gt;="&amp;$H16)+COUNTIFS(工数管理!$AK$3:$AK$98,L$1,工数管理!$AE$3:$AE$98,"&lt;="&amp;$H16,工数管理!$AF$3:$AF$98,"&gt;="&amp;$H16)+COUNTIFS(工数管理!$AK$3:$AK$98,L$1,工数管理!$AG$3:$AG$98,"&lt;="&amp;$H16,工数管理!$AH$3:$AH$98,"&gt;="&amp;$H16)+(COUNTIFS(工数管理!$AK$3:$AK$98,L$1,工数管理!$K$3:$K$98,"&lt;="&amp;$H16,工数管理!$L$3:$L$98,"")+COUNTIFS(工数管理!$AK$3:$AK$98,L$1,工数管理!$M$3:$M$98,"&lt;="&amp;$H16,工数管理!$N$3:$N$98,"")+COUNTIFS(工数管理!$AK$3:$AK$98,L$1,工数管理!$O$3:$O$98,"&lt;="&amp;$H16,工数管理!$P$3:$P$98,"")+COUNTIFS(工数管理!$AK$3:$AK$98,L$1,工数管理!$Q$3:$Q$98,"&lt;="&amp;$H16,工数管理!$R$3:$R$98,"")+COUNTIFS(工数管理!$AK$3:$AK$98,L$1,工数管理!$S$3:$S$98,"&lt;="&amp;$H16,工数管理!$T$3:$T$98,"")+COUNTIFS(工数管理!$AK$3:$AK$98,L$1,工数管理!$U$3:$U$98,"&lt;="&amp;$H16,工数管理!$V$3:$V$98,"")+COUNTIFS(工数管理!$AK$3:$AK$98,L$1,工数管理!$W$3:$W$98,"&lt;="&amp;$H16,工数管理!$X$3:$X$98,"")+COUNTIFS(工数管理!$AK$3:$AK$98,L$1,工数管理!$Y$3:$Y$98,"&lt;="&amp;$H16,工数管理!$Z$3:$Z$98,"")+COUNTIFS(工数管理!$AK$3:$AK$98,L$1,工数管理!$AA$3:$AA$98,"&lt;="&amp;$H16,工数管理!$AB$3:$AB$98,"")+COUNTIFS(工数管理!$AK$3:$AK$98,L$1,工数管理!$AC$3:$AC$98,"&lt;="&amp;$H16,工数管理!$AD$3:$AD$98,"")+COUNTIFS(工数管理!$AK$3:$AK$98,L$1,工数管理!$AE$3:$AE$98,"&lt;="&amp;$H16,工数管理!$AF$3:$AF$98,"")+COUNTIFS(工数管理!$AK$3:$AK$98,L$1,工数管理!$AG$3:$AG$98,"&lt;="&amp;$H16,工数管理!$AH$3:$AH$98,""))*($H16&lt;=工数管理!$AI$1))</f>
        <v>0</v>
      </c>
    </row>
    <row r="17" spans="1:12" x14ac:dyDescent="0.15">
      <c r="A17" s="5">
        <v>46246</v>
      </c>
      <c r="B17" s="6" t="s">
        <v>80</v>
      </c>
      <c r="H17" s="41">
        <f t="shared" si="1"/>
        <v>46185</v>
      </c>
      <c r="I17" s="42">
        <f t="shared" si="0"/>
        <v>1</v>
      </c>
      <c r="J17" s="42">
        <f ca="1">IF(J$1="",0,COUNTIFS(工数管理!$AK$3:$AK$98,J$1,工数管理!$K$3:$K$98,"&lt;="&amp;$H17,工数管理!$L$3:$L$98,"&gt;="&amp;$H17)+COUNTIFS(工数管理!$AK$3:$AK$98,J$1,工数管理!$M$3:$M$98,"&lt;="&amp;$H17,工数管理!$N$3:$N$98,"&gt;="&amp;$H17)+COUNTIFS(工数管理!$AK$3:$AK$98,J$1,工数管理!$O$3:$O$98,"&lt;="&amp;$H17,工数管理!$P$3:$P$98,"&gt;="&amp;$H17)+COUNTIFS(工数管理!$AK$3:$AK$98,J$1,工数管理!$Q$3:$Q$98,"&lt;="&amp;$H17,工数管理!$R$3:$R$98,"&gt;="&amp;$H17)+COUNTIFS(工数管理!$AK$3:$AK$98,J$1,工数管理!$S$3:$S$98,"&lt;="&amp;$H17,工数管理!$T$3:$T$98,"&gt;="&amp;$H17)+COUNTIFS(工数管理!$AK$3:$AK$98,J$1,工数管理!$U$3:$U$98,"&lt;="&amp;$H17,工数管理!$V$3:$V$98,"&gt;="&amp;$H17)+COUNTIFS(工数管理!$AK$3:$AK$98,J$1,工数管理!$W$3:$W$98,"&lt;="&amp;$H17,工数管理!$X$3:$X$98,"&gt;="&amp;$H17)+COUNTIFS(工数管理!$AK$3:$AK$98,J$1,工数管理!$Y$3:$Y$98,"&lt;="&amp;$H17,工数管理!$Z$3:$Z$98,"&gt;="&amp;$H17)+COUNTIFS(工数管理!$AK$3:$AK$98,J$1,工数管理!$AA$3:$AA$98,"&lt;="&amp;$H17,工数管理!$AB$3:$AB$98,"&gt;="&amp;$H17)+COUNTIFS(工数管理!$AK$3:$AK$98,J$1,工数管理!$AC$3:$AC$98,"&lt;="&amp;$H17,工数管理!$AD$3:$AD$98,"&gt;="&amp;$H17)+COUNTIFS(工数管理!$AK$3:$AK$98,J$1,工数管理!$AE$3:$AE$98,"&lt;="&amp;$H17,工数管理!$AF$3:$AF$98,"&gt;="&amp;$H17)+COUNTIFS(工数管理!$AK$3:$AK$98,J$1,工数管理!$AG$3:$AG$98,"&lt;="&amp;$H17,工数管理!$AH$3:$AH$98,"&gt;="&amp;$H17)+(COUNTIFS(工数管理!$AK$3:$AK$98,J$1,工数管理!$K$3:$K$98,"&lt;="&amp;$H17,工数管理!$L$3:$L$98,"")+COUNTIFS(工数管理!$AK$3:$AK$98,J$1,工数管理!$M$3:$M$98,"&lt;="&amp;$H17,工数管理!$N$3:$N$98,"")+COUNTIFS(工数管理!$AK$3:$AK$98,J$1,工数管理!$O$3:$O$98,"&lt;="&amp;$H17,工数管理!$P$3:$P$98,"")+COUNTIFS(工数管理!$AK$3:$AK$98,J$1,工数管理!$Q$3:$Q$98,"&lt;="&amp;$H17,工数管理!$R$3:$R$98,"")+COUNTIFS(工数管理!$AK$3:$AK$98,J$1,工数管理!$S$3:$S$98,"&lt;="&amp;$H17,工数管理!$T$3:$T$98,"")+COUNTIFS(工数管理!$AK$3:$AK$98,J$1,工数管理!$U$3:$U$98,"&lt;="&amp;$H17,工数管理!$V$3:$V$98,"")+COUNTIFS(工数管理!$AK$3:$AK$98,J$1,工数管理!$W$3:$W$98,"&lt;="&amp;$H17,工数管理!$X$3:$X$98,"")+COUNTIFS(工数管理!$AK$3:$AK$98,J$1,工数管理!$Y$3:$Y$98,"&lt;="&amp;$H17,工数管理!$Z$3:$Z$98,"")+COUNTIFS(工数管理!$AK$3:$AK$98,J$1,工数管理!$AA$3:$AA$98,"&lt;="&amp;$H17,工数管理!$AB$3:$AB$98,"")+COUNTIFS(工数管理!$AK$3:$AK$98,J$1,工数管理!$AC$3:$AC$98,"&lt;="&amp;$H17,工数管理!$AD$3:$AD$98,"")+COUNTIFS(工数管理!$AK$3:$AK$98,J$1,工数管理!$AE$3:$AE$98,"&lt;="&amp;$H17,工数管理!$AF$3:$AF$98,"")+COUNTIFS(工数管理!$AK$3:$AK$98,J$1,工数管理!$AG$3:$AG$98,"&lt;="&amp;$H17,工数管理!$AH$3:$AH$98,""))*($H17&lt;=工数管理!$AI$1))</f>
        <v>1</v>
      </c>
      <c r="K17" s="42">
        <f ca="1">IF(K$1="",0,COUNTIFS(工数管理!$AK$3:$AK$98,K$1,工数管理!$K$3:$K$98,"&lt;="&amp;$H17,工数管理!$L$3:$L$98,"&gt;="&amp;$H17)+COUNTIFS(工数管理!$AK$3:$AK$98,K$1,工数管理!$M$3:$M$98,"&lt;="&amp;$H17,工数管理!$N$3:$N$98,"&gt;="&amp;$H17)+COUNTIFS(工数管理!$AK$3:$AK$98,K$1,工数管理!$O$3:$O$98,"&lt;="&amp;$H17,工数管理!$P$3:$P$98,"&gt;="&amp;$H17)+COUNTIFS(工数管理!$AK$3:$AK$98,K$1,工数管理!$Q$3:$Q$98,"&lt;="&amp;$H17,工数管理!$R$3:$R$98,"&gt;="&amp;$H17)+COUNTIFS(工数管理!$AK$3:$AK$98,K$1,工数管理!$S$3:$S$98,"&lt;="&amp;$H17,工数管理!$T$3:$T$98,"&gt;="&amp;$H17)+COUNTIFS(工数管理!$AK$3:$AK$98,K$1,工数管理!$U$3:$U$98,"&lt;="&amp;$H17,工数管理!$V$3:$V$98,"&gt;="&amp;$H17)+COUNTIFS(工数管理!$AK$3:$AK$98,K$1,工数管理!$W$3:$W$98,"&lt;="&amp;$H17,工数管理!$X$3:$X$98,"&gt;="&amp;$H17)+COUNTIFS(工数管理!$AK$3:$AK$98,K$1,工数管理!$Y$3:$Y$98,"&lt;="&amp;$H17,工数管理!$Z$3:$Z$98,"&gt;="&amp;$H17)+COUNTIFS(工数管理!$AK$3:$AK$98,K$1,工数管理!$AA$3:$AA$98,"&lt;="&amp;$H17,工数管理!$AB$3:$AB$98,"&gt;="&amp;$H17)+COUNTIFS(工数管理!$AK$3:$AK$98,K$1,工数管理!$AC$3:$AC$98,"&lt;="&amp;$H17,工数管理!$AD$3:$AD$98,"&gt;="&amp;$H17)+COUNTIFS(工数管理!$AK$3:$AK$98,K$1,工数管理!$AE$3:$AE$98,"&lt;="&amp;$H17,工数管理!$AF$3:$AF$98,"&gt;="&amp;$H17)+COUNTIFS(工数管理!$AK$3:$AK$98,K$1,工数管理!$AG$3:$AG$98,"&lt;="&amp;$H17,工数管理!$AH$3:$AH$98,"&gt;="&amp;$H17)+(COUNTIFS(工数管理!$AK$3:$AK$98,K$1,工数管理!$K$3:$K$98,"&lt;="&amp;$H17,工数管理!$L$3:$L$98,"")+COUNTIFS(工数管理!$AK$3:$AK$98,K$1,工数管理!$M$3:$M$98,"&lt;="&amp;$H17,工数管理!$N$3:$N$98,"")+COUNTIFS(工数管理!$AK$3:$AK$98,K$1,工数管理!$O$3:$O$98,"&lt;="&amp;$H17,工数管理!$P$3:$P$98,"")+COUNTIFS(工数管理!$AK$3:$AK$98,K$1,工数管理!$Q$3:$Q$98,"&lt;="&amp;$H17,工数管理!$R$3:$R$98,"")+COUNTIFS(工数管理!$AK$3:$AK$98,K$1,工数管理!$S$3:$S$98,"&lt;="&amp;$H17,工数管理!$T$3:$T$98,"")+COUNTIFS(工数管理!$AK$3:$AK$98,K$1,工数管理!$U$3:$U$98,"&lt;="&amp;$H17,工数管理!$V$3:$V$98,"")+COUNTIFS(工数管理!$AK$3:$AK$98,K$1,工数管理!$W$3:$W$98,"&lt;="&amp;$H17,工数管理!$X$3:$X$98,"")+COUNTIFS(工数管理!$AK$3:$AK$98,K$1,工数管理!$Y$3:$Y$98,"&lt;="&amp;$H17,工数管理!$Z$3:$Z$98,"")+COUNTIFS(工数管理!$AK$3:$AK$98,K$1,工数管理!$AA$3:$AA$98,"&lt;="&amp;$H17,工数管理!$AB$3:$AB$98,"")+COUNTIFS(工数管理!$AK$3:$AK$98,K$1,工数管理!$AC$3:$AC$98,"&lt;="&amp;$H17,工数管理!$AD$3:$AD$98,"")+COUNTIFS(工数管理!$AK$3:$AK$98,K$1,工数管理!$AE$3:$AE$98,"&lt;="&amp;$H17,工数管理!$AF$3:$AF$98,"")+COUNTIFS(工数管理!$AK$3:$AK$98,K$1,工数管理!$AG$3:$AG$98,"&lt;="&amp;$H17,工数管理!$AH$3:$AH$98,""))*($H17&lt;=工数管理!$AI$1))</f>
        <v>0</v>
      </c>
      <c r="L17" s="42">
        <f ca="1">IF(L$1="",0,COUNTIFS(工数管理!$AK$3:$AK$98,L$1,工数管理!$K$3:$K$98,"&lt;="&amp;$H17,工数管理!$L$3:$L$98,"&gt;="&amp;$H17)+COUNTIFS(工数管理!$AK$3:$AK$98,L$1,工数管理!$M$3:$M$98,"&lt;="&amp;$H17,工数管理!$N$3:$N$98,"&gt;="&amp;$H17)+COUNTIFS(工数管理!$AK$3:$AK$98,L$1,工数管理!$O$3:$O$98,"&lt;="&amp;$H17,工数管理!$P$3:$P$98,"&gt;="&amp;$H17)+COUNTIFS(工数管理!$AK$3:$AK$98,L$1,工数管理!$Q$3:$Q$98,"&lt;="&amp;$H17,工数管理!$R$3:$R$98,"&gt;="&amp;$H17)+COUNTIFS(工数管理!$AK$3:$AK$98,L$1,工数管理!$S$3:$S$98,"&lt;="&amp;$H17,工数管理!$T$3:$T$98,"&gt;="&amp;$H17)+COUNTIFS(工数管理!$AK$3:$AK$98,L$1,工数管理!$U$3:$U$98,"&lt;="&amp;$H17,工数管理!$V$3:$V$98,"&gt;="&amp;$H17)+COUNTIFS(工数管理!$AK$3:$AK$98,L$1,工数管理!$W$3:$W$98,"&lt;="&amp;$H17,工数管理!$X$3:$X$98,"&gt;="&amp;$H17)+COUNTIFS(工数管理!$AK$3:$AK$98,L$1,工数管理!$Y$3:$Y$98,"&lt;="&amp;$H17,工数管理!$Z$3:$Z$98,"&gt;="&amp;$H17)+COUNTIFS(工数管理!$AK$3:$AK$98,L$1,工数管理!$AA$3:$AA$98,"&lt;="&amp;$H17,工数管理!$AB$3:$AB$98,"&gt;="&amp;$H17)+COUNTIFS(工数管理!$AK$3:$AK$98,L$1,工数管理!$AC$3:$AC$98,"&lt;="&amp;$H17,工数管理!$AD$3:$AD$98,"&gt;="&amp;$H17)+COUNTIFS(工数管理!$AK$3:$AK$98,L$1,工数管理!$AE$3:$AE$98,"&lt;="&amp;$H17,工数管理!$AF$3:$AF$98,"&gt;="&amp;$H17)+COUNTIFS(工数管理!$AK$3:$AK$98,L$1,工数管理!$AG$3:$AG$98,"&lt;="&amp;$H17,工数管理!$AH$3:$AH$98,"&gt;="&amp;$H17)+(COUNTIFS(工数管理!$AK$3:$AK$98,L$1,工数管理!$K$3:$K$98,"&lt;="&amp;$H17,工数管理!$L$3:$L$98,"")+COUNTIFS(工数管理!$AK$3:$AK$98,L$1,工数管理!$M$3:$M$98,"&lt;="&amp;$H17,工数管理!$N$3:$N$98,"")+COUNTIFS(工数管理!$AK$3:$AK$98,L$1,工数管理!$O$3:$O$98,"&lt;="&amp;$H17,工数管理!$P$3:$P$98,"")+COUNTIFS(工数管理!$AK$3:$AK$98,L$1,工数管理!$Q$3:$Q$98,"&lt;="&amp;$H17,工数管理!$R$3:$R$98,"")+COUNTIFS(工数管理!$AK$3:$AK$98,L$1,工数管理!$S$3:$S$98,"&lt;="&amp;$H17,工数管理!$T$3:$T$98,"")+COUNTIFS(工数管理!$AK$3:$AK$98,L$1,工数管理!$U$3:$U$98,"&lt;="&amp;$H17,工数管理!$V$3:$V$98,"")+COUNTIFS(工数管理!$AK$3:$AK$98,L$1,工数管理!$W$3:$W$98,"&lt;="&amp;$H17,工数管理!$X$3:$X$98,"")+COUNTIFS(工数管理!$AK$3:$AK$98,L$1,工数管理!$Y$3:$Y$98,"&lt;="&amp;$H17,工数管理!$Z$3:$Z$98,"")+COUNTIFS(工数管理!$AK$3:$AK$98,L$1,工数管理!$AA$3:$AA$98,"&lt;="&amp;$H17,工数管理!$AB$3:$AB$98,"")+COUNTIFS(工数管理!$AK$3:$AK$98,L$1,工数管理!$AC$3:$AC$98,"&lt;="&amp;$H17,工数管理!$AD$3:$AD$98,"")+COUNTIFS(工数管理!$AK$3:$AK$98,L$1,工数管理!$AE$3:$AE$98,"&lt;="&amp;$H17,工数管理!$AF$3:$AF$98,"")+COUNTIFS(工数管理!$AK$3:$AK$98,L$1,工数管理!$AG$3:$AG$98,"&lt;="&amp;$H17,工数管理!$AH$3:$AH$98,""))*($H17&lt;=工数管理!$AI$1))</f>
        <v>0</v>
      </c>
    </row>
    <row r="18" spans="1:12" x14ac:dyDescent="0.15">
      <c r="A18" s="5">
        <v>46247</v>
      </c>
      <c r="B18" s="6" t="s">
        <v>80</v>
      </c>
      <c r="H18" s="41">
        <f t="shared" si="1"/>
        <v>46186</v>
      </c>
      <c r="I18" s="42">
        <f t="shared" si="0"/>
        <v>0</v>
      </c>
      <c r="J18" s="42">
        <f ca="1">IF(J$1="",0,COUNTIFS(工数管理!$AK$3:$AK$98,J$1,工数管理!$K$3:$K$98,"&lt;="&amp;$H18,工数管理!$L$3:$L$98,"&gt;="&amp;$H18)+COUNTIFS(工数管理!$AK$3:$AK$98,J$1,工数管理!$M$3:$M$98,"&lt;="&amp;$H18,工数管理!$N$3:$N$98,"&gt;="&amp;$H18)+COUNTIFS(工数管理!$AK$3:$AK$98,J$1,工数管理!$O$3:$O$98,"&lt;="&amp;$H18,工数管理!$P$3:$P$98,"&gt;="&amp;$H18)+COUNTIFS(工数管理!$AK$3:$AK$98,J$1,工数管理!$Q$3:$Q$98,"&lt;="&amp;$H18,工数管理!$R$3:$R$98,"&gt;="&amp;$H18)+COUNTIFS(工数管理!$AK$3:$AK$98,J$1,工数管理!$S$3:$S$98,"&lt;="&amp;$H18,工数管理!$T$3:$T$98,"&gt;="&amp;$H18)+COUNTIFS(工数管理!$AK$3:$AK$98,J$1,工数管理!$U$3:$U$98,"&lt;="&amp;$H18,工数管理!$V$3:$V$98,"&gt;="&amp;$H18)+COUNTIFS(工数管理!$AK$3:$AK$98,J$1,工数管理!$W$3:$W$98,"&lt;="&amp;$H18,工数管理!$X$3:$X$98,"&gt;="&amp;$H18)+COUNTIFS(工数管理!$AK$3:$AK$98,J$1,工数管理!$Y$3:$Y$98,"&lt;="&amp;$H18,工数管理!$Z$3:$Z$98,"&gt;="&amp;$H18)+COUNTIFS(工数管理!$AK$3:$AK$98,J$1,工数管理!$AA$3:$AA$98,"&lt;="&amp;$H18,工数管理!$AB$3:$AB$98,"&gt;="&amp;$H18)+COUNTIFS(工数管理!$AK$3:$AK$98,J$1,工数管理!$AC$3:$AC$98,"&lt;="&amp;$H18,工数管理!$AD$3:$AD$98,"&gt;="&amp;$H18)+COUNTIFS(工数管理!$AK$3:$AK$98,J$1,工数管理!$AE$3:$AE$98,"&lt;="&amp;$H18,工数管理!$AF$3:$AF$98,"&gt;="&amp;$H18)+COUNTIFS(工数管理!$AK$3:$AK$98,J$1,工数管理!$AG$3:$AG$98,"&lt;="&amp;$H18,工数管理!$AH$3:$AH$98,"&gt;="&amp;$H18)+(COUNTIFS(工数管理!$AK$3:$AK$98,J$1,工数管理!$K$3:$K$98,"&lt;="&amp;$H18,工数管理!$L$3:$L$98,"")+COUNTIFS(工数管理!$AK$3:$AK$98,J$1,工数管理!$M$3:$M$98,"&lt;="&amp;$H18,工数管理!$N$3:$N$98,"")+COUNTIFS(工数管理!$AK$3:$AK$98,J$1,工数管理!$O$3:$O$98,"&lt;="&amp;$H18,工数管理!$P$3:$P$98,"")+COUNTIFS(工数管理!$AK$3:$AK$98,J$1,工数管理!$Q$3:$Q$98,"&lt;="&amp;$H18,工数管理!$R$3:$R$98,"")+COUNTIFS(工数管理!$AK$3:$AK$98,J$1,工数管理!$S$3:$S$98,"&lt;="&amp;$H18,工数管理!$T$3:$T$98,"")+COUNTIFS(工数管理!$AK$3:$AK$98,J$1,工数管理!$U$3:$U$98,"&lt;="&amp;$H18,工数管理!$V$3:$V$98,"")+COUNTIFS(工数管理!$AK$3:$AK$98,J$1,工数管理!$W$3:$W$98,"&lt;="&amp;$H18,工数管理!$X$3:$X$98,"")+COUNTIFS(工数管理!$AK$3:$AK$98,J$1,工数管理!$Y$3:$Y$98,"&lt;="&amp;$H18,工数管理!$Z$3:$Z$98,"")+COUNTIFS(工数管理!$AK$3:$AK$98,J$1,工数管理!$AA$3:$AA$98,"&lt;="&amp;$H18,工数管理!$AB$3:$AB$98,"")+COUNTIFS(工数管理!$AK$3:$AK$98,J$1,工数管理!$AC$3:$AC$98,"&lt;="&amp;$H18,工数管理!$AD$3:$AD$98,"")+COUNTIFS(工数管理!$AK$3:$AK$98,J$1,工数管理!$AE$3:$AE$98,"&lt;="&amp;$H18,工数管理!$AF$3:$AF$98,"")+COUNTIFS(工数管理!$AK$3:$AK$98,J$1,工数管理!$AG$3:$AG$98,"&lt;="&amp;$H18,工数管理!$AH$3:$AH$98,""))*($H18&lt;=工数管理!$AI$1))</f>
        <v>1</v>
      </c>
      <c r="K18" s="42">
        <f ca="1">IF(K$1="",0,COUNTIFS(工数管理!$AK$3:$AK$98,K$1,工数管理!$K$3:$K$98,"&lt;="&amp;$H18,工数管理!$L$3:$L$98,"&gt;="&amp;$H18)+COUNTIFS(工数管理!$AK$3:$AK$98,K$1,工数管理!$M$3:$M$98,"&lt;="&amp;$H18,工数管理!$N$3:$N$98,"&gt;="&amp;$H18)+COUNTIFS(工数管理!$AK$3:$AK$98,K$1,工数管理!$O$3:$O$98,"&lt;="&amp;$H18,工数管理!$P$3:$P$98,"&gt;="&amp;$H18)+COUNTIFS(工数管理!$AK$3:$AK$98,K$1,工数管理!$Q$3:$Q$98,"&lt;="&amp;$H18,工数管理!$R$3:$R$98,"&gt;="&amp;$H18)+COUNTIFS(工数管理!$AK$3:$AK$98,K$1,工数管理!$S$3:$S$98,"&lt;="&amp;$H18,工数管理!$T$3:$T$98,"&gt;="&amp;$H18)+COUNTIFS(工数管理!$AK$3:$AK$98,K$1,工数管理!$U$3:$U$98,"&lt;="&amp;$H18,工数管理!$V$3:$V$98,"&gt;="&amp;$H18)+COUNTIFS(工数管理!$AK$3:$AK$98,K$1,工数管理!$W$3:$W$98,"&lt;="&amp;$H18,工数管理!$X$3:$X$98,"&gt;="&amp;$H18)+COUNTIFS(工数管理!$AK$3:$AK$98,K$1,工数管理!$Y$3:$Y$98,"&lt;="&amp;$H18,工数管理!$Z$3:$Z$98,"&gt;="&amp;$H18)+COUNTIFS(工数管理!$AK$3:$AK$98,K$1,工数管理!$AA$3:$AA$98,"&lt;="&amp;$H18,工数管理!$AB$3:$AB$98,"&gt;="&amp;$H18)+COUNTIFS(工数管理!$AK$3:$AK$98,K$1,工数管理!$AC$3:$AC$98,"&lt;="&amp;$H18,工数管理!$AD$3:$AD$98,"&gt;="&amp;$H18)+COUNTIFS(工数管理!$AK$3:$AK$98,K$1,工数管理!$AE$3:$AE$98,"&lt;="&amp;$H18,工数管理!$AF$3:$AF$98,"&gt;="&amp;$H18)+COUNTIFS(工数管理!$AK$3:$AK$98,K$1,工数管理!$AG$3:$AG$98,"&lt;="&amp;$H18,工数管理!$AH$3:$AH$98,"&gt;="&amp;$H18)+(COUNTIFS(工数管理!$AK$3:$AK$98,K$1,工数管理!$K$3:$K$98,"&lt;="&amp;$H18,工数管理!$L$3:$L$98,"")+COUNTIFS(工数管理!$AK$3:$AK$98,K$1,工数管理!$M$3:$M$98,"&lt;="&amp;$H18,工数管理!$N$3:$N$98,"")+COUNTIFS(工数管理!$AK$3:$AK$98,K$1,工数管理!$O$3:$O$98,"&lt;="&amp;$H18,工数管理!$P$3:$P$98,"")+COUNTIFS(工数管理!$AK$3:$AK$98,K$1,工数管理!$Q$3:$Q$98,"&lt;="&amp;$H18,工数管理!$R$3:$R$98,"")+COUNTIFS(工数管理!$AK$3:$AK$98,K$1,工数管理!$S$3:$S$98,"&lt;="&amp;$H18,工数管理!$T$3:$T$98,"")+COUNTIFS(工数管理!$AK$3:$AK$98,K$1,工数管理!$U$3:$U$98,"&lt;="&amp;$H18,工数管理!$V$3:$V$98,"")+COUNTIFS(工数管理!$AK$3:$AK$98,K$1,工数管理!$W$3:$W$98,"&lt;="&amp;$H18,工数管理!$X$3:$X$98,"")+COUNTIFS(工数管理!$AK$3:$AK$98,K$1,工数管理!$Y$3:$Y$98,"&lt;="&amp;$H18,工数管理!$Z$3:$Z$98,"")+COUNTIFS(工数管理!$AK$3:$AK$98,K$1,工数管理!$AA$3:$AA$98,"&lt;="&amp;$H18,工数管理!$AB$3:$AB$98,"")+COUNTIFS(工数管理!$AK$3:$AK$98,K$1,工数管理!$AC$3:$AC$98,"&lt;="&amp;$H18,工数管理!$AD$3:$AD$98,"")+COUNTIFS(工数管理!$AK$3:$AK$98,K$1,工数管理!$AE$3:$AE$98,"&lt;="&amp;$H18,工数管理!$AF$3:$AF$98,"")+COUNTIFS(工数管理!$AK$3:$AK$98,K$1,工数管理!$AG$3:$AG$98,"&lt;="&amp;$H18,工数管理!$AH$3:$AH$98,""))*($H18&lt;=工数管理!$AI$1))</f>
        <v>0</v>
      </c>
      <c r="L18" s="42">
        <f ca="1">IF(L$1="",0,COUNTIFS(工数管理!$AK$3:$AK$98,L$1,工数管理!$K$3:$K$98,"&lt;="&amp;$H18,工数管理!$L$3:$L$98,"&gt;="&amp;$H18)+COUNTIFS(工数管理!$AK$3:$AK$98,L$1,工数管理!$M$3:$M$98,"&lt;="&amp;$H18,工数管理!$N$3:$N$98,"&gt;="&amp;$H18)+COUNTIFS(工数管理!$AK$3:$AK$98,L$1,工数管理!$O$3:$O$98,"&lt;="&amp;$H18,工数管理!$P$3:$P$98,"&gt;="&amp;$H18)+COUNTIFS(工数管理!$AK$3:$AK$98,L$1,工数管理!$Q$3:$Q$98,"&lt;="&amp;$H18,工数管理!$R$3:$R$98,"&gt;="&amp;$H18)+COUNTIFS(工数管理!$AK$3:$AK$98,L$1,工数管理!$S$3:$S$98,"&lt;="&amp;$H18,工数管理!$T$3:$T$98,"&gt;="&amp;$H18)+COUNTIFS(工数管理!$AK$3:$AK$98,L$1,工数管理!$U$3:$U$98,"&lt;="&amp;$H18,工数管理!$V$3:$V$98,"&gt;="&amp;$H18)+COUNTIFS(工数管理!$AK$3:$AK$98,L$1,工数管理!$W$3:$W$98,"&lt;="&amp;$H18,工数管理!$X$3:$X$98,"&gt;="&amp;$H18)+COUNTIFS(工数管理!$AK$3:$AK$98,L$1,工数管理!$Y$3:$Y$98,"&lt;="&amp;$H18,工数管理!$Z$3:$Z$98,"&gt;="&amp;$H18)+COUNTIFS(工数管理!$AK$3:$AK$98,L$1,工数管理!$AA$3:$AA$98,"&lt;="&amp;$H18,工数管理!$AB$3:$AB$98,"&gt;="&amp;$H18)+COUNTIFS(工数管理!$AK$3:$AK$98,L$1,工数管理!$AC$3:$AC$98,"&lt;="&amp;$H18,工数管理!$AD$3:$AD$98,"&gt;="&amp;$H18)+COUNTIFS(工数管理!$AK$3:$AK$98,L$1,工数管理!$AE$3:$AE$98,"&lt;="&amp;$H18,工数管理!$AF$3:$AF$98,"&gt;="&amp;$H18)+COUNTIFS(工数管理!$AK$3:$AK$98,L$1,工数管理!$AG$3:$AG$98,"&lt;="&amp;$H18,工数管理!$AH$3:$AH$98,"&gt;="&amp;$H18)+(COUNTIFS(工数管理!$AK$3:$AK$98,L$1,工数管理!$K$3:$K$98,"&lt;="&amp;$H18,工数管理!$L$3:$L$98,"")+COUNTIFS(工数管理!$AK$3:$AK$98,L$1,工数管理!$M$3:$M$98,"&lt;="&amp;$H18,工数管理!$N$3:$N$98,"")+COUNTIFS(工数管理!$AK$3:$AK$98,L$1,工数管理!$O$3:$O$98,"&lt;="&amp;$H18,工数管理!$P$3:$P$98,"")+COUNTIFS(工数管理!$AK$3:$AK$98,L$1,工数管理!$Q$3:$Q$98,"&lt;="&amp;$H18,工数管理!$R$3:$R$98,"")+COUNTIFS(工数管理!$AK$3:$AK$98,L$1,工数管理!$S$3:$S$98,"&lt;="&amp;$H18,工数管理!$T$3:$T$98,"")+COUNTIFS(工数管理!$AK$3:$AK$98,L$1,工数管理!$U$3:$U$98,"&lt;="&amp;$H18,工数管理!$V$3:$V$98,"")+COUNTIFS(工数管理!$AK$3:$AK$98,L$1,工数管理!$W$3:$W$98,"&lt;="&amp;$H18,工数管理!$X$3:$X$98,"")+COUNTIFS(工数管理!$AK$3:$AK$98,L$1,工数管理!$Y$3:$Y$98,"&lt;="&amp;$H18,工数管理!$Z$3:$Z$98,"")+COUNTIFS(工数管理!$AK$3:$AK$98,L$1,工数管理!$AA$3:$AA$98,"&lt;="&amp;$H18,工数管理!$AB$3:$AB$98,"")+COUNTIFS(工数管理!$AK$3:$AK$98,L$1,工数管理!$AC$3:$AC$98,"&lt;="&amp;$H18,工数管理!$AD$3:$AD$98,"")+COUNTIFS(工数管理!$AK$3:$AK$98,L$1,工数管理!$AE$3:$AE$98,"&lt;="&amp;$H18,工数管理!$AF$3:$AF$98,"")+COUNTIFS(工数管理!$AK$3:$AK$98,L$1,工数管理!$AG$3:$AG$98,"&lt;="&amp;$H18,工数管理!$AH$3:$AH$98,""))*($H18&lt;=工数管理!$AI$1))</f>
        <v>0</v>
      </c>
    </row>
    <row r="19" spans="1:12" x14ac:dyDescent="0.15">
      <c r="A19" s="5">
        <v>46248</v>
      </c>
      <c r="B19" s="6" t="s">
        <v>80</v>
      </c>
      <c r="H19" s="41">
        <f t="shared" si="1"/>
        <v>46187</v>
      </c>
      <c r="I19" s="42">
        <f t="shared" si="0"/>
        <v>0</v>
      </c>
      <c r="J19" s="42">
        <f ca="1">IF(J$1="",0,COUNTIFS(工数管理!$AK$3:$AK$98,J$1,工数管理!$K$3:$K$98,"&lt;="&amp;$H19,工数管理!$L$3:$L$98,"&gt;="&amp;$H19)+COUNTIFS(工数管理!$AK$3:$AK$98,J$1,工数管理!$M$3:$M$98,"&lt;="&amp;$H19,工数管理!$N$3:$N$98,"&gt;="&amp;$H19)+COUNTIFS(工数管理!$AK$3:$AK$98,J$1,工数管理!$O$3:$O$98,"&lt;="&amp;$H19,工数管理!$P$3:$P$98,"&gt;="&amp;$H19)+COUNTIFS(工数管理!$AK$3:$AK$98,J$1,工数管理!$Q$3:$Q$98,"&lt;="&amp;$H19,工数管理!$R$3:$R$98,"&gt;="&amp;$H19)+COUNTIFS(工数管理!$AK$3:$AK$98,J$1,工数管理!$S$3:$S$98,"&lt;="&amp;$H19,工数管理!$T$3:$T$98,"&gt;="&amp;$H19)+COUNTIFS(工数管理!$AK$3:$AK$98,J$1,工数管理!$U$3:$U$98,"&lt;="&amp;$H19,工数管理!$V$3:$V$98,"&gt;="&amp;$H19)+COUNTIFS(工数管理!$AK$3:$AK$98,J$1,工数管理!$W$3:$W$98,"&lt;="&amp;$H19,工数管理!$X$3:$X$98,"&gt;="&amp;$H19)+COUNTIFS(工数管理!$AK$3:$AK$98,J$1,工数管理!$Y$3:$Y$98,"&lt;="&amp;$H19,工数管理!$Z$3:$Z$98,"&gt;="&amp;$H19)+COUNTIFS(工数管理!$AK$3:$AK$98,J$1,工数管理!$AA$3:$AA$98,"&lt;="&amp;$H19,工数管理!$AB$3:$AB$98,"&gt;="&amp;$H19)+COUNTIFS(工数管理!$AK$3:$AK$98,J$1,工数管理!$AC$3:$AC$98,"&lt;="&amp;$H19,工数管理!$AD$3:$AD$98,"&gt;="&amp;$H19)+COUNTIFS(工数管理!$AK$3:$AK$98,J$1,工数管理!$AE$3:$AE$98,"&lt;="&amp;$H19,工数管理!$AF$3:$AF$98,"&gt;="&amp;$H19)+COUNTIFS(工数管理!$AK$3:$AK$98,J$1,工数管理!$AG$3:$AG$98,"&lt;="&amp;$H19,工数管理!$AH$3:$AH$98,"&gt;="&amp;$H19)+(COUNTIFS(工数管理!$AK$3:$AK$98,J$1,工数管理!$K$3:$K$98,"&lt;="&amp;$H19,工数管理!$L$3:$L$98,"")+COUNTIFS(工数管理!$AK$3:$AK$98,J$1,工数管理!$M$3:$M$98,"&lt;="&amp;$H19,工数管理!$N$3:$N$98,"")+COUNTIFS(工数管理!$AK$3:$AK$98,J$1,工数管理!$O$3:$O$98,"&lt;="&amp;$H19,工数管理!$P$3:$P$98,"")+COUNTIFS(工数管理!$AK$3:$AK$98,J$1,工数管理!$Q$3:$Q$98,"&lt;="&amp;$H19,工数管理!$R$3:$R$98,"")+COUNTIFS(工数管理!$AK$3:$AK$98,J$1,工数管理!$S$3:$S$98,"&lt;="&amp;$H19,工数管理!$T$3:$T$98,"")+COUNTIFS(工数管理!$AK$3:$AK$98,J$1,工数管理!$U$3:$U$98,"&lt;="&amp;$H19,工数管理!$V$3:$V$98,"")+COUNTIFS(工数管理!$AK$3:$AK$98,J$1,工数管理!$W$3:$W$98,"&lt;="&amp;$H19,工数管理!$X$3:$X$98,"")+COUNTIFS(工数管理!$AK$3:$AK$98,J$1,工数管理!$Y$3:$Y$98,"&lt;="&amp;$H19,工数管理!$Z$3:$Z$98,"")+COUNTIFS(工数管理!$AK$3:$AK$98,J$1,工数管理!$AA$3:$AA$98,"&lt;="&amp;$H19,工数管理!$AB$3:$AB$98,"")+COUNTIFS(工数管理!$AK$3:$AK$98,J$1,工数管理!$AC$3:$AC$98,"&lt;="&amp;$H19,工数管理!$AD$3:$AD$98,"")+COUNTIFS(工数管理!$AK$3:$AK$98,J$1,工数管理!$AE$3:$AE$98,"&lt;="&amp;$H19,工数管理!$AF$3:$AF$98,"")+COUNTIFS(工数管理!$AK$3:$AK$98,J$1,工数管理!$AG$3:$AG$98,"&lt;="&amp;$H19,工数管理!$AH$3:$AH$98,""))*($H19&lt;=工数管理!$AI$1))</f>
        <v>1</v>
      </c>
      <c r="K19" s="42">
        <f ca="1">IF(K$1="",0,COUNTIFS(工数管理!$AK$3:$AK$98,K$1,工数管理!$K$3:$K$98,"&lt;="&amp;$H19,工数管理!$L$3:$L$98,"&gt;="&amp;$H19)+COUNTIFS(工数管理!$AK$3:$AK$98,K$1,工数管理!$M$3:$M$98,"&lt;="&amp;$H19,工数管理!$N$3:$N$98,"&gt;="&amp;$H19)+COUNTIFS(工数管理!$AK$3:$AK$98,K$1,工数管理!$O$3:$O$98,"&lt;="&amp;$H19,工数管理!$P$3:$P$98,"&gt;="&amp;$H19)+COUNTIFS(工数管理!$AK$3:$AK$98,K$1,工数管理!$Q$3:$Q$98,"&lt;="&amp;$H19,工数管理!$R$3:$R$98,"&gt;="&amp;$H19)+COUNTIFS(工数管理!$AK$3:$AK$98,K$1,工数管理!$S$3:$S$98,"&lt;="&amp;$H19,工数管理!$T$3:$T$98,"&gt;="&amp;$H19)+COUNTIFS(工数管理!$AK$3:$AK$98,K$1,工数管理!$U$3:$U$98,"&lt;="&amp;$H19,工数管理!$V$3:$V$98,"&gt;="&amp;$H19)+COUNTIFS(工数管理!$AK$3:$AK$98,K$1,工数管理!$W$3:$W$98,"&lt;="&amp;$H19,工数管理!$X$3:$X$98,"&gt;="&amp;$H19)+COUNTIFS(工数管理!$AK$3:$AK$98,K$1,工数管理!$Y$3:$Y$98,"&lt;="&amp;$H19,工数管理!$Z$3:$Z$98,"&gt;="&amp;$H19)+COUNTIFS(工数管理!$AK$3:$AK$98,K$1,工数管理!$AA$3:$AA$98,"&lt;="&amp;$H19,工数管理!$AB$3:$AB$98,"&gt;="&amp;$H19)+COUNTIFS(工数管理!$AK$3:$AK$98,K$1,工数管理!$AC$3:$AC$98,"&lt;="&amp;$H19,工数管理!$AD$3:$AD$98,"&gt;="&amp;$H19)+COUNTIFS(工数管理!$AK$3:$AK$98,K$1,工数管理!$AE$3:$AE$98,"&lt;="&amp;$H19,工数管理!$AF$3:$AF$98,"&gt;="&amp;$H19)+COUNTIFS(工数管理!$AK$3:$AK$98,K$1,工数管理!$AG$3:$AG$98,"&lt;="&amp;$H19,工数管理!$AH$3:$AH$98,"&gt;="&amp;$H19)+(COUNTIFS(工数管理!$AK$3:$AK$98,K$1,工数管理!$K$3:$K$98,"&lt;="&amp;$H19,工数管理!$L$3:$L$98,"")+COUNTIFS(工数管理!$AK$3:$AK$98,K$1,工数管理!$M$3:$M$98,"&lt;="&amp;$H19,工数管理!$N$3:$N$98,"")+COUNTIFS(工数管理!$AK$3:$AK$98,K$1,工数管理!$O$3:$O$98,"&lt;="&amp;$H19,工数管理!$P$3:$P$98,"")+COUNTIFS(工数管理!$AK$3:$AK$98,K$1,工数管理!$Q$3:$Q$98,"&lt;="&amp;$H19,工数管理!$R$3:$R$98,"")+COUNTIFS(工数管理!$AK$3:$AK$98,K$1,工数管理!$S$3:$S$98,"&lt;="&amp;$H19,工数管理!$T$3:$T$98,"")+COUNTIFS(工数管理!$AK$3:$AK$98,K$1,工数管理!$U$3:$U$98,"&lt;="&amp;$H19,工数管理!$V$3:$V$98,"")+COUNTIFS(工数管理!$AK$3:$AK$98,K$1,工数管理!$W$3:$W$98,"&lt;="&amp;$H19,工数管理!$X$3:$X$98,"")+COUNTIFS(工数管理!$AK$3:$AK$98,K$1,工数管理!$Y$3:$Y$98,"&lt;="&amp;$H19,工数管理!$Z$3:$Z$98,"")+COUNTIFS(工数管理!$AK$3:$AK$98,K$1,工数管理!$AA$3:$AA$98,"&lt;="&amp;$H19,工数管理!$AB$3:$AB$98,"")+COUNTIFS(工数管理!$AK$3:$AK$98,K$1,工数管理!$AC$3:$AC$98,"&lt;="&amp;$H19,工数管理!$AD$3:$AD$98,"")+COUNTIFS(工数管理!$AK$3:$AK$98,K$1,工数管理!$AE$3:$AE$98,"&lt;="&amp;$H19,工数管理!$AF$3:$AF$98,"")+COUNTIFS(工数管理!$AK$3:$AK$98,K$1,工数管理!$AG$3:$AG$98,"&lt;="&amp;$H19,工数管理!$AH$3:$AH$98,""))*($H19&lt;=工数管理!$AI$1))</f>
        <v>0</v>
      </c>
      <c r="L19" s="42">
        <f ca="1">IF(L$1="",0,COUNTIFS(工数管理!$AK$3:$AK$98,L$1,工数管理!$K$3:$K$98,"&lt;="&amp;$H19,工数管理!$L$3:$L$98,"&gt;="&amp;$H19)+COUNTIFS(工数管理!$AK$3:$AK$98,L$1,工数管理!$M$3:$M$98,"&lt;="&amp;$H19,工数管理!$N$3:$N$98,"&gt;="&amp;$H19)+COUNTIFS(工数管理!$AK$3:$AK$98,L$1,工数管理!$O$3:$O$98,"&lt;="&amp;$H19,工数管理!$P$3:$P$98,"&gt;="&amp;$H19)+COUNTIFS(工数管理!$AK$3:$AK$98,L$1,工数管理!$Q$3:$Q$98,"&lt;="&amp;$H19,工数管理!$R$3:$R$98,"&gt;="&amp;$H19)+COUNTIFS(工数管理!$AK$3:$AK$98,L$1,工数管理!$S$3:$S$98,"&lt;="&amp;$H19,工数管理!$T$3:$T$98,"&gt;="&amp;$H19)+COUNTIFS(工数管理!$AK$3:$AK$98,L$1,工数管理!$U$3:$U$98,"&lt;="&amp;$H19,工数管理!$V$3:$V$98,"&gt;="&amp;$H19)+COUNTIFS(工数管理!$AK$3:$AK$98,L$1,工数管理!$W$3:$W$98,"&lt;="&amp;$H19,工数管理!$X$3:$X$98,"&gt;="&amp;$H19)+COUNTIFS(工数管理!$AK$3:$AK$98,L$1,工数管理!$Y$3:$Y$98,"&lt;="&amp;$H19,工数管理!$Z$3:$Z$98,"&gt;="&amp;$H19)+COUNTIFS(工数管理!$AK$3:$AK$98,L$1,工数管理!$AA$3:$AA$98,"&lt;="&amp;$H19,工数管理!$AB$3:$AB$98,"&gt;="&amp;$H19)+COUNTIFS(工数管理!$AK$3:$AK$98,L$1,工数管理!$AC$3:$AC$98,"&lt;="&amp;$H19,工数管理!$AD$3:$AD$98,"&gt;="&amp;$H19)+COUNTIFS(工数管理!$AK$3:$AK$98,L$1,工数管理!$AE$3:$AE$98,"&lt;="&amp;$H19,工数管理!$AF$3:$AF$98,"&gt;="&amp;$H19)+COUNTIFS(工数管理!$AK$3:$AK$98,L$1,工数管理!$AG$3:$AG$98,"&lt;="&amp;$H19,工数管理!$AH$3:$AH$98,"&gt;="&amp;$H19)+(COUNTIFS(工数管理!$AK$3:$AK$98,L$1,工数管理!$K$3:$K$98,"&lt;="&amp;$H19,工数管理!$L$3:$L$98,"")+COUNTIFS(工数管理!$AK$3:$AK$98,L$1,工数管理!$M$3:$M$98,"&lt;="&amp;$H19,工数管理!$N$3:$N$98,"")+COUNTIFS(工数管理!$AK$3:$AK$98,L$1,工数管理!$O$3:$O$98,"&lt;="&amp;$H19,工数管理!$P$3:$P$98,"")+COUNTIFS(工数管理!$AK$3:$AK$98,L$1,工数管理!$Q$3:$Q$98,"&lt;="&amp;$H19,工数管理!$R$3:$R$98,"")+COUNTIFS(工数管理!$AK$3:$AK$98,L$1,工数管理!$S$3:$S$98,"&lt;="&amp;$H19,工数管理!$T$3:$T$98,"")+COUNTIFS(工数管理!$AK$3:$AK$98,L$1,工数管理!$U$3:$U$98,"&lt;="&amp;$H19,工数管理!$V$3:$V$98,"")+COUNTIFS(工数管理!$AK$3:$AK$98,L$1,工数管理!$W$3:$W$98,"&lt;="&amp;$H19,工数管理!$X$3:$X$98,"")+COUNTIFS(工数管理!$AK$3:$AK$98,L$1,工数管理!$Y$3:$Y$98,"&lt;="&amp;$H19,工数管理!$Z$3:$Z$98,"")+COUNTIFS(工数管理!$AK$3:$AK$98,L$1,工数管理!$AA$3:$AA$98,"&lt;="&amp;$H19,工数管理!$AB$3:$AB$98,"")+COUNTIFS(工数管理!$AK$3:$AK$98,L$1,工数管理!$AC$3:$AC$98,"&lt;="&amp;$H19,工数管理!$AD$3:$AD$98,"")+COUNTIFS(工数管理!$AK$3:$AK$98,L$1,工数管理!$AE$3:$AE$98,"&lt;="&amp;$H19,工数管理!$AF$3:$AF$98,"")+COUNTIFS(工数管理!$AK$3:$AK$98,L$1,工数管理!$AG$3:$AG$98,"&lt;="&amp;$H19,工数管理!$AH$3:$AH$98,""))*($H19&lt;=工数管理!$AI$1))</f>
        <v>0</v>
      </c>
    </row>
    <row r="20" spans="1:12" x14ac:dyDescent="0.15">
      <c r="A20" s="5">
        <v>46286</v>
      </c>
      <c r="B20" s="6" t="s">
        <v>81</v>
      </c>
      <c r="H20" s="41">
        <f t="shared" si="1"/>
        <v>46188</v>
      </c>
      <c r="I20" s="42">
        <f t="shared" si="0"/>
        <v>1</v>
      </c>
      <c r="J20" s="42">
        <f ca="1">IF(J$1="",0,COUNTIFS(工数管理!$AK$3:$AK$98,J$1,工数管理!$K$3:$K$98,"&lt;="&amp;$H20,工数管理!$L$3:$L$98,"&gt;="&amp;$H20)+COUNTIFS(工数管理!$AK$3:$AK$98,J$1,工数管理!$M$3:$M$98,"&lt;="&amp;$H20,工数管理!$N$3:$N$98,"&gt;="&amp;$H20)+COUNTIFS(工数管理!$AK$3:$AK$98,J$1,工数管理!$O$3:$O$98,"&lt;="&amp;$H20,工数管理!$P$3:$P$98,"&gt;="&amp;$H20)+COUNTIFS(工数管理!$AK$3:$AK$98,J$1,工数管理!$Q$3:$Q$98,"&lt;="&amp;$H20,工数管理!$R$3:$R$98,"&gt;="&amp;$H20)+COUNTIFS(工数管理!$AK$3:$AK$98,J$1,工数管理!$S$3:$S$98,"&lt;="&amp;$H20,工数管理!$T$3:$T$98,"&gt;="&amp;$H20)+COUNTIFS(工数管理!$AK$3:$AK$98,J$1,工数管理!$U$3:$U$98,"&lt;="&amp;$H20,工数管理!$V$3:$V$98,"&gt;="&amp;$H20)+COUNTIFS(工数管理!$AK$3:$AK$98,J$1,工数管理!$W$3:$W$98,"&lt;="&amp;$H20,工数管理!$X$3:$X$98,"&gt;="&amp;$H20)+COUNTIFS(工数管理!$AK$3:$AK$98,J$1,工数管理!$Y$3:$Y$98,"&lt;="&amp;$H20,工数管理!$Z$3:$Z$98,"&gt;="&amp;$H20)+COUNTIFS(工数管理!$AK$3:$AK$98,J$1,工数管理!$AA$3:$AA$98,"&lt;="&amp;$H20,工数管理!$AB$3:$AB$98,"&gt;="&amp;$H20)+COUNTIFS(工数管理!$AK$3:$AK$98,J$1,工数管理!$AC$3:$AC$98,"&lt;="&amp;$H20,工数管理!$AD$3:$AD$98,"&gt;="&amp;$H20)+COUNTIFS(工数管理!$AK$3:$AK$98,J$1,工数管理!$AE$3:$AE$98,"&lt;="&amp;$H20,工数管理!$AF$3:$AF$98,"&gt;="&amp;$H20)+COUNTIFS(工数管理!$AK$3:$AK$98,J$1,工数管理!$AG$3:$AG$98,"&lt;="&amp;$H20,工数管理!$AH$3:$AH$98,"&gt;="&amp;$H20)+(COUNTIFS(工数管理!$AK$3:$AK$98,J$1,工数管理!$K$3:$K$98,"&lt;="&amp;$H20,工数管理!$L$3:$L$98,"")+COUNTIFS(工数管理!$AK$3:$AK$98,J$1,工数管理!$M$3:$M$98,"&lt;="&amp;$H20,工数管理!$N$3:$N$98,"")+COUNTIFS(工数管理!$AK$3:$AK$98,J$1,工数管理!$O$3:$O$98,"&lt;="&amp;$H20,工数管理!$P$3:$P$98,"")+COUNTIFS(工数管理!$AK$3:$AK$98,J$1,工数管理!$Q$3:$Q$98,"&lt;="&amp;$H20,工数管理!$R$3:$R$98,"")+COUNTIFS(工数管理!$AK$3:$AK$98,J$1,工数管理!$S$3:$S$98,"&lt;="&amp;$H20,工数管理!$T$3:$T$98,"")+COUNTIFS(工数管理!$AK$3:$AK$98,J$1,工数管理!$U$3:$U$98,"&lt;="&amp;$H20,工数管理!$V$3:$V$98,"")+COUNTIFS(工数管理!$AK$3:$AK$98,J$1,工数管理!$W$3:$W$98,"&lt;="&amp;$H20,工数管理!$X$3:$X$98,"")+COUNTIFS(工数管理!$AK$3:$AK$98,J$1,工数管理!$Y$3:$Y$98,"&lt;="&amp;$H20,工数管理!$Z$3:$Z$98,"")+COUNTIFS(工数管理!$AK$3:$AK$98,J$1,工数管理!$AA$3:$AA$98,"&lt;="&amp;$H20,工数管理!$AB$3:$AB$98,"")+COUNTIFS(工数管理!$AK$3:$AK$98,J$1,工数管理!$AC$3:$AC$98,"&lt;="&amp;$H20,工数管理!$AD$3:$AD$98,"")+COUNTIFS(工数管理!$AK$3:$AK$98,J$1,工数管理!$AE$3:$AE$98,"&lt;="&amp;$H20,工数管理!$AF$3:$AF$98,"")+COUNTIFS(工数管理!$AK$3:$AK$98,J$1,工数管理!$AG$3:$AG$98,"&lt;="&amp;$H20,工数管理!$AH$3:$AH$98,""))*($H20&lt;=工数管理!$AI$1))</f>
        <v>1</v>
      </c>
      <c r="K20" s="42">
        <f ca="1">IF(K$1="",0,COUNTIFS(工数管理!$AK$3:$AK$98,K$1,工数管理!$K$3:$K$98,"&lt;="&amp;$H20,工数管理!$L$3:$L$98,"&gt;="&amp;$H20)+COUNTIFS(工数管理!$AK$3:$AK$98,K$1,工数管理!$M$3:$M$98,"&lt;="&amp;$H20,工数管理!$N$3:$N$98,"&gt;="&amp;$H20)+COUNTIFS(工数管理!$AK$3:$AK$98,K$1,工数管理!$O$3:$O$98,"&lt;="&amp;$H20,工数管理!$P$3:$P$98,"&gt;="&amp;$H20)+COUNTIFS(工数管理!$AK$3:$AK$98,K$1,工数管理!$Q$3:$Q$98,"&lt;="&amp;$H20,工数管理!$R$3:$R$98,"&gt;="&amp;$H20)+COUNTIFS(工数管理!$AK$3:$AK$98,K$1,工数管理!$S$3:$S$98,"&lt;="&amp;$H20,工数管理!$T$3:$T$98,"&gt;="&amp;$H20)+COUNTIFS(工数管理!$AK$3:$AK$98,K$1,工数管理!$U$3:$U$98,"&lt;="&amp;$H20,工数管理!$V$3:$V$98,"&gt;="&amp;$H20)+COUNTIFS(工数管理!$AK$3:$AK$98,K$1,工数管理!$W$3:$W$98,"&lt;="&amp;$H20,工数管理!$X$3:$X$98,"&gt;="&amp;$H20)+COUNTIFS(工数管理!$AK$3:$AK$98,K$1,工数管理!$Y$3:$Y$98,"&lt;="&amp;$H20,工数管理!$Z$3:$Z$98,"&gt;="&amp;$H20)+COUNTIFS(工数管理!$AK$3:$AK$98,K$1,工数管理!$AA$3:$AA$98,"&lt;="&amp;$H20,工数管理!$AB$3:$AB$98,"&gt;="&amp;$H20)+COUNTIFS(工数管理!$AK$3:$AK$98,K$1,工数管理!$AC$3:$AC$98,"&lt;="&amp;$H20,工数管理!$AD$3:$AD$98,"&gt;="&amp;$H20)+COUNTIFS(工数管理!$AK$3:$AK$98,K$1,工数管理!$AE$3:$AE$98,"&lt;="&amp;$H20,工数管理!$AF$3:$AF$98,"&gt;="&amp;$H20)+COUNTIFS(工数管理!$AK$3:$AK$98,K$1,工数管理!$AG$3:$AG$98,"&lt;="&amp;$H20,工数管理!$AH$3:$AH$98,"&gt;="&amp;$H20)+(COUNTIFS(工数管理!$AK$3:$AK$98,K$1,工数管理!$K$3:$K$98,"&lt;="&amp;$H20,工数管理!$L$3:$L$98,"")+COUNTIFS(工数管理!$AK$3:$AK$98,K$1,工数管理!$M$3:$M$98,"&lt;="&amp;$H20,工数管理!$N$3:$N$98,"")+COUNTIFS(工数管理!$AK$3:$AK$98,K$1,工数管理!$O$3:$O$98,"&lt;="&amp;$H20,工数管理!$P$3:$P$98,"")+COUNTIFS(工数管理!$AK$3:$AK$98,K$1,工数管理!$Q$3:$Q$98,"&lt;="&amp;$H20,工数管理!$R$3:$R$98,"")+COUNTIFS(工数管理!$AK$3:$AK$98,K$1,工数管理!$S$3:$S$98,"&lt;="&amp;$H20,工数管理!$T$3:$T$98,"")+COUNTIFS(工数管理!$AK$3:$AK$98,K$1,工数管理!$U$3:$U$98,"&lt;="&amp;$H20,工数管理!$V$3:$V$98,"")+COUNTIFS(工数管理!$AK$3:$AK$98,K$1,工数管理!$W$3:$W$98,"&lt;="&amp;$H20,工数管理!$X$3:$X$98,"")+COUNTIFS(工数管理!$AK$3:$AK$98,K$1,工数管理!$Y$3:$Y$98,"&lt;="&amp;$H20,工数管理!$Z$3:$Z$98,"")+COUNTIFS(工数管理!$AK$3:$AK$98,K$1,工数管理!$AA$3:$AA$98,"&lt;="&amp;$H20,工数管理!$AB$3:$AB$98,"")+COUNTIFS(工数管理!$AK$3:$AK$98,K$1,工数管理!$AC$3:$AC$98,"&lt;="&amp;$H20,工数管理!$AD$3:$AD$98,"")+COUNTIFS(工数管理!$AK$3:$AK$98,K$1,工数管理!$AE$3:$AE$98,"&lt;="&amp;$H20,工数管理!$AF$3:$AF$98,"")+COUNTIFS(工数管理!$AK$3:$AK$98,K$1,工数管理!$AG$3:$AG$98,"&lt;="&amp;$H20,工数管理!$AH$3:$AH$98,""))*($H20&lt;=工数管理!$AI$1))</f>
        <v>0</v>
      </c>
      <c r="L20" s="42">
        <f ca="1">IF(L$1="",0,COUNTIFS(工数管理!$AK$3:$AK$98,L$1,工数管理!$K$3:$K$98,"&lt;="&amp;$H20,工数管理!$L$3:$L$98,"&gt;="&amp;$H20)+COUNTIFS(工数管理!$AK$3:$AK$98,L$1,工数管理!$M$3:$M$98,"&lt;="&amp;$H20,工数管理!$N$3:$N$98,"&gt;="&amp;$H20)+COUNTIFS(工数管理!$AK$3:$AK$98,L$1,工数管理!$O$3:$O$98,"&lt;="&amp;$H20,工数管理!$P$3:$P$98,"&gt;="&amp;$H20)+COUNTIFS(工数管理!$AK$3:$AK$98,L$1,工数管理!$Q$3:$Q$98,"&lt;="&amp;$H20,工数管理!$R$3:$R$98,"&gt;="&amp;$H20)+COUNTIFS(工数管理!$AK$3:$AK$98,L$1,工数管理!$S$3:$S$98,"&lt;="&amp;$H20,工数管理!$T$3:$T$98,"&gt;="&amp;$H20)+COUNTIFS(工数管理!$AK$3:$AK$98,L$1,工数管理!$U$3:$U$98,"&lt;="&amp;$H20,工数管理!$V$3:$V$98,"&gt;="&amp;$H20)+COUNTIFS(工数管理!$AK$3:$AK$98,L$1,工数管理!$W$3:$W$98,"&lt;="&amp;$H20,工数管理!$X$3:$X$98,"&gt;="&amp;$H20)+COUNTIFS(工数管理!$AK$3:$AK$98,L$1,工数管理!$Y$3:$Y$98,"&lt;="&amp;$H20,工数管理!$Z$3:$Z$98,"&gt;="&amp;$H20)+COUNTIFS(工数管理!$AK$3:$AK$98,L$1,工数管理!$AA$3:$AA$98,"&lt;="&amp;$H20,工数管理!$AB$3:$AB$98,"&gt;="&amp;$H20)+COUNTIFS(工数管理!$AK$3:$AK$98,L$1,工数管理!$AC$3:$AC$98,"&lt;="&amp;$H20,工数管理!$AD$3:$AD$98,"&gt;="&amp;$H20)+COUNTIFS(工数管理!$AK$3:$AK$98,L$1,工数管理!$AE$3:$AE$98,"&lt;="&amp;$H20,工数管理!$AF$3:$AF$98,"&gt;="&amp;$H20)+COUNTIFS(工数管理!$AK$3:$AK$98,L$1,工数管理!$AG$3:$AG$98,"&lt;="&amp;$H20,工数管理!$AH$3:$AH$98,"&gt;="&amp;$H20)+(COUNTIFS(工数管理!$AK$3:$AK$98,L$1,工数管理!$K$3:$K$98,"&lt;="&amp;$H20,工数管理!$L$3:$L$98,"")+COUNTIFS(工数管理!$AK$3:$AK$98,L$1,工数管理!$M$3:$M$98,"&lt;="&amp;$H20,工数管理!$N$3:$N$98,"")+COUNTIFS(工数管理!$AK$3:$AK$98,L$1,工数管理!$O$3:$O$98,"&lt;="&amp;$H20,工数管理!$P$3:$P$98,"")+COUNTIFS(工数管理!$AK$3:$AK$98,L$1,工数管理!$Q$3:$Q$98,"&lt;="&amp;$H20,工数管理!$R$3:$R$98,"")+COUNTIFS(工数管理!$AK$3:$AK$98,L$1,工数管理!$S$3:$S$98,"&lt;="&amp;$H20,工数管理!$T$3:$T$98,"")+COUNTIFS(工数管理!$AK$3:$AK$98,L$1,工数管理!$U$3:$U$98,"&lt;="&amp;$H20,工数管理!$V$3:$V$98,"")+COUNTIFS(工数管理!$AK$3:$AK$98,L$1,工数管理!$W$3:$W$98,"&lt;="&amp;$H20,工数管理!$X$3:$X$98,"")+COUNTIFS(工数管理!$AK$3:$AK$98,L$1,工数管理!$Y$3:$Y$98,"&lt;="&amp;$H20,工数管理!$Z$3:$Z$98,"")+COUNTIFS(工数管理!$AK$3:$AK$98,L$1,工数管理!$AA$3:$AA$98,"&lt;="&amp;$H20,工数管理!$AB$3:$AB$98,"")+COUNTIFS(工数管理!$AK$3:$AK$98,L$1,工数管理!$AC$3:$AC$98,"&lt;="&amp;$H20,工数管理!$AD$3:$AD$98,"")+COUNTIFS(工数管理!$AK$3:$AK$98,L$1,工数管理!$AE$3:$AE$98,"&lt;="&amp;$H20,工数管理!$AF$3:$AF$98,"")+COUNTIFS(工数管理!$AK$3:$AK$98,L$1,工数管理!$AG$3:$AG$98,"&lt;="&amp;$H20,工数管理!$AH$3:$AH$98,""))*($H20&lt;=工数管理!$AI$1))</f>
        <v>0</v>
      </c>
    </row>
    <row r="21" spans="1:12" x14ac:dyDescent="0.15">
      <c r="A21" s="5">
        <v>46287</v>
      </c>
      <c r="B21" s="6" t="s">
        <v>82</v>
      </c>
      <c r="H21" s="41">
        <f t="shared" si="1"/>
        <v>46189</v>
      </c>
      <c r="I21" s="42">
        <f t="shared" si="0"/>
        <v>1</v>
      </c>
      <c r="J21" s="42">
        <f ca="1">IF(J$1="",0,COUNTIFS(工数管理!$AK$3:$AK$98,J$1,工数管理!$K$3:$K$98,"&lt;="&amp;$H21,工数管理!$L$3:$L$98,"&gt;="&amp;$H21)+COUNTIFS(工数管理!$AK$3:$AK$98,J$1,工数管理!$M$3:$M$98,"&lt;="&amp;$H21,工数管理!$N$3:$N$98,"&gt;="&amp;$H21)+COUNTIFS(工数管理!$AK$3:$AK$98,J$1,工数管理!$O$3:$O$98,"&lt;="&amp;$H21,工数管理!$P$3:$P$98,"&gt;="&amp;$H21)+COUNTIFS(工数管理!$AK$3:$AK$98,J$1,工数管理!$Q$3:$Q$98,"&lt;="&amp;$H21,工数管理!$R$3:$R$98,"&gt;="&amp;$H21)+COUNTIFS(工数管理!$AK$3:$AK$98,J$1,工数管理!$S$3:$S$98,"&lt;="&amp;$H21,工数管理!$T$3:$T$98,"&gt;="&amp;$H21)+COUNTIFS(工数管理!$AK$3:$AK$98,J$1,工数管理!$U$3:$U$98,"&lt;="&amp;$H21,工数管理!$V$3:$V$98,"&gt;="&amp;$H21)+COUNTIFS(工数管理!$AK$3:$AK$98,J$1,工数管理!$W$3:$W$98,"&lt;="&amp;$H21,工数管理!$X$3:$X$98,"&gt;="&amp;$H21)+COUNTIFS(工数管理!$AK$3:$AK$98,J$1,工数管理!$Y$3:$Y$98,"&lt;="&amp;$H21,工数管理!$Z$3:$Z$98,"&gt;="&amp;$H21)+COUNTIFS(工数管理!$AK$3:$AK$98,J$1,工数管理!$AA$3:$AA$98,"&lt;="&amp;$H21,工数管理!$AB$3:$AB$98,"&gt;="&amp;$H21)+COUNTIFS(工数管理!$AK$3:$AK$98,J$1,工数管理!$AC$3:$AC$98,"&lt;="&amp;$H21,工数管理!$AD$3:$AD$98,"&gt;="&amp;$H21)+COUNTIFS(工数管理!$AK$3:$AK$98,J$1,工数管理!$AE$3:$AE$98,"&lt;="&amp;$H21,工数管理!$AF$3:$AF$98,"&gt;="&amp;$H21)+COUNTIFS(工数管理!$AK$3:$AK$98,J$1,工数管理!$AG$3:$AG$98,"&lt;="&amp;$H21,工数管理!$AH$3:$AH$98,"&gt;="&amp;$H21)+(COUNTIFS(工数管理!$AK$3:$AK$98,J$1,工数管理!$K$3:$K$98,"&lt;="&amp;$H21,工数管理!$L$3:$L$98,"")+COUNTIFS(工数管理!$AK$3:$AK$98,J$1,工数管理!$M$3:$M$98,"&lt;="&amp;$H21,工数管理!$N$3:$N$98,"")+COUNTIFS(工数管理!$AK$3:$AK$98,J$1,工数管理!$O$3:$O$98,"&lt;="&amp;$H21,工数管理!$P$3:$P$98,"")+COUNTIFS(工数管理!$AK$3:$AK$98,J$1,工数管理!$Q$3:$Q$98,"&lt;="&amp;$H21,工数管理!$R$3:$R$98,"")+COUNTIFS(工数管理!$AK$3:$AK$98,J$1,工数管理!$S$3:$S$98,"&lt;="&amp;$H21,工数管理!$T$3:$T$98,"")+COUNTIFS(工数管理!$AK$3:$AK$98,J$1,工数管理!$U$3:$U$98,"&lt;="&amp;$H21,工数管理!$V$3:$V$98,"")+COUNTIFS(工数管理!$AK$3:$AK$98,J$1,工数管理!$W$3:$W$98,"&lt;="&amp;$H21,工数管理!$X$3:$X$98,"")+COUNTIFS(工数管理!$AK$3:$AK$98,J$1,工数管理!$Y$3:$Y$98,"&lt;="&amp;$H21,工数管理!$Z$3:$Z$98,"")+COUNTIFS(工数管理!$AK$3:$AK$98,J$1,工数管理!$AA$3:$AA$98,"&lt;="&amp;$H21,工数管理!$AB$3:$AB$98,"")+COUNTIFS(工数管理!$AK$3:$AK$98,J$1,工数管理!$AC$3:$AC$98,"&lt;="&amp;$H21,工数管理!$AD$3:$AD$98,"")+COUNTIFS(工数管理!$AK$3:$AK$98,J$1,工数管理!$AE$3:$AE$98,"&lt;="&amp;$H21,工数管理!$AF$3:$AF$98,"")+COUNTIFS(工数管理!$AK$3:$AK$98,J$1,工数管理!$AG$3:$AG$98,"&lt;="&amp;$H21,工数管理!$AH$3:$AH$98,""))*($H21&lt;=工数管理!$AI$1))</f>
        <v>1</v>
      </c>
      <c r="K21" s="42">
        <f ca="1">IF(K$1="",0,COUNTIFS(工数管理!$AK$3:$AK$98,K$1,工数管理!$K$3:$K$98,"&lt;="&amp;$H21,工数管理!$L$3:$L$98,"&gt;="&amp;$H21)+COUNTIFS(工数管理!$AK$3:$AK$98,K$1,工数管理!$M$3:$M$98,"&lt;="&amp;$H21,工数管理!$N$3:$N$98,"&gt;="&amp;$H21)+COUNTIFS(工数管理!$AK$3:$AK$98,K$1,工数管理!$O$3:$O$98,"&lt;="&amp;$H21,工数管理!$P$3:$P$98,"&gt;="&amp;$H21)+COUNTIFS(工数管理!$AK$3:$AK$98,K$1,工数管理!$Q$3:$Q$98,"&lt;="&amp;$H21,工数管理!$R$3:$R$98,"&gt;="&amp;$H21)+COUNTIFS(工数管理!$AK$3:$AK$98,K$1,工数管理!$S$3:$S$98,"&lt;="&amp;$H21,工数管理!$T$3:$T$98,"&gt;="&amp;$H21)+COUNTIFS(工数管理!$AK$3:$AK$98,K$1,工数管理!$U$3:$U$98,"&lt;="&amp;$H21,工数管理!$V$3:$V$98,"&gt;="&amp;$H21)+COUNTIFS(工数管理!$AK$3:$AK$98,K$1,工数管理!$W$3:$W$98,"&lt;="&amp;$H21,工数管理!$X$3:$X$98,"&gt;="&amp;$H21)+COUNTIFS(工数管理!$AK$3:$AK$98,K$1,工数管理!$Y$3:$Y$98,"&lt;="&amp;$H21,工数管理!$Z$3:$Z$98,"&gt;="&amp;$H21)+COUNTIFS(工数管理!$AK$3:$AK$98,K$1,工数管理!$AA$3:$AA$98,"&lt;="&amp;$H21,工数管理!$AB$3:$AB$98,"&gt;="&amp;$H21)+COUNTIFS(工数管理!$AK$3:$AK$98,K$1,工数管理!$AC$3:$AC$98,"&lt;="&amp;$H21,工数管理!$AD$3:$AD$98,"&gt;="&amp;$H21)+COUNTIFS(工数管理!$AK$3:$AK$98,K$1,工数管理!$AE$3:$AE$98,"&lt;="&amp;$H21,工数管理!$AF$3:$AF$98,"&gt;="&amp;$H21)+COUNTIFS(工数管理!$AK$3:$AK$98,K$1,工数管理!$AG$3:$AG$98,"&lt;="&amp;$H21,工数管理!$AH$3:$AH$98,"&gt;="&amp;$H21)+(COUNTIFS(工数管理!$AK$3:$AK$98,K$1,工数管理!$K$3:$K$98,"&lt;="&amp;$H21,工数管理!$L$3:$L$98,"")+COUNTIFS(工数管理!$AK$3:$AK$98,K$1,工数管理!$M$3:$M$98,"&lt;="&amp;$H21,工数管理!$N$3:$N$98,"")+COUNTIFS(工数管理!$AK$3:$AK$98,K$1,工数管理!$O$3:$O$98,"&lt;="&amp;$H21,工数管理!$P$3:$P$98,"")+COUNTIFS(工数管理!$AK$3:$AK$98,K$1,工数管理!$Q$3:$Q$98,"&lt;="&amp;$H21,工数管理!$R$3:$R$98,"")+COUNTIFS(工数管理!$AK$3:$AK$98,K$1,工数管理!$S$3:$S$98,"&lt;="&amp;$H21,工数管理!$T$3:$T$98,"")+COUNTIFS(工数管理!$AK$3:$AK$98,K$1,工数管理!$U$3:$U$98,"&lt;="&amp;$H21,工数管理!$V$3:$V$98,"")+COUNTIFS(工数管理!$AK$3:$AK$98,K$1,工数管理!$W$3:$W$98,"&lt;="&amp;$H21,工数管理!$X$3:$X$98,"")+COUNTIFS(工数管理!$AK$3:$AK$98,K$1,工数管理!$Y$3:$Y$98,"&lt;="&amp;$H21,工数管理!$Z$3:$Z$98,"")+COUNTIFS(工数管理!$AK$3:$AK$98,K$1,工数管理!$AA$3:$AA$98,"&lt;="&amp;$H21,工数管理!$AB$3:$AB$98,"")+COUNTIFS(工数管理!$AK$3:$AK$98,K$1,工数管理!$AC$3:$AC$98,"&lt;="&amp;$H21,工数管理!$AD$3:$AD$98,"")+COUNTIFS(工数管理!$AK$3:$AK$98,K$1,工数管理!$AE$3:$AE$98,"&lt;="&amp;$H21,工数管理!$AF$3:$AF$98,"")+COUNTIFS(工数管理!$AK$3:$AK$98,K$1,工数管理!$AG$3:$AG$98,"&lt;="&amp;$H21,工数管理!$AH$3:$AH$98,""))*($H21&lt;=工数管理!$AI$1))</f>
        <v>0</v>
      </c>
      <c r="L21" s="42">
        <f ca="1">IF(L$1="",0,COUNTIFS(工数管理!$AK$3:$AK$98,L$1,工数管理!$K$3:$K$98,"&lt;="&amp;$H21,工数管理!$L$3:$L$98,"&gt;="&amp;$H21)+COUNTIFS(工数管理!$AK$3:$AK$98,L$1,工数管理!$M$3:$M$98,"&lt;="&amp;$H21,工数管理!$N$3:$N$98,"&gt;="&amp;$H21)+COUNTIFS(工数管理!$AK$3:$AK$98,L$1,工数管理!$O$3:$O$98,"&lt;="&amp;$H21,工数管理!$P$3:$P$98,"&gt;="&amp;$H21)+COUNTIFS(工数管理!$AK$3:$AK$98,L$1,工数管理!$Q$3:$Q$98,"&lt;="&amp;$H21,工数管理!$R$3:$R$98,"&gt;="&amp;$H21)+COUNTIFS(工数管理!$AK$3:$AK$98,L$1,工数管理!$S$3:$S$98,"&lt;="&amp;$H21,工数管理!$T$3:$T$98,"&gt;="&amp;$H21)+COUNTIFS(工数管理!$AK$3:$AK$98,L$1,工数管理!$U$3:$U$98,"&lt;="&amp;$H21,工数管理!$V$3:$V$98,"&gt;="&amp;$H21)+COUNTIFS(工数管理!$AK$3:$AK$98,L$1,工数管理!$W$3:$W$98,"&lt;="&amp;$H21,工数管理!$X$3:$X$98,"&gt;="&amp;$H21)+COUNTIFS(工数管理!$AK$3:$AK$98,L$1,工数管理!$Y$3:$Y$98,"&lt;="&amp;$H21,工数管理!$Z$3:$Z$98,"&gt;="&amp;$H21)+COUNTIFS(工数管理!$AK$3:$AK$98,L$1,工数管理!$AA$3:$AA$98,"&lt;="&amp;$H21,工数管理!$AB$3:$AB$98,"&gt;="&amp;$H21)+COUNTIFS(工数管理!$AK$3:$AK$98,L$1,工数管理!$AC$3:$AC$98,"&lt;="&amp;$H21,工数管理!$AD$3:$AD$98,"&gt;="&amp;$H21)+COUNTIFS(工数管理!$AK$3:$AK$98,L$1,工数管理!$AE$3:$AE$98,"&lt;="&amp;$H21,工数管理!$AF$3:$AF$98,"&gt;="&amp;$H21)+COUNTIFS(工数管理!$AK$3:$AK$98,L$1,工数管理!$AG$3:$AG$98,"&lt;="&amp;$H21,工数管理!$AH$3:$AH$98,"&gt;="&amp;$H21)+(COUNTIFS(工数管理!$AK$3:$AK$98,L$1,工数管理!$K$3:$K$98,"&lt;="&amp;$H21,工数管理!$L$3:$L$98,"")+COUNTIFS(工数管理!$AK$3:$AK$98,L$1,工数管理!$M$3:$M$98,"&lt;="&amp;$H21,工数管理!$N$3:$N$98,"")+COUNTIFS(工数管理!$AK$3:$AK$98,L$1,工数管理!$O$3:$O$98,"&lt;="&amp;$H21,工数管理!$P$3:$P$98,"")+COUNTIFS(工数管理!$AK$3:$AK$98,L$1,工数管理!$Q$3:$Q$98,"&lt;="&amp;$H21,工数管理!$R$3:$R$98,"")+COUNTIFS(工数管理!$AK$3:$AK$98,L$1,工数管理!$S$3:$S$98,"&lt;="&amp;$H21,工数管理!$T$3:$T$98,"")+COUNTIFS(工数管理!$AK$3:$AK$98,L$1,工数管理!$U$3:$U$98,"&lt;="&amp;$H21,工数管理!$V$3:$V$98,"")+COUNTIFS(工数管理!$AK$3:$AK$98,L$1,工数管理!$W$3:$W$98,"&lt;="&amp;$H21,工数管理!$X$3:$X$98,"")+COUNTIFS(工数管理!$AK$3:$AK$98,L$1,工数管理!$Y$3:$Y$98,"&lt;="&amp;$H21,工数管理!$Z$3:$Z$98,"")+COUNTIFS(工数管理!$AK$3:$AK$98,L$1,工数管理!$AA$3:$AA$98,"&lt;="&amp;$H21,工数管理!$AB$3:$AB$98,"")+COUNTIFS(工数管理!$AK$3:$AK$98,L$1,工数管理!$AC$3:$AC$98,"&lt;="&amp;$H21,工数管理!$AD$3:$AD$98,"")+COUNTIFS(工数管理!$AK$3:$AK$98,L$1,工数管理!$AE$3:$AE$98,"&lt;="&amp;$H21,工数管理!$AF$3:$AF$98,"")+COUNTIFS(工数管理!$AK$3:$AK$98,L$1,工数管理!$AG$3:$AG$98,"&lt;="&amp;$H21,工数管理!$AH$3:$AH$98,""))*($H21&lt;=工数管理!$AI$1))</f>
        <v>0</v>
      </c>
    </row>
    <row r="22" spans="1:12" x14ac:dyDescent="0.15">
      <c r="A22" s="5">
        <v>46288</v>
      </c>
      <c r="B22" s="6" t="s">
        <v>83</v>
      </c>
      <c r="H22" s="41">
        <f t="shared" si="1"/>
        <v>46190</v>
      </c>
      <c r="I22" s="42">
        <f t="shared" si="0"/>
        <v>1</v>
      </c>
      <c r="J22" s="42">
        <f ca="1">IF(J$1="",0,COUNTIFS(工数管理!$AK$3:$AK$98,J$1,工数管理!$K$3:$K$98,"&lt;="&amp;$H22,工数管理!$L$3:$L$98,"&gt;="&amp;$H22)+COUNTIFS(工数管理!$AK$3:$AK$98,J$1,工数管理!$M$3:$M$98,"&lt;="&amp;$H22,工数管理!$N$3:$N$98,"&gt;="&amp;$H22)+COUNTIFS(工数管理!$AK$3:$AK$98,J$1,工数管理!$O$3:$O$98,"&lt;="&amp;$H22,工数管理!$P$3:$P$98,"&gt;="&amp;$H22)+COUNTIFS(工数管理!$AK$3:$AK$98,J$1,工数管理!$Q$3:$Q$98,"&lt;="&amp;$H22,工数管理!$R$3:$R$98,"&gt;="&amp;$H22)+COUNTIFS(工数管理!$AK$3:$AK$98,J$1,工数管理!$S$3:$S$98,"&lt;="&amp;$H22,工数管理!$T$3:$T$98,"&gt;="&amp;$H22)+COUNTIFS(工数管理!$AK$3:$AK$98,J$1,工数管理!$U$3:$U$98,"&lt;="&amp;$H22,工数管理!$V$3:$V$98,"&gt;="&amp;$H22)+COUNTIFS(工数管理!$AK$3:$AK$98,J$1,工数管理!$W$3:$W$98,"&lt;="&amp;$H22,工数管理!$X$3:$X$98,"&gt;="&amp;$H22)+COUNTIFS(工数管理!$AK$3:$AK$98,J$1,工数管理!$Y$3:$Y$98,"&lt;="&amp;$H22,工数管理!$Z$3:$Z$98,"&gt;="&amp;$H22)+COUNTIFS(工数管理!$AK$3:$AK$98,J$1,工数管理!$AA$3:$AA$98,"&lt;="&amp;$H22,工数管理!$AB$3:$AB$98,"&gt;="&amp;$H22)+COUNTIFS(工数管理!$AK$3:$AK$98,J$1,工数管理!$AC$3:$AC$98,"&lt;="&amp;$H22,工数管理!$AD$3:$AD$98,"&gt;="&amp;$H22)+COUNTIFS(工数管理!$AK$3:$AK$98,J$1,工数管理!$AE$3:$AE$98,"&lt;="&amp;$H22,工数管理!$AF$3:$AF$98,"&gt;="&amp;$H22)+COUNTIFS(工数管理!$AK$3:$AK$98,J$1,工数管理!$AG$3:$AG$98,"&lt;="&amp;$H22,工数管理!$AH$3:$AH$98,"&gt;="&amp;$H22)+(COUNTIFS(工数管理!$AK$3:$AK$98,J$1,工数管理!$K$3:$K$98,"&lt;="&amp;$H22,工数管理!$L$3:$L$98,"")+COUNTIFS(工数管理!$AK$3:$AK$98,J$1,工数管理!$M$3:$M$98,"&lt;="&amp;$H22,工数管理!$N$3:$N$98,"")+COUNTIFS(工数管理!$AK$3:$AK$98,J$1,工数管理!$O$3:$O$98,"&lt;="&amp;$H22,工数管理!$P$3:$P$98,"")+COUNTIFS(工数管理!$AK$3:$AK$98,J$1,工数管理!$Q$3:$Q$98,"&lt;="&amp;$H22,工数管理!$R$3:$R$98,"")+COUNTIFS(工数管理!$AK$3:$AK$98,J$1,工数管理!$S$3:$S$98,"&lt;="&amp;$H22,工数管理!$T$3:$T$98,"")+COUNTIFS(工数管理!$AK$3:$AK$98,J$1,工数管理!$U$3:$U$98,"&lt;="&amp;$H22,工数管理!$V$3:$V$98,"")+COUNTIFS(工数管理!$AK$3:$AK$98,J$1,工数管理!$W$3:$W$98,"&lt;="&amp;$H22,工数管理!$X$3:$X$98,"")+COUNTIFS(工数管理!$AK$3:$AK$98,J$1,工数管理!$Y$3:$Y$98,"&lt;="&amp;$H22,工数管理!$Z$3:$Z$98,"")+COUNTIFS(工数管理!$AK$3:$AK$98,J$1,工数管理!$AA$3:$AA$98,"&lt;="&amp;$H22,工数管理!$AB$3:$AB$98,"")+COUNTIFS(工数管理!$AK$3:$AK$98,J$1,工数管理!$AC$3:$AC$98,"&lt;="&amp;$H22,工数管理!$AD$3:$AD$98,"")+COUNTIFS(工数管理!$AK$3:$AK$98,J$1,工数管理!$AE$3:$AE$98,"&lt;="&amp;$H22,工数管理!$AF$3:$AF$98,"")+COUNTIFS(工数管理!$AK$3:$AK$98,J$1,工数管理!$AG$3:$AG$98,"&lt;="&amp;$H22,工数管理!$AH$3:$AH$98,""))*($H22&lt;=工数管理!$AI$1))</f>
        <v>1</v>
      </c>
      <c r="K22" s="42">
        <f ca="1">IF(K$1="",0,COUNTIFS(工数管理!$AK$3:$AK$98,K$1,工数管理!$K$3:$K$98,"&lt;="&amp;$H22,工数管理!$L$3:$L$98,"&gt;="&amp;$H22)+COUNTIFS(工数管理!$AK$3:$AK$98,K$1,工数管理!$M$3:$M$98,"&lt;="&amp;$H22,工数管理!$N$3:$N$98,"&gt;="&amp;$H22)+COUNTIFS(工数管理!$AK$3:$AK$98,K$1,工数管理!$O$3:$O$98,"&lt;="&amp;$H22,工数管理!$P$3:$P$98,"&gt;="&amp;$H22)+COUNTIFS(工数管理!$AK$3:$AK$98,K$1,工数管理!$Q$3:$Q$98,"&lt;="&amp;$H22,工数管理!$R$3:$R$98,"&gt;="&amp;$H22)+COUNTIFS(工数管理!$AK$3:$AK$98,K$1,工数管理!$S$3:$S$98,"&lt;="&amp;$H22,工数管理!$T$3:$T$98,"&gt;="&amp;$H22)+COUNTIFS(工数管理!$AK$3:$AK$98,K$1,工数管理!$U$3:$U$98,"&lt;="&amp;$H22,工数管理!$V$3:$V$98,"&gt;="&amp;$H22)+COUNTIFS(工数管理!$AK$3:$AK$98,K$1,工数管理!$W$3:$W$98,"&lt;="&amp;$H22,工数管理!$X$3:$X$98,"&gt;="&amp;$H22)+COUNTIFS(工数管理!$AK$3:$AK$98,K$1,工数管理!$Y$3:$Y$98,"&lt;="&amp;$H22,工数管理!$Z$3:$Z$98,"&gt;="&amp;$H22)+COUNTIFS(工数管理!$AK$3:$AK$98,K$1,工数管理!$AA$3:$AA$98,"&lt;="&amp;$H22,工数管理!$AB$3:$AB$98,"&gt;="&amp;$H22)+COUNTIFS(工数管理!$AK$3:$AK$98,K$1,工数管理!$AC$3:$AC$98,"&lt;="&amp;$H22,工数管理!$AD$3:$AD$98,"&gt;="&amp;$H22)+COUNTIFS(工数管理!$AK$3:$AK$98,K$1,工数管理!$AE$3:$AE$98,"&lt;="&amp;$H22,工数管理!$AF$3:$AF$98,"&gt;="&amp;$H22)+COUNTIFS(工数管理!$AK$3:$AK$98,K$1,工数管理!$AG$3:$AG$98,"&lt;="&amp;$H22,工数管理!$AH$3:$AH$98,"&gt;="&amp;$H22)+(COUNTIFS(工数管理!$AK$3:$AK$98,K$1,工数管理!$K$3:$K$98,"&lt;="&amp;$H22,工数管理!$L$3:$L$98,"")+COUNTIFS(工数管理!$AK$3:$AK$98,K$1,工数管理!$M$3:$M$98,"&lt;="&amp;$H22,工数管理!$N$3:$N$98,"")+COUNTIFS(工数管理!$AK$3:$AK$98,K$1,工数管理!$O$3:$O$98,"&lt;="&amp;$H22,工数管理!$P$3:$P$98,"")+COUNTIFS(工数管理!$AK$3:$AK$98,K$1,工数管理!$Q$3:$Q$98,"&lt;="&amp;$H22,工数管理!$R$3:$R$98,"")+COUNTIFS(工数管理!$AK$3:$AK$98,K$1,工数管理!$S$3:$S$98,"&lt;="&amp;$H22,工数管理!$T$3:$T$98,"")+COUNTIFS(工数管理!$AK$3:$AK$98,K$1,工数管理!$U$3:$U$98,"&lt;="&amp;$H22,工数管理!$V$3:$V$98,"")+COUNTIFS(工数管理!$AK$3:$AK$98,K$1,工数管理!$W$3:$W$98,"&lt;="&amp;$H22,工数管理!$X$3:$X$98,"")+COUNTIFS(工数管理!$AK$3:$AK$98,K$1,工数管理!$Y$3:$Y$98,"&lt;="&amp;$H22,工数管理!$Z$3:$Z$98,"")+COUNTIFS(工数管理!$AK$3:$AK$98,K$1,工数管理!$AA$3:$AA$98,"&lt;="&amp;$H22,工数管理!$AB$3:$AB$98,"")+COUNTIFS(工数管理!$AK$3:$AK$98,K$1,工数管理!$AC$3:$AC$98,"&lt;="&amp;$H22,工数管理!$AD$3:$AD$98,"")+COUNTIFS(工数管理!$AK$3:$AK$98,K$1,工数管理!$AE$3:$AE$98,"&lt;="&amp;$H22,工数管理!$AF$3:$AF$98,"")+COUNTIFS(工数管理!$AK$3:$AK$98,K$1,工数管理!$AG$3:$AG$98,"&lt;="&amp;$H22,工数管理!$AH$3:$AH$98,""))*($H22&lt;=工数管理!$AI$1))</f>
        <v>0</v>
      </c>
      <c r="L22" s="42">
        <f ca="1">IF(L$1="",0,COUNTIFS(工数管理!$AK$3:$AK$98,L$1,工数管理!$K$3:$K$98,"&lt;="&amp;$H22,工数管理!$L$3:$L$98,"&gt;="&amp;$H22)+COUNTIFS(工数管理!$AK$3:$AK$98,L$1,工数管理!$M$3:$M$98,"&lt;="&amp;$H22,工数管理!$N$3:$N$98,"&gt;="&amp;$H22)+COUNTIFS(工数管理!$AK$3:$AK$98,L$1,工数管理!$O$3:$O$98,"&lt;="&amp;$H22,工数管理!$P$3:$P$98,"&gt;="&amp;$H22)+COUNTIFS(工数管理!$AK$3:$AK$98,L$1,工数管理!$Q$3:$Q$98,"&lt;="&amp;$H22,工数管理!$R$3:$R$98,"&gt;="&amp;$H22)+COUNTIFS(工数管理!$AK$3:$AK$98,L$1,工数管理!$S$3:$S$98,"&lt;="&amp;$H22,工数管理!$T$3:$T$98,"&gt;="&amp;$H22)+COUNTIFS(工数管理!$AK$3:$AK$98,L$1,工数管理!$U$3:$U$98,"&lt;="&amp;$H22,工数管理!$V$3:$V$98,"&gt;="&amp;$H22)+COUNTIFS(工数管理!$AK$3:$AK$98,L$1,工数管理!$W$3:$W$98,"&lt;="&amp;$H22,工数管理!$X$3:$X$98,"&gt;="&amp;$H22)+COUNTIFS(工数管理!$AK$3:$AK$98,L$1,工数管理!$Y$3:$Y$98,"&lt;="&amp;$H22,工数管理!$Z$3:$Z$98,"&gt;="&amp;$H22)+COUNTIFS(工数管理!$AK$3:$AK$98,L$1,工数管理!$AA$3:$AA$98,"&lt;="&amp;$H22,工数管理!$AB$3:$AB$98,"&gt;="&amp;$H22)+COUNTIFS(工数管理!$AK$3:$AK$98,L$1,工数管理!$AC$3:$AC$98,"&lt;="&amp;$H22,工数管理!$AD$3:$AD$98,"&gt;="&amp;$H22)+COUNTIFS(工数管理!$AK$3:$AK$98,L$1,工数管理!$AE$3:$AE$98,"&lt;="&amp;$H22,工数管理!$AF$3:$AF$98,"&gt;="&amp;$H22)+COUNTIFS(工数管理!$AK$3:$AK$98,L$1,工数管理!$AG$3:$AG$98,"&lt;="&amp;$H22,工数管理!$AH$3:$AH$98,"&gt;="&amp;$H22)+(COUNTIFS(工数管理!$AK$3:$AK$98,L$1,工数管理!$K$3:$K$98,"&lt;="&amp;$H22,工数管理!$L$3:$L$98,"")+COUNTIFS(工数管理!$AK$3:$AK$98,L$1,工数管理!$M$3:$M$98,"&lt;="&amp;$H22,工数管理!$N$3:$N$98,"")+COUNTIFS(工数管理!$AK$3:$AK$98,L$1,工数管理!$O$3:$O$98,"&lt;="&amp;$H22,工数管理!$P$3:$P$98,"")+COUNTIFS(工数管理!$AK$3:$AK$98,L$1,工数管理!$Q$3:$Q$98,"&lt;="&amp;$H22,工数管理!$R$3:$R$98,"")+COUNTIFS(工数管理!$AK$3:$AK$98,L$1,工数管理!$S$3:$S$98,"&lt;="&amp;$H22,工数管理!$T$3:$T$98,"")+COUNTIFS(工数管理!$AK$3:$AK$98,L$1,工数管理!$U$3:$U$98,"&lt;="&amp;$H22,工数管理!$V$3:$V$98,"")+COUNTIFS(工数管理!$AK$3:$AK$98,L$1,工数管理!$W$3:$W$98,"&lt;="&amp;$H22,工数管理!$X$3:$X$98,"")+COUNTIFS(工数管理!$AK$3:$AK$98,L$1,工数管理!$Y$3:$Y$98,"&lt;="&amp;$H22,工数管理!$Z$3:$Z$98,"")+COUNTIFS(工数管理!$AK$3:$AK$98,L$1,工数管理!$AA$3:$AA$98,"&lt;="&amp;$H22,工数管理!$AB$3:$AB$98,"")+COUNTIFS(工数管理!$AK$3:$AK$98,L$1,工数管理!$AC$3:$AC$98,"&lt;="&amp;$H22,工数管理!$AD$3:$AD$98,"")+COUNTIFS(工数管理!$AK$3:$AK$98,L$1,工数管理!$AE$3:$AE$98,"&lt;="&amp;$H22,工数管理!$AF$3:$AF$98,"")+COUNTIFS(工数管理!$AK$3:$AK$98,L$1,工数管理!$AG$3:$AG$98,"&lt;="&amp;$H22,工数管理!$AH$3:$AH$98,""))*($H22&lt;=工数管理!$AI$1))</f>
        <v>0</v>
      </c>
    </row>
    <row r="23" spans="1:12" x14ac:dyDescent="0.15">
      <c r="A23" s="5">
        <v>46307</v>
      </c>
      <c r="B23" s="6" t="s">
        <v>84</v>
      </c>
      <c r="H23" s="41">
        <f t="shared" si="1"/>
        <v>46191</v>
      </c>
      <c r="I23" s="42">
        <f t="shared" si="0"/>
        <v>1</v>
      </c>
      <c r="J23" s="42">
        <f ca="1">IF(J$1="",0,COUNTIFS(工数管理!$AK$3:$AK$98,J$1,工数管理!$K$3:$K$98,"&lt;="&amp;$H23,工数管理!$L$3:$L$98,"&gt;="&amp;$H23)+COUNTIFS(工数管理!$AK$3:$AK$98,J$1,工数管理!$M$3:$M$98,"&lt;="&amp;$H23,工数管理!$N$3:$N$98,"&gt;="&amp;$H23)+COUNTIFS(工数管理!$AK$3:$AK$98,J$1,工数管理!$O$3:$O$98,"&lt;="&amp;$H23,工数管理!$P$3:$P$98,"&gt;="&amp;$H23)+COUNTIFS(工数管理!$AK$3:$AK$98,J$1,工数管理!$Q$3:$Q$98,"&lt;="&amp;$H23,工数管理!$R$3:$R$98,"&gt;="&amp;$H23)+COUNTIFS(工数管理!$AK$3:$AK$98,J$1,工数管理!$S$3:$S$98,"&lt;="&amp;$H23,工数管理!$T$3:$T$98,"&gt;="&amp;$H23)+COUNTIFS(工数管理!$AK$3:$AK$98,J$1,工数管理!$U$3:$U$98,"&lt;="&amp;$H23,工数管理!$V$3:$V$98,"&gt;="&amp;$H23)+COUNTIFS(工数管理!$AK$3:$AK$98,J$1,工数管理!$W$3:$W$98,"&lt;="&amp;$H23,工数管理!$X$3:$X$98,"&gt;="&amp;$H23)+COUNTIFS(工数管理!$AK$3:$AK$98,J$1,工数管理!$Y$3:$Y$98,"&lt;="&amp;$H23,工数管理!$Z$3:$Z$98,"&gt;="&amp;$H23)+COUNTIFS(工数管理!$AK$3:$AK$98,J$1,工数管理!$AA$3:$AA$98,"&lt;="&amp;$H23,工数管理!$AB$3:$AB$98,"&gt;="&amp;$H23)+COUNTIFS(工数管理!$AK$3:$AK$98,J$1,工数管理!$AC$3:$AC$98,"&lt;="&amp;$H23,工数管理!$AD$3:$AD$98,"&gt;="&amp;$H23)+COUNTIFS(工数管理!$AK$3:$AK$98,J$1,工数管理!$AE$3:$AE$98,"&lt;="&amp;$H23,工数管理!$AF$3:$AF$98,"&gt;="&amp;$H23)+COUNTIFS(工数管理!$AK$3:$AK$98,J$1,工数管理!$AG$3:$AG$98,"&lt;="&amp;$H23,工数管理!$AH$3:$AH$98,"&gt;="&amp;$H23)+(COUNTIFS(工数管理!$AK$3:$AK$98,J$1,工数管理!$K$3:$K$98,"&lt;="&amp;$H23,工数管理!$L$3:$L$98,"")+COUNTIFS(工数管理!$AK$3:$AK$98,J$1,工数管理!$M$3:$M$98,"&lt;="&amp;$H23,工数管理!$N$3:$N$98,"")+COUNTIFS(工数管理!$AK$3:$AK$98,J$1,工数管理!$O$3:$O$98,"&lt;="&amp;$H23,工数管理!$P$3:$P$98,"")+COUNTIFS(工数管理!$AK$3:$AK$98,J$1,工数管理!$Q$3:$Q$98,"&lt;="&amp;$H23,工数管理!$R$3:$R$98,"")+COUNTIFS(工数管理!$AK$3:$AK$98,J$1,工数管理!$S$3:$S$98,"&lt;="&amp;$H23,工数管理!$T$3:$T$98,"")+COUNTIFS(工数管理!$AK$3:$AK$98,J$1,工数管理!$U$3:$U$98,"&lt;="&amp;$H23,工数管理!$V$3:$V$98,"")+COUNTIFS(工数管理!$AK$3:$AK$98,J$1,工数管理!$W$3:$W$98,"&lt;="&amp;$H23,工数管理!$X$3:$X$98,"")+COUNTIFS(工数管理!$AK$3:$AK$98,J$1,工数管理!$Y$3:$Y$98,"&lt;="&amp;$H23,工数管理!$Z$3:$Z$98,"")+COUNTIFS(工数管理!$AK$3:$AK$98,J$1,工数管理!$AA$3:$AA$98,"&lt;="&amp;$H23,工数管理!$AB$3:$AB$98,"")+COUNTIFS(工数管理!$AK$3:$AK$98,J$1,工数管理!$AC$3:$AC$98,"&lt;="&amp;$H23,工数管理!$AD$3:$AD$98,"")+COUNTIFS(工数管理!$AK$3:$AK$98,J$1,工数管理!$AE$3:$AE$98,"&lt;="&amp;$H23,工数管理!$AF$3:$AF$98,"")+COUNTIFS(工数管理!$AK$3:$AK$98,J$1,工数管理!$AG$3:$AG$98,"&lt;="&amp;$H23,工数管理!$AH$3:$AH$98,""))*($H23&lt;=工数管理!$AI$1))</f>
        <v>1</v>
      </c>
      <c r="K23" s="42">
        <f ca="1">IF(K$1="",0,COUNTIFS(工数管理!$AK$3:$AK$98,K$1,工数管理!$K$3:$K$98,"&lt;="&amp;$H23,工数管理!$L$3:$L$98,"&gt;="&amp;$H23)+COUNTIFS(工数管理!$AK$3:$AK$98,K$1,工数管理!$M$3:$M$98,"&lt;="&amp;$H23,工数管理!$N$3:$N$98,"&gt;="&amp;$H23)+COUNTIFS(工数管理!$AK$3:$AK$98,K$1,工数管理!$O$3:$O$98,"&lt;="&amp;$H23,工数管理!$P$3:$P$98,"&gt;="&amp;$H23)+COUNTIFS(工数管理!$AK$3:$AK$98,K$1,工数管理!$Q$3:$Q$98,"&lt;="&amp;$H23,工数管理!$R$3:$R$98,"&gt;="&amp;$H23)+COUNTIFS(工数管理!$AK$3:$AK$98,K$1,工数管理!$S$3:$S$98,"&lt;="&amp;$H23,工数管理!$T$3:$T$98,"&gt;="&amp;$H23)+COUNTIFS(工数管理!$AK$3:$AK$98,K$1,工数管理!$U$3:$U$98,"&lt;="&amp;$H23,工数管理!$V$3:$V$98,"&gt;="&amp;$H23)+COUNTIFS(工数管理!$AK$3:$AK$98,K$1,工数管理!$W$3:$W$98,"&lt;="&amp;$H23,工数管理!$X$3:$X$98,"&gt;="&amp;$H23)+COUNTIFS(工数管理!$AK$3:$AK$98,K$1,工数管理!$Y$3:$Y$98,"&lt;="&amp;$H23,工数管理!$Z$3:$Z$98,"&gt;="&amp;$H23)+COUNTIFS(工数管理!$AK$3:$AK$98,K$1,工数管理!$AA$3:$AA$98,"&lt;="&amp;$H23,工数管理!$AB$3:$AB$98,"&gt;="&amp;$H23)+COUNTIFS(工数管理!$AK$3:$AK$98,K$1,工数管理!$AC$3:$AC$98,"&lt;="&amp;$H23,工数管理!$AD$3:$AD$98,"&gt;="&amp;$H23)+COUNTIFS(工数管理!$AK$3:$AK$98,K$1,工数管理!$AE$3:$AE$98,"&lt;="&amp;$H23,工数管理!$AF$3:$AF$98,"&gt;="&amp;$H23)+COUNTIFS(工数管理!$AK$3:$AK$98,K$1,工数管理!$AG$3:$AG$98,"&lt;="&amp;$H23,工数管理!$AH$3:$AH$98,"&gt;="&amp;$H23)+(COUNTIFS(工数管理!$AK$3:$AK$98,K$1,工数管理!$K$3:$K$98,"&lt;="&amp;$H23,工数管理!$L$3:$L$98,"")+COUNTIFS(工数管理!$AK$3:$AK$98,K$1,工数管理!$M$3:$M$98,"&lt;="&amp;$H23,工数管理!$N$3:$N$98,"")+COUNTIFS(工数管理!$AK$3:$AK$98,K$1,工数管理!$O$3:$O$98,"&lt;="&amp;$H23,工数管理!$P$3:$P$98,"")+COUNTIFS(工数管理!$AK$3:$AK$98,K$1,工数管理!$Q$3:$Q$98,"&lt;="&amp;$H23,工数管理!$R$3:$R$98,"")+COUNTIFS(工数管理!$AK$3:$AK$98,K$1,工数管理!$S$3:$S$98,"&lt;="&amp;$H23,工数管理!$T$3:$T$98,"")+COUNTIFS(工数管理!$AK$3:$AK$98,K$1,工数管理!$U$3:$U$98,"&lt;="&amp;$H23,工数管理!$V$3:$V$98,"")+COUNTIFS(工数管理!$AK$3:$AK$98,K$1,工数管理!$W$3:$W$98,"&lt;="&amp;$H23,工数管理!$X$3:$X$98,"")+COUNTIFS(工数管理!$AK$3:$AK$98,K$1,工数管理!$Y$3:$Y$98,"&lt;="&amp;$H23,工数管理!$Z$3:$Z$98,"")+COUNTIFS(工数管理!$AK$3:$AK$98,K$1,工数管理!$AA$3:$AA$98,"&lt;="&amp;$H23,工数管理!$AB$3:$AB$98,"")+COUNTIFS(工数管理!$AK$3:$AK$98,K$1,工数管理!$AC$3:$AC$98,"&lt;="&amp;$H23,工数管理!$AD$3:$AD$98,"")+COUNTIFS(工数管理!$AK$3:$AK$98,K$1,工数管理!$AE$3:$AE$98,"&lt;="&amp;$H23,工数管理!$AF$3:$AF$98,"")+COUNTIFS(工数管理!$AK$3:$AK$98,K$1,工数管理!$AG$3:$AG$98,"&lt;="&amp;$H23,工数管理!$AH$3:$AH$98,""))*($H23&lt;=工数管理!$AI$1))</f>
        <v>0</v>
      </c>
      <c r="L23" s="42">
        <f ca="1">IF(L$1="",0,COUNTIFS(工数管理!$AK$3:$AK$98,L$1,工数管理!$K$3:$K$98,"&lt;="&amp;$H23,工数管理!$L$3:$L$98,"&gt;="&amp;$H23)+COUNTIFS(工数管理!$AK$3:$AK$98,L$1,工数管理!$M$3:$M$98,"&lt;="&amp;$H23,工数管理!$N$3:$N$98,"&gt;="&amp;$H23)+COUNTIFS(工数管理!$AK$3:$AK$98,L$1,工数管理!$O$3:$O$98,"&lt;="&amp;$H23,工数管理!$P$3:$P$98,"&gt;="&amp;$H23)+COUNTIFS(工数管理!$AK$3:$AK$98,L$1,工数管理!$Q$3:$Q$98,"&lt;="&amp;$H23,工数管理!$R$3:$R$98,"&gt;="&amp;$H23)+COUNTIFS(工数管理!$AK$3:$AK$98,L$1,工数管理!$S$3:$S$98,"&lt;="&amp;$H23,工数管理!$T$3:$T$98,"&gt;="&amp;$H23)+COUNTIFS(工数管理!$AK$3:$AK$98,L$1,工数管理!$U$3:$U$98,"&lt;="&amp;$H23,工数管理!$V$3:$V$98,"&gt;="&amp;$H23)+COUNTIFS(工数管理!$AK$3:$AK$98,L$1,工数管理!$W$3:$W$98,"&lt;="&amp;$H23,工数管理!$X$3:$X$98,"&gt;="&amp;$H23)+COUNTIFS(工数管理!$AK$3:$AK$98,L$1,工数管理!$Y$3:$Y$98,"&lt;="&amp;$H23,工数管理!$Z$3:$Z$98,"&gt;="&amp;$H23)+COUNTIFS(工数管理!$AK$3:$AK$98,L$1,工数管理!$AA$3:$AA$98,"&lt;="&amp;$H23,工数管理!$AB$3:$AB$98,"&gt;="&amp;$H23)+COUNTIFS(工数管理!$AK$3:$AK$98,L$1,工数管理!$AC$3:$AC$98,"&lt;="&amp;$H23,工数管理!$AD$3:$AD$98,"&gt;="&amp;$H23)+COUNTIFS(工数管理!$AK$3:$AK$98,L$1,工数管理!$AE$3:$AE$98,"&lt;="&amp;$H23,工数管理!$AF$3:$AF$98,"&gt;="&amp;$H23)+COUNTIFS(工数管理!$AK$3:$AK$98,L$1,工数管理!$AG$3:$AG$98,"&lt;="&amp;$H23,工数管理!$AH$3:$AH$98,"&gt;="&amp;$H23)+(COUNTIFS(工数管理!$AK$3:$AK$98,L$1,工数管理!$K$3:$K$98,"&lt;="&amp;$H23,工数管理!$L$3:$L$98,"")+COUNTIFS(工数管理!$AK$3:$AK$98,L$1,工数管理!$M$3:$M$98,"&lt;="&amp;$H23,工数管理!$N$3:$N$98,"")+COUNTIFS(工数管理!$AK$3:$AK$98,L$1,工数管理!$O$3:$O$98,"&lt;="&amp;$H23,工数管理!$P$3:$P$98,"")+COUNTIFS(工数管理!$AK$3:$AK$98,L$1,工数管理!$Q$3:$Q$98,"&lt;="&amp;$H23,工数管理!$R$3:$R$98,"")+COUNTIFS(工数管理!$AK$3:$AK$98,L$1,工数管理!$S$3:$S$98,"&lt;="&amp;$H23,工数管理!$T$3:$T$98,"")+COUNTIFS(工数管理!$AK$3:$AK$98,L$1,工数管理!$U$3:$U$98,"&lt;="&amp;$H23,工数管理!$V$3:$V$98,"")+COUNTIFS(工数管理!$AK$3:$AK$98,L$1,工数管理!$W$3:$W$98,"&lt;="&amp;$H23,工数管理!$X$3:$X$98,"")+COUNTIFS(工数管理!$AK$3:$AK$98,L$1,工数管理!$Y$3:$Y$98,"&lt;="&amp;$H23,工数管理!$Z$3:$Z$98,"")+COUNTIFS(工数管理!$AK$3:$AK$98,L$1,工数管理!$AA$3:$AA$98,"&lt;="&amp;$H23,工数管理!$AB$3:$AB$98,"")+COUNTIFS(工数管理!$AK$3:$AK$98,L$1,工数管理!$AC$3:$AC$98,"&lt;="&amp;$H23,工数管理!$AD$3:$AD$98,"")+COUNTIFS(工数管理!$AK$3:$AK$98,L$1,工数管理!$AE$3:$AE$98,"&lt;="&amp;$H23,工数管理!$AF$3:$AF$98,"")+COUNTIFS(工数管理!$AK$3:$AK$98,L$1,工数管理!$AG$3:$AG$98,"&lt;="&amp;$H23,工数管理!$AH$3:$AH$98,""))*($H23&lt;=工数管理!$AI$1))</f>
        <v>0</v>
      </c>
    </row>
    <row r="24" spans="1:12" x14ac:dyDescent="0.15">
      <c r="A24" s="5">
        <v>46329</v>
      </c>
      <c r="B24" s="6" t="s">
        <v>85</v>
      </c>
      <c r="H24" s="41">
        <f t="shared" si="1"/>
        <v>46192</v>
      </c>
      <c r="I24" s="42">
        <f t="shared" si="0"/>
        <v>1</v>
      </c>
      <c r="J24" s="42">
        <f ca="1">IF(J$1="",0,COUNTIFS(工数管理!$AK$3:$AK$98,J$1,工数管理!$K$3:$K$98,"&lt;="&amp;$H24,工数管理!$L$3:$L$98,"&gt;="&amp;$H24)+COUNTIFS(工数管理!$AK$3:$AK$98,J$1,工数管理!$M$3:$M$98,"&lt;="&amp;$H24,工数管理!$N$3:$N$98,"&gt;="&amp;$H24)+COUNTIFS(工数管理!$AK$3:$AK$98,J$1,工数管理!$O$3:$O$98,"&lt;="&amp;$H24,工数管理!$P$3:$P$98,"&gt;="&amp;$H24)+COUNTIFS(工数管理!$AK$3:$AK$98,J$1,工数管理!$Q$3:$Q$98,"&lt;="&amp;$H24,工数管理!$R$3:$R$98,"&gt;="&amp;$H24)+COUNTIFS(工数管理!$AK$3:$AK$98,J$1,工数管理!$S$3:$S$98,"&lt;="&amp;$H24,工数管理!$T$3:$T$98,"&gt;="&amp;$H24)+COUNTIFS(工数管理!$AK$3:$AK$98,J$1,工数管理!$U$3:$U$98,"&lt;="&amp;$H24,工数管理!$V$3:$V$98,"&gt;="&amp;$H24)+COUNTIFS(工数管理!$AK$3:$AK$98,J$1,工数管理!$W$3:$W$98,"&lt;="&amp;$H24,工数管理!$X$3:$X$98,"&gt;="&amp;$H24)+COUNTIFS(工数管理!$AK$3:$AK$98,J$1,工数管理!$Y$3:$Y$98,"&lt;="&amp;$H24,工数管理!$Z$3:$Z$98,"&gt;="&amp;$H24)+COUNTIFS(工数管理!$AK$3:$AK$98,J$1,工数管理!$AA$3:$AA$98,"&lt;="&amp;$H24,工数管理!$AB$3:$AB$98,"&gt;="&amp;$H24)+COUNTIFS(工数管理!$AK$3:$AK$98,J$1,工数管理!$AC$3:$AC$98,"&lt;="&amp;$H24,工数管理!$AD$3:$AD$98,"&gt;="&amp;$H24)+COUNTIFS(工数管理!$AK$3:$AK$98,J$1,工数管理!$AE$3:$AE$98,"&lt;="&amp;$H24,工数管理!$AF$3:$AF$98,"&gt;="&amp;$H24)+COUNTIFS(工数管理!$AK$3:$AK$98,J$1,工数管理!$AG$3:$AG$98,"&lt;="&amp;$H24,工数管理!$AH$3:$AH$98,"&gt;="&amp;$H24)+(COUNTIFS(工数管理!$AK$3:$AK$98,J$1,工数管理!$K$3:$K$98,"&lt;="&amp;$H24,工数管理!$L$3:$L$98,"")+COUNTIFS(工数管理!$AK$3:$AK$98,J$1,工数管理!$M$3:$M$98,"&lt;="&amp;$H24,工数管理!$N$3:$N$98,"")+COUNTIFS(工数管理!$AK$3:$AK$98,J$1,工数管理!$O$3:$O$98,"&lt;="&amp;$H24,工数管理!$P$3:$P$98,"")+COUNTIFS(工数管理!$AK$3:$AK$98,J$1,工数管理!$Q$3:$Q$98,"&lt;="&amp;$H24,工数管理!$R$3:$R$98,"")+COUNTIFS(工数管理!$AK$3:$AK$98,J$1,工数管理!$S$3:$S$98,"&lt;="&amp;$H24,工数管理!$T$3:$T$98,"")+COUNTIFS(工数管理!$AK$3:$AK$98,J$1,工数管理!$U$3:$U$98,"&lt;="&amp;$H24,工数管理!$V$3:$V$98,"")+COUNTIFS(工数管理!$AK$3:$AK$98,J$1,工数管理!$W$3:$W$98,"&lt;="&amp;$H24,工数管理!$X$3:$X$98,"")+COUNTIFS(工数管理!$AK$3:$AK$98,J$1,工数管理!$Y$3:$Y$98,"&lt;="&amp;$H24,工数管理!$Z$3:$Z$98,"")+COUNTIFS(工数管理!$AK$3:$AK$98,J$1,工数管理!$AA$3:$AA$98,"&lt;="&amp;$H24,工数管理!$AB$3:$AB$98,"")+COUNTIFS(工数管理!$AK$3:$AK$98,J$1,工数管理!$AC$3:$AC$98,"&lt;="&amp;$H24,工数管理!$AD$3:$AD$98,"")+COUNTIFS(工数管理!$AK$3:$AK$98,J$1,工数管理!$AE$3:$AE$98,"&lt;="&amp;$H24,工数管理!$AF$3:$AF$98,"")+COUNTIFS(工数管理!$AK$3:$AK$98,J$1,工数管理!$AG$3:$AG$98,"&lt;="&amp;$H24,工数管理!$AH$3:$AH$98,""))*($H24&lt;=工数管理!$AI$1))</f>
        <v>1</v>
      </c>
      <c r="K24" s="42">
        <f ca="1">IF(K$1="",0,COUNTIFS(工数管理!$AK$3:$AK$98,K$1,工数管理!$K$3:$K$98,"&lt;="&amp;$H24,工数管理!$L$3:$L$98,"&gt;="&amp;$H24)+COUNTIFS(工数管理!$AK$3:$AK$98,K$1,工数管理!$M$3:$M$98,"&lt;="&amp;$H24,工数管理!$N$3:$N$98,"&gt;="&amp;$H24)+COUNTIFS(工数管理!$AK$3:$AK$98,K$1,工数管理!$O$3:$O$98,"&lt;="&amp;$H24,工数管理!$P$3:$P$98,"&gt;="&amp;$H24)+COUNTIFS(工数管理!$AK$3:$AK$98,K$1,工数管理!$Q$3:$Q$98,"&lt;="&amp;$H24,工数管理!$R$3:$R$98,"&gt;="&amp;$H24)+COUNTIFS(工数管理!$AK$3:$AK$98,K$1,工数管理!$S$3:$S$98,"&lt;="&amp;$H24,工数管理!$T$3:$T$98,"&gt;="&amp;$H24)+COUNTIFS(工数管理!$AK$3:$AK$98,K$1,工数管理!$U$3:$U$98,"&lt;="&amp;$H24,工数管理!$V$3:$V$98,"&gt;="&amp;$H24)+COUNTIFS(工数管理!$AK$3:$AK$98,K$1,工数管理!$W$3:$W$98,"&lt;="&amp;$H24,工数管理!$X$3:$X$98,"&gt;="&amp;$H24)+COUNTIFS(工数管理!$AK$3:$AK$98,K$1,工数管理!$Y$3:$Y$98,"&lt;="&amp;$H24,工数管理!$Z$3:$Z$98,"&gt;="&amp;$H24)+COUNTIFS(工数管理!$AK$3:$AK$98,K$1,工数管理!$AA$3:$AA$98,"&lt;="&amp;$H24,工数管理!$AB$3:$AB$98,"&gt;="&amp;$H24)+COUNTIFS(工数管理!$AK$3:$AK$98,K$1,工数管理!$AC$3:$AC$98,"&lt;="&amp;$H24,工数管理!$AD$3:$AD$98,"&gt;="&amp;$H24)+COUNTIFS(工数管理!$AK$3:$AK$98,K$1,工数管理!$AE$3:$AE$98,"&lt;="&amp;$H24,工数管理!$AF$3:$AF$98,"&gt;="&amp;$H24)+COUNTIFS(工数管理!$AK$3:$AK$98,K$1,工数管理!$AG$3:$AG$98,"&lt;="&amp;$H24,工数管理!$AH$3:$AH$98,"&gt;="&amp;$H24)+(COUNTIFS(工数管理!$AK$3:$AK$98,K$1,工数管理!$K$3:$K$98,"&lt;="&amp;$H24,工数管理!$L$3:$L$98,"")+COUNTIFS(工数管理!$AK$3:$AK$98,K$1,工数管理!$M$3:$M$98,"&lt;="&amp;$H24,工数管理!$N$3:$N$98,"")+COUNTIFS(工数管理!$AK$3:$AK$98,K$1,工数管理!$O$3:$O$98,"&lt;="&amp;$H24,工数管理!$P$3:$P$98,"")+COUNTIFS(工数管理!$AK$3:$AK$98,K$1,工数管理!$Q$3:$Q$98,"&lt;="&amp;$H24,工数管理!$R$3:$R$98,"")+COUNTIFS(工数管理!$AK$3:$AK$98,K$1,工数管理!$S$3:$S$98,"&lt;="&amp;$H24,工数管理!$T$3:$T$98,"")+COUNTIFS(工数管理!$AK$3:$AK$98,K$1,工数管理!$U$3:$U$98,"&lt;="&amp;$H24,工数管理!$V$3:$V$98,"")+COUNTIFS(工数管理!$AK$3:$AK$98,K$1,工数管理!$W$3:$W$98,"&lt;="&amp;$H24,工数管理!$X$3:$X$98,"")+COUNTIFS(工数管理!$AK$3:$AK$98,K$1,工数管理!$Y$3:$Y$98,"&lt;="&amp;$H24,工数管理!$Z$3:$Z$98,"")+COUNTIFS(工数管理!$AK$3:$AK$98,K$1,工数管理!$AA$3:$AA$98,"&lt;="&amp;$H24,工数管理!$AB$3:$AB$98,"")+COUNTIFS(工数管理!$AK$3:$AK$98,K$1,工数管理!$AC$3:$AC$98,"&lt;="&amp;$H24,工数管理!$AD$3:$AD$98,"")+COUNTIFS(工数管理!$AK$3:$AK$98,K$1,工数管理!$AE$3:$AE$98,"&lt;="&amp;$H24,工数管理!$AF$3:$AF$98,"")+COUNTIFS(工数管理!$AK$3:$AK$98,K$1,工数管理!$AG$3:$AG$98,"&lt;="&amp;$H24,工数管理!$AH$3:$AH$98,""))*($H24&lt;=工数管理!$AI$1))</f>
        <v>0</v>
      </c>
      <c r="L24" s="42">
        <f ca="1">IF(L$1="",0,COUNTIFS(工数管理!$AK$3:$AK$98,L$1,工数管理!$K$3:$K$98,"&lt;="&amp;$H24,工数管理!$L$3:$L$98,"&gt;="&amp;$H24)+COUNTIFS(工数管理!$AK$3:$AK$98,L$1,工数管理!$M$3:$M$98,"&lt;="&amp;$H24,工数管理!$N$3:$N$98,"&gt;="&amp;$H24)+COUNTIFS(工数管理!$AK$3:$AK$98,L$1,工数管理!$O$3:$O$98,"&lt;="&amp;$H24,工数管理!$P$3:$P$98,"&gt;="&amp;$H24)+COUNTIFS(工数管理!$AK$3:$AK$98,L$1,工数管理!$Q$3:$Q$98,"&lt;="&amp;$H24,工数管理!$R$3:$R$98,"&gt;="&amp;$H24)+COUNTIFS(工数管理!$AK$3:$AK$98,L$1,工数管理!$S$3:$S$98,"&lt;="&amp;$H24,工数管理!$T$3:$T$98,"&gt;="&amp;$H24)+COUNTIFS(工数管理!$AK$3:$AK$98,L$1,工数管理!$U$3:$U$98,"&lt;="&amp;$H24,工数管理!$V$3:$V$98,"&gt;="&amp;$H24)+COUNTIFS(工数管理!$AK$3:$AK$98,L$1,工数管理!$W$3:$W$98,"&lt;="&amp;$H24,工数管理!$X$3:$X$98,"&gt;="&amp;$H24)+COUNTIFS(工数管理!$AK$3:$AK$98,L$1,工数管理!$Y$3:$Y$98,"&lt;="&amp;$H24,工数管理!$Z$3:$Z$98,"&gt;="&amp;$H24)+COUNTIFS(工数管理!$AK$3:$AK$98,L$1,工数管理!$AA$3:$AA$98,"&lt;="&amp;$H24,工数管理!$AB$3:$AB$98,"&gt;="&amp;$H24)+COUNTIFS(工数管理!$AK$3:$AK$98,L$1,工数管理!$AC$3:$AC$98,"&lt;="&amp;$H24,工数管理!$AD$3:$AD$98,"&gt;="&amp;$H24)+COUNTIFS(工数管理!$AK$3:$AK$98,L$1,工数管理!$AE$3:$AE$98,"&lt;="&amp;$H24,工数管理!$AF$3:$AF$98,"&gt;="&amp;$H24)+COUNTIFS(工数管理!$AK$3:$AK$98,L$1,工数管理!$AG$3:$AG$98,"&lt;="&amp;$H24,工数管理!$AH$3:$AH$98,"&gt;="&amp;$H24)+(COUNTIFS(工数管理!$AK$3:$AK$98,L$1,工数管理!$K$3:$K$98,"&lt;="&amp;$H24,工数管理!$L$3:$L$98,"")+COUNTIFS(工数管理!$AK$3:$AK$98,L$1,工数管理!$M$3:$M$98,"&lt;="&amp;$H24,工数管理!$N$3:$N$98,"")+COUNTIFS(工数管理!$AK$3:$AK$98,L$1,工数管理!$O$3:$O$98,"&lt;="&amp;$H24,工数管理!$P$3:$P$98,"")+COUNTIFS(工数管理!$AK$3:$AK$98,L$1,工数管理!$Q$3:$Q$98,"&lt;="&amp;$H24,工数管理!$R$3:$R$98,"")+COUNTIFS(工数管理!$AK$3:$AK$98,L$1,工数管理!$S$3:$S$98,"&lt;="&amp;$H24,工数管理!$T$3:$T$98,"")+COUNTIFS(工数管理!$AK$3:$AK$98,L$1,工数管理!$U$3:$U$98,"&lt;="&amp;$H24,工数管理!$V$3:$V$98,"")+COUNTIFS(工数管理!$AK$3:$AK$98,L$1,工数管理!$W$3:$W$98,"&lt;="&amp;$H24,工数管理!$X$3:$X$98,"")+COUNTIFS(工数管理!$AK$3:$AK$98,L$1,工数管理!$Y$3:$Y$98,"&lt;="&amp;$H24,工数管理!$Z$3:$Z$98,"")+COUNTIFS(工数管理!$AK$3:$AK$98,L$1,工数管理!$AA$3:$AA$98,"&lt;="&amp;$H24,工数管理!$AB$3:$AB$98,"")+COUNTIFS(工数管理!$AK$3:$AK$98,L$1,工数管理!$AC$3:$AC$98,"&lt;="&amp;$H24,工数管理!$AD$3:$AD$98,"")+COUNTIFS(工数管理!$AK$3:$AK$98,L$1,工数管理!$AE$3:$AE$98,"&lt;="&amp;$H24,工数管理!$AF$3:$AF$98,"")+COUNTIFS(工数管理!$AK$3:$AK$98,L$1,工数管理!$AG$3:$AG$98,"&lt;="&amp;$H24,工数管理!$AH$3:$AH$98,""))*($H24&lt;=工数管理!$AI$1))</f>
        <v>0</v>
      </c>
    </row>
    <row r="25" spans="1:12" x14ac:dyDescent="0.15">
      <c r="A25" s="5">
        <v>46349</v>
      </c>
      <c r="B25" s="6" t="s">
        <v>86</v>
      </c>
      <c r="H25" s="41">
        <f t="shared" si="1"/>
        <v>46193</v>
      </c>
      <c r="I25" s="42">
        <f t="shared" si="0"/>
        <v>0</v>
      </c>
      <c r="J25" s="42">
        <f ca="1">IF(J$1="",0,COUNTIFS(工数管理!$AK$3:$AK$98,J$1,工数管理!$K$3:$K$98,"&lt;="&amp;$H25,工数管理!$L$3:$L$98,"&gt;="&amp;$H25)+COUNTIFS(工数管理!$AK$3:$AK$98,J$1,工数管理!$M$3:$M$98,"&lt;="&amp;$H25,工数管理!$N$3:$N$98,"&gt;="&amp;$H25)+COUNTIFS(工数管理!$AK$3:$AK$98,J$1,工数管理!$O$3:$O$98,"&lt;="&amp;$H25,工数管理!$P$3:$P$98,"&gt;="&amp;$H25)+COUNTIFS(工数管理!$AK$3:$AK$98,J$1,工数管理!$Q$3:$Q$98,"&lt;="&amp;$H25,工数管理!$R$3:$R$98,"&gt;="&amp;$H25)+COUNTIFS(工数管理!$AK$3:$AK$98,J$1,工数管理!$S$3:$S$98,"&lt;="&amp;$H25,工数管理!$T$3:$T$98,"&gt;="&amp;$H25)+COUNTIFS(工数管理!$AK$3:$AK$98,J$1,工数管理!$U$3:$U$98,"&lt;="&amp;$H25,工数管理!$V$3:$V$98,"&gt;="&amp;$H25)+COUNTIFS(工数管理!$AK$3:$AK$98,J$1,工数管理!$W$3:$W$98,"&lt;="&amp;$H25,工数管理!$X$3:$X$98,"&gt;="&amp;$H25)+COUNTIFS(工数管理!$AK$3:$AK$98,J$1,工数管理!$Y$3:$Y$98,"&lt;="&amp;$H25,工数管理!$Z$3:$Z$98,"&gt;="&amp;$H25)+COUNTIFS(工数管理!$AK$3:$AK$98,J$1,工数管理!$AA$3:$AA$98,"&lt;="&amp;$H25,工数管理!$AB$3:$AB$98,"&gt;="&amp;$H25)+COUNTIFS(工数管理!$AK$3:$AK$98,J$1,工数管理!$AC$3:$AC$98,"&lt;="&amp;$H25,工数管理!$AD$3:$AD$98,"&gt;="&amp;$H25)+COUNTIFS(工数管理!$AK$3:$AK$98,J$1,工数管理!$AE$3:$AE$98,"&lt;="&amp;$H25,工数管理!$AF$3:$AF$98,"&gt;="&amp;$H25)+COUNTIFS(工数管理!$AK$3:$AK$98,J$1,工数管理!$AG$3:$AG$98,"&lt;="&amp;$H25,工数管理!$AH$3:$AH$98,"&gt;="&amp;$H25)+(COUNTIFS(工数管理!$AK$3:$AK$98,J$1,工数管理!$K$3:$K$98,"&lt;="&amp;$H25,工数管理!$L$3:$L$98,"")+COUNTIFS(工数管理!$AK$3:$AK$98,J$1,工数管理!$M$3:$M$98,"&lt;="&amp;$H25,工数管理!$N$3:$N$98,"")+COUNTIFS(工数管理!$AK$3:$AK$98,J$1,工数管理!$O$3:$O$98,"&lt;="&amp;$H25,工数管理!$P$3:$P$98,"")+COUNTIFS(工数管理!$AK$3:$AK$98,J$1,工数管理!$Q$3:$Q$98,"&lt;="&amp;$H25,工数管理!$R$3:$R$98,"")+COUNTIFS(工数管理!$AK$3:$AK$98,J$1,工数管理!$S$3:$S$98,"&lt;="&amp;$H25,工数管理!$T$3:$T$98,"")+COUNTIFS(工数管理!$AK$3:$AK$98,J$1,工数管理!$U$3:$U$98,"&lt;="&amp;$H25,工数管理!$V$3:$V$98,"")+COUNTIFS(工数管理!$AK$3:$AK$98,J$1,工数管理!$W$3:$W$98,"&lt;="&amp;$H25,工数管理!$X$3:$X$98,"")+COUNTIFS(工数管理!$AK$3:$AK$98,J$1,工数管理!$Y$3:$Y$98,"&lt;="&amp;$H25,工数管理!$Z$3:$Z$98,"")+COUNTIFS(工数管理!$AK$3:$AK$98,J$1,工数管理!$AA$3:$AA$98,"&lt;="&amp;$H25,工数管理!$AB$3:$AB$98,"")+COUNTIFS(工数管理!$AK$3:$AK$98,J$1,工数管理!$AC$3:$AC$98,"&lt;="&amp;$H25,工数管理!$AD$3:$AD$98,"")+COUNTIFS(工数管理!$AK$3:$AK$98,J$1,工数管理!$AE$3:$AE$98,"&lt;="&amp;$H25,工数管理!$AF$3:$AF$98,"")+COUNTIFS(工数管理!$AK$3:$AK$98,J$1,工数管理!$AG$3:$AG$98,"&lt;="&amp;$H25,工数管理!$AH$3:$AH$98,""))*($H25&lt;=工数管理!$AI$1))</f>
        <v>1</v>
      </c>
      <c r="K25" s="42">
        <f ca="1">IF(K$1="",0,COUNTIFS(工数管理!$AK$3:$AK$98,K$1,工数管理!$K$3:$K$98,"&lt;="&amp;$H25,工数管理!$L$3:$L$98,"&gt;="&amp;$H25)+COUNTIFS(工数管理!$AK$3:$AK$98,K$1,工数管理!$M$3:$M$98,"&lt;="&amp;$H25,工数管理!$N$3:$N$98,"&gt;="&amp;$H25)+COUNTIFS(工数管理!$AK$3:$AK$98,K$1,工数管理!$O$3:$O$98,"&lt;="&amp;$H25,工数管理!$P$3:$P$98,"&gt;="&amp;$H25)+COUNTIFS(工数管理!$AK$3:$AK$98,K$1,工数管理!$Q$3:$Q$98,"&lt;="&amp;$H25,工数管理!$R$3:$R$98,"&gt;="&amp;$H25)+COUNTIFS(工数管理!$AK$3:$AK$98,K$1,工数管理!$S$3:$S$98,"&lt;="&amp;$H25,工数管理!$T$3:$T$98,"&gt;="&amp;$H25)+COUNTIFS(工数管理!$AK$3:$AK$98,K$1,工数管理!$U$3:$U$98,"&lt;="&amp;$H25,工数管理!$V$3:$V$98,"&gt;="&amp;$H25)+COUNTIFS(工数管理!$AK$3:$AK$98,K$1,工数管理!$W$3:$W$98,"&lt;="&amp;$H25,工数管理!$X$3:$X$98,"&gt;="&amp;$H25)+COUNTIFS(工数管理!$AK$3:$AK$98,K$1,工数管理!$Y$3:$Y$98,"&lt;="&amp;$H25,工数管理!$Z$3:$Z$98,"&gt;="&amp;$H25)+COUNTIFS(工数管理!$AK$3:$AK$98,K$1,工数管理!$AA$3:$AA$98,"&lt;="&amp;$H25,工数管理!$AB$3:$AB$98,"&gt;="&amp;$H25)+COUNTIFS(工数管理!$AK$3:$AK$98,K$1,工数管理!$AC$3:$AC$98,"&lt;="&amp;$H25,工数管理!$AD$3:$AD$98,"&gt;="&amp;$H25)+COUNTIFS(工数管理!$AK$3:$AK$98,K$1,工数管理!$AE$3:$AE$98,"&lt;="&amp;$H25,工数管理!$AF$3:$AF$98,"&gt;="&amp;$H25)+COUNTIFS(工数管理!$AK$3:$AK$98,K$1,工数管理!$AG$3:$AG$98,"&lt;="&amp;$H25,工数管理!$AH$3:$AH$98,"&gt;="&amp;$H25)+(COUNTIFS(工数管理!$AK$3:$AK$98,K$1,工数管理!$K$3:$K$98,"&lt;="&amp;$H25,工数管理!$L$3:$L$98,"")+COUNTIFS(工数管理!$AK$3:$AK$98,K$1,工数管理!$M$3:$M$98,"&lt;="&amp;$H25,工数管理!$N$3:$N$98,"")+COUNTIFS(工数管理!$AK$3:$AK$98,K$1,工数管理!$O$3:$O$98,"&lt;="&amp;$H25,工数管理!$P$3:$P$98,"")+COUNTIFS(工数管理!$AK$3:$AK$98,K$1,工数管理!$Q$3:$Q$98,"&lt;="&amp;$H25,工数管理!$R$3:$R$98,"")+COUNTIFS(工数管理!$AK$3:$AK$98,K$1,工数管理!$S$3:$S$98,"&lt;="&amp;$H25,工数管理!$T$3:$T$98,"")+COUNTIFS(工数管理!$AK$3:$AK$98,K$1,工数管理!$U$3:$U$98,"&lt;="&amp;$H25,工数管理!$V$3:$V$98,"")+COUNTIFS(工数管理!$AK$3:$AK$98,K$1,工数管理!$W$3:$W$98,"&lt;="&amp;$H25,工数管理!$X$3:$X$98,"")+COUNTIFS(工数管理!$AK$3:$AK$98,K$1,工数管理!$Y$3:$Y$98,"&lt;="&amp;$H25,工数管理!$Z$3:$Z$98,"")+COUNTIFS(工数管理!$AK$3:$AK$98,K$1,工数管理!$AA$3:$AA$98,"&lt;="&amp;$H25,工数管理!$AB$3:$AB$98,"")+COUNTIFS(工数管理!$AK$3:$AK$98,K$1,工数管理!$AC$3:$AC$98,"&lt;="&amp;$H25,工数管理!$AD$3:$AD$98,"")+COUNTIFS(工数管理!$AK$3:$AK$98,K$1,工数管理!$AE$3:$AE$98,"&lt;="&amp;$H25,工数管理!$AF$3:$AF$98,"")+COUNTIFS(工数管理!$AK$3:$AK$98,K$1,工数管理!$AG$3:$AG$98,"&lt;="&amp;$H25,工数管理!$AH$3:$AH$98,""))*($H25&lt;=工数管理!$AI$1))</f>
        <v>0</v>
      </c>
      <c r="L25" s="42">
        <f ca="1">IF(L$1="",0,COUNTIFS(工数管理!$AK$3:$AK$98,L$1,工数管理!$K$3:$K$98,"&lt;="&amp;$H25,工数管理!$L$3:$L$98,"&gt;="&amp;$H25)+COUNTIFS(工数管理!$AK$3:$AK$98,L$1,工数管理!$M$3:$M$98,"&lt;="&amp;$H25,工数管理!$N$3:$N$98,"&gt;="&amp;$H25)+COUNTIFS(工数管理!$AK$3:$AK$98,L$1,工数管理!$O$3:$O$98,"&lt;="&amp;$H25,工数管理!$P$3:$P$98,"&gt;="&amp;$H25)+COUNTIFS(工数管理!$AK$3:$AK$98,L$1,工数管理!$Q$3:$Q$98,"&lt;="&amp;$H25,工数管理!$R$3:$R$98,"&gt;="&amp;$H25)+COUNTIFS(工数管理!$AK$3:$AK$98,L$1,工数管理!$S$3:$S$98,"&lt;="&amp;$H25,工数管理!$T$3:$T$98,"&gt;="&amp;$H25)+COUNTIFS(工数管理!$AK$3:$AK$98,L$1,工数管理!$U$3:$U$98,"&lt;="&amp;$H25,工数管理!$V$3:$V$98,"&gt;="&amp;$H25)+COUNTIFS(工数管理!$AK$3:$AK$98,L$1,工数管理!$W$3:$W$98,"&lt;="&amp;$H25,工数管理!$X$3:$X$98,"&gt;="&amp;$H25)+COUNTIFS(工数管理!$AK$3:$AK$98,L$1,工数管理!$Y$3:$Y$98,"&lt;="&amp;$H25,工数管理!$Z$3:$Z$98,"&gt;="&amp;$H25)+COUNTIFS(工数管理!$AK$3:$AK$98,L$1,工数管理!$AA$3:$AA$98,"&lt;="&amp;$H25,工数管理!$AB$3:$AB$98,"&gt;="&amp;$H25)+COUNTIFS(工数管理!$AK$3:$AK$98,L$1,工数管理!$AC$3:$AC$98,"&lt;="&amp;$H25,工数管理!$AD$3:$AD$98,"&gt;="&amp;$H25)+COUNTIFS(工数管理!$AK$3:$AK$98,L$1,工数管理!$AE$3:$AE$98,"&lt;="&amp;$H25,工数管理!$AF$3:$AF$98,"&gt;="&amp;$H25)+COUNTIFS(工数管理!$AK$3:$AK$98,L$1,工数管理!$AG$3:$AG$98,"&lt;="&amp;$H25,工数管理!$AH$3:$AH$98,"&gt;="&amp;$H25)+(COUNTIFS(工数管理!$AK$3:$AK$98,L$1,工数管理!$K$3:$K$98,"&lt;="&amp;$H25,工数管理!$L$3:$L$98,"")+COUNTIFS(工数管理!$AK$3:$AK$98,L$1,工数管理!$M$3:$M$98,"&lt;="&amp;$H25,工数管理!$N$3:$N$98,"")+COUNTIFS(工数管理!$AK$3:$AK$98,L$1,工数管理!$O$3:$O$98,"&lt;="&amp;$H25,工数管理!$P$3:$P$98,"")+COUNTIFS(工数管理!$AK$3:$AK$98,L$1,工数管理!$Q$3:$Q$98,"&lt;="&amp;$H25,工数管理!$R$3:$R$98,"")+COUNTIFS(工数管理!$AK$3:$AK$98,L$1,工数管理!$S$3:$S$98,"&lt;="&amp;$H25,工数管理!$T$3:$T$98,"")+COUNTIFS(工数管理!$AK$3:$AK$98,L$1,工数管理!$U$3:$U$98,"&lt;="&amp;$H25,工数管理!$V$3:$V$98,"")+COUNTIFS(工数管理!$AK$3:$AK$98,L$1,工数管理!$W$3:$W$98,"&lt;="&amp;$H25,工数管理!$X$3:$X$98,"")+COUNTIFS(工数管理!$AK$3:$AK$98,L$1,工数管理!$Y$3:$Y$98,"&lt;="&amp;$H25,工数管理!$Z$3:$Z$98,"")+COUNTIFS(工数管理!$AK$3:$AK$98,L$1,工数管理!$AA$3:$AA$98,"&lt;="&amp;$H25,工数管理!$AB$3:$AB$98,"")+COUNTIFS(工数管理!$AK$3:$AK$98,L$1,工数管理!$AC$3:$AC$98,"&lt;="&amp;$H25,工数管理!$AD$3:$AD$98,"")+COUNTIFS(工数管理!$AK$3:$AK$98,L$1,工数管理!$AE$3:$AE$98,"&lt;="&amp;$H25,工数管理!$AF$3:$AF$98,"")+COUNTIFS(工数管理!$AK$3:$AK$98,L$1,工数管理!$AG$3:$AG$98,"&lt;="&amp;$H25,工数管理!$AH$3:$AH$98,""))*($H25&lt;=工数管理!$AI$1))</f>
        <v>0</v>
      </c>
    </row>
    <row r="26" spans="1:12" x14ac:dyDescent="0.15">
      <c r="A26" s="5">
        <v>46385</v>
      </c>
      <c r="B26" s="6" t="s">
        <v>65</v>
      </c>
      <c r="H26" s="41">
        <f t="shared" si="1"/>
        <v>46194</v>
      </c>
      <c r="I26" s="42">
        <f t="shared" si="0"/>
        <v>0</v>
      </c>
      <c r="J26" s="42">
        <f ca="1">IF(J$1="",0,COUNTIFS(工数管理!$AK$3:$AK$98,J$1,工数管理!$K$3:$K$98,"&lt;="&amp;$H26,工数管理!$L$3:$L$98,"&gt;="&amp;$H26)+COUNTIFS(工数管理!$AK$3:$AK$98,J$1,工数管理!$M$3:$M$98,"&lt;="&amp;$H26,工数管理!$N$3:$N$98,"&gt;="&amp;$H26)+COUNTIFS(工数管理!$AK$3:$AK$98,J$1,工数管理!$O$3:$O$98,"&lt;="&amp;$H26,工数管理!$P$3:$P$98,"&gt;="&amp;$H26)+COUNTIFS(工数管理!$AK$3:$AK$98,J$1,工数管理!$Q$3:$Q$98,"&lt;="&amp;$H26,工数管理!$R$3:$R$98,"&gt;="&amp;$H26)+COUNTIFS(工数管理!$AK$3:$AK$98,J$1,工数管理!$S$3:$S$98,"&lt;="&amp;$H26,工数管理!$T$3:$T$98,"&gt;="&amp;$H26)+COUNTIFS(工数管理!$AK$3:$AK$98,J$1,工数管理!$U$3:$U$98,"&lt;="&amp;$H26,工数管理!$V$3:$V$98,"&gt;="&amp;$H26)+COUNTIFS(工数管理!$AK$3:$AK$98,J$1,工数管理!$W$3:$W$98,"&lt;="&amp;$H26,工数管理!$X$3:$X$98,"&gt;="&amp;$H26)+COUNTIFS(工数管理!$AK$3:$AK$98,J$1,工数管理!$Y$3:$Y$98,"&lt;="&amp;$H26,工数管理!$Z$3:$Z$98,"&gt;="&amp;$H26)+COUNTIFS(工数管理!$AK$3:$AK$98,J$1,工数管理!$AA$3:$AA$98,"&lt;="&amp;$H26,工数管理!$AB$3:$AB$98,"&gt;="&amp;$H26)+COUNTIFS(工数管理!$AK$3:$AK$98,J$1,工数管理!$AC$3:$AC$98,"&lt;="&amp;$H26,工数管理!$AD$3:$AD$98,"&gt;="&amp;$H26)+COUNTIFS(工数管理!$AK$3:$AK$98,J$1,工数管理!$AE$3:$AE$98,"&lt;="&amp;$H26,工数管理!$AF$3:$AF$98,"&gt;="&amp;$H26)+COUNTIFS(工数管理!$AK$3:$AK$98,J$1,工数管理!$AG$3:$AG$98,"&lt;="&amp;$H26,工数管理!$AH$3:$AH$98,"&gt;="&amp;$H26)+(COUNTIFS(工数管理!$AK$3:$AK$98,J$1,工数管理!$K$3:$K$98,"&lt;="&amp;$H26,工数管理!$L$3:$L$98,"")+COUNTIFS(工数管理!$AK$3:$AK$98,J$1,工数管理!$M$3:$M$98,"&lt;="&amp;$H26,工数管理!$N$3:$N$98,"")+COUNTIFS(工数管理!$AK$3:$AK$98,J$1,工数管理!$O$3:$O$98,"&lt;="&amp;$H26,工数管理!$P$3:$P$98,"")+COUNTIFS(工数管理!$AK$3:$AK$98,J$1,工数管理!$Q$3:$Q$98,"&lt;="&amp;$H26,工数管理!$R$3:$R$98,"")+COUNTIFS(工数管理!$AK$3:$AK$98,J$1,工数管理!$S$3:$S$98,"&lt;="&amp;$H26,工数管理!$T$3:$T$98,"")+COUNTIFS(工数管理!$AK$3:$AK$98,J$1,工数管理!$U$3:$U$98,"&lt;="&amp;$H26,工数管理!$V$3:$V$98,"")+COUNTIFS(工数管理!$AK$3:$AK$98,J$1,工数管理!$W$3:$W$98,"&lt;="&amp;$H26,工数管理!$X$3:$X$98,"")+COUNTIFS(工数管理!$AK$3:$AK$98,J$1,工数管理!$Y$3:$Y$98,"&lt;="&amp;$H26,工数管理!$Z$3:$Z$98,"")+COUNTIFS(工数管理!$AK$3:$AK$98,J$1,工数管理!$AA$3:$AA$98,"&lt;="&amp;$H26,工数管理!$AB$3:$AB$98,"")+COUNTIFS(工数管理!$AK$3:$AK$98,J$1,工数管理!$AC$3:$AC$98,"&lt;="&amp;$H26,工数管理!$AD$3:$AD$98,"")+COUNTIFS(工数管理!$AK$3:$AK$98,J$1,工数管理!$AE$3:$AE$98,"&lt;="&amp;$H26,工数管理!$AF$3:$AF$98,"")+COUNTIFS(工数管理!$AK$3:$AK$98,J$1,工数管理!$AG$3:$AG$98,"&lt;="&amp;$H26,工数管理!$AH$3:$AH$98,""))*($H26&lt;=工数管理!$AI$1))</f>
        <v>1</v>
      </c>
      <c r="K26" s="42">
        <f ca="1">IF(K$1="",0,COUNTIFS(工数管理!$AK$3:$AK$98,K$1,工数管理!$K$3:$K$98,"&lt;="&amp;$H26,工数管理!$L$3:$L$98,"&gt;="&amp;$H26)+COUNTIFS(工数管理!$AK$3:$AK$98,K$1,工数管理!$M$3:$M$98,"&lt;="&amp;$H26,工数管理!$N$3:$N$98,"&gt;="&amp;$H26)+COUNTIFS(工数管理!$AK$3:$AK$98,K$1,工数管理!$O$3:$O$98,"&lt;="&amp;$H26,工数管理!$P$3:$P$98,"&gt;="&amp;$H26)+COUNTIFS(工数管理!$AK$3:$AK$98,K$1,工数管理!$Q$3:$Q$98,"&lt;="&amp;$H26,工数管理!$R$3:$R$98,"&gt;="&amp;$H26)+COUNTIFS(工数管理!$AK$3:$AK$98,K$1,工数管理!$S$3:$S$98,"&lt;="&amp;$H26,工数管理!$T$3:$T$98,"&gt;="&amp;$H26)+COUNTIFS(工数管理!$AK$3:$AK$98,K$1,工数管理!$U$3:$U$98,"&lt;="&amp;$H26,工数管理!$V$3:$V$98,"&gt;="&amp;$H26)+COUNTIFS(工数管理!$AK$3:$AK$98,K$1,工数管理!$W$3:$W$98,"&lt;="&amp;$H26,工数管理!$X$3:$X$98,"&gt;="&amp;$H26)+COUNTIFS(工数管理!$AK$3:$AK$98,K$1,工数管理!$Y$3:$Y$98,"&lt;="&amp;$H26,工数管理!$Z$3:$Z$98,"&gt;="&amp;$H26)+COUNTIFS(工数管理!$AK$3:$AK$98,K$1,工数管理!$AA$3:$AA$98,"&lt;="&amp;$H26,工数管理!$AB$3:$AB$98,"&gt;="&amp;$H26)+COUNTIFS(工数管理!$AK$3:$AK$98,K$1,工数管理!$AC$3:$AC$98,"&lt;="&amp;$H26,工数管理!$AD$3:$AD$98,"&gt;="&amp;$H26)+COUNTIFS(工数管理!$AK$3:$AK$98,K$1,工数管理!$AE$3:$AE$98,"&lt;="&amp;$H26,工数管理!$AF$3:$AF$98,"&gt;="&amp;$H26)+COUNTIFS(工数管理!$AK$3:$AK$98,K$1,工数管理!$AG$3:$AG$98,"&lt;="&amp;$H26,工数管理!$AH$3:$AH$98,"&gt;="&amp;$H26)+(COUNTIFS(工数管理!$AK$3:$AK$98,K$1,工数管理!$K$3:$K$98,"&lt;="&amp;$H26,工数管理!$L$3:$L$98,"")+COUNTIFS(工数管理!$AK$3:$AK$98,K$1,工数管理!$M$3:$M$98,"&lt;="&amp;$H26,工数管理!$N$3:$N$98,"")+COUNTIFS(工数管理!$AK$3:$AK$98,K$1,工数管理!$O$3:$O$98,"&lt;="&amp;$H26,工数管理!$P$3:$P$98,"")+COUNTIFS(工数管理!$AK$3:$AK$98,K$1,工数管理!$Q$3:$Q$98,"&lt;="&amp;$H26,工数管理!$R$3:$R$98,"")+COUNTIFS(工数管理!$AK$3:$AK$98,K$1,工数管理!$S$3:$S$98,"&lt;="&amp;$H26,工数管理!$T$3:$T$98,"")+COUNTIFS(工数管理!$AK$3:$AK$98,K$1,工数管理!$U$3:$U$98,"&lt;="&amp;$H26,工数管理!$V$3:$V$98,"")+COUNTIFS(工数管理!$AK$3:$AK$98,K$1,工数管理!$W$3:$W$98,"&lt;="&amp;$H26,工数管理!$X$3:$X$98,"")+COUNTIFS(工数管理!$AK$3:$AK$98,K$1,工数管理!$Y$3:$Y$98,"&lt;="&amp;$H26,工数管理!$Z$3:$Z$98,"")+COUNTIFS(工数管理!$AK$3:$AK$98,K$1,工数管理!$AA$3:$AA$98,"&lt;="&amp;$H26,工数管理!$AB$3:$AB$98,"")+COUNTIFS(工数管理!$AK$3:$AK$98,K$1,工数管理!$AC$3:$AC$98,"&lt;="&amp;$H26,工数管理!$AD$3:$AD$98,"")+COUNTIFS(工数管理!$AK$3:$AK$98,K$1,工数管理!$AE$3:$AE$98,"&lt;="&amp;$H26,工数管理!$AF$3:$AF$98,"")+COUNTIFS(工数管理!$AK$3:$AK$98,K$1,工数管理!$AG$3:$AG$98,"&lt;="&amp;$H26,工数管理!$AH$3:$AH$98,""))*($H26&lt;=工数管理!$AI$1))</f>
        <v>0</v>
      </c>
      <c r="L26" s="42">
        <f ca="1">IF(L$1="",0,COUNTIFS(工数管理!$AK$3:$AK$98,L$1,工数管理!$K$3:$K$98,"&lt;="&amp;$H26,工数管理!$L$3:$L$98,"&gt;="&amp;$H26)+COUNTIFS(工数管理!$AK$3:$AK$98,L$1,工数管理!$M$3:$M$98,"&lt;="&amp;$H26,工数管理!$N$3:$N$98,"&gt;="&amp;$H26)+COUNTIFS(工数管理!$AK$3:$AK$98,L$1,工数管理!$O$3:$O$98,"&lt;="&amp;$H26,工数管理!$P$3:$P$98,"&gt;="&amp;$H26)+COUNTIFS(工数管理!$AK$3:$AK$98,L$1,工数管理!$Q$3:$Q$98,"&lt;="&amp;$H26,工数管理!$R$3:$R$98,"&gt;="&amp;$H26)+COUNTIFS(工数管理!$AK$3:$AK$98,L$1,工数管理!$S$3:$S$98,"&lt;="&amp;$H26,工数管理!$T$3:$T$98,"&gt;="&amp;$H26)+COUNTIFS(工数管理!$AK$3:$AK$98,L$1,工数管理!$U$3:$U$98,"&lt;="&amp;$H26,工数管理!$V$3:$V$98,"&gt;="&amp;$H26)+COUNTIFS(工数管理!$AK$3:$AK$98,L$1,工数管理!$W$3:$W$98,"&lt;="&amp;$H26,工数管理!$X$3:$X$98,"&gt;="&amp;$H26)+COUNTIFS(工数管理!$AK$3:$AK$98,L$1,工数管理!$Y$3:$Y$98,"&lt;="&amp;$H26,工数管理!$Z$3:$Z$98,"&gt;="&amp;$H26)+COUNTIFS(工数管理!$AK$3:$AK$98,L$1,工数管理!$AA$3:$AA$98,"&lt;="&amp;$H26,工数管理!$AB$3:$AB$98,"&gt;="&amp;$H26)+COUNTIFS(工数管理!$AK$3:$AK$98,L$1,工数管理!$AC$3:$AC$98,"&lt;="&amp;$H26,工数管理!$AD$3:$AD$98,"&gt;="&amp;$H26)+COUNTIFS(工数管理!$AK$3:$AK$98,L$1,工数管理!$AE$3:$AE$98,"&lt;="&amp;$H26,工数管理!$AF$3:$AF$98,"&gt;="&amp;$H26)+COUNTIFS(工数管理!$AK$3:$AK$98,L$1,工数管理!$AG$3:$AG$98,"&lt;="&amp;$H26,工数管理!$AH$3:$AH$98,"&gt;="&amp;$H26)+(COUNTIFS(工数管理!$AK$3:$AK$98,L$1,工数管理!$K$3:$K$98,"&lt;="&amp;$H26,工数管理!$L$3:$L$98,"")+COUNTIFS(工数管理!$AK$3:$AK$98,L$1,工数管理!$M$3:$M$98,"&lt;="&amp;$H26,工数管理!$N$3:$N$98,"")+COUNTIFS(工数管理!$AK$3:$AK$98,L$1,工数管理!$O$3:$O$98,"&lt;="&amp;$H26,工数管理!$P$3:$P$98,"")+COUNTIFS(工数管理!$AK$3:$AK$98,L$1,工数管理!$Q$3:$Q$98,"&lt;="&amp;$H26,工数管理!$R$3:$R$98,"")+COUNTIFS(工数管理!$AK$3:$AK$98,L$1,工数管理!$S$3:$S$98,"&lt;="&amp;$H26,工数管理!$T$3:$T$98,"")+COUNTIFS(工数管理!$AK$3:$AK$98,L$1,工数管理!$U$3:$U$98,"&lt;="&amp;$H26,工数管理!$V$3:$V$98,"")+COUNTIFS(工数管理!$AK$3:$AK$98,L$1,工数管理!$W$3:$W$98,"&lt;="&amp;$H26,工数管理!$X$3:$X$98,"")+COUNTIFS(工数管理!$AK$3:$AK$98,L$1,工数管理!$Y$3:$Y$98,"&lt;="&amp;$H26,工数管理!$Z$3:$Z$98,"")+COUNTIFS(工数管理!$AK$3:$AK$98,L$1,工数管理!$AA$3:$AA$98,"&lt;="&amp;$H26,工数管理!$AB$3:$AB$98,"")+COUNTIFS(工数管理!$AK$3:$AK$98,L$1,工数管理!$AC$3:$AC$98,"&lt;="&amp;$H26,工数管理!$AD$3:$AD$98,"")+COUNTIFS(工数管理!$AK$3:$AK$98,L$1,工数管理!$AE$3:$AE$98,"&lt;="&amp;$H26,工数管理!$AF$3:$AF$98,"")+COUNTIFS(工数管理!$AK$3:$AK$98,L$1,工数管理!$AG$3:$AG$98,"&lt;="&amp;$H26,工数管理!$AH$3:$AH$98,""))*($H26&lt;=工数管理!$AI$1))</f>
        <v>0</v>
      </c>
    </row>
    <row r="27" spans="1:12" x14ac:dyDescent="0.15">
      <c r="A27" s="5">
        <v>46386</v>
      </c>
      <c r="B27" s="6" t="s">
        <v>65</v>
      </c>
      <c r="H27" s="41">
        <f t="shared" si="1"/>
        <v>46195</v>
      </c>
      <c r="I27" s="42">
        <f t="shared" si="0"/>
        <v>1</v>
      </c>
      <c r="J27" s="42">
        <f ca="1">IF(J$1="",0,COUNTIFS(工数管理!$AK$3:$AK$98,J$1,工数管理!$K$3:$K$98,"&lt;="&amp;$H27,工数管理!$L$3:$L$98,"&gt;="&amp;$H27)+COUNTIFS(工数管理!$AK$3:$AK$98,J$1,工数管理!$M$3:$M$98,"&lt;="&amp;$H27,工数管理!$N$3:$N$98,"&gt;="&amp;$H27)+COUNTIFS(工数管理!$AK$3:$AK$98,J$1,工数管理!$O$3:$O$98,"&lt;="&amp;$H27,工数管理!$P$3:$P$98,"&gt;="&amp;$H27)+COUNTIFS(工数管理!$AK$3:$AK$98,J$1,工数管理!$Q$3:$Q$98,"&lt;="&amp;$H27,工数管理!$R$3:$R$98,"&gt;="&amp;$H27)+COUNTIFS(工数管理!$AK$3:$AK$98,J$1,工数管理!$S$3:$S$98,"&lt;="&amp;$H27,工数管理!$T$3:$T$98,"&gt;="&amp;$H27)+COUNTIFS(工数管理!$AK$3:$AK$98,J$1,工数管理!$U$3:$U$98,"&lt;="&amp;$H27,工数管理!$V$3:$V$98,"&gt;="&amp;$H27)+COUNTIFS(工数管理!$AK$3:$AK$98,J$1,工数管理!$W$3:$W$98,"&lt;="&amp;$H27,工数管理!$X$3:$X$98,"&gt;="&amp;$H27)+COUNTIFS(工数管理!$AK$3:$AK$98,J$1,工数管理!$Y$3:$Y$98,"&lt;="&amp;$H27,工数管理!$Z$3:$Z$98,"&gt;="&amp;$H27)+COUNTIFS(工数管理!$AK$3:$AK$98,J$1,工数管理!$AA$3:$AA$98,"&lt;="&amp;$H27,工数管理!$AB$3:$AB$98,"&gt;="&amp;$H27)+COUNTIFS(工数管理!$AK$3:$AK$98,J$1,工数管理!$AC$3:$AC$98,"&lt;="&amp;$H27,工数管理!$AD$3:$AD$98,"&gt;="&amp;$H27)+COUNTIFS(工数管理!$AK$3:$AK$98,J$1,工数管理!$AE$3:$AE$98,"&lt;="&amp;$H27,工数管理!$AF$3:$AF$98,"&gt;="&amp;$H27)+COUNTIFS(工数管理!$AK$3:$AK$98,J$1,工数管理!$AG$3:$AG$98,"&lt;="&amp;$H27,工数管理!$AH$3:$AH$98,"&gt;="&amp;$H27)+(COUNTIFS(工数管理!$AK$3:$AK$98,J$1,工数管理!$K$3:$K$98,"&lt;="&amp;$H27,工数管理!$L$3:$L$98,"")+COUNTIFS(工数管理!$AK$3:$AK$98,J$1,工数管理!$M$3:$M$98,"&lt;="&amp;$H27,工数管理!$N$3:$N$98,"")+COUNTIFS(工数管理!$AK$3:$AK$98,J$1,工数管理!$O$3:$O$98,"&lt;="&amp;$H27,工数管理!$P$3:$P$98,"")+COUNTIFS(工数管理!$AK$3:$AK$98,J$1,工数管理!$Q$3:$Q$98,"&lt;="&amp;$H27,工数管理!$R$3:$R$98,"")+COUNTIFS(工数管理!$AK$3:$AK$98,J$1,工数管理!$S$3:$S$98,"&lt;="&amp;$H27,工数管理!$T$3:$T$98,"")+COUNTIFS(工数管理!$AK$3:$AK$98,J$1,工数管理!$U$3:$U$98,"&lt;="&amp;$H27,工数管理!$V$3:$V$98,"")+COUNTIFS(工数管理!$AK$3:$AK$98,J$1,工数管理!$W$3:$W$98,"&lt;="&amp;$H27,工数管理!$X$3:$X$98,"")+COUNTIFS(工数管理!$AK$3:$AK$98,J$1,工数管理!$Y$3:$Y$98,"&lt;="&amp;$H27,工数管理!$Z$3:$Z$98,"")+COUNTIFS(工数管理!$AK$3:$AK$98,J$1,工数管理!$AA$3:$AA$98,"&lt;="&amp;$H27,工数管理!$AB$3:$AB$98,"")+COUNTIFS(工数管理!$AK$3:$AK$98,J$1,工数管理!$AC$3:$AC$98,"&lt;="&amp;$H27,工数管理!$AD$3:$AD$98,"")+COUNTIFS(工数管理!$AK$3:$AK$98,J$1,工数管理!$AE$3:$AE$98,"&lt;="&amp;$H27,工数管理!$AF$3:$AF$98,"")+COUNTIFS(工数管理!$AK$3:$AK$98,J$1,工数管理!$AG$3:$AG$98,"&lt;="&amp;$H27,工数管理!$AH$3:$AH$98,""))*($H27&lt;=工数管理!$AI$1))</f>
        <v>1</v>
      </c>
      <c r="K27" s="42">
        <f ca="1">IF(K$1="",0,COUNTIFS(工数管理!$AK$3:$AK$98,K$1,工数管理!$K$3:$K$98,"&lt;="&amp;$H27,工数管理!$L$3:$L$98,"&gt;="&amp;$H27)+COUNTIFS(工数管理!$AK$3:$AK$98,K$1,工数管理!$M$3:$M$98,"&lt;="&amp;$H27,工数管理!$N$3:$N$98,"&gt;="&amp;$H27)+COUNTIFS(工数管理!$AK$3:$AK$98,K$1,工数管理!$O$3:$O$98,"&lt;="&amp;$H27,工数管理!$P$3:$P$98,"&gt;="&amp;$H27)+COUNTIFS(工数管理!$AK$3:$AK$98,K$1,工数管理!$Q$3:$Q$98,"&lt;="&amp;$H27,工数管理!$R$3:$R$98,"&gt;="&amp;$H27)+COUNTIFS(工数管理!$AK$3:$AK$98,K$1,工数管理!$S$3:$S$98,"&lt;="&amp;$H27,工数管理!$T$3:$T$98,"&gt;="&amp;$H27)+COUNTIFS(工数管理!$AK$3:$AK$98,K$1,工数管理!$U$3:$U$98,"&lt;="&amp;$H27,工数管理!$V$3:$V$98,"&gt;="&amp;$H27)+COUNTIFS(工数管理!$AK$3:$AK$98,K$1,工数管理!$W$3:$W$98,"&lt;="&amp;$H27,工数管理!$X$3:$X$98,"&gt;="&amp;$H27)+COUNTIFS(工数管理!$AK$3:$AK$98,K$1,工数管理!$Y$3:$Y$98,"&lt;="&amp;$H27,工数管理!$Z$3:$Z$98,"&gt;="&amp;$H27)+COUNTIFS(工数管理!$AK$3:$AK$98,K$1,工数管理!$AA$3:$AA$98,"&lt;="&amp;$H27,工数管理!$AB$3:$AB$98,"&gt;="&amp;$H27)+COUNTIFS(工数管理!$AK$3:$AK$98,K$1,工数管理!$AC$3:$AC$98,"&lt;="&amp;$H27,工数管理!$AD$3:$AD$98,"&gt;="&amp;$H27)+COUNTIFS(工数管理!$AK$3:$AK$98,K$1,工数管理!$AE$3:$AE$98,"&lt;="&amp;$H27,工数管理!$AF$3:$AF$98,"&gt;="&amp;$H27)+COUNTIFS(工数管理!$AK$3:$AK$98,K$1,工数管理!$AG$3:$AG$98,"&lt;="&amp;$H27,工数管理!$AH$3:$AH$98,"&gt;="&amp;$H27)+(COUNTIFS(工数管理!$AK$3:$AK$98,K$1,工数管理!$K$3:$K$98,"&lt;="&amp;$H27,工数管理!$L$3:$L$98,"")+COUNTIFS(工数管理!$AK$3:$AK$98,K$1,工数管理!$M$3:$M$98,"&lt;="&amp;$H27,工数管理!$N$3:$N$98,"")+COUNTIFS(工数管理!$AK$3:$AK$98,K$1,工数管理!$O$3:$O$98,"&lt;="&amp;$H27,工数管理!$P$3:$P$98,"")+COUNTIFS(工数管理!$AK$3:$AK$98,K$1,工数管理!$Q$3:$Q$98,"&lt;="&amp;$H27,工数管理!$R$3:$R$98,"")+COUNTIFS(工数管理!$AK$3:$AK$98,K$1,工数管理!$S$3:$S$98,"&lt;="&amp;$H27,工数管理!$T$3:$T$98,"")+COUNTIFS(工数管理!$AK$3:$AK$98,K$1,工数管理!$U$3:$U$98,"&lt;="&amp;$H27,工数管理!$V$3:$V$98,"")+COUNTIFS(工数管理!$AK$3:$AK$98,K$1,工数管理!$W$3:$W$98,"&lt;="&amp;$H27,工数管理!$X$3:$X$98,"")+COUNTIFS(工数管理!$AK$3:$AK$98,K$1,工数管理!$Y$3:$Y$98,"&lt;="&amp;$H27,工数管理!$Z$3:$Z$98,"")+COUNTIFS(工数管理!$AK$3:$AK$98,K$1,工数管理!$AA$3:$AA$98,"&lt;="&amp;$H27,工数管理!$AB$3:$AB$98,"")+COUNTIFS(工数管理!$AK$3:$AK$98,K$1,工数管理!$AC$3:$AC$98,"&lt;="&amp;$H27,工数管理!$AD$3:$AD$98,"")+COUNTIFS(工数管理!$AK$3:$AK$98,K$1,工数管理!$AE$3:$AE$98,"&lt;="&amp;$H27,工数管理!$AF$3:$AF$98,"")+COUNTIFS(工数管理!$AK$3:$AK$98,K$1,工数管理!$AG$3:$AG$98,"&lt;="&amp;$H27,工数管理!$AH$3:$AH$98,""))*($H27&lt;=工数管理!$AI$1))</f>
        <v>0</v>
      </c>
      <c r="L27" s="42">
        <f ca="1">IF(L$1="",0,COUNTIFS(工数管理!$AK$3:$AK$98,L$1,工数管理!$K$3:$K$98,"&lt;="&amp;$H27,工数管理!$L$3:$L$98,"&gt;="&amp;$H27)+COUNTIFS(工数管理!$AK$3:$AK$98,L$1,工数管理!$M$3:$M$98,"&lt;="&amp;$H27,工数管理!$N$3:$N$98,"&gt;="&amp;$H27)+COUNTIFS(工数管理!$AK$3:$AK$98,L$1,工数管理!$O$3:$O$98,"&lt;="&amp;$H27,工数管理!$P$3:$P$98,"&gt;="&amp;$H27)+COUNTIFS(工数管理!$AK$3:$AK$98,L$1,工数管理!$Q$3:$Q$98,"&lt;="&amp;$H27,工数管理!$R$3:$R$98,"&gt;="&amp;$H27)+COUNTIFS(工数管理!$AK$3:$AK$98,L$1,工数管理!$S$3:$S$98,"&lt;="&amp;$H27,工数管理!$T$3:$T$98,"&gt;="&amp;$H27)+COUNTIFS(工数管理!$AK$3:$AK$98,L$1,工数管理!$U$3:$U$98,"&lt;="&amp;$H27,工数管理!$V$3:$V$98,"&gt;="&amp;$H27)+COUNTIFS(工数管理!$AK$3:$AK$98,L$1,工数管理!$W$3:$W$98,"&lt;="&amp;$H27,工数管理!$X$3:$X$98,"&gt;="&amp;$H27)+COUNTIFS(工数管理!$AK$3:$AK$98,L$1,工数管理!$Y$3:$Y$98,"&lt;="&amp;$H27,工数管理!$Z$3:$Z$98,"&gt;="&amp;$H27)+COUNTIFS(工数管理!$AK$3:$AK$98,L$1,工数管理!$AA$3:$AA$98,"&lt;="&amp;$H27,工数管理!$AB$3:$AB$98,"&gt;="&amp;$H27)+COUNTIFS(工数管理!$AK$3:$AK$98,L$1,工数管理!$AC$3:$AC$98,"&lt;="&amp;$H27,工数管理!$AD$3:$AD$98,"&gt;="&amp;$H27)+COUNTIFS(工数管理!$AK$3:$AK$98,L$1,工数管理!$AE$3:$AE$98,"&lt;="&amp;$H27,工数管理!$AF$3:$AF$98,"&gt;="&amp;$H27)+COUNTIFS(工数管理!$AK$3:$AK$98,L$1,工数管理!$AG$3:$AG$98,"&lt;="&amp;$H27,工数管理!$AH$3:$AH$98,"&gt;="&amp;$H27)+(COUNTIFS(工数管理!$AK$3:$AK$98,L$1,工数管理!$K$3:$K$98,"&lt;="&amp;$H27,工数管理!$L$3:$L$98,"")+COUNTIFS(工数管理!$AK$3:$AK$98,L$1,工数管理!$M$3:$M$98,"&lt;="&amp;$H27,工数管理!$N$3:$N$98,"")+COUNTIFS(工数管理!$AK$3:$AK$98,L$1,工数管理!$O$3:$O$98,"&lt;="&amp;$H27,工数管理!$P$3:$P$98,"")+COUNTIFS(工数管理!$AK$3:$AK$98,L$1,工数管理!$Q$3:$Q$98,"&lt;="&amp;$H27,工数管理!$R$3:$R$98,"")+COUNTIFS(工数管理!$AK$3:$AK$98,L$1,工数管理!$S$3:$S$98,"&lt;="&amp;$H27,工数管理!$T$3:$T$98,"")+COUNTIFS(工数管理!$AK$3:$AK$98,L$1,工数管理!$U$3:$U$98,"&lt;="&amp;$H27,工数管理!$V$3:$V$98,"")+COUNTIFS(工数管理!$AK$3:$AK$98,L$1,工数管理!$W$3:$W$98,"&lt;="&amp;$H27,工数管理!$X$3:$X$98,"")+COUNTIFS(工数管理!$AK$3:$AK$98,L$1,工数管理!$Y$3:$Y$98,"&lt;="&amp;$H27,工数管理!$Z$3:$Z$98,"")+COUNTIFS(工数管理!$AK$3:$AK$98,L$1,工数管理!$AA$3:$AA$98,"&lt;="&amp;$H27,工数管理!$AB$3:$AB$98,"")+COUNTIFS(工数管理!$AK$3:$AK$98,L$1,工数管理!$AC$3:$AC$98,"&lt;="&amp;$H27,工数管理!$AD$3:$AD$98,"")+COUNTIFS(工数管理!$AK$3:$AK$98,L$1,工数管理!$AE$3:$AE$98,"&lt;="&amp;$H27,工数管理!$AF$3:$AF$98,"")+COUNTIFS(工数管理!$AK$3:$AK$98,L$1,工数管理!$AG$3:$AG$98,"&lt;="&amp;$H27,工数管理!$AH$3:$AH$98,""))*($H27&lt;=工数管理!$AI$1))</f>
        <v>0</v>
      </c>
    </row>
    <row r="28" spans="1:12" x14ac:dyDescent="0.15">
      <c r="A28" s="5">
        <v>46387</v>
      </c>
      <c r="B28" s="6" t="s">
        <v>65</v>
      </c>
      <c r="H28" s="41">
        <f t="shared" si="1"/>
        <v>46196</v>
      </c>
      <c r="I28" s="42">
        <f t="shared" si="0"/>
        <v>1</v>
      </c>
      <c r="J28" s="42">
        <f ca="1">IF(J$1="",0,COUNTIFS(工数管理!$AK$3:$AK$98,J$1,工数管理!$K$3:$K$98,"&lt;="&amp;$H28,工数管理!$L$3:$L$98,"&gt;="&amp;$H28)+COUNTIFS(工数管理!$AK$3:$AK$98,J$1,工数管理!$M$3:$M$98,"&lt;="&amp;$H28,工数管理!$N$3:$N$98,"&gt;="&amp;$H28)+COUNTIFS(工数管理!$AK$3:$AK$98,J$1,工数管理!$O$3:$O$98,"&lt;="&amp;$H28,工数管理!$P$3:$P$98,"&gt;="&amp;$H28)+COUNTIFS(工数管理!$AK$3:$AK$98,J$1,工数管理!$Q$3:$Q$98,"&lt;="&amp;$H28,工数管理!$R$3:$R$98,"&gt;="&amp;$H28)+COUNTIFS(工数管理!$AK$3:$AK$98,J$1,工数管理!$S$3:$S$98,"&lt;="&amp;$H28,工数管理!$T$3:$T$98,"&gt;="&amp;$H28)+COUNTIFS(工数管理!$AK$3:$AK$98,J$1,工数管理!$U$3:$U$98,"&lt;="&amp;$H28,工数管理!$V$3:$V$98,"&gt;="&amp;$H28)+COUNTIFS(工数管理!$AK$3:$AK$98,J$1,工数管理!$W$3:$W$98,"&lt;="&amp;$H28,工数管理!$X$3:$X$98,"&gt;="&amp;$H28)+COUNTIFS(工数管理!$AK$3:$AK$98,J$1,工数管理!$Y$3:$Y$98,"&lt;="&amp;$H28,工数管理!$Z$3:$Z$98,"&gt;="&amp;$H28)+COUNTIFS(工数管理!$AK$3:$AK$98,J$1,工数管理!$AA$3:$AA$98,"&lt;="&amp;$H28,工数管理!$AB$3:$AB$98,"&gt;="&amp;$H28)+COUNTIFS(工数管理!$AK$3:$AK$98,J$1,工数管理!$AC$3:$AC$98,"&lt;="&amp;$H28,工数管理!$AD$3:$AD$98,"&gt;="&amp;$H28)+COUNTIFS(工数管理!$AK$3:$AK$98,J$1,工数管理!$AE$3:$AE$98,"&lt;="&amp;$H28,工数管理!$AF$3:$AF$98,"&gt;="&amp;$H28)+COUNTIFS(工数管理!$AK$3:$AK$98,J$1,工数管理!$AG$3:$AG$98,"&lt;="&amp;$H28,工数管理!$AH$3:$AH$98,"&gt;="&amp;$H28)+(COUNTIFS(工数管理!$AK$3:$AK$98,J$1,工数管理!$K$3:$K$98,"&lt;="&amp;$H28,工数管理!$L$3:$L$98,"")+COUNTIFS(工数管理!$AK$3:$AK$98,J$1,工数管理!$M$3:$M$98,"&lt;="&amp;$H28,工数管理!$N$3:$N$98,"")+COUNTIFS(工数管理!$AK$3:$AK$98,J$1,工数管理!$O$3:$O$98,"&lt;="&amp;$H28,工数管理!$P$3:$P$98,"")+COUNTIFS(工数管理!$AK$3:$AK$98,J$1,工数管理!$Q$3:$Q$98,"&lt;="&amp;$H28,工数管理!$R$3:$R$98,"")+COUNTIFS(工数管理!$AK$3:$AK$98,J$1,工数管理!$S$3:$S$98,"&lt;="&amp;$H28,工数管理!$T$3:$T$98,"")+COUNTIFS(工数管理!$AK$3:$AK$98,J$1,工数管理!$U$3:$U$98,"&lt;="&amp;$H28,工数管理!$V$3:$V$98,"")+COUNTIFS(工数管理!$AK$3:$AK$98,J$1,工数管理!$W$3:$W$98,"&lt;="&amp;$H28,工数管理!$X$3:$X$98,"")+COUNTIFS(工数管理!$AK$3:$AK$98,J$1,工数管理!$Y$3:$Y$98,"&lt;="&amp;$H28,工数管理!$Z$3:$Z$98,"")+COUNTIFS(工数管理!$AK$3:$AK$98,J$1,工数管理!$AA$3:$AA$98,"&lt;="&amp;$H28,工数管理!$AB$3:$AB$98,"")+COUNTIFS(工数管理!$AK$3:$AK$98,J$1,工数管理!$AC$3:$AC$98,"&lt;="&amp;$H28,工数管理!$AD$3:$AD$98,"")+COUNTIFS(工数管理!$AK$3:$AK$98,J$1,工数管理!$AE$3:$AE$98,"&lt;="&amp;$H28,工数管理!$AF$3:$AF$98,"")+COUNTIFS(工数管理!$AK$3:$AK$98,J$1,工数管理!$AG$3:$AG$98,"&lt;="&amp;$H28,工数管理!$AH$3:$AH$98,""))*($H28&lt;=工数管理!$AI$1))</f>
        <v>1</v>
      </c>
      <c r="K28" s="42">
        <f ca="1">IF(K$1="",0,COUNTIFS(工数管理!$AK$3:$AK$98,K$1,工数管理!$K$3:$K$98,"&lt;="&amp;$H28,工数管理!$L$3:$L$98,"&gt;="&amp;$H28)+COUNTIFS(工数管理!$AK$3:$AK$98,K$1,工数管理!$M$3:$M$98,"&lt;="&amp;$H28,工数管理!$N$3:$N$98,"&gt;="&amp;$H28)+COUNTIFS(工数管理!$AK$3:$AK$98,K$1,工数管理!$O$3:$O$98,"&lt;="&amp;$H28,工数管理!$P$3:$P$98,"&gt;="&amp;$H28)+COUNTIFS(工数管理!$AK$3:$AK$98,K$1,工数管理!$Q$3:$Q$98,"&lt;="&amp;$H28,工数管理!$R$3:$R$98,"&gt;="&amp;$H28)+COUNTIFS(工数管理!$AK$3:$AK$98,K$1,工数管理!$S$3:$S$98,"&lt;="&amp;$H28,工数管理!$T$3:$T$98,"&gt;="&amp;$H28)+COUNTIFS(工数管理!$AK$3:$AK$98,K$1,工数管理!$U$3:$U$98,"&lt;="&amp;$H28,工数管理!$V$3:$V$98,"&gt;="&amp;$H28)+COUNTIFS(工数管理!$AK$3:$AK$98,K$1,工数管理!$W$3:$W$98,"&lt;="&amp;$H28,工数管理!$X$3:$X$98,"&gt;="&amp;$H28)+COUNTIFS(工数管理!$AK$3:$AK$98,K$1,工数管理!$Y$3:$Y$98,"&lt;="&amp;$H28,工数管理!$Z$3:$Z$98,"&gt;="&amp;$H28)+COUNTIFS(工数管理!$AK$3:$AK$98,K$1,工数管理!$AA$3:$AA$98,"&lt;="&amp;$H28,工数管理!$AB$3:$AB$98,"&gt;="&amp;$H28)+COUNTIFS(工数管理!$AK$3:$AK$98,K$1,工数管理!$AC$3:$AC$98,"&lt;="&amp;$H28,工数管理!$AD$3:$AD$98,"&gt;="&amp;$H28)+COUNTIFS(工数管理!$AK$3:$AK$98,K$1,工数管理!$AE$3:$AE$98,"&lt;="&amp;$H28,工数管理!$AF$3:$AF$98,"&gt;="&amp;$H28)+COUNTIFS(工数管理!$AK$3:$AK$98,K$1,工数管理!$AG$3:$AG$98,"&lt;="&amp;$H28,工数管理!$AH$3:$AH$98,"&gt;="&amp;$H28)+(COUNTIFS(工数管理!$AK$3:$AK$98,K$1,工数管理!$K$3:$K$98,"&lt;="&amp;$H28,工数管理!$L$3:$L$98,"")+COUNTIFS(工数管理!$AK$3:$AK$98,K$1,工数管理!$M$3:$M$98,"&lt;="&amp;$H28,工数管理!$N$3:$N$98,"")+COUNTIFS(工数管理!$AK$3:$AK$98,K$1,工数管理!$O$3:$O$98,"&lt;="&amp;$H28,工数管理!$P$3:$P$98,"")+COUNTIFS(工数管理!$AK$3:$AK$98,K$1,工数管理!$Q$3:$Q$98,"&lt;="&amp;$H28,工数管理!$R$3:$R$98,"")+COUNTIFS(工数管理!$AK$3:$AK$98,K$1,工数管理!$S$3:$S$98,"&lt;="&amp;$H28,工数管理!$T$3:$T$98,"")+COUNTIFS(工数管理!$AK$3:$AK$98,K$1,工数管理!$U$3:$U$98,"&lt;="&amp;$H28,工数管理!$V$3:$V$98,"")+COUNTIFS(工数管理!$AK$3:$AK$98,K$1,工数管理!$W$3:$W$98,"&lt;="&amp;$H28,工数管理!$X$3:$X$98,"")+COUNTIFS(工数管理!$AK$3:$AK$98,K$1,工数管理!$Y$3:$Y$98,"&lt;="&amp;$H28,工数管理!$Z$3:$Z$98,"")+COUNTIFS(工数管理!$AK$3:$AK$98,K$1,工数管理!$AA$3:$AA$98,"&lt;="&amp;$H28,工数管理!$AB$3:$AB$98,"")+COUNTIFS(工数管理!$AK$3:$AK$98,K$1,工数管理!$AC$3:$AC$98,"&lt;="&amp;$H28,工数管理!$AD$3:$AD$98,"")+COUNTIFS(工数管理!$AK$3:$AK$98,K$1,工数管理!$AE$3:$AE$98,"&lt;="&amp;$H28,工数管理!$AF$3:$AF$98,"")+COUNTIFS(工数管理!$AK$3:$AK$98,K$1,工数管理!$AG$3:$AG$98,"&lt;="&amp;$H28,工数管理!$AH$3:$AH$98,""))*($H28&lt;=工数管理!$AI$1))</f>
        <v>0</v>
      </c>
      <c r="L28" s="42">
        <f ca="1">IF(L$1="",0,COUNTIFS(工数管理!$AK$3:$AK$98,L$1,工数管理!$K$3:$K$98,"&lt;="&amp;$H28,工数管理!$L$3:$L$98,"&gt;="&amp;$H28)+COUNTIFS(工数管理!$AK$3:$AK$98,L$1,工数管理!$M$3:$M$98,"&lt;="&amp;$H28,工数管理!$N$3:$N$98,"&gt;="&amp;$H28)+COUNTIFS(工数管理!$AK$3:$AK$98,L$1,工数管理!$O$3:$O$98,"&lt;="&amp;$H28,工数管理!$P$3:$P$98,"&gt;="&amp;$H28)+COUNTIFS(工数管理!$AK$3:$AK$98,L$1,工数管理!$Q$3:$Q$98,"&lt;="&amp;$H28,工数管理!$R$3:$R$98,"&gt;="&amp;$H28)+COUNTIFS(工数管理!$AK$3:$AK$98,L$1,工数管理!$S$3:$S$98,"&lt;="&amp;$H28,工数管理!$T$3:$T$98,"&gt;="&amp;$H28)+COUNTIFS(工数管理!$AK$3:$AK$98,L$1,工数管理!$U$3:$U$98,"&lt;="&amp;$H28,工数管理!$V$3:$V$98,"&gt;="&amp;$H28)+COUNTIFS(工数管理!$AK$3:$AK$98,L$1,工数管理!$W$3:$W$98,"&lt;="&amp;$H28,工数管理!$X$3:$X$98,"&gt;="&amp;$H28)+COUNTIFS(工数管理!$AK$3:$AK$98,L$1,工数管理!$Y$3:$Y$98,"&lt;="&amp;$H28,工数管理!$Z$3:$Z$98,"&gt;="&amp;$H28)+COUNTIFS(工数管理!$AK$3:$AK$98,L$1,工数管理!$AA$3:$AA$98,"&lt;="&amp;$H28,工数管理!$AB$3:$AB$98,"&gt;="&amp;$H28)+COUNTIFS(工数管理!$AK$3:$AK$98,L$1,工数管理!$AC$3:$AC$98,"&lt;="&amp;$H28,工数管理!$AD$3:$AD$98,"&gt;="&amp;$H28)+COUNTIFS(工数管理!$AK$3:$AK$98,L$1,工数管理!$AE$3:$AE$98,"&lt;="&amp;$H28,工数管理!$AF$3:$AF$98,"&gt;="&amp;$H28)+COUNTIFS(工数管理!$AK$3:$AK$98,L$1,工数管理!$AG$3:$AG$98,"&lt;="&amp;$H28,工数管理!$AH$3:$AH$98,"&gt;="&amp;$H28)+(COUNTIFS(工数管理!$AK$3:$AK$98,L$1,工数管理!$K$3:$K$98,"&lt;="&amp;$H28,工数管理!$L$3:$L$98,"")+COUNTIFS(工数管理!$AK$3:$AK$98,L$1,工数管理!$M$3:$M$98,"&lt;="&amp;$H28,工数管理!$N$3:$N$98,"")+COUNTIFS(工数管理!$AK$3:$AK$98,L$1,工数管理!$O$3:$O$98,"&lt;="&amp;$H28,工数管理!$P$3:$P$98,"")+COUNTIFS(工数管理!$AK$3:$AK$98,L$1,工数管理!$Q$3:$Q$98,"&lt;="&amp;$H28,工数管理!$R$3:$R$98,"")+COUNTIFS(工数管理!$AK$3:$AK$98,L$1,工数管理!$S$3:$S$98,"&lt;="&amp;$H28,工数管理!$T$3:$T$98,"")+COUNTIFS(工数管理!$AK$3:$AK$98,L$1,工数管理!$U$3:$U$98,"&lt;="&amp;$H28,工数管理!$V$3:$V$98,"")+COUNTIFS(工数管理!$AK$3:$AK$98,L$1,工数管理!$W$3:$W$98,"&lt;="&amp;$H28,工数管理!$X$3:$X$98,"")+COUNTIFS(工数管理!$AK$3:$AK$98,L$1,工数管理!$Y$3:$Y$98,"&lt;="&amp;$H28,工数管理!$Z$3:$Z$98,"")+COUNTIFS(工数管理!$AK$3:$AK$98,L$1,工数管理!$AA$3:$AA$98,"&lt;="&amp;$H28,工数管理!$AB$3:$AB$98,"")+COUNTIFS(工数管理!$AK$3:$AK$98,L$1,工数管理!$AC$3:$AC$98,"&lt;="&amp;$H28,工数管理!$AD$3:$AD$98,"")+COUNTIFS(工数管理!$AK$3:$AK$98,L$1,工数管理!$AE$3:$AE$98,"&lt;="&amp;$H28,工数管理!$AF$3:$AF$98,"")+COUNTIFS(工数管理!$AK$3:$AK$98,L$1,工数管理!$AG$3:$AG$98,"&lt;="&amp;$H28,工数管理!$AH$3:$AH$98,""))*($H28&lt;=工数管理!$AI$1))</f>
        <v>0</v>
      </c>
    </row>
    <row r="29" spans="1:12" x14ac:dyDescent="0.15">
      <c r="A29" s="5">
        <v>46388</v>
      </c>
      <c r="B29" s="6" t="s">
        <v>63</v>
      </c>
      <c r="H29" s="41">
        <f t="shared" si="1"/>
        <v>46197</v>
      </c>
      <c r="I29" s="42">
        <f t="shared" si="0"/>
        <v>1</v>
      </c>
      <c r="J29" s="42">
        <f ca="1">IF(J$1="",0,COUNTIFS(工数管理!$AK$3:$AK$98,J$1,工数管理!$K$3:$K$98,"&lt;="&amp;$H29,工数管理!$L$3:$L$98,"&gt;="&amp;$H29)+COUNTIFS(工数管理!$AK$3:$AK$98,J$1,工数管理!$M$3:$M$98,"&lt;="&amp;$H29,工数管理!$N$3:$N$98,"&gt;="&amp;$H29)+COUNTIFS(工数管理!$AK$3:$AK$98,J$1,工数管理!$O$3:$O$98,"&lt;="&amp;$H29,工数管理!$P$3:$P$98,"&gt;="&amp;$H29)+COUNTIFS(工数管理!$AK$3:$AK$98,J$1,工数管理!$Q$3:$Q$98,"&lt;="&amp;$H29,工数管理!$R$3:$R$98,"&gt;="&amp;$H29)+COUNTIFS(工数管理!$AK$3:$AK$98,J$1,工数管理!$S$3:$S$98,"&lt;="&amp;$H29,工数管理!$T$3:$T$98,"&gt;="&amp;$H29)+COUNTIFS(工数管理!$AK$3:$AK$98,J$1,工数管理!$U$3:$U$98,"&lt;="&amp;$H29,工数管理!$V$3:$V$98,"&gt;="&amp;$H29)+COUNTIFS(工数管理!$AK$3:$AK$98,J$1,工数管理!$W$3:$W$98,"&lt;="&amp;$H29,工数管理!$X$3:$X$98,"&gt;="&amp;$H29)+COUNTIFS(工数管理!$AK$3:$AK$98,J$1,工数管理!$Y$3:$Y$98,"&lt;="&amp;$H29,工数管理!$Z$3:$Z$98,"&gt;="&amp;$H29)+COUNTIFS(工数管理!$AK$3:$AK$98,J$1,工数管理!$AA$3:$AA$98,"&lt;="&amp;$H29,工数管理!$AB$3:$AB$98,"&gt;="&amp;$H29)+COUNTIFS(工数管理!$AK$3:$AK$98,J$1,工数管理!$AC$3:$AC$98,"&lt;="&amp;$H29,工数管理!$AD$3:$AD$98,"&gt;="&amp;$H29)+COUNTIFS(工数管理!$AK$3:$AK$98,J$1,工数管理!$AE$3:$AE$98,"&lt;="&amp;$H29,工数管理!$AF$3:$AF$98,"&gt;="&amp;$H29)+COUNTIFS(工数管理!$AK$3:$AK$98,J$1,工数管理!$AG$3:$AG$98,"&lt;="&amp;$H29,工数管理!$AH$3:$AH$98,"&gt;="&amp;$H29)+(COUNTIFS(工数管理!$AK$3:$AK$98,J$1,工数管理!$K$3:$K$98,"&lt;="&amp;$H29,工数管理!$L$3:$L$98,"")+COUNTIFS(工数管理!$AK$3:$AK$98,J$1,工数管理!$M$3:$M$98,"&lt;="&amp;$H29,工数管理!$N$3:$N$98,"")+COUNTIFS(工数管理!$AK$3:$AK$98,J$1,工数管理!$O$3:$O$98,"&lt;="&amp;$H29,工数管理!$P$3:$P$98,"")+COUNTIFS(工数管理!$AK$3:$AK$98,J$1,工数管理!$Q$3:$Q$98,"&lt;="&amp;$H29,工数管理!$R$3:$R$98,"")+COUNTIFS(工数管理!$AK$3:$AK$98,J$1,工数管理!$S$3:$S$98,"&lt;="&amp;$H29,工数管理!$T$3:$T$98,"")+COUNTIFS(工数管理!$AK$3:$AK$98,J$1,工数管理!$U$3:$U$98,"&lt;="&amp;$H29,工数管理!$V$3:$V$98,"")+COUNTIFS(工数管理!$AK$3:$AK$98,J$1,工数管理!$W$3:$W$98,"&lt;="&amp;$H29,工数管理!$X$3:$X$98,"")+COUNTIFS(工数管理!$AK$3:$AK$98,J$1,工数管理!$Y$3:$Y$98,"&lt;="&amp;$H29,工数管理!$Z$3:$Z$98,"")+COUNTIFS(工数管理!$AK$3:$AK$98,J$1,工数管理!$AA$3:$AA$98,"&lt;="&amp;$H29,工数管理!$AB$3:$AB$98,"")+COUNTIFS(工数管理!$AK$3:$AK$98,J$1,工数管理!$AC$3:$AC$98,"&lt;="&amp;$H29,工数管理!$AD$3:$AD$98,"")+COUNTIFS(工数管理!$AK$3:$AK$98,J$1,工数管理!$AE$3:$AE$98,"&lt;="&amp;$H29,工数管理!$AF$3:$AF$98,"")+COUNTIFS(工数管理!$AK$3:$AK$98,J$1,工数管理!$AG$3:$AG$98,"&lt;="&amp;$H29,工数管理!$AH$3:$AH$98,""))*($H29&lt;=工数管理!$AI$1))</f>
        <v>1</v>
      </c>
      <c r="K29" s="42">
        <f ca="1">IF(K$1="",0,COUNTIFS(工数管理!$AK$3:$AK$98,K$1,工数管理!$K$3:$K$98,"&lt;="&amp;$H29,工数管理!$L$3:$L$98,"&gt;="&amp;$H29)+COUNTIFS(工数管理!$AK$3:$AK$98,K$1,工数管理!$M$3:$M$98,"&lt;="&amp;$H29,工数管理!$N$3:$N$98,"&gt;="&amp;$H29)+COUNTIFS(工数管理!$AK$3:$AK$98,K$1,工数管理!$O$3:$O$98,"&lt;="&amp;$H29,工数管理!$P$3:$P$98,"&gt;="&amp;$H29)+COUNTIFS(工数管理!$AK$3:$AK$98,K$1,工数管理!$Q$3:$Q$98,"&lt;="&amp;$H29,工数管理!$R$3:$R$98,"&gt;="&amp;$H29)+COUNTIFS(工数管理!$AK$3:$AK$98,K$1,工数管理!$S$3:$S$98,"&lt;="&amp;$H29,工数管理!$T$3:$T$98,"&gt;="&amp;$H29)+COUNTIFS(工数管理!$AK$3:$AK$98,K$1,工数管理!$U$3:$U$98,"&lt;="&amp;$H29,工数管理!$V$3:$V$98,"&gt;="&amp;$H29)+COUNTIFS(工数管理!$AK$3:$AK$98,K$1,工数管理!$W$3:$W$98,"&lt;="&amp;$H29,工数管理!$X$3:$X$98,"&gt;="&amp;$H29)+COUNTIFS(工数管理!$AK$3:$AK$98,K$1,工数管理!$Y$3:$Y$98,"&lt;="&amp;$H29,工数管理!$Z$3:$Z$98,"&gt;="&amp;$H29)+COUNTIFS(工数管理!$AK$3:$AK$98,K$1,工数管理!$AA$3:$AA$98,"&lt;="&amp;$H29,工数管理!$AB$3:$AB$98,"&gt;="&amp;$H29)+COUNTIFS(工数管理!$AK$3:$AK$98,K$1,工数管理!$AC$3:$AC$98,"&lt;="&amp;$H29,工数管理!$AD$3:$AD$98,"&gt;="&amp;$H29)+COUNTIFS(工数管理!$AK$3:$AK$98,K$1,工数管理!$AE$3:$AE$98,"&lt;="&amp;$H29,工数管理!$AF$3:$AF$98,"&gt;="&amp;$H29)+COUNTIFS(工数管理!$AK$3:$AK$98,K$1,工数管理!$AG$3:$AG$98,"&lt;="&amp;$H29,工数管理!$AH$3:$AH$98,"&gt;="&amp;$H29)+(COUNTIFS(工数管理!$AK$3:$AK$98,K$1,工数管理!$K$3:$K$98,"&lt;="&amp;$H29,工数管理!$L$3:$L$98,"")+COUNTIFS(工数管理!$AK$3:$AK$98,K$1,工数管理!$M$3:$M$98,"&lt;="&amp;$H29,工数管理!$N$3:$N$98,"")+COUNTIFS(工数管理!$AK$3:$AK$98,K$1,工数管理!$O$3:$O$98,"&lt;="&amp;$H29,工数管理!$P$3:$P$98,"")+COUNTIFS(工数管理!$AK$3:$AK$98,K$1,工数管理!$Q$3:$Q$98,"&lt;="&amp;$H29,工数管理!$R$3:$R$98,"")+COUNTIFS(工数管理!$AK$3:$AK$98,K$1,工数管理!$S$3:$S$98,"&lt;="&amp;$H29,工数管理!$T$3:$T$98,"")+COUNTIFS(工数管理!$AK$3:$AK$98,K$1,工数管理!$U$3:$U$98,"&lt;="&amp;$H29,工数管理!$V$3:$V$98,"")+COUNTIFS(工数管理!$AK$3:$AK$98,K$1,工数管理!$W$3:$W$98,"&lt;="&amp;$H29,工数管理!$X$3:$X$98,"")+COUNTIFS(工数管理!$AK$3:$AK$98,K$1,工数管理!$Y$3:$Y$98,"&lt;="&amp;$H29,工数管理!$Z$3:$Z$98,"")+COUNTIFS(工数管理!$AK$3:$AK$98,K$1,工数管理!$AA$3:$AA$98,"&lt;="&amp;$H29,工数管理!$AB$3:$AB$98,"")+COUNTIFS(工数管理!$AK$3:$AK$98,K$1,工数管理!$AC$3:$AC$98,"&lt;="&amp;$H29,工数管理!$AD$3:$AD$98,"")+COUNTIFS(工数管理!$AK$3:$AK$98,K$1,工数管理!$AE$3:$AE$98,"&lt;="&amp;$H29,工数管理!$AF$3:$AF$98,"")+COUNTIFS(工数管理!$AK$3:$AK$98,K$1,工数管理!$AG$3:$AG$98,"&lt;="&amp;$H29,工数管理!$AH$3:$AH$98,""))*($H29&lt;=工数管理!$AI$1))</f>
        <v>0</v>
      </c>
      <c r="L29" s="42">
        <f ca="1">IF(L$1="",0,COUNTIFS(工数管理!$AK$3:$AK$98,L$1,工数管理!$K$3:$K$98,"&lt;="&amp;$H29,工数管理!$L$3:$L$98,"&gt;="&amp;$H29)+COUNTIFS(工数管理!$AK$3:$AK$98,L$1,工数管理!$M$3:$M$98,"&lt;="&amp;$H29,工数管理!$N$3:$N$98,"&gt;="&amp;$H29)+COUNTIFS(工数管理!$AK$3:$AK$98,L$1,工数管理!$O$3:$O$98,"&lt;="&amp;$H29,工数管理!$P$3:$P$98,"&gt;="&amp;$H29)+COUNTIFS(工数管理!$AK$3:$AK$98,L$1,工数管理!$Q$3:$Q$98,"&lt;="&amp;$H29,工数管理!$R$3:$R$98,"&gt;="&amp;$H29)+COUNTIFS(工数管理!$AK$3:$AK$98,L$1,工数管理!$S$3:$S$98,"&lt;="&amp;$H29,工数管理!$T$3:$T$98,"&gt;="&amp;$H29)+COUNTIFS(工数管理!$AK$3:$AK$98,L$1,工数管理!$U$3:$U$98,"&lt;="&amp;$H29,工数管理!$V$3:$V$98,"&gt;="&amp;$H29)+COUNTIFS(工数管理!$AK$3:$AK$98,L$1,工数管理!$W$3:$W$98,"&lt;="&amp;$H29,工数管理!$X$3:$X$98,"&gt;="&amp;$H29)+COUNTIFS(工数管理!$AK$3:$AK$98,L$1,工数管理!$Y$3:$Y$98,"&lt;="&amp;$H29,工数管理!$Z$3:$Z$98,"&gt;="&amp;$H29)+COUNTIFS(工数管理!$AK$3:$AK$98,L$1,工数管理!$AA$3:$AA$98,"&lt;="&amp;$H29,工数管理!$AB$3:$AB$98,"&gt;="&amp;$H29)+COUNTIFS(工数管理!$AK$3:$AK$98,L$1,工数管理!$AC$3:$AC$98,"&lt;="&amp;$H29,工数管理!$AD$3:$AD$98,"&gt;="&amp;$H29)+COUNTIFS(工数管理!$AK$3:$AK$98,L$1,工数管理!$AE$3:$AE$98,"&lt;="&amp;$H29,工数管理!$AF$3:$AF$98,"&gt;="&amp;$H29)+COUNTIFS(工数管理!$AK$3:$AK$98,L$1,工数管理!$AG$3:$AG$98,"&lt;="&amp;$H29,工数管理!$AH$3:$AH$98,"&gt;="&amp;$H29)+(COUNTIFS(工数管理!$AK$3:$AK$98,L$1,工数管理!$K$3:$K$98,"&lt;="&amp;$H29,工数管理!$L$3:$L$98,"")+COUNTIFS(工数管理!$AK$3:$AK$98,L$1,工数管理!$M$3:$M$98,"&lt;="&amp;$H29,工数管理!$N$3:$N$98,"")+COUNTIFS(工数管理!$AK$3:$AK$98,L$1,工数管理!$O$3:$O$98,"&lt;="&amp;$H29,工数管理!$P$3:$P$98,"")+COUNTIFS(工数管理!$AK$3:$AK$98,L$1,工数管理!$Q$3:$Q$98,"&lt;="&amp;$H29,工数管理!$R$3:$R$98,"")+COUNTIFS(工数管理!$AK$3:$AK$98,L$1,工数管理!$S$3:$S$98,"&lt;="&amp;$H29,工数管理!$T$3:$T$98,"")+COUNTIFS(工数管理!$AK$3:$AK$98,L$1,工数管理!$U$3:$U$98,"&lt;="&amp;$H29,工数管理!$V$3:$V$98,"")+COUNTIFS(工数管理!$AK$3:$AK$98,L$1,工数管理!$W$3:$W$98,"&lt;="&amp;$H29,工数管理!$X$3:$X$98,"")+COUNTIFS(工数管理!$AK$3:$AK$98,L$1,工数管理!$Y$3:$Y$98,"&lt;="&amp;$H29,工数管理!$Z$3:$Z$98,"")+COUNTIFS(工数管理!$AK$3:$AK$98,L$1,工数管理!$AA$3:$AA$98,"&lt;="&amp;$H29,工数管理!$AB$3:$AB$98,"")+COUNTIFS(工数管理!$AK$3:$AK$98,L$1,工数管理!$AC$3:$AC$98,"&lt;="&amp;$H29,工数管理!$AD$3:$AD$98,"")+COUNTIFS(工数管理!$AK$3:$AK$98,L$1,工数管理!$AE$3:$AE$98,"&lt;="&amp;$H29,工数管理!$AF$3:$AF$98,"")+COUNTIFS(工数管理!$AK$3:$AK$98,L$1,工数管理!$AG$3:$AG$98,"&lt;="&amp;$H29,工数管理!$AH$3:$AH$98,""))*($H29&lt;=工数管理!$AI$1))</f>
        <v>0</v>
      </c>
    </row>
    <row r="30" spans="1:12" x14ac:dyDescent="0.15">
      <c r="A30" s="5">
        <v>46389</v>
      </c>
      <c r="B30" s="6" t="s">
        <v>65</v>
      </c>
      <c r="H30" s="41">
        <f t="shared" si="1"/>
        <v>46198</v>
      </c>
      <c r="I30" s="42">
        <f t="shared" si="0"/>
        <v>1</v>
      </c>
      <c r="J30" s="42">
        <f ca="1">IF(J$1="",0,COUNTIFS(工数管理!$AK$3:$AK$98,J$1,工数管理!$K$3:$K$98,"&lt;="&amp;$H30,工数管理!$L$3:$L$98,"&gt;="&amp;$H30)+COUNTIFS(工数管理!$AK$3:$AK$98,J$1,工数管理!$M$3:$M$98,"&lt;="&amp;$H30,工数管理!$N$3:$N$98,"&gt;="&amp;$H30)+COUNTIFS(工数管理!$AK$3:$AK$98,J$1,工数管理!$O$3:$O$98,"&lt;="&amp;$H30,工数管理!$P$3:$P$98,"&gt;="&amp;$H30)+COUNTIFS(工数管理!$AK$3:$AK$98,J$1,工数管理!$Q$3:$Q$98,"&lt;="&amp;$H30,工数管理!$R$3:$R$98,"&gt;="&amp;$H30)+COUNTIFS(工数管理!$AK$3:$AK$98,J$1,工数管理!$S$3:$S$98,"&lt;="&amp;$H30,工数管理!$T$3:$T$98,"&gt;="&amp;$H30)+COUNTIFS(工数管理!$AK$3:$AK$98,J$1,工数管理!$U$3:$U$98,"&lt;="&amp;$H30,工数管理!$V$3:$V$98,"&gt;="&amp;$H30)+COUNTIFS(工数管理!$AK$3:$AK$98,J$1,工数管理!$W$3:$W$98,"&lt;="&amp;$H30,工数管理!$X$3:$X$98,"&gt;="&amp;$H30)+COUNTIFS(工数管理!$AK$3:$AK$98,J$1,工数管理!$Y$3:$Y$98,"&lt;="&amp;$H30,工数管理!$Z$3:$Z$98,"&gt;="&amp;$H30)+COUNTIFS(工数管理!$AK$3:$AK$98,J$1,工数管理!$AA$3:$AA$98,"&lt;="&amp;$H30,工数管理!$AB$3:$AB$98,"&gt;="&amp;$H30)+COUNTIFS(工数管理!$AK$3:$AK$98,J$1,工数管理!$AC$3:$AC$98,"&lt;="&amp;$H30,工数管理!$AD$3:$AD$98,"&gt;="&amp;$H30)+COUNTIFS(工数管理!$AK$3:$AK$98,J$1,工数管理!$AE$3:$AE$98,"&lt;="&amp;$H30,工数管理!$AF$3:$AF$98,"&gt;="&amp;$H30)+COUNTIFS(工数管理!$AK$3:$AK$98,J$1,工数管理!$AG$3:$AG$98,"&lt;="&amp;$H30,工数管理!$AH$3:$AH$98,"&gt;="&amp;$H30)+(COUNTIFS(工数管理!$AK$3:$AK$98,J$1,工数管理!$K$3:$K$98,"&lt;="&amp;$H30,工数管理!$L$3:$L$98,"")+COUNTIFS(工数管理!$AK$3:$AK$98,J$1,工数管理!$M$3:$M$98,"&lt;="&amp;$H30,工数管理!$N$3:$N$98,"")+COUNTIFS(工数管理!$AK$3:$AK$98,J$1,工数管理!$O$3:$O$98,"&lt;="&amp;$H30,工数管理!$P$3:$P$98,"")+COUNTIFS(工数管理!$AK$3:$AK$98,J$1,工数管理!$Q$3:$Q$98,"&lt;="&amp;$H30,工数管理!$R$3:$R$98,"")+COUNTIFS(工数管理!$AK$3:$AK$98,J$1,工数管理!$S$3:$S$98,"&lt;="&amp;$H30,工数管理!$T$3:$T$98,"")+COUNTIFS(工数管理!$AK$3:$AK$98,J$1,工数管理!$U$3:$U$98,"&lt;="&amp;$H30,工数管理!$V$3:$V$98,"")+COUNTIFS(工数管理!$AK$3:$AK$98,J$1,工数管理!$W$3:$W$98,"&lt;="&amp;$H30,工数管理!$X$3:$X$98,"")+COUNTIFS(工数管理!$AK$3:$AK$98,J$1,工数管理!$Y$3:$Y$98,"&lt;="&amp;$H30,工数管理!$Z$3:$Z$98,"")+COUNTIFS(工数管理!$AK$3:$AK$98,J$1,工数管理!$AA$3:$AA$98,"&lt;="&amp;$H30,工数管理!$AB$3:$AB$98,"")+COUNTIFS(工数管理!$AK$3:$AK$98,J$1,工数管理!$AC$3:$AC$98,"&lt;="&amp;$H30,工数管理!$AD$3:$AD$98,"")+COUNTIFS(工数管理!$AK$3:$AK$98,J$1,工数管理!$AE$3:$AE$98,"&lt;="&amp;$H30,工数管理!$AF$3:$AF$98,"")+COUNTIFS(工数管理!$AK$3:$AK$98,J$1,工数管理!$AG$3:$AG$98,"&lt;="&amp;$H30,工数管理!$AH$3:$AH$98,""))*($H30&lt;=工数管理!$AI$1))</f>
        <v>1</v>
      </c>
      <c r="K30" s="42">
        <f ca="1">IF(K$1="",0,COUNTIFS(工数管理!$AK$3:$AK$98,K$1,工数管理!$K$3:$K$98,"&lt;="&amp;$H30,工数管理!$L$3:$L$98,"&gt;="&amp;$H30)+COUNTIFS(工数管理!$AK$3:$AK$98,K$1,工数管理!$M$3:$M$98,"&lt;="&amp;$H30,工数管理!$N$3:$N$98,"&gt;="&amp;$H30)+COUNTIFS(工数管理!$AK$3:$AK$98,K$1,工数管理!$O$3:$O$98,"&lt;="&amp;$H30,工数管理!$P$3:$P$98,"&gt;="&amp;$H30)+COUNTIFS(工数管理!$AK$3:$AK$98,K$1,工数管理!$Q$3:$Q$98,"&lt;="&amp;$H30,工数管理!$R$3:$R$98,"&gt;="&amp;$H30)+COUNTIFS(工数管理!$AK$3:$AK$98,K$1,工数管理!$S$3:$S$98,"&lt;="&amp;$H30,工数管理!$T$3:$T$98,"&gt;="&amp;$H30)+COUNTIFS(工数管理!$AK$3:$AK$98,K$1,工数管理!$U$3:$U$98,"&lt;="&amp;$H30,工数管理!$V$3:$V$98,"&gt;="&amp;$H30)+COUNTIFS(工数管理!$AK$3:$AK$98,K$1,工数管理!$W$3:$W$98,"&lt;="&amp;$H30,工数管理!$X$3:$X$98,"&gt;="&amp;$H30)+COUNTIFS(工数管理!$AK$3:$AK$98,K$1,工数管理!$Y$3:$Y$98,"&lt;="&amp;$H30,工数管理!$Z$3:$Z$98,"&gt;="&amp;$H30)+COUNTIFS(工数管理!$AK$3:$AK$98,K$1,工数管理!$AA$3:$AA$98,"&lt;="&amp;$H30,工数管理!$AB$3:$AB$98,"&gt;="&amp;$H30)+COUNTIFS(工数管理!$AK$3:$AK$98,K$1,工数管理!$AC$3:$AC$98,"&lt;="&amp;$H30,工数管理!$AD$3:$AD$98,"&gt;="&amp;$H30)+COUNTIFS(工数管理!$AK$3:$AK$98,K$1,工数管理!$AE$3:$AE$98,"&lt;="&amp;$H30,工数管理!$AF$3:$AF$98,"&gt;="&amp;$H30)+COUNTIFS(工数管理!$AK$3:$AK$98,K$1,工数管理!$AG$3:$AG$98,"&lt;="&amp;$H30,工数管理!$AH$3:$AH$98,"&gt;="&amp;$H30)+(COUNTIFS(工数管理!$AK$3:$AK$98,K$1,工数管理!$K$3:$K$98,"&lt;="&amp;$H30,工数管理!$L$3:$L$98,"")+COUNTIFS(工数管理!$AK$3:$AK$98,K$1,工数管理!$M$3:$M$98,"&lt;="&amp;$H30,工数管理!$N$3:$N$98,"")+COUNTIFS(工数管理!$AK$3:$AK$98,K$1,工数管理!$O$3:$O$98,"&lt;="&amp;$H30,工数管理!$P$3:$P$98,"")+COUNTIFS(工数管理!$AK$3:$AK$98,K$1,工数管理!$Q$3:$Q$98,"&lt;="&amp;$H30,工数管理!$R$3:$R$98,"")+COUNTIFS(工数管理!$AK$3:$AK$98,K$1,工数管理!$S$3:$S$98,"&lt;="&amp;$H30,工数管理!$T$3:$T$98,"")+COUNTIFS(工数管理!$AK$3:$AK$98,K$1,工数管理!$U$3:$U$98,"&lt;="&amp;$H30,工数管理!$V$3:$V$98,"")+COUNTIFS(工数管理!$AK$3:$AK$98,K$1,工数管理!$W$3:$W$98,"&lt;="&amp;$H30,工数管理!$X$3:$X$98,"")+COUNTIFS(工数管理!$AK$3:$AK$98,K$1,工数管理!$Y$3:$Y$98,"&lt;="&amp;$H30,工数管理!$Z$3:$Z$98,"")+COUNTIFS(工数管理!$AK$3:$AK$98,K$1,工数管理!$AA$3:$AA$98,"&lt;="&amp;$H30,工数管理!$AB$3:$AB$98,"")+COUNTIFS(工数管理!$AK$3:$AK$98,K$1,工数管理!$AC$3:$AC$98,"&lt;="&amp;$H30,工数管理!$AD$3:$AD$98,"")+COUNTIFS(工数管理!$AK$3:$AK$98,K$1,工数管理!$AE$3:$AE$98,"&lt;="&amp;$H30,工数管理!$AF$3:$AF$98,"")+COUNTIFS(工数管理!$AK$3:$AK$98,K$1,工数管理!$AG$3:$AG$98,"&lt;="&amp;$H30,工数管理!$AH$3:$AH$98,""))*($H30&lt;=工数管理!$AI$1))</f>
        <v>0</v>
      </c>
      <c r="L30" s="42">
        <f ca="1">IF(L$1="",0,COUNTIFS(工数管理!$AK$3:$AK$98,L$1,工数管理!$K$3:$K$98,"&lt;="&amp;$H30,工数管理!$L$3:$L$98,"&gt;="&amp;$H30)+COUNTIFS(工数管理!$AK$3:$AK$98,L$1,工数管理!$M$3:$M$98,"&lt;="&amp;$H30,工数管理!$N$3:$N$98,"&gt;="&amp;$H30)+COUNTIFS(工数管理!$AK$3:$AK$98,L$1,工数管理!$O$3:$O$98,"&lt;="&amp;$H30,工数管理!$P$3:$P$98,"&gt;="&amp;$H30)+COUNTIFS(工数管理!$AK$3:$AK$98,L$1,工数管理!$Q$3:$Q$98,"&lt;="&amp;$H30,工数管理!$R$3:$R$98,"&gt;="&amp;$H30)+COUNTIFS(工数管理!$AK$3:$AK$98,L$1,工数管理!$S$3:$S$98,"&lt;="&amp;$H30,工数管理!$T$3:$T$98,"&gt;="&amp;$H30)+COUNTIFS(工数管理!$AK$3:$AK$98,L$1,工数管理!$U$3:$U$98,"&lt;="&amp;$H30,工数管理!$V$3:$V$98,"&gt;="&amp;$H30)+COUNTIFS(工数管理!$AK$3:$AK$98,L$1,工数管理!$W$3:$W$98,"&lt;="&amp;$H30,工数管理!$X$3:$X$98,"&gt;="&amp;$H30)+COUNTIFS(工数管理!$AK$3:$AK$98,L$1,工数管理!$Y$3:$Y$98,"&lt;="&amp;$H30,工数管理!$Z$3:$Z$98,"&gt;="&amp;$H30)+COUNTIFS(工数管理!$AK$3:$AK$98,L$1,工数管理!$AA$3:$AA$98,"&lt;="&amp;$H30,工数管理!$AB$3:$AB$98,"&gt;="&amp;$H30)+COUNTIFS(工数管理!$AK$3:$AK$98,L$1,工数管理!$AC$3:$AC$98,"&lt;="&amp;$H30,工数管理!$AD$3:$AD$98,"&gt;="&amp;$H30)+COUNTIFS(工数管理!$AK$3:$AK$98,L$1,工数管理!$AE$3:$AE$98,"&lt;="&amp;$H30,工数管理!$AF$3:$AF$98,"&gt;="&amp;$H30)+COUNTIFS(工数管理!$AK$3:$AK$98,L$1,工数管理!$AG$3:$AG$98,"&lt;="&amp;$H30,工数管理!$AH$3:$AH$98,"&gt;="&amp;$H30)+(COUNTIFS(工数管理!$AK$3:$AK$98,L$1,工数管理!$K$3:$K$98,"&lt;="&amp;$H30,工数管理!$L$3:$L$98,"")+COUNTIFS(工数管理!$AK$3:$AK$98,L$1,工数管理!$M$3:$M$98,"&lt;="&amp;$H30,工数管理!$N$3:$N$98,"")+COUNTIFS(工数管理!$AK$3:$AK$98,L$1,工数管理!$O$3:$O$98,"&lt;="&amp;$H30,工数管理!$P$3:$P$98,"")+COUNTIFS(工数管理!$AK$3:$AK$98,L$1,工数管理!$Q$3:$Q$98,"&lt;="&amp;$H30,工数管理!$R$3:$R$98,"")+COUNTIFS(工数管理!$AK$3:$AK$98,L$1,工数管理!$S$3:$S$98,"&lt;="&amp;$H30,工数管理!$T$3:$T$98,"")+COUNTIFS(工数管理!$AK$3:$AK$98,L$1,工数管理!$U$3:$U$98,"&lt;="&amp;$H30,工数管理!$V$3:$V$98,"")+COUNTIFS(工数管理!$AK$3:$AK$98,L$1,工数管理!$W$3:$W$98,"&lt;="&amp;$H30,工数管理!$X$3:$X$98,"")+COUNTIFS(工数管理!$AK$3:$AK$98,L$1,工数管理!$Y$3:$Y$98,"&lt;="&amp;$H30,工数管理!$Z$3:$Z$98,"")+COUNTIFS(工数管理!$AK$3:$AK$98,L$1,工数管理!$AA$3:$AA$98,"&lt;="&amp;$H30,工数管理!$AB$3:$AB$98,"")+COUNTIFS(工数管理!$AK$3:$AK$98,L$1,工数管理!$AC$3:$AC$98,"&lt;="&amp;$H30,工数管理!$AD$3:$AD$98,"")+COUNTIFS(工数管理!$AK$3:$AK$98,L$1,工数管理!$AE$3:$AE$98,"&lt;="&amp;$H30,工数管理!$AF$3:$AF$98,"")+COUNTIFS(工数管理!$AK$3:$AK$98,L$1,工数管理!$AG$3:$AG$98,"&lt;="&amp;$H30,工数管理!$AH$3:$AH$98,""))*($H30&lt;=工数管理!$AI$1))</f>
        <v>0</v>
      </c>
    </row>
    <row r="31" spans="1:12" x14ac:dyDescent="0.15">
      <c r="A31" s="5">
        <v>46390</v>
      </c>
      <c r="B31" s="6" t="s">
        <v>65</v>
      </c>
      <c r="H31" s="41">
        <f t="shared" si="1"/>
        <v>46199</v>
      </c>
      <c r="I31" s="42">
        <f t="shared" si="0"/>
        <v>1</v>
      </c>
      <c r="J31" s="42">
        <f ca="1">IF(J$1="",0,COUNTIFS(工数管理!$AK$3:$AK$98,J$1,工数管理!$K$3:$K$98,"&lt;="&amp;$H31,工数管理!$L$3:$L$98,"&gt;="&amp;$H31)+COUNTIFS(工数管理!$AK$3:$AK$98,J$1,工数管理!$M$3:$M$98,"&lt;="&amp;$H31,工数管理!$N$3:$N$98,"&gt;="&amp;$H31)+COUNTIFS(工数管理!$AK$3:$AK$98,J$1,工数管理!$O$3:$O$98,"&lt;="&amp;$H31,工数管理!$P$3:$P$98,"&gt;="&amp;$H31)+COUNTIFS(工数管理!$AK$3:$AK$98,J$1,工数管理!$Q$3:$Q$98,"&lt;="&amp;$H31,工数管理!$R$3:$R$98,"&gt;="&amp;$H31)+COUNTIFS(工数管理!$AK$3:$AK$98,J$1,工数管理!$S$3:$S$98,"&lt;="&amp;$H31,工数管理!$T$3:$T$98,"&gt;="&amp;$H31)+COUNTIFS(工数管理!$AK$3:$AK$98,J$1,工数管理!$U$3:$U$98,"&lt;="&amp;$H31,工数管理!$V$3:$V$98,"&gt;="&amp;$H31)+COUNTIFS(工数管理!$AK$3:$AK$98,J$1,工数管理!$W$3:$W$98,"&lt;="&amp;$H31,工数管理!$X$3:$X$98,"&gt;="&amp;$H31)+COUNTIFS(工数管理!$AK$3:$AK$98,J$1,工数管理!$Y$3:$Y$98,"&lt;="&amp;$H31,工数管理!$Z$3:$Z$98,"&gt;="&amp;$H31)+COUNTIFS(工数管理!$AK$3:$AK$98,J$1,工数管理!$AA$3:$AA$98,"&lt;="&amp;$H31,工数管理!$AB$3:$AB$98,"&gt;="&amp;$H31)+COUNTIFS(工数管理!$AK$3:$AK$98,J$1,工数管理!$AC$3:$AC$98,"&lt;="&amp;$H31,工数管理!$AD$3:$AD$98,"&gt;="&amp;$H31)+COUNTIFS(工数管理!$AK$3:$AK$98,J$1,工数管理!$AE$3:$AE$98,"&lt;="&amp;$H31,工数管理!$AF$3:$AF$98,"&gt;="&amp;$H31)+COUNTIFS(工数管理!$AK$3:$AK$98,J$1,工数管理!$AG$3:$AG$98,"&lt;="&amp;$H31,工数管理!$AH$3:$AH$98,"&gt;="&amp;$H31)+(COUNTIFS(工数管理!$AK$3:$AK$98,J$1,工数管理!$K$3:$K$98,"&lt;="&amp;$H31,工数管理!$L$3:$L$98,"")+COUNTIFS(工数管理!$AK$3:$AK$98,J$1,工数管理!$M$3:$M$98,"&lt;="&amp;$H31,工数管理!$N$3:$N$98,"")+COUNTIFS(工数管理!$AK$3:$AK$98,J$1,工数管理!$O$3:$O$98,"&lt;="&amp;$H31,工数管理!$P$3:$P$98,"")+COUNTIFS(工数管理!$AK$3:$AK$98,J$1,工数管理!$Q$3:$Q$98,"&lt;="&amp;$H31,工数管理!$R$3:$R$98,"")+COUNTIFS(工数管理!$AK$3:$AK$98,J$1,工数管理!$S$3:$S$98,"&lt;="&amp;$H31,工数管理!$T$3:$T$98,"")+COUNTIFS(工数管理!$AK$3:$AK$98,J$1,工数管理!$U$3:$U$98,"&lt;="&amp;$H31,工数管理!$V$3:$V$98,"")+COUNTIFS(工数管理!$AK$3:$AK$98,J$1,工数管理!$W$3:$W$98,"&lt;="&amp;$H31,工数管理!$X$3:$X$98,"")+COUNTIFS(工数管理!$AK$3:$AK$98,J$1,工数管理!$Y$3:$Y$98,"&lt;="&amp;$H31,工数管理!$Z$3:$Z$98,"")+COUNTIFS(工数管理!$AK$3:$AK$98,J$1,工数管理!$AA$3:$AA$98,"&lt;="&amp;$H31,工数管理!$AB$3:$AB$98,"")+COUNTIFS(工数管理!$AK$3:$AK$98,J$1,工数管理!$AC$3:$AC$98,"&lt;="&amp;$H31,工数管理!$AD$3:$AD$98,"")+COUNTIFS(工数管理!$AK$3:$AK$98,J$1,工数管理!$AE$3:$AE$98,"&lt;="&amp;$H31,工数管理!$AF$3:$AF$98,"")+COUNTIFS(工数管理!$AK$3:$AK$98,J$1,工数管理!$AG$3:$AG$98,"&lt;="&amp;$H31,工数管理!$AH$3:$AH$98,""))*($H31&lt;=工数管理!$AI$1))</f>
        <v>1</v>
      </c>
      <c r="K31" s="42">
        <f ca="1">IF(K$1="",0,COUNTIFS(工数管理!$AK$3:$AK$98,K$1,工数管理!$K$3:$K$98,"&lt;="&amp;$H31,工数管理!$L$3:$L$98,"&gt;="&amp;$H31)+COUNTIFS(工数管理!$AK$3:$AK$98,K$1,工数管理!$M$3:$M$98,"&lt;="&amp;$H31,工数管理!$N$3:$N$98,"&gt;="&amp;$H31)+COUNTIFS(工数管理!$AK$3:$AK$98,K$1,工数管理!$O$3:$O$98,"&lt;="&amp;$H31,工数管理!$P$3:$P$98,"&gt;="&amp;$H31)+COUNTIFS(工数管理!$AK$3:$AK$98,K$1,工数管理!$Q$3:$Q$98,"&lt;="&amp;$H31,工数管理!$R$3:$R$98,"&gt;="&amp;$H31)+COUNTIFS(工数管理!$AK$3:$AK$98,K$1,工数管理!$S$3:$S$98,"&lt;="&amp;$H31,工数管理!$T$3:$T$98,"&gt;="&amp;$H31)+COUNTIFS(工数管理!$AK$3:$AK$98,K$1,工数管理!$U$3:$U$98,"&lt;="&amp;$H31,工数管理!$V$3:$V$98,"&gt;="&amp;$H31)+COUNTIFS(工数管理!$AK$3:$AK$98,K$1,工数管理!$W$3:$W$98,"&lt;="&amp;$H31,工数管理!$X$3:$X$98,"&gt;="&amp;$H31)+COUNTIFS(工数管理!$AK$3:$AK$98,K$1,工数管理!$Y$3:$Y$98,"&lt;="&amp;$H31,工数管理!$Z$3:$Z$98,"&gt;="&amp;$H31)+COUNTIFS(工数管理!$AK$3:$AK$98,K$1,工数管理!$AA$3:$AA$98,"&lt;="&amp;$H31,工数管理!$AB$3:$AB$98,"&gt;="&amp;$H31)+COUNTIFS(工数管理!$AK$3:$AK$98,K$1,工数管理!$AC$3:$AC$98,"&lt;="&amp;$H31,工数管理!$AD$3:$AD$98,"&gt;="&amp;$H31)+COUNTIFS(工数管理!$AK$3:$AK$98,K$1,工数管理!$AE$3:$AE$98,"&lt;="&amp;$H31,工数管理!$AF$3:$AF$98,"&gt;="&amp;$H31)+COUNTIFS(工数管理!$AK$3:$AK$98,K$1,工数管理!$AG$3:$AG$98,"&lt;="&amp;$H31,工数管理!$AH$3:$AH$98,"&gt;="&amp;$H31)+(COUNTIFS(工数管理!$AK$3:$AK$98,K$1,工数管理!$K$3:$K$98,"&lt;="&amp;$H31,工数管理!$L$3:$L$98,"")+COUNTIFS(工数管理!$AK$3:$AK$98,K$1,工数管理!$M$3:$M$98,"&lt;="&amp;$H31,工数管理!$N$3:$N$98,"")+COUNTIFS(工数管理!$AK$3:$AK$98,K$1,工数管理!$O$3:$O$98,"&lt;="&amp;$H31,工数管理!$P$3:$P$98,"")+COUNTIFS(工数管理!$AK$3:$AK$98,K$1,工数管理!$Q$3:$Q$98,"&lt;="&amp;$H31,工数管理!$R$3:$R$98,"")+COUNTIFS(工数管理!$AK$3:$AK$98,K$1,工数管理!$S$3:$S$98,"&lt;="&amp;$H31,工数管理!$T$3:$T$98,"")+COUNTIFS(工数管理!$AK$3:$AK$98,K$1,工数管理!$U$3:$U$98,"&lt;="&amp;$H31,工数管理!$V$3:$V$98,"")+COUNTIFS(工数管理!$AK$3:$AK$98,K$1,工数管理!$W$3:$W$98,"&lt;="&amp;$H31,工数管理!$X$3:$X$98,"")+COUNTIFS(工数管理!$AK$3:$AK$98,K$1,工数管理!$Y$3:$Y$98,"&lt;="&amp;$H31,工数管理!$Z$3:$Z$98,"")+COUNTIFS(工数管理!$AK$3:$AK$98,K$1,工数管理!$AA$3:$AA$98,"&lt;="&amp;$H31,工数管理!$AB$3:$AB$98,"")+COUNTIFS(工数管理!$AK$3:$AK$98,K$1,工数管理!$AC$3:$AC$98,"&lt;="&amp;$H31,工数管理!$AD$3:$AD$98,"")+COUNTIFS(工数管理!$AK$3:$AK$98,K$1,工数管理!$AE$3:$AE$98,"&lt;="&amp;$H31,工数管理!$AF$3:$AF$98,"")+COUNTIFS(工数管理!$AK$3:$AK$98,K$1,工数管理!$AG$3:$AG$98,"&lt;="&amp;$H31,工数管理!$AH$3:$AH$98,""))*($H31&lt;=工数管理!$AI$1))</f>
        <v>0</v>
      </c>
      <c r="L31" s="42">
        <f ca="1">IF(L$1="",0,COUNTIFS(工数管理!$AK$3:$AK$98,L$1,工数管理!$K$3:$K$98,"&lt;="&amp;$H31,工数管理!$L$3:$L$98,"&gt;="&amp;$H31)+COUNTIFS(工数管理!$AK$3:$AK$98,L$1,工数管理!$M$3:$M$98,"&lt;="&amp;$H31,工数管理!$N$3:$N$98,"&gt;="&amp;$H31)+COUNTIFS(工数管理!$AK$3:$AK$98,L$1,工数管理!$O$3:$O$98,"&lt;="&amp;$H31,工数管理!$P$3:$P$98,"&gt;="&amp;$H31)+COUNTIFS(工数管理!$AK$3:$AK$98,L$1,工数管理!$Q$3:$Q$98,"&lt;="&amp;$H31,工数管理!$R$3:$R$98,"&gt;="&amp;$H31)+COUNTIFS(工数管理!$AK$3:$AK$98,L$1,工数管理!$S$3:$S$98,"&lt;="&amp;$H31,工数管理!$T$3:$T$98,"&gt;="&amp;$H31)+COUNTIFS(工数管理!$AK$3:$AK$98,L$1,工数管理!$U$3:$U$98,"&lt;="&amp;$H31,工数管理!$V$3:$V$98,"&gt;="&amp;$H31)+COUNTIFS(工数管理!$AK$3:$AK$98,L$1,工数管理!$W$3:$W$98,"&lt;="&amp;$H31,工数管理!$X$3:$X$98,"&gt;="&amp;$H31)+COUNTIFS(工数管理!$AK$3:$AK$98,L$1,工数管理!$Y$3:$Y$98,"&lt;="&amp;$H31,工数管理!$Z$3:$Z$98,"&gt;="&amp;$H31)+COUNTIFS(工数管理!$AK$3:$AK$98,L$1,工数管理!$AA$3:$AA$98,"&lt;="&amp;$H31,工数管理!$AB$3:$AB$98,"&gt;="&amp;$H31)+COUNTIFS(工数管理!$AK$3:$AK$98,L$1,工数管理!$AC$3:$AC$98,"&lt;="&amp;$H31,工数管理!$AD$3:$AD$98,"&gt;="&amp;$H31)+COUNTIFS(工数管理!$AK$3:$AK$98,L$1,工数管理!$AE$3:$AE$98,"&lt;="&amp;$H31,工数管理!$AF$3:$AF$98,"&gt;="&amp;$H31)+COUNTIFS(工数管理!$AK$3:$AK$98,L$1,工数管理!$AG$3:$AG$98,"&lt;="&amp;$H31,工数管理!$AH$3:$AH$98,"&gt;="&amp;$H31)+(COUNTIFS(工数管理!$AK$3:$AK$98,L$1,工数管理!$K$3:$K$98,"&lt;="&amp;$H31,工数管理!$L$3:$L$98,"")+COUNTIFS(工数管理!$AK$3:$AK$98,L$1,工数管理!$M$3:$M$98,"&lt;="&amp;$H31,工数管理!$N$3:$N$98,"")+COUNTIFS(工数管理!$AK$3:$AK$98,L$1,工数管理!$O$3:$O$98,"&lt;="&amp;$H31,工数管理!$P$3:$P$98,"")+COUNTIFS(工数管理!$AK$3:$AK$98,L$1,工数管理!$Q$3:$Q$98,"&lt;="&amp;$H31,工数管理!$R$3:$R$98,"")+COUNTIFS(工数管理!$AK$3:$AK$98,L$1,工数管理!$S$3:$S$98,"&lt;="&amp;$H31,工数管理!$T$3:$T$98,"")+COUNTIFS(工数管理!$AK$3:$AK$98,L$1,工数管理!$U$3:$U$98,"&lt;="&amp;$H31,工数管理!$V$3:$V$98,"")+COUNTIFS(工数管理!$AK$3:$AK$98,L$1,工数管理!$W$3:$W$98,"&lt;="&amp;$H31,工数管理!$X$3:$X$98,"")+COUNTIFS(工数管理!$AK$3:$AK$98,L$1,工数管理!$Y$3:$Y$98,"&lt;="&amp;$H31,工数管理!$Z$3:$Z$98,"")+COUNTIFS(工数管理!$AK$3:$AK$98,L$1,工数管理!$AA$3:$AA$98,"&lt;="&amp;$H31,工数管理!$AB$3:$AB$98,"")+COUNTIFS(工数管理!$AK$3:$AK$98,L$1,工数管理!$AC$3:$AC$98,"&lt;="&amp;$H31,工数管理!$AD$3:$AD$98,"")+COUNTIFS(工数管理!$AK$3:$AK$98,L$1,工数管理!$AE$3:$AE$98,"&lt;="&amp;$H31,工数管理!$AF$3:$AF$98,"")+COUNTIFS(工数管理!$AK$3:$AK$98,L$1,工数管理!$AG$3:$AG$98,"&lt;="&amp;$H31,工数管理!$AH$3:$AH$98,""))*($H31&lt;=工数管理!$AI$1))</f>
        <v>0</v>
      </c>
    </row>
    <row r="32" spans="1:12" x14ac:dyDescent="0.15">
      <c r="A32" s="5">
        <v>46391</v>
      </c>
      <c r="B32" s="6" t="s">
        <v>65</v>
      </c>
      <c r="H32" s="41">
        <f t="shared" si="1"/>
        <v>46200</v>
      </c>
      <c r="I32" s="42">
        <f t="shared" si="0"/>
        <v>0</v>
      </c>
      <c r="J32" s="42">
        <f ca="1">IF(J$1="",0,COUNTIFS(工数管理!$AK$3:$AK$98,J$1,工数管理!$K$3:$K$98,"&lt;="&amp;$H32,工数管理!$L$3:$L$98,"&gt;="&amp;$H32)+COUNTIFS(工数管理!$AK$3:$AK$98,J$1,工数管理!$M$3:$M$98,"&lt;="&amp;$H32,工数管理!$N$3:$N$98,"&gt;="&amp;$H32)+COUNTIFS(工数管理!$AK$3:$AK$98,J$1,工数管理!$O$3:$O$98,"&lt;="&amp;$H32,工数管理!$P$3:$P$98,"&gt;="&amp;$H32)+COUNTIFS(工数管理!$AK$3:$AK$98,J$1,工数管理!$Q$3:$Q$98,"&lt;="&amp;$H32,工数管理!$R$3:$R$98,"&gt;="&amp;$H32)+COUNTIFS(工数管理!$AK$3:$AK$98,J$1,工数管理!$S$3:$S$98,"&lt;="&amp;$H32,工数管理!$T$3:$T$98,"&gt;="&amp;$H32)+COUNTIFS(工数管理!$AK$3:$AK$98,J$1,工数管理!$U$3:$U$98,"&lt;="&amp;$H32,工数管理!$V$3:$V$98,"&gt;="&amp;$H32)+COUNTIFS(工数管理!$AK$3:$AK$98,J$1,工数管理!$W$3:$W$98,"&lt;="&amp;$H32,工数管理!$X$3:$X$98,"&gt;="&amp;$H32)+COUNTIFS(工数管理!$AK$3:$AK$98,J$1,工数管理!$Y$3:$Y$98,"&lt;="&amp;$H32,工数管理!$Z$3:$Z$98,"&gt;="&amp;$H32)+COUNTIFS(工数管理!$AK$3:$AK$98,J$1,工数管理!$AA$3:$AA$98,"&lt;="&amp;$H32,工数管理!$AB$3:$AB$98,"&gt;="&amp;$H32)+COUNTIFS(工数管理!$AK$3:$AK$98,J$1,工数管理!$AC$3:$AC$98,"&lt;="&amp;$H32,工数管理!$AD$3:$AD$98,"&gt;="&amp;$H32)+COUNTIFS(工数管理!$AK$3:$AK$98,J$1,工数管理!$AE$3:$AE$98,"&lt;="&amp;$H32,工数管理!$AF$3:$AF$98,"&gt;="&amp;$H32)+COUNTIFS(工数管理!$AK$3:$AK$98,J$1,工数管理!$AG$3:$AG$98,"&lt;="&amp;$H32,工数管理!$AH$3:$AH$98,"&gt;="&amp;$H32)+(COUNTIFS(工数管理!$AK$3:$AK$98,J$1,工数管理!$K$3:$K$98,"&lt;="&amp;$H32,工数管理!$L$3:$L$98,"")+COUNTIFS(工数管理!$AK$3:$AK$98,J$1,工数管理!$M$3:$M$98,"&lt;="&amp;$H32,工数管理!$N$3:$N$98,"")+COUNTIFS(工数管理!$AK$3:$AK$98,J$1,工数管理!$O$3:$O$98,"&lt;="&amp;$H32,工数管理!$P$3:$P$98,"")+COUNTIFS(工数管理!$AK$3:$AK$98,J$1,工数管理!$Q$3:$Q$98,"&lt;="&amp;$H32,工数管理!$R$3:$R$98,"")+COUNTIFS(工数管理!$AK$3:$AK$98,J$1,工数管理!$S$3:$S$98,"&lt;="&amp;$H32,工数管理!$T$3:$T$98,"")+COUNTIFS(工数管理!$AK$3:$AK$98,J$1,工数管理!$U$3:$U$98,"&lt;="&amp;$H32,工数管理!$V$3:$V$98,"")+COUNTIFS(工数管理!$AK$3:$AK$98,J$1,工数管理!$W$3:$W$98,"&lt;="&amp;$H32,工数管理!$X$3:$X$98,"")+COUNTIFS(工数管理!$AK$3:$AK$98,J$1,工数管理!$Y$3:$Y$98,"&lt;="&amp;$H32,工数管理!$Z$3:$Z$98,"")+COUNTIFS(工数管理!$AK$3:$AK$98,J$1,工数管理!$AA$3:$AA$98,"&lt;="&amp;$H32,工数管理!$AB$3:$AB$98,"")+COUNTIFS(工数管理!$AK$3:$AK$98,J$1,工数管理!$AC$3:$AC$98,"&lt;="&amp;$H32,工数管理!$AD$3:$AD$98,"")+COUNTIFS(工数管理!$AK$3:$AK$98,J$1,工数管理!$AE$3:$AE$98,"&lt;="&amp;$H32,工数管理!$AF$3:$AF$98,"")+COUNTIFS(工数管理!$AK$3:$AK$98,J$1,工数管理!$AG$3:$AG$98,"&lt;="&amp;$H32,工数管理!$AH$3:$AH$98,""))*($H32&lt;=工数管理!$AI$1))</f>
        <v>1</v>
      </c>
      <c r="K32" s="42">
        <f ca="1">IF(K$1="",0,COUNTIFS(工数管理!$AK$3:$AK$98,K$1,工数管理!$K$3:$K$98,"&lt;="&amp;$H32,工数管理!$L$3:$L$98,"&gt;="&amp;$H32)+COUNTIFS(工数管理!$AK$3:$AK$98,K$1,工数管理!$M$3:$M$98,"&lt;="&amp;$H32,工数管理!$N$3:$N$98,"&gt;="&amp;$H32)+COUNTIFS(工数管理!$AK$3:$AK$98,K$1,工数管理!$O$3:$O$98,"&lt;="&amp;$H32,工数管理!$P$3:$P$98,"&gt;="&amp;$H32)+COUNTIFS(工数管理!$AK$3:$AK$98,K$1,工数管理!$Q$3:$Q$98,"&lt;="&amp;$H32,工数管理!$R$3:$R$98,"&gt;="&amp;$H32)+COUNTIFS(工数管理!$AK$3:$AK$98,K$1,工数管理!$S$3:$S$98,"&lt;="&amp;$H32,工数管理!$T$3:$T$98,"&gt;="&amp;$H32)+COUNTIFS(工数管理!$AK$3:$AK$98,K$1,工数管理!$U$3:$U$98,"&lt;="&amp;$H32,工数管理!$V$3:$V$98,"&gt;="&amp;$H32)+COUNTIFS(工数管理!$AK$3:$AK$98,K$1,工数管理!$W$3:$W$98,"&lt;="&amp;$H32,工数管理!$X$3:$X$98,"&gt;="&amp;$H32)+COUNTIFS(工数管理!$AK$3:$AK$98,K$1,工数管理!$Y$3:$Y$98,"&lt;="&amp;$H32,工数管理!$Z$3:$Z$98,"&gt;="&amp;$H32)+COUNTIFS(工数管理!$AK$3:$AK$98,K$1,工数管理!$AA$3:$AA$98,"&lt;="&amp;$H32,工数管理!$AB$3:$AB$98,"&gt;="&amp;$H32)+COUNTIFS(工数管理!$AK$3:$AK$98,K$1,工数管理!$AC$3:$AC$98,"&lt;="&amp;$H32,工数管理!$AD$3:$AD$98,"&gt;="&amp;$H32)+COUNTIFS(工数管理!$AK$3:$AK$98,K$1,工数管理!$AE$3:$AE$98,"&lt;="&amp;$H32,工数管理!$AF$3:$AF$98,"&gt;="&amp;$H32)+COUNTIFS(工数管理!$AK$3:$AK$98,K$1,工数管理!$AG$3:$AG$98,"&lt;="&amp;$H32,工数管理!$AH$3:$AH$98,"&gt;="&amp;$H32)+(COUNTIFS(工数管理!$AK$3:$AK$98,K$1,工数管理!$K$3:$K$98,"&lt;="&amp;$H32,工数管理!$L$3:$L$98,"")+COUNTIFS(工数管理!$AK$3:$AK$98,K$1,工数管理!$M$3:$M$98,"&lt;="&amp;$H32,工数管理!$N$3:$N$98,"")+COUNTIFS(工数管理!$AK$3:$AK$98,K$1,工数管理!$O$3:$O$98,"&lt;="&amp;$H32,工数管理!$P$3:$P$98,"")+COUNTIFS(工数管理!$AK$3:$AK$98,K$1,工数管理!$Q$3:$Q$98,"&lt;="&amp;$H32,工数管理!$R$3:$R$98,"")+COUNTIFS(工数管理!$AK$3:$AK$98,K$1,工数管理!$S$3:$S$98,"&lt;="&amp;$H32,工数管理!$T$3:$T$98,"")+COUNTIFS(工数管理!$AK$3:$AK$98,K$1,工数管理!$U$3:$U$98,"&lt;="&amp;$H32,工数管理!$V$3:$V$98,"")+COUNTIFS(工数管理!$AK$3:$AK$98,K$1,工数管理!$W$3:$W$98,"&lt;="&amp;$H32,工数管理!$X$3:$X$98,"")+COUNTIFS(工数管理!$AK$3:$AK$98,K$1,工数管理!$Y$3:$Y$98,"&lt;="&amp;$H32,工数管理!$Z$3:$Z$98,"")+COUNTIFS(工数管理!$AK$3:$AK$98,K$1,工数管理!$AA$3:$AA$98,"&lt;="&amp;$H32,工数管理!$AB$3:$AB$98,"")+COUNTIFS(工数管理!$AK$3:$AK$98,K$1,工数管理!$AC$3:$AC$98,"&lt;="&amp;$H32,工数管理!$AD$3:$AD$98,"")+COUNTIFS(工数管理!$AK$3:$AK$98,K$1,工数管理!$AE$3:$AE$98,"&lt;="&amp;$H32,工数管理!$AF$3:$AF$98,"")+COUNTIFS(工数管理!$AK$3:$AK$98,K$1,工数管理!$AG$3:$AG$98,"&lt;="&amp;$H32,工数管理!$AH$3:$AH$98,""))*($H32&lt;=工数管理!$AI$1))</f>
        <v>0</v>
      </c>
      <c r="L32" s="42">
        <f ca="1">IF(L$1="",0,COUNTIFS(工数管理!$AK$3:$AK$98,L$1,工数管理!$K$3:$K$98,"&lt;="&amp;$H32,工数管理!$L$3:$L$98,"&gt;="&amp;$H32)+COUNTIFS(工数管理!$AK$3:$AK$98,L$1,工数管理!$M$3:$M$98,"&lt;="&amp;$H32,工数管理!$N$3:$N$98,"&gt;="&amp;$H32)+COUNTIFS(工数管理!$AK$3:$AK$98,L$1,工数管理!$O$3:$O$98,"&lt;="&amp;$H32,工数管理!$P$3:$P$98,"&gt;="&amp;$H32)+COUNTIFS(工数管理!$AK$3:$AK$98,L$1,工数管理!$Q$3:$Q$98,"&lt;="&amp;$H32,工数管理!$R$3:$R$98,"&gt;="&amp;$H32)+COUNTIFS(工数管理!$AK$3:$AK$98,L$1,工数管理!$S$3:$S$98,"&lt;="&amp;$H32,工数管理!$T$3:$T$98,"&gt;="&amp;$H32)+COUNTIFS(工数管理!$AK$3:$AK$98,L$1,工数管理!$U$3:$U$98,"&lt;="&amp;$H32,工数管理!$V$3:$V$98,"&gt;="&amp;$H32)+COUNTIFS(工数管理!$AK$3:$AK$98,L$1,工数管理!$W$3:$W$98,"&lt;="&amp;$H32,工数管理!$X$3:$X$98,"&gt;="&amp;$H32)+COUNTIFS(工数管理!$AK$3:$AK$98,L$1,工数管理!$Y$3:$Y$98,"&lt;="&amp;$H32,工数管理!$Z$3:$Z$98,"&gt;="&amp;$H32)+COUNTIFS(工数管理!$AK$3:$AK$98,L$1,工数管理!$AA$3:$AA$98,"&lt;="&amp;$H32,工数管理!$AB$3:$AB$98,"&gt;="&amp;$H32)+COUNTIFS(工数管理!$AK$3:$AK$98,L$1,工数管理!$AC$3:$AC$98,"&lt;="&amp;$H32,工数管理!$AD$3:$AD$98,"&gt;="&amp;$H32)+COUNTIFS(工数管理!$AK$3:$AK$98,L$1,工数管理!$AE$3:$AE$98,"&lt;="&amp;$H32,工数管理!$AF$3:$AF$98,"&gt;="&amp;$H32)+COUNTIFS(工数管理!$AK$3:$AK$98,L$1,工数管理!$AG$3:$AG$98,"&lt;="&amp;$H32,工数管理!$AH$3:$AH$98,"&gt;="&amp;$H32)+(COUNTIFS(工数管理!$AK$3:$AK$98,L$1,工数管理!$K$3:$K$98,"&lt;="&amp;$H32,工数管理!$L$3:$L$98,"")+COUNTIFS(工数管理!$AK$3:$AK$98,L$1,工数管理!$M$3:$M$98,"&lt;="&amp;$H32,工数管理!$N$3:$N$98,"")+COUNTIFS(工数管理!$AK$3:$AK$98,L$1,工数管理!$O$3:$O$98,"&lt;="&amp;$H32,工数管理!$P$3:$P$98,"")+COUNTIFS(工数管理!$AK$3:$AK$98,L$1,工数管理!$Q$3:$Q$98,"&lt;="&amp;$H32,工数管理!$R$3:$R$98,"")+COUNTIFS(工数管理!$AK$3:$AK$98,L$1,工数管理!$S$3:$S$98,"&lt;="&amp;$H32,工数管理!$T$3:$T$98,"")+COUNTIFS(工数管理!$AK$3:$AK$98,L$1,工数管理!$U$3:$U$98,"&lt;="&amp;$H32,工数管理!$V$3:$V$98,"")+COUNTIFS(工数管理!$AK$3:$AK$98,L$1,工数管理!$W$3:$W$98,"&lt;="&amp;$H32,工数管理!$X$3:$X$98,"")+COUNTIFS(工数管理!$AK$3:$AK$98,L$1,工数管理!$Y$3:$Y$98,"&lt;="&amp;$H32,工数管理!$Z$3:$Z$98,"")+COUNTIFS(工数管理!$AK$3:$AK$98,L$1,工数管理!$AA$3:$AA$98,"&lt;="&amp;$H32,工数管理!$AB$3:$AB$98,"")+COUNTIFS(工数管理!$AK$3:$AK$98,L$1,工数管理!$AC$3:$AC$98,"&lt;="&amp;$H32,工数管理!$AD$3:$AD$98,"")+COUNTIFS(工数管理!$AK$3:$AK$98,L$1,工数管理!$AE$3:$AE$98,"&lt;="&amp;$H32,工数管理!$AF$3:$AF$98,"")+COUNTIFS(工数管理!$AK$3:$AK$98,L$1,工数管理!$AG$3:$AG$98,"&lt;="&amp;$H32,工数管理!$AH$3:$AH$98,""))*($H32&lt;=工数管理!$AI$1))</f>
        <v>0</v>
      </c>
    </row>
    <row r="33" spans="1:12" x14ac:dyDescent="0.15">
      <c r="A33" s="5">
        <v>46398</v>
      </c>
      <c r="B33" s="6" t="s">
        <v>69</v>
      </c>
      <c r="H33" s="41">
        <f t="shared" si="1"/>
        <v>46201</v>
      </c>
      <c r="I33" s="42">
        <f t="shared" si="0"/>
        <v>0</v>
      </c>
      <c r="J33" s="42">
        <f ca="1">IF(J$1="",0,COUNTIFS(工数管理!$AK$3:$AK$98,J$1,工数管理!$K$3:$K$98,"&lt;="&amp;$H33,工数管理!$L$3:$L$98,"&gt;="&amp;$H33)+COUNTIFS(工数管理!$AK$3:$AK$98,J$1,工数管理!$M$3:$M$98,"&lt;="&amp;$H33,工数管理!$N$3:$N$98,"&gt;="&amp;$H33)+COUNTIFS(工数管理!$AK$3:$AK$98,J$1,工数管理!$O$3:$O$98,"&lt;="&amp;$H33,工数管理!$P$3:$P$98,"&gt;="&amp;$H33)+COUNTIFS(工数管理!$AK$3:$AK$98,J$1,工数管理!$Q$3:$Q$98,"&lt;="&amp;$H33,工数管理!$R$3:$R$98,"&gt;="&amp;$H33)+COUNTIFS(工数管理!$AK$3:$AK$98,J$1,工数管理!$S$3:$S$98,"&lt;="&amp;$H33,工数管理!$T$3:$T$98,"&gt;="&amp;$H33)+COUNTIFS(工数管理!$AK$3:$AK$98,J$1,工数管理!$U$3:$U$98,"&lt;="&amp;$H33,工数管理!$V$3:$V$98,"&gt;="&amp;$H33)+COUNTIFS(工数管理!$AK$3:$AK$98,J$1,工数管理!$W$3:$W$98,"&lt;="&amp;$H33,工数管理!$X$3:$X$98,"&gt;="&amp;$H33)+COUNTIFS(工数管理!$AK$3:$AK$98,J$1,工数管理!$Y$3:$Y$98,"&lt;="&amp;$H33,工数管理!$Z$3:$Z$98,"&gt;="&amp;$H33)+COUNTIFS(工数管理!$AK$3:$AK$98,J$1,工数管理!$AA$3:$AA$98,"&lt;="&amp;$H33,工数管理!$AB$3:$AB$98,"&gt;="&amp;$H33)+COUNTIFS(工数管理!$AK$3:$AK$98,J$1,工数管理!$AC$3:$AC$98,"&lt;="&amp;$H33,工数管理!$AD$3:$AD$98,"&gt;="&amp;$H33)+COUNTIFS(工数管理!$AK$3:$AK$98,J$1,工数管理!$AE$3:$AE$98,"&lt;="&amp;$H33,工数管理!$AF$3:$AF$98,"&gt;="&amp;$H33)+COUNTIFS(工数管理!$AK$3:$AK$98,J$1,工数管理!$AG$3:$AG$98,"&lt;="&amp;$H33,工数管理!$AH$3:$AH$98,"&gt;="&amp;$H33)+(COUNTIFS(工数管理!$AK$3:$AK$98,J$1,工数管理!$K$3:$K$98,"&lt;="&amp;$H33,工数管理!$L$3:$L$98,"")+COUNTIFS(工数管理!$AK$3:$AK$98,J$1,工数管理!$M$3:$M$98,"&lt;="&amp;$H33,工数管理!$N$3:$N$98,"")+COUNTIFS(工数管理!$AK$3:$AK$98,J$1,工数管理!$O$3:$O$98,"&lt;="&amp;$H33,工数管理!$P$3:$P$98,"")+COUNTIFS(工数管理!$AK$3:$AK$98,J$1,工数管理!$Q$3:$Q$98,"&lt;="&amp;$H33,工数管理!$R$3:$R$98,"")+COUNTIFS(工数管理!$AK$3:$AK$98,J$1,工数管理!$S$3:$S$98,"&lt;="&amp;$H33,工数管理!$T$3:$T$98,"")+COUNTIFS(工数管理!$AK$3:$AK$98,J$1,工数管理!$U$3:$U$98,"&lt;="&amp;$H33,工数管理!$V$3:$V$98,"")+COUNTIFS(工数管理!$AK$3:$AK$98,J$1,工数管理!$W$3:$W$98,"&lt;="&amp;$H33,工数管理!$X$3:$X$98,"")+COUNTIFS(工数管理!$AK$3:$AK$98,J$1,工数管理!$Y$3:$Y$98,"&lt;="&amp;$H33,工数管理!$Z$3:$Z$98,"")+COUNTIFS(工数管理!$AK$3:$AK$98,J$1,工数管理!$AA$3:$AA$98,"&lt;="&amp;$H33,工数管理!$AB$3:$AB$98,"")+COUNTIFS(工数管理!$AK$3:$AK$98,J$1,工数管理!$AC$3:$AC$98,"&lt;="&amp;$H33,工数管理!$AD$3:$AD$98,"")+COUNTIFS(工数管理!$AK$3:$AK$98,J$1,工数管理!$AE$3:$AE$98,"&lt;="&amp;$H33,工数管理!$AF$3:$AF$98,"")+COUNTIFS(工数管理!$AK$3:$AK$98,J$1,工数管理!$AG$3:$AG$98,"&lt;="&amp;$H33,工数管理!$AH$3:$AH$98,""))*($H33&lt;=工数管理!$AI$1))</f>
        <v>1</v>
      </c>
      <c r="K33" s="42">
        <f ca="1">IF(K$1="",0,COUNTIFS(工数管理!$AK$3:$AK$98,K$1,工数管理!$K$3:$K$98,"&lt;="&amp;$H33,工数管理!$L$3:$L$98,"&gt;="&amp;$H33)+COUNTIFS(工数管理!$AK$3:$AK$98,K$1,工数管理!$M$3:$M$98,"&lt;="&amp;$H33,工数管理!$N$3:$N$98,"&gt;="&amp;$H33)+COUNTIFS(工数管理!$AK$3:$AK$98,K$1,工数管理!$O$3:$O$98,"&lt;="&amp;$H33,工数管理!$P$3:$P$98,"&gt;="&amp;$H33)+COUNTIFS(工数管理!$AK$3:$AK$98,K$1,工数管理!$Q$3:$Q$98,"&lt;="&amp;$H33,工数管理!$R$3:$R$98,"&gt;="&amp;$H33)+COUNTIFS(工数管理!$AK$3:$AK$98,K$1,工数管理!$S$3:$S$98,"&lt;="&amp;$H33,工数管理!$T$3:$T$98,"&gt;="&amp;$H33)+COUNTIFS(工数管理!$AK$3:$AK$98,K$1,工数管理!$U$3:$U$98,"&lt;="&amp;$H33,工数管理!$V$3:$V$98,"&gt;="&amp;$H33)+COUNTIFS(工数管理!$AK$3:$AK$98,K$1,工数管理!$W$3:$W$98,"&lt;="&amp;$H33,工数管理!$X$3:$X$98,"&gt;="&amp;$H33)+COUNTIFS(工数管理!$AK$3:$AK$98,K$1,工数管理!$Y$3:$Y$98,"&lt;="&amp;$H33,工数管理!$Z$3:$Z$98,"&gt;="&amp;$H33)+COUNTIFS(工数管理!$AK$3:$AK$98,K$1,工数管理!$AA$3:$AA$98,"&lt;="&amp;$H33,工数管理!$AB$3:$AB$98,"&gt;="&amp;$H33)+COUNTIFS(工数管理!$AK$3:$AK$98,K$1,工数管理!$AC$3:$AC$98,"&lt;="&amp;$H33,工数管理!$AD$3:$AD$98,"&gt;="&amp;$H33)+COUNTIFS(工数管理!$AK$3:$AK$98,K$1,工数管理!$AE$3:$AE$98,"&lt;="&amp;$H33,工数管理!$AF$3:$AF$98,"&gt;="&amp;$H33)+COUNTIFS(工数管理!$AK$3:$AK$98,K$1,工数管理!$AG$3:$AG$98,"&lt;="&amp;$H33,工数管理!$AH$3:$AH$98,"&gt;="&amp;$H33)+(COUNTIFS(工数管理!$AK$3:$AK$98,K$1,工数管理!$K$3:$K$98,"&lt;="&amp;$H33,工数管理!$L$3:$L$98,"")+COUNTIFS(工数管理!$AK$3:$AK$98,K$1,工数管理!$M$3:$M$98,"&lt;="&amp;$H33,工数管理!$N$3:$N$98,"")+COUNTIFS(工数管理!$AK$3:$AK$98,K$1,工数管理!$O$3:$O$98,"&lt;="&amp;$H33,工数管理!$P$3:$P$98,"")+COUNTIFS(工数管理!$AK$3:$AK$98,K$1,工数管理!$Q$3:$Q$98,"&lt;="&amp;$H33,工数管理!$R$3:$R$98,"")+COUNTIFS(工数管理!$AK$3:$AK$98,K$1,工数管理!$S$3:$S$98,"&lt;="&amp;$H33,工数管理!$T$3:$T$98,"")+COUNTIFS(工数管理!$AK$3:$AK$98,K$1,工数管理!$U$3:$U$98,"&lt;="&amp;$H33,工数管理!$V$3:$V$98,"")+COUNTIFS(工数管理!$AK$3:$AK$98,K$1,工数管理!$W$3:$W$98,"&lt;="&amp;$H33,工数管理!$X$3:$X$98,"")+COUNTIFS(工数管理!$AK$3:$AK$98,K$1,工数管理!$Y$3:$Y$98,"&lt;="&amp;$H33,工数管理!$Z$3:$Z$98,"")+COUNTIFS(工数管理!$AK$3:$AK$98,K$1,工数管理!$AA$3:$AA$98,"&lt;="&amp;$H33,工数管理!$AB$3:$AB$98,"")+COUNTIFS(工数管理!$AK$3:$AK$98,K$1,工数管理!$AC$3:$AC$98,"&lt;="&amp;$H33,工数管理!$AD$3:$AD$98,"")+COUNTIFS(工数管理!$AK$3:$AK$98,K$1,工数管理!$AE$3:$AE$98,"&lt;="&amp;$H33,工数管理!$AF$3:$AF$98,"")+COUNTIFS(工数管理!$AK$3:$AK$98,K$1,工数管理!$AG$3:$AG$98,"&lt;="&amp;$H33,工数管理!$AH$3:$AH$98,""))*($H33&lt;=工数管理!$AI$1))</f>
        <v>0</v>
      </c>
      <c r="L33" s="42">
        <f ca="1">IF(L$1="",0,COUNTIFS(工数管理!$AK$3:$AK$98,L$1,工数管理!$K$3:$K$98,"&lt;="&amp;$H33,工数管理!$L$3:$L$98,"&gt;="&amp;$H33)+COUNTIFS(工数管理!$AK$3:$AK$98,L$1,工数管理!$M$3:$M$98,"&lt;="&amp;$H33,工数管理!$N$3:$N$98,"&gt;="&amp;$H33)+COUNTIFS(工数管理!$AK$3:$AK$98,L$1,工数管理!$O$3:$O$98,"&lt;="&amp;$H33,工数管理!$P$3:$P$98,"&gt;="&amp;$H33)+COUNTIFS(工数管理!$AK$3:$AK$98,L$1,工数管理!$Q$3:$Q$98,"&lt;="&amp;$H33,工数管理!$R$3:$R$98,"&gt;="&amp;$H33)+COUNTIFS(工数管理!$AK$3:$AK$98,L$1,工数管理!$S$3:$S$98,"&lt;="&amp;$H33,工数管理!$T$3:$T$98,"&gt;="&amp;$H33)+COUNTIFS(工数管理!$AK$3:$AK$98,L$1,工数管理!$U$3:$U$98,"&lt;="&amp;$H33,工数管理!$V$3:$V$98,"&gt;="&amp;$H33)+COUNTIFS(工数管理!$AK$3:$AK$98,L$1,工数管理!$W$3:$W$98,"&lt;="&amp;$H33,工数管理!$X$3:$X$98,"&gt;="&amp;$H33)+COUNTIFS(工数管理!$AK$3:$AK$98,L$1,工数管理!$Y$3:$Y$98,"&lt;="&amp;$H33,工数管理!$Z$3:$Z$98,"&gt;="&amp;$H33)+COUNTIFS(工数管理!$AK$3:$AK$98,L$1,工数管理!$AA$3:$AA$98,"&lt;="&amp;$H33,工数管理!$AB$3:$AB$98,"&gt;="&amp;$H33)+COUNTIFS(工数管理!$AK$3:$AK$98,L$1,工数管理!$AC$3:$AC$98,"&lt;="&amp;$H33,工数管理!$AD$3:$AD$98,"&gt;="&amp;$H33)+COUNTIFS(工数管理!$AK$3:$AK$98,L$1,工数管理!$AE$3:$AE$98,"&lt;="&amp;$H33,工数管理!$AF$3:$AF$98,"&gt;="&amp;$H33)+COUNTIFS(工数管理!$AK$3:$AK$98,L$1,工数管理!$AG$3:$AG$98,"&lt;="&amp;$H33,工数管理!$AH$3:$AH$98,"&gt;="&amp;$H33)+(COUNTIFS(工数管理!$AK$3:$AK$98,L$1,工数管理!$K$3:$K$98,"&lt;="&amp;$H33,工数管理!$L$3:$L$98,"")+COUNTIFS(工数管理!$AK$3:$AK$98,L$1,工数管理!$M$3:$M$98,"&lt;="&amp;$H33,工数管理!$N$3:$N$98,"")+COUNTIFS(工数管理!$AK$3:$AK$98,L$1,工数管理!$O$3:$O$98,"&lt;="&amp;$H33,工数管理!$P$3:$P$98,"")+COUNTIFS(工数管理!$AK$3:$AK$98,L$1,工数管理!$Q$3:$Q$98,"&lt;="&amp;$H33,工数管理!$R$3:$R$98,"")+COUNTIFS(工数管理!$AK$3:$AK$98,L$1,工数管理!$S$3:$S$98,"&lt;="&amp;$H33,工数管理!$T$3:$T$98,"")+COUNTIFS(工数管理!$AK$3:$AK$98,L$1,工数管理!$U$3:$U$98,"&lt;="&amp;$H33,工数管理!$V$3:$V$98,"")+COUNTIFS(工数管理!$AK$3:$AK$98,L$1,工数管理!$W$3:$W$98,"&lt;="&amp;$H33,工数管理!$X$3:$X$98,"")+COUNTIFS(工数管理!$AK$3:$AK$98,L$1,工数管理!$Y$3:$Y$98,"&lt;="&amp;$H33,工数管理!$Z$3:$Z$98,"")+COUNTIFS(工数管理!$AK$3:$AK$98,L$1,工数管理!$AA$3:$AA$98,"&lt;="&amp;$H33,工数管理!$AB$3:$AB$98,"")+COUNTIFS(工数管理!$AK$3:$AK$98,L$1,工数管理!$AC$3:$AC$98,"&lt;="&amp;$H33,工数管理!$AD$3:$AD$98,"")+COUNTIFS(工数管理!$AK$3:$AK$98,L$1,工数管理!$AE$3:$AE$98,"&lt;="&amp;$H33,工数管理!$AF$3:$AF$98,"")+COUNTIFS(工数管理!$AK$3:$AK$98,L$1,工数管理!$AG$3:$AG$98,"&lt;="&amp;$H33,工数管理!$AH$3:$AH$98,""))*($H33&lt;=工数管理!$AI$1))</f>
        <v>0</v>
      </c>
    </row>
    <row r="34" spans="1:12" x14ac:dyDescent="0.15">
      <c r="A34" s="5">
        <v>46429</v>
      </c>
      <c r="B34" s="6" t="s">
        <v>70</v>
      </c>
      <c r="H34" s="41">
        <f t="shared" si="1"/>
        <v>46202</v>
      </c>
      <c r="I34" s="42">
        <f t="shared" si="0"/>
        <v>1</v>
      </c>
      <c r="J34" s="42">
        <f ca="1">IF(J$1="",0,COUNTIFS(工数管理!$AK$3:$AK$98,J$1,工数管理!$K$3:$K$98,"&lt;="&amp;$H34,工数管理!$L$3:$L$98,"&gt;="&amp;$H34)+COUNTIFS(工数管理!$AK$3:$AK$98,J$1,工数管理!$M$3:$M$98,"&lt;="&amp;$H34,工数管理!$N$3:$N$98,"&gt;="&amp;$H34)+COUNTIFS(工数管理!$AK$3:$AK$98,J$1,工数管理!$O$3:$O$98,"&lt;="&amp;$H34,工数管理!$P$3:$P$98,"&gt;="&amp;$H34)+COUNTIFS(工数管理!$AK$3:$AK$98,J$1,工数管理!$Q$3:$Q$98,"&lt;="&amp;$H34,工数管理!$R$3:$R$98,"&gt;="&amp;$H34)+COUNTIFS(工数管理!$AK$3:$AK$98,J$1,工数管理!$S$3:$S$98,"&lt;="&amp;$H34,工数管理!$T$3:$T$98,"&gt;="&amp;$H34)+COUNTIFS(工数管理!$AK$3:$AK$98,J$1,工数管理!$U$3:$U$98,"&lt;="&amp;$H34,工数管理!$V$3:$V$98,"&gt;="&amp;$H34)+COUNTIFS(工数管理!$AK$3:$AK$98,J$1,工数管理!$W$3:$W$98,"&lt;="&amp;$H34,工数管理!$X$3:$X$98,"&gt;="&amp;$H34)+COUNTIFS(工数管理!$AK$3:$AK$98,J$1,工数管理!$Y$3:$Y$98,"&lt;="&amp;$H34,工数管理!$Z$3:$Z$98,"&gt;="&amp;$H34)+COUNTIFS(工数管理!$AK$3:$AK$98,J$1,工数管理!$AA$3:$AA$98,"&lt;="&amp;$H34,工数管理!$AB$3:$AB$98,"&gt;="&amp;$H34)+COUNTIFS(工数管理!$AK$3:$AK$98,J$1,工数管理!$AC$3:$AC$98,"&lt;="&amp;$H34,工数管理!$AD$3:$AD$98,"&gt;="&amp;$H34)+COUNTIFS(工数管理!$AK$3:$AK$98,J$1,工数管理!$AE$3:$AE$98,"&lt;="&amp;$H34,工数管理!$AF$3:$AF$98,"&gt;="&amp;$H34)+COUNTIFS(工数管理!$AK$3:$AK$98,J$1,工数管理!$AG$3:$AG$98,"&lt;="&amp;$H34,工数管理!$AH$3:$AH$98,"&gt;="&amp;$H34)+(COUNTIFS(工数管理!$AK$3:$AK$98,J$1,工数管理!$K$3:$K$98,"&lt;="&amp;$H34,工数管理!$L$3:$L$98,"")+COUNTIFS(工数管理!$AK$3:$AK$98,J$1,工数管理!$M$3:$M$98,"&lt;="&amp;$H34,工数管理!$N$3:$N$98,"")+COUNTIFS(工数管理!$AK$3:$AK$98,J$1,工数管理!$O$3:$O$98,"&lt;="&amp;$H34,工数管理!$P$3:$P$98,"")+COUNTIFS(工数管理!$AK$3:$AK$98,J$1,工数管理!$Q$3:$Q$98,"&lt;="&amp;$H34,工数管理!$R$3:$R$98,"")+COUNTIFS(工数管理!$AK$3:$AK$98,J$1,工数管理!$S$3:$S$98,"&lt;="&amp;$H34,工数管理!$T$3:$T$98,"")+COUNTIFS(工数管理!$AK$3:$AK$98,J$1,工数管理!$U$3:$U$98,"&lt;="&amp;$H34,工数管理!$V$3:$V$98,"")+COUNTIFS(工数管理!$AK$3:$AK$98,J$1,工数管理!$W$3:$W$98,"&lt;="&amp;$H34,工数管理!$X$3:$X$98,"")+COUNTIFS(工数管理!$AK$3:$AK$98,J$1,工数管理!$Y$3:$Y$98,"&lt;="&amp;$H34,工数管理!$Z$3:$Z$98,"")+COUNTIFS(工数管理!$AK$3:$AK$98,J$1,工数管理!$AA$3:$AA$98,"&lt;="&amp;$H34,工数管理!$AB$3:$AB$98,"")+COUNTIFS(工数管理!$AK$3:$AK$98,J$1,工数管理!$AC$3:$AC$98,"&lt;="&amp;$H34,工数管理!$AD$3:$AD$98,"")+COUNTIFS(工数管理!$AK$3:$AK$98,J$1,工数管理!$AE$3:$AE$98,"&lt;="&amp;$H34,工数管理!$AF$3:$AF$98,"")+COUNTIFS(工数管理!$AK$3:$AK$98,J$1,工数管理!$AG$3:$AG$98,"&lt;="&amp;$H34,工数管理!$AH$3:$AH$98,""))*($H34&lt;=工数管理!$AI$1))</f>
        <v>1</v>
      </c>
      <c r="K34" s="42">
        <f ca="1">IF(K$1="",0,COUNTIFS(工数管理!$AK$3:$AK$98,K$1,工数管理!$K$3:$K$98,"&lt;="&amp;$H34,工数管理!$L$3:$L$98,"&gt;="&amp;$H34)+COUNTIFS(工数管理!$AK$3:$AK$98,K$1,工数管理!$M$3:$M$98,"&lt;="&amp;$H34,工数管理!$N$3:$N$98,"&gt;="&amp;$H34)+COUNTIFS(工数管理!$AK$3:$AK$98,K$1,工数管理!$O$3:$O$98,"&lt;="&amp;$H34,工数管理!$P$3:$P$98,"&gt;="&amp;$H34)+COUNTIFS(工数管理!$AK$3:$AK$98,K$1,工数管理!$Q$3:$Q$98,"&lt;="&amp;$H34,工数管理!$R$3:$R$98,"&gt;="&amp;$H34)+COUNTIFS(工数管理!$AK$3:$AK$98,K$1,工数管理!$S$3:$S$98,"&lt;="&amp;$H34,工数管理!$T$3:$T$98,"&gt;="&amp;$H34)+COUNTIFS(工数管理!$AK$3:$AK$98,K$1,工数管理!$U$3:$U$98,"&lt;="&amp;$H34,工数管理!$V$3:$V$98,"&gt;="&amp;$H34)+COUNTIFS(工数管理!$AK$3:$AK$98,K$1,工数管理!$W$3:$W$98,"&lt;="&amp;$H34,工数管理!$X$3:$X$98,"&gt;="&amp;$H34)+COUNTIFS(工数管理!$AK$3:$AK$98,K$1,工数管理!$Y$3:$Y$98,"&lt;="&amp;$H34,工数管理!$Z$3:$Z$98,"&gt;="&amp;$H34)+COUNTIFS(工数管理!$AK$3:$AK$98,K$1,工数管理!$AA$3:$AA$98,"&lt;="&amp;$H34,工数管理!$AB$3:$AB$98,"&gt;="&amp;$H34)+COUNTIFS(工数管理!$AK$3:$AK$98,K$1,工数管理!$AC$3:$AC$98,"&lt;="&amp;$H34,工数管理!$AD$3:$AD$98,"&gt;="&amp;$H34)+COUNTIFS(工数管理!$AK$3:$AK$98,K$1,工数管理!$AE$3:$AE$98,"&lt;="&amp;$H34,工数管理!$AF$3:$AF$98,"&gt;="&amp;$H34)+COUNTIFS(工数管理!$AK$3:$AK$98,K$1,工数管理!$AG$3:$AG$98,"&lt;="&amp;$H34,工数管理!$AH$3:$AH$98,"&gt;="&amp;$H34)+(COUNTIFS(工数管理!$AK$3:$AK$98,K$1,工数管理!$K$3:$K$98,"&lt;="&amp;$H34,工数管理!$L$3:$L$98,"")+COUNTIFS(工数管理!$AK$3:$AK$98,K$1,工数管理!$M$3:$M$98,"&lt;="&amp;$H34,工数管理!$N$3:$N$98,"")+COUNTIFS(工数管理!$AK$3:$AK$98,K$1,工数管理!$O$3:$O$98,"&lt;="&amp;$H34,工数管理!$P$3:$P$98,"")+COUNTIFS(工数管理!$AK$3:$AK$98,K$1,工数管理!$Q$3:$Q$98,"&lt;="&amp;$H34,工数管理!$R$3:$R$98,"")+COUNTIFS(工数管理!$AK$3:$AK$98,K$1,工数管理!$S$3:$S$98,"&lt;="&amp;$H34,工数管理!$T$3:$T$98,"")+COUNTIFS(工数管理!$AK$3:$AK$98,K$1,工数管理!$U$3:$U$98,"&lt;="&amp;$H34,工数管理!$V$3:$V$98,"")+COUNTIFS(工数管理!$AK$3:$AK$98,K$1,工数管理!$W$3:$W$98,"&lt;="&amp;$H34,工数管理!$X$3:$X$98,"")+COUNTIFS(工数管理!$AK$3:$AK$98,K$1,工数管理!$Y$3:$Y$98,"&lt;="&amp;$H34,工数管理!$Z$3:$Z$98,"")+COUNTIFS(工数管理!$AK$3:$AK$98,K$1,工数管理!$AA$3:$AA$98,"&lt;="&amp;$H34,工数管理!$AB$3:$AB$98,"")+COUNTIFS(工数管理!$AK$3:$AK$98,K$1,工数管理!$AC$3:$AC$98,"&lt;="&amp;$H34,工数管理!$AD$3:$AD$98,"")+COUNTIFS(工数管理!$AK$3:$AK$98,K$1,工数管理!$AE$3:$AE$98,"&lt;="&amp;$H34,工数管理!$AF$3:$AF$98,"")+COUNTIFS(工数管理!$AK$3:$AK$98,K$1,工数管理!$AG$3:$AG$98,"&lt;="&amp;$H34,工数管理!$AH$3:$AH$98,""))*($H34&lt;=工数管理!$AI$1))</f>
        <v>0</v>
      </c>
      <c r="L34" s="42">
        <f ca="1">IF(L$1="",0,COUNTIFS(工数管理!$AK$3:$AK$98,L$1,工数管理!$K$3:$K$98,"&lt;="&amp;$H34,工数管理!$L$3:$L$98,"&gt;="&amp;$H34)+COUNTIFS(工数管理!$AK$3:$AK$98,L$1,工数管理!$M$3:$M$98,"&lt;="&amp;$H34,工数管理!$N$3:$N$98,"&gt;="&amp;$H34)+COUNTIFS(工数管理!$AK$3:$AK$98,L$1,工数管理!$O$3:$O$98,"&lt;="&amp;$H34,工数管理!$P$3:$P$98,"&gt;="&amp;$H34)+COUNTIFS(工数管理!$AK$3:$AK$98,L$1,工数管理!$Q$3:$Q$98,"&lt;="&amp;$H34,工数管理!$R$3:$R$98,"&gt;="&amp;$H34)+COUNTIFS(工数管理!$AK$3:$AK$98,L$1,工数管理!$S$3:$S$98,"&lt;="&amp;$H34,工数管理!$T$3:$T$98,"&gt;="&amp;$H34)+COUNTIFS(工数管理!$AK$3:$AK$98,L$1,工数管理!$U$3:$U$98,"&lt;="&amp;$H34,工数管理!$V$3:$V$98,"&gt;="&amp;$H34)+COUNTIFS(工数管理!$AK$3:$AK$98,L$1,工数管理!$W$3:$W$98,"&lt;="&amp;$H34,工数管理!$X$3:$X$98,"&gt;="&amp;$H34)+COUNTIFS(工数管理!$AK$3:$AK$98,L$1,工数管理!$Y$3:$Y$98,"&lt;="&amp;$H34,工数管理!$Z$3:$Z$98,"&gt;="&amp;$H34)+COUNTIFS(工数管理!$AK$3:$AK$98,L$1,工数管理!$AA$3:$AA$98,"&lt;="&amp;$H34,工数管理!$AB$3:$AB$98,"&gt;="&amp;$H34)+COUNTIFS(工数管理!$AK$3:$AK$98,L$1,工数管理!$AC$3:$AC$98,"&lt;="&amp;$H34,工数管理!$AD$3:$AD$98,"&gt;="&amp;$H34)+COUNTIFS(工数管理!$AK$3:$AK$98,L$1,工数管理!$AE$3:$AE$98,"&lt;="&amp;$H34,工数管理!$AF$3:$AF$98,"&gt;="&amp;$H34)+COUNTIFS(工数管理!$AK$3:$AK$98,L$1,工数管理!$AG$3:$AG$98,"&lt;="&amp;$H34,工数管理!$AH$3:$AH$98,"&gt;="&amp;$H34)+(COUNTIFS(工数管理!$AK$3:$AK$98,L$1,工数管理!$K$3:$K$98,"&lt;="&amp;$H34,工数管理!$L$3:$L$98,"")+COUNTIFS(工数管理!$AK$3:$AK$98,L$1,工数管理!$M$3:$M$98,"&lt;="&amp;$H34,工数管理!$N$3:$N$98,"")+COUNTIFS(工数管理!$AK$3:$AK$98,L$1,工数管理!$O$3:$O$98,"&lt;="&amp;$H34,工数管理!$P$3:$P$98,"")+COUNTIFS(工数管理!$AK$3:$AK$98,L$1,工数管理!$Q$3:$Q$98,"&lt;="&amp;$H34,工数管理!$R$3:$R$98,"")+COUNTIFS(工数管理!$AK$3:$AK$98,L$1,工数管理!$S$3:$S$98,"&lt;="&amp;$H34,工数管理!$T$3:$T$98,"")+COUNTIFS(工数管理!$AK$3:$AK$98,L$1,工数管理!$U$3:$U$98,"&lt;="&amp;$H34,工数管理!$V$3:$V$98,"")+COUNTIFS(工数管理!$AK$3:$AK$98,L$1,工数管理!$W$3:$W$98,"&lt;="&amp;$H34,工数管理!$X$3:$X$98,"")+COUNTIFS(工数管理!$AK$3:$AK$98,L$1,工数管理!$Y$3:$Y$98,"&lt;="&amp;$H34,工数管理!$Z$3:$Z$98,"")+COUNTIFS(工数管理!$AK$3:$AK$98,L$1,工数管理!$AA$3:$AA$98,"&lt;="&amp;$H34,工数管理!$AB$3:$AB$98,"")+COUNTIFS(工数管理!$AK$3:$AK$98,L$1,工数管理!$AC$3:$AC$98,"&lt;="&amp;$H34,工数管理!$AD$3:$AD$98,"")+COUNTIFS(工数管理!$AK$3:$AK$98,L$1,工数管理!$AE$3:$AE$98,"&lt;="&amp;$H34,工数管理!$AF$3:$AF$98,"")+COUNTIFS(工数管理!$AK$3:$AK$98,L$1,工数管理!$AG$3:$AG$98,"&lt;="&amp;$H34,工数管理!$AH$3:$AH$98,""))*($H34&lt;=工数管理!$AI$1))</f>
        <v>0</v>
      </c>
    </row>
    <row r="35" spans="1:12" x14ac:dyDescent="0.15">
      <c r="A35" s="5">
        <v>46441</v>
      </c>
      <c r="B35" s="6" t="s">
        <v>71</v>
      </c>
      <c r="H35" s="41">
        <f t="shared" si="1"/>
        <v>46203</v>
      </c>
      <c r="I35" s="42">
        <f t="shared" si="0"/>
        <v>1</v>
      </c>
      <c r="J35" s="42">
        <f ca="1">IF(J$1="",0,COUNTIFS(工数管理!$AK$3:$AK$98,J$1,工数管理!$K$3:$K$98,"&lt;="&amp;$H35,工数管理!$L$3:$L$98,"&gt;="&amp;$H35)+COUNTIFS(工数管理!$AK$3:$AK$98,J$1,工数管理!$M$3:$M$98,"&lt;="&amp;$H35,工数管理!$N$3:$N$98,"&gt;="&amp;$H35)+COUNTIFS(工数管理!$AK$3:$AK$98,J$1,工数管理!$O$3:$O$98,"&lt;="&amp;$H35,工数管理!$P$3:$P$98,"&gt;="&amp;$H35)+COUNTIFS(工数管理!$AK$3:$AK$98,J$1,工数管理!$Q$3:$Q$98,"&lt;="&amp;$H35,工数管理!$R$3:$R$98,"&gt;="&amp;$H35)+COUNTIFS(工数管理!$AK$3:$AK$98,J$1,工数管理!$S$3:$S$98,"&lt;="&amp;$H35,工数管理!$T$3:$T$98,"&gt;="&amp;$H35)+COUNTIFS(工数管理!$AK$3:$AK$98,J$1,工数管理!$U$3:$U$98,"&lt;="&amp;$H35,工数管理!$V$3:$V$98,"&gt;="&amp;$H35)+COUNTIFS(工数管理!$AK$3:$AK$98,J$1,工数管理!$W$3:$W$98,"&lt;="&amp;$H35,工数管理!$X$3:$X$98,"&gt;="&amp;$H35)+COUNTIFS(工数管理!$AK$3:$AK$98,J$1,工数管理!$Y$3:$Y$98,"&lt;="&amp;$H35,工数管理!$Z$3:$Z$98,"&gt;="&amp;$H35)+COUNTIFS(工数管理!$AK$3:$AK$98,J$1,工数管理!$AA$3:$AA$98,"&lt;="&amp;$H35,工数管理!$AB$3:$AB$98,"&gt;="&amp;$H35)+COUNTIFS(工数管理!$AK$3:$AK$98,J$1,工数管理!$AC$3:$AC$98,"&lt;="&amp;$H35,工数管理!$AD$3:$AD$98,"&gt;="&amp;$H35)+COUNTIFS(工数管理!$AK$3:$AK$98,J$1,工数管理!$AE$3:$AE$98,"&lt;="&amp;$H35,工数管理!$AF$3:$AF$98,"&gt;="&amp;$H35)+COUNTIFS(工数管理!$AK$3:$AK$98,J$1,工数管理!$AG$3:$AG$98,"&lt;="&amp;$H35,工数管理!$AH$3:$AH$98,"&gt;="&amp;$H35)+(COUNTIFS(工数管理!$AK$3:$AK$98,J$1,工数管理!$K$3:$K$98,"&lt;="&amp;$H35,工数管理!$L$3:$L$98,"")+COUNTIFS(工数管理!$AK$3:$AK$98,J$1,工数管理!$M$3:$M$98,"&lt;="&amp;$H35,工数管理!$N$3:$N$98,"")+COUNTIFS(工数管理!$AK$3:$AK$98,J$1,工数管理!$O$3:$O$98,"&lt;="&amp;$H35,工数管理!$P$3:$P$98,"")+COUNTIFS(工数管理!$AK$3:$AK$98,J$1,工数管理!$Q$3:$Q$98,"&lt;="&amp;$H35,工数管理!$R$3:$R$98,"")+COUNTIFS(工数管理!$AK$3:$AK$98,J$1,工数管理!$S$3:$S$98,"&lt;="&amp;$H35,工数管理!$T$3:$T$98,"")+COUNTIFS(工数管理!$AK$3:$AK$98,J$1,工数管理!$U$3:$U$98,"&lt;="&amp;$H35,工数管理!$V$3:$V$98,"")+COUNTIFS(工数管理!$AK$3:$AK$98,J$1,工数管理!$W$3:$W$98,"&lt;="&amp;$H35,工数管理!$X$3:$X$98,"")+COUNTIFS(工数管理!$AK$3:$AK$98,J$1,工数管理!$Y$3:$Y$98,"&lt;="&amp;$H35,工数管理!$Z$3:$Z$98,"")+COUNTIFS(工数管理!$AK$3:$AK$98,J$1,工数管理!$AA$3:$AA$98,"&lt;="&amp;$H35,工数管理!$AB$3:$AB$98,"")+COUNTIFS(工数管理!$AK$3:$AK$98,J$1,工数管理!$AC$3:$AC$98,"&lt;="&amp;$H35,工数管理!$AD$3:$AD$98,"")+COUNTIFS(工数管理!$AK$3:$AK$98,J$1,工数管理!$AE$3:$AE$98,"&lt;="&amp;$H35,工数管理!$AF$3:$AF$98,"")+COUNTIFS(工数管理!$AK$3:$AK$98,J$1,工数管理!$AG$3:$AG$98,"&lt;="&amp;$H35,工数管理!$AH$3:$AH$98,""))*($H35&lt;=工数管理!$AI$1))</f>
        <v>1</v>
      </c>
      <c r="K35" s="42">
        <f ca="1">IF(K$1="",0,COUNTIFS(工数管理!$AK$3:$AK$98,K$1,工数管理!$K$3:$K$98,"&lt;="&amp;$H35,工数管理!$L$3:$L$98,"&gt;="&amp;$H35)+COUNTIFS(工数管理!$AK$3:$AK$98,K$1,工数管理!$M$3:$M$98,"&lt;="&amp;$H35,工数管理!$N$3:$N$98,"&gt;="&amp;$H35)+COUNTIFS(工数管理!$AK$3:$AK$98,K$1,工数管理!$O$3:$O$98,"&lt;="&amp;$H35,工数管理!$P$3:$P$98,"&gt;="&amp;$H35)+COUNTIFS(工数管理!$AK$3:$AK$98,K$1,工数管理!$Q$3:$Q$98,"&lt;="&amp;$H35,工数管理!$R$3:$R$98,"&gt;="&amp;$H35)+COUNTIFS(工数管理!$AK$3:$AK$98,K$1,工数管理!$S$3:$S$98,"&lt;="&amp;$H35,工数管理!$T$3:$T$98,"&gt;="&amp;$H35)+COUNTIFS(工数管理!$AK$3:$AK$98,K$1,工数管理!$U$3:$U$98,"&lt;="&amp;$H35,工数管理!$V$3:$V$98,"&gt;="&amp;$H35)+COUNTIFS(工数管理!$AK$3:$AK$98,K$1,工数管理!$W$3:$W$98,"&lt;="&amp;$H35,工数管理!$X$3:$X$98,"&gt;="&amp;$H35)+COUNTIFS(工数管理!$AK$3:$AK$98,K$1,工数管理!$Y$3:$Y$98,"&lt;="&amp;$H35,工数管理!$Z$3:$Z$98,"&gt;="&amp;$H35)+COUNTIFS(工数管理!$AK$3:$AK$98,K$1,工数管理!$AA$3:$AA$98,"&lt;="&amp;$H35,工数管理!$AB$3:$AB$98,"&gt;="&amp;$H35)+COUNTIFS(工数管理!$AK$3:$AK$98,K$1,工数管理!$AC$3:$AC$98,"&lt;="&amp;$H35,工数管理!$AD$3:$AD$98,"&gt;="&amp;$H35)+COUNTIFS(工数管理!$AK$3:$AK$98,K$1,工数管理!$AE$3:$AE$98,"&lt;="&amp;$H35,工数管理!$AF$3:$AF$98,"&gt;="&amp;$H35)+COUNTIFS(工数管理!$AK$3:$AK$98,K$1,工数管理!$AG$3:$AG$98,"&lt;="&amp;$H35,工数管理!$AH$3:$AH$98,"&gt;="&amp;$H35)+(COUNTIFS(工数管理!$AK$3:$AK$98,K$1,工数管理!$K$3:$K$98,"&lt;="&amp;$H35,工数管理!$L$3:$L$98,"")+COUNTIFS(工数管理!$AK$3:$AK$98,K$1,工数管理!$M$3:$M$98,"&lt;="&amp;$H35,工数管理!$N$3:$N$98,"")+COUNTIFS(工数管理!$AK$3:$AK$98,K$1,工数管理!$O$3:$O$98,"&lt;="&amp;$H35,工数管理!$P$3:$P$98,"")+COUNTIFS(工数管理!$AK$3:$AK$98,K$1,工数管理!$Q$3:$Q$98,"&lt;="&amp;$H35,工数管理!$R$3:$R$98,"")+COUNTIFS(工数管理!$AK$3:$AK$98,K$1,工数管理!$S$3:$S$98,"&lt;="&amp;$H35,工数管理!$T$3:$T$98,"")+COUNTIFS(工数管理!$AK$3:$AK$98,K$1,工数管理!$U$3:$U$98,"&lt;="&amp;$H35,工数管理!$V$3:$V$98,"")+COUNTIFS(工数管理!$AK$3:$AK$98,K$1,工数管理!$W$3:$W$98,"&lt;="&amp;$H35,工数管理!$X$3:$X$98,"")+COUNTIFS(工数管理!$AK$3:$AK$98,K$1,工数管理!$Y$3:$Y$98,"&lt;="&amp;$H35,工数管理!$Z$3:$Z$98,"")+COUNTIFS(工数管理!$AK$3:$AK$98,K$1,工数管理!$AA$3:$AA$98,"&lt;="&amp;$H35,工数管理!$AB$3:$AB$98,"")+COUNTIFS(工数管理!$AK$3:$AK$98,K$1,工数管理!$AC$3:$AC$98,"&lt;="&amp;$H35,工数管理!$AD$3:$AD$98,"")+COUNTIFS(工数管理!$AK$3:$AK$98,K$1,工数管理!$AE$3:$AE$98,"&lt;="&amp;$H35,工数管理!$AF$3:$AF$98,"")+COUNTIFS(工数管理!$AK$3:$AK$98,K$1,工数管理!$AG$3:$AG$98,"&lt;="&amp;$H35,工数管理!$AH$3:$AH$98,""))*($H35&lt;=工数管理!$AI$1))</f>
        <v>0</v>
      </c>
      <c r="L35" s="42">
        <f ca="1">IF(L$1="",0,COUNTIFS(工数管理!$AK$3:$AK$98,L$1,工数管理!$K$3:$K$98,"&lt;="&amp;$H35,工数管理!$L$3:$L$98,"&gt;="&amp;$H35)+COUNTIFS(工数管理!$AK$3:$AK$98,L$1,工数管理!$M$3:$M$98,"&lt;="&amp;$H35,工数管理!$N$3:$N$98,"&gt;="&amp;$H35)+COUNTIFS(工数管理!$AK$3:$AK$98,L$1,工数管理!$O$3:$O$98,"&lt;="&amp;$H35,工数管理!$P$3:$P$98,"&gt;="&amp;$H35)+COUNTIFS(工数管理!$AK$3:$AK$98,L$1,工数管理!$Q$3:$Q$98,"&lt;="&amp;$H35,工数管理!$R$3:$R$98,"&gt;="&amp;$H35)+COUNTIFS(工数管理!$AK$3:$AK$98,L$1,工数管理!$S$3:$S$98,"&lt;="&amp;$H35,工数管理!$T$3:$T$98,"&gt;="&amp;$H35)+COUNTIFS(工数管理!$AK$3:$AK$98,L$1,工数管理!$U$3:$U$98,"&lt;="&amp;$H35,工数管理!$V$3:$V$98,"&gt;="&amp;$H35)+COUNTIFS(工数管理!$AK$3:$AK$98,L$1,工数管理!$W$3:$W$98,"&lt;="&amp;$H35,工数管理!$X$3:$X$98,"&gt;="&amp;$H35)+COUNTIFS(工数管理!$AK$3:$AK$98,L$1,工数管理!$Y$3:$Y$98,"&lt;="&amp;$H35,工数管理!$Z$3:$Z$98,"&gt;="&amp;$H35)+COUNTIFS(工数管理!$AK$3:$AK$98,L$1,工数管理!$AA$3:$AA$98,"&lt;="&amp;$H35,工数管理!$AB$3:$AB$98,"&gt;="&amp;$H35)+COUNTIFS(工数管理!$AK$3:$AK$98,L$1,工数管理!$AC$3:$AC$98,"&lt;="&amp;$H35,工数管理!$AD$3:$AD$98,"&gt;="&amp;$H35)+COUNTIFS(工数管理!$AK$3:$AK$98,L$1,工数管理!$AE$3:$AE$98,"&lt;="&amp;$H35,工数管理!$AF$3:$AF$98,"&gt;="&amp;$H35)+COUNTIFS(工数管理!$AK$3:$AK$98,L$1,工数管理!$AG$3:$AG$98,"&lt;="&amp;$H35,工数管理!$AH$3:$AH$98,"&gt;="&amp;$H35)+(COUNTIFS(工数管理!$AK$3:$AK$98,L$1,工数管理!$K$3:$K$98,"&lt;="&amp;$H35,工数管理!$L$3:$L$98,"")+COUNTIFS(工数管理!$AK$3:$AK$98,L$1,工数管理!$M$3:$M$98,"&lt;="&amp;$H35,工数管理!$N$3:$N$98,"")+COUNTIFS(工数管理!$AK$3:$AK$98,L$1,工数管理!$O$3:$O$98,"&lt;="&amp;$H35,工数管理!$P$3:$P$98,"")+COUNTIFS(工数管理!$AK$3:$AK$98,L$1,工数管理!$Q$3:$Q$98,"&lt;="&amp;$H35,工数管理!$R$3:$R$98,"")+COUNTIFS(工数管理!$AK$3:$AK$98,L$1,工数管理!$S$3:$S$98,"&lt;="&amp;$H35,工数管理!$T$3:$T$98,"")+COUNTIFS(工数管理!$AK$3:$AK$98,L$1,工数管理!$U$3:$U$98,"&lt;="&amp;$H35,工数管理!$V$3:$V$98,"")+COUNTIFS(工数管理!$AK$3:$AK$98,L$1,工数管理!$W$3:$W$98,"&lt;="&amp;$H35,工数管理!$X$3:$X$98,"")+COUNTIFS(工数管理!$AK$3:$AK$98,L$1,工数管理!$Y$3:$Y$98,"&lt;="&amp;$H35,工数管理!$Z$3:$Z$98,"")+COUNTIFS(工数管理!$AK$3:$AK$98,L$1,工数管理!$AA$3:$AA$98,"&lt;="&amp;$H35,工数管理!$AB$3:$AB$98,"")+COUNTIFS(工数管理!$AK$3:$AK$98,L$1,工数管理!$AC$3:$AC$98,"&lt;="&amp;$H35,工数管理!$AD$3:$AD$98,"")+COUNTIFS(工数管理!$AK$3:$AK$98,L$1,工数管理!$AE$3:$AE$98,"&lt;="&amp;$H35,工数管理!$AF$3:$AF$98,"")+COUNTIFS(工数管理!$AK$3:$AK$98,L$1,工数管理!$AG$3:$AG$98,"&lt;="&amp;$H35,工数管理!$AH$3:$AH$98,""))*($H35&lt;=工数管理!$AI$1))</f>
        <v>0</v>
      </c>
    </row>
    <row r="36" spans="1:12" x14ac:dyDescent="0.15">
      <c r="A36" s="5">
        <v>46467</v>
      </c>
      <c r="B36" s="6" t="s">
        <v>72</v>
      </c>
      <c r="H36" s="41">
        <f t="shared" si="1"/>
        <v>46204</v>
      </c>
      <c r="I36" s="42">
        <f t="shared" si="0"/>
        <v>1</v>
      </c>
      <c r="J36" s="42">
        <f ca="1">IF(J$1="",0,COUNTIFS(工数管理!$AK$3:$AK$98,J$1,工数管理!$K$3:$K$98,"&lt;="&amp;$H36,工数管理!$L$3:$L$98,"&gt;="&amp;$H36)+COUNTIFS(工数管理!$AK$3:$AK$98,J$1,工数管理!$M$3:$M$98,"&lt;="&amp;$H36,工数管理!$N$3:$N$98,"&gt;="&amp;$H36)+COUNTIFS(工数管理!$AK$3:$AK$98,J$1,工数管理!$O$3:$O$98,"&lt;="&amp;$H36,工数管理!$P$3:$P$98,"&gt;="&amp;$H36)+COUNTIFS(工数管理!$AK$3:$AK$98,J$1,工数管理!$Q$3:$Q$98,"&lt;="&amp;$H36,工数管理!$R$3:$R$98,"&gt;="&amp;$H36)+COUNTIFS(工数管理!$AK$3:$AK$98,J$1,工数管理!$S$3:$S$98,"&lt;="&amp;$H36,工数管理!$T$3:$T$98,"&gt;="&amp;$H36)+COUNTIFS(工数管理!$AK$3:$AK$98,J$1,工数管理!$U$3:$U$98,"&lt;="&amp;$H36,工数管理!$V$3:$V$98,"&gt;="&amp;$H36)+COUNTIFS(工数管理!$AK$3:$AK$98,J$1,工数管理!$W$3:$W$98,"&lt;="&amp;$H36,工数管理!$X$3:$X$98,"&gt;="&amp;$H36)+COUNTIFS(工数管理!$AK$3:$AK$98,J$1,工数管理!$Y$3:$Y$98,"&lt;="&amp;$H36,工数管理!$Z$3:$Z$98,"&gt;="&amp;$H36)+COUNTIFS(工数管理!$AK$3:$AK$98,J$1,工数管理!$AA$3:$AA$98,"&lt;="&amp;$H36,工数管理!$AB$3:$AB$98,"&gt;="&amp;$H36)+COUNTIFS(工数管理!$AK$3:$AK$98,J$1,工数管理!$AC$3:$AC$98,"&lt;="&amp;$H36,工数管理!$AD$3:$AD$98,"&gt;="&amp;$H36)+COUNTIFS(工数管理!$AK$3:$AK$98,J$1,工数管理!$AE$3:$AE$98,"&lt;="&amp;$H36,工数管理!$AF$3:$AF$98,"&gt;="&amp;$H36)+COUNTIFS(工数管理!$AK$3:$AK$98,J$1,工数管理!$AG$3:$AG$98,"&lt;="&amp;$H36,工数管理!$AH$3:$AH$98,"&gt;="&amp;$H36)+(COUNTIFS(工数管理!$AK$3:$AK$98,J$1,工数管理!$K$3:$K$98,"&lt;="&amp;$H36,工数管理!$L$3:$L$98,"")+COUNTIFS(工数管理!$AK$3:$AK$98,J$1,工数管理!$M$3:$M$98,"&lt;="&amp;$H36,工数管理!$N$3:$N$98,"")+COUNTIFS(工数管理!$AK$3:$AK$98,J$1,工数管理!$O$3:$O$98,"&lt;="&amp;$H36,工数管理!$P$3:$P$98,"")+COUNTIFS(工数管理!$AK$3:$AK$98,J$1,工数管理!$Q$3:$Q$98,"&lt;="&amp;$H36,工数管理!$R$3:$R$98,"")+COUNTIFS(工数管理!$AK$3:$AK$98,J$1,工数管理!$S$3:$S$98,"&lt;="&amp;$H36,工数管理!$T$3:$T$98,"")+COUNTIFS(工数管理!$AK$3:$AK$98,J$1,工数管理!$U$3:$U$98,"&lt;="&amp;$H36,工数管理!$V$3:$V$98,"")+COUNTIFS(工数管理!$AK$3:$AK$98,J$1,工数管理!$W$3:$W$98,"&lt;="&amp;$H36,工数管理!$X$3:$X$98,"")+COUNTIFS(工数管理!$AK$3:$AK$98,J$1,工数管理!$Y$3:$Y$98,"&lt;="&amp;$H36,工数管理!$Z$3:$Z$98,"")+COUNTIFS(工数管理!$AK$3:$AK$98,J$1,工数管理!$AA$3:$AA$98,"&lt;="&amp;$H36,工数管理!$AB$3:$AB$98,"")+COUNTIFS(工数管理!$AK$3:$AK$98,J$1,工数管理!$AC$3:$AC$98,"&lt;="&amp;$H36,工数管理!$AD$3:$AD$98,"")+COUNTIFS(工数管理!$AK$3:$AK$98,J$1,工数管理!$AE$3:$AE$98,"&lt;="&amp;$H36,工数管理!$AF$3:$AF$98,"")+COUNTIFS(工数管理!$AK$3:$AK$98,J$1,工数管理!$AG$3:$AG$98,"&lt;="&amp;$H36,工数管理!$AH$3:$AH$98,""))*($H36&lt;=工数管理!$AI$1))</f>
        <v>1</v>
      </c>
      <c r="K36" s="42">
        <f ca="1">IF(K$1="",0,COUNTIFS(工数管理!$AK$3:$AK$98,K$1,工数管理!$K$3:$K$98,"&lt;="&amp;$H36,工数管理!$L$3:$L$98,"&gt;="&amp;$H36)+COUNTIFS(工数管理!$AK$3:$AK$98,K$1,工数管理!$M$3:$M$98,"&lt;="&amp;$H36,工数管理!$N$3:$N$98,"&gt;="&amp;$H36)+COUNTIFS(工数管理!$AK$3:$AK$98,K$1,工数管理!$O$3:$O$98,"&lt;="&amp;$H36,工数管理!$P$3:$P$98,"&gt;="&amp;$H36)+COUNTIFS(工数管理!$AK$3:$AK$98,K$1,工数管理!$Q$3:$Q$98,"&lt;="&amp;$H36,工数管理!$R$3:$R$98,"&gt;="&amp;$H36)+COUNTIFS(工数管理!$AK$3:$AK$98,K$1,工数管理!$S$3:$S$98,"&lt;="&amp;$H36,工数管理!$T$3:$T$98,"&gt;="&amp;$H36)+COUNTIFS(工数管理!$AK$3:$AK$98,K$1,工数管理!$U$3:$U$98,"&lt;="&amp;$H36,工数管理!$V$3:$V$98,"&gt;="&amp;$H36)+COUNTIFS(工数管理!$AK$3:$AK$98,K$1,工数管理!$W$3:$W$98,"&lt;="&amp;$H36,工数管理!$X$3:$X$98,"&gt;="&amp;$H36)+COUNTIFS(工数管理!$AK$3:$AK$98,K$1,工数管理!$Y$3:$Y$98,"&lt;="&amp;$H36,工数管理!$Z$3:$Z$98,"&gt;="&amp;$H36)+COUNTIFS(工数管理!$AK$3:$AK$98,K$1,工数管理!$AA$3:$AA$98,"&lt;="&amp;$H36,工数管理!$AB$3:$AB$98,"&gt;="&amp;$H36)+COUNTIFS(工数管理!$AK$3:$AK$98,K$1,工数管理!$AC$3:$AC$98,"&lt;="&amp;$H36,工数管理!$AD$3:$AD$98,"&gt;="&amp;$H36)+COUNTIFS(工数管理!$AK$3:$AK$98,K$1,工数管理!$AE$3:$AE$98,"&lt;="&amp;$H36,工数管理!$AF$3:$AF$98,"&gt;="&amp;$H36)+COUNTIFS(工数管理!$AK$3:$AK$98,K$1,工数管理!$AG$3:$AG$98,"&lt;="&amp;$H36,工数管理!$AH$3:$AH$98,"&gt;="&amp;$H36)+(COUNTIFS(工数管理!$AK$3:$AK$98,K$1,工数管理!$K$3:$K$98,"&lt;="&amp;$H36,工数管理!$L$3:$L$98,"")+COUNTIFS(工数管理!$AK$3:$AK$98,K$1,工数管理!$M$3:$M$98,"&lt;="&amp;$H36,工数管理!$N$3:$N$98,"")+COUNTIFS(工数管理!$AK$3:$AK$98,K$1,工数管理!$O$3:$O$98,"&lt;="&amp;$H36,工数管理!$P$3:$P$98,"")+COUNTIFS(工数管理!$AK$3:$AK$98,K$1,工数管理!$Q$3:$Q$98,"&lt;="&amp;$H36,工数管理!$R$3:$R$98,"")+COUNTIFS(工数管理!$AK$3:$AK$98,K$1,工数管理!$S$3:$S$98,"&lt;="&amp;$H36,工数管理!$T$3:$T$98,"")+COUNTIFS(工数管理!$AK$3:$AK$98,K$1,工数管理!$U$3:$U$98,"&lt;="&amp;$H36,工数管理!$V$3:$V$98,"")+COUNTIFS(工数管理!$AK$3:$AK$98,K$1,工数管理!$W$3:$W$98,"&lt;="&amp;$H36,工数管理!$X$3:$X$98,"")+COUNTIFS(工数管理!$AK$3:$AK$98,K$1,工数管理!$Y$3:$Y$98,"&lt;="&amp;$H36,工数管理!$Z$3:$Z$98,"")+COUNTIFS(工数管理!$AK$3:$AK$98,K$1,工数管理!$AA$3:$AA$98,"&lt;="&amp;$H36,工数管理!$AB$3:$AB$98,"")+COUNTIFS(工数管理!$AK$3:$AK$98,K$1,工数管理!$AC$3:$AC$98,"&lt;="&amp;$H36,工数管理!$AD$3:$AD$98,"")+COUNTIFS(工数管理!$AK$3:$AK$98,K$1,工数管理!$AE$3:$AE$98,"&lt;="&amp;$H36,工数管理!$AF$3:$AF$98,"")+COUNTIFS(工数管理!$AK$3:$AK$98,K$1,工数管理!$AG$3:$AG$98,"&lt;="&amp;$H36,工数管理!$AH$3:$AH$98,""))*($H36&lt;=工数管理!$AI$1))</f>
        <v>1</v>
      </c>
      <c r="L36" s="42">
        <f ca="1">IF(L$1="",0,COUNTIFS(工数管理!$AK$3:$AK$98,L$1,工数管理!$K$3:$K$98,"&lt;="&amp;$H36,工数管理!$L$3:$L$98,"&gt;="&amp;$H36)+COUNTIFS(工数管理!$AK$3:$AK$98,L$1,工数管理!$M$3:$M$98,"&lt;="&amp;$H36,工数管理!$N$3:$N$98,"&gt;="&amp;$H36)+COUNTIFS(工数管理!$AK$3:$AK$98,L$1,工数管理!$O$3:$O$98,"&lt;="&amp;$H36,工数管理!$P$3:$P$98,"&gt;="&amp;$H36)+COUNTIFS(工数管理!$AK$3:$AK$98,L$1,工数管理!$Q$3:$Q$98,"&lt;="&amp;$H36,工数管理!$R$3:$R$98,"&gt;="&amp;$H36)+COUNTIFS(工数管理!$AK$3:$AK$98,L$1,工数管理!$S$3:$S$98,"&lt;="&amp;$H36,工数管理!$T$3:$T$98,"&gt;="&amp;$H36)+COUNTIFS(工数管理!$AK$3:$AK$98,L$1,工数管理!$U$3:$U$98,"&lt;="&amp;$H36,工数管理!$V$3:$V$98,"&gt;="&amp;$H36)+COUNTIFS(工数管理!$AK$3:$AK$98,L$1,工数管理!$W$3:$W$98,"&lt;="&amp;$H36,工数管理!$X$3:$X$98,"&gt;="&amp;$H36)+COUNTIFS(工数管理!$AK$3:$AK$98,L$1,工数管理!$Y$3:$Y$98,"&lt;="&amp;$H36,工数管理!$Z$3:$Z$98,"&gt;="&amp;$H36)+COUNTIFS(工数管理!$AK$3:$AK$98,L$1,工数管理!$AA$3:$AA$98,"&lt;="&amp;$H36,工数管理!$AB$3:$AB$98,"&gt;="&amp;$H36)+COUNTIFS(工数管理!$AK$3:$AK$98,L$1,工数管理!$AC$3:$AC$98,"&lt;="&amp;$H36,工数管理!$AD$3:$AD$98,"&gt;="&amp;$H36)+COUNTIFS(工数管理!$AK$3:$AK$98,L$1,工数管理!$AE$3:$AE$98,"&lt;="&amp;$H36,工数管理!$AF$3:$AF$98,"&gt;="&amp;$H36)+COUNTIFS(工数管理!$AK$3:$AK$98,L$1,工数管理!$AG$3:$AG$98,"&lt;="&amp;$H36,工数管理!$AH$3:$AH$98,"&gt;="&amp;$H36)+(COUNTIFS(工数管理!$AK$3:$AK$98,L$1,工数管理!$K$3:$K$98,"&lt;="&amp;$H36,工数管理!$L$3:$L$98,"")+COUNTIFS(工数管理!$AK$3:$AK$98,L$1,工数管理!$M$3:$M$98,"&lt;="&amp;$H36,工数管理!$N$3:$N$98,"")+COUNTIFS(工数管理!$AK$3:$AK$98,L$1,工数管理!$O$3:$O$98,"&lt;="&amp;$H36,工数管理!$P$3:$P$98,"")+COUNTIFS(工数管理!$AK$3:$AK$98,L$1,工数管理!$Q$3:$Q$98,"&lt;="&amp;$H36,工数管理!$R$3:$R$98,"")+COUNTIFS(工数管理!$AK$3:$AK$98,L$1,工数管理!$S$3:$S$98,"&lt;="&amp;$H36,工数管理!$T$3:$T$98,"")+COUNTIFS(工数管理!$AK$3:$AK$98,L$1,工数管理!$U$3:$U$98,"&lt;="&amp;$H36,工数管理!$V$3:$V$98,"")+COUNTIFS(工数管理!$AK$3:$AK$98,L$1,工数管理!$W$3:$W$98,"&lt;="&amp;$H36,工数管理!$X$3:$X$98,"")+COUNTIFS(工数管理!$AK$3:$AK$98,L$1,工数管理!$Y$3:$Y$98,"&lt;="&amp;$H36,工数管理!$Z$3:$Z$98,"")+COUNTIFS(工数管理!$AK$3:$AK$98,L$1,工数管理!$AA$3:$AA$98,"&lt;="&amp;$H36,工数管理!$AB$3:$AB$98,"")+COUNTIFS(工数管理!$AK$3:$AK$98,L$1,工数管理!$AC$3:$AC$98,"&lt;="&amp;$H36,工数管理!$AD$3:$AD$98,"")+COUNTIFS(工数管理!$AK$3:$AK$98,L$1,工数管理!$AE$3:$AE$98,"&lt;="&amp;$H36,工数管理!$AF$3:$AF$98,"")+COUNTIFS(工数管理!$AK$3:$AK$98,L$1,工数管理!$AG$3:$AG$98,"&lt;="&amp;$H36,工数管理!$AH$3:$AH$98,""))*($H36&lt;=工数管理!$AI$1))</f>
        <v>1</v>
      </c>
    </row>
    <row r="37" spans="1:12" x14ac:dyDescent="0.15">
      <c r="A37" s="5">
        <v>46468</v>
      </c>
      <c r="B37" s="6" t="s">
        <v>77</v>
      </c>
      <c r="H37" s="41">
        <f t="shared" si="1"/>
        <v>46205</v>
      </c>
      <c r="I37" s="42">
        <f t="shared" si="0"/>
        <v>1</v>
      </c>
      <c r="J37" s="42">
        <f ca="1">IF(J$1="",0,COUNTIFS(工数管理!$AK$3:$AK$98,J$1,工数管理!$K$3:$K$98,"&lt;="&amp;$H37,工数管理!$L$3:$L$98,"&gt;="&amp;$H37)+COUNTIFS(工数管理!$AK$3:$AK$98,J$1,工数管理!$M$3:$M$98,"&lt;="&amp;$H37,工数管理!$N$3:$N$98,"&gt;="&amp;$H37)+COUNTIFS(工数管理!$AK$3:$AK$98,J$1,工数管理!$O$3:$O$98,"&lt;="&amp;$H37,工数管理!$P$3:$P$98,"&gt;="&amp;$H37)+COUNTIFS(工数管理!$AK$3:$AK$98,J$1,工数管理!$Q$3:$Q$98,"&lt;="&amp;$H37,工数管理!$R$3:$R$98,"&gt;="&amp;$H37)+COUNTIFS(工数管理!$AK$3:$AK$98,J$1,工数管理!$S$3:$S$98,"&lt;="&amp;$H37,工数管理!$T$3:$T$98,"&gt;="&amp;$H37)+COUNTIFS(工数管理!$AK$3:$AK$98,J$1,工数管理!$U$3:$U$98,"&lt;="&amp;$H37,工数管理!$V$3:$V$98,"&gt;="&amp;$H37)+COUNTIFS(工数管理!$AK$3:$AK$98,J$1,工数管理!$W$3:$W$98,"&lt;="&amp;$H37,工数管理!$X$3:$X$98,"&gt;="&amp;$H37)+COUNTIFS(工数管理!$AK$3:$AK$98,J$1,工数管理!$Y$3:$Y$98,"&lt;="&amp;$H37,工数管理!$Z$3:$Z$98,"&gt;="&amp;$H37)+COUNTIFS(工数管理!$AK$3:$AK$98,J$1,工数管理!$AA$3:$AA$98,"&lt;="&amp;$H37,工数管理!$AB$3:$AB$98,"&gt;="&amp;$H37)+COUNTIFS(工数管理!$AK$3:$AK$98,J$1,工数管理!$AC$3:$AC$98,"&lt;="&amp;$H37,工数管理!$AD$3:$AD$98,"&gt;="&amp;$H37)+COUNTIFS(工数管理!$AK$3:$AK$98,J$1,工数管理!$AE$3:$AE$98,"&lt;="&amp;$H37,工数管理!$AF$3:$AF$98,"&gt;="&amp;$H37)+COUNTIFS(工数管理!$AK$3:$AK$98,J$1,工数管理!$AG$3:$AG$98,"&lt;="&amp;$H37,工数管理!$AH$3:$AH$98,"&gt;="&amp;$H37)+(COUNTIFS(工数管理!$AK$3:$AK$98,J$1,工数管理!$K$3:$K$98,"&lt;="&amp;$H37,工数管理!$L$3:$L$98,"")+COUNTIFS(工数管理!$AK$3:$AK$98,J$1,工数管理!$M$3:$M$98,"&lt;="&amp;$H37,工数管理!$N$3:$N$98,"")+COUNTIFS(工数管理!$AK$3:$AK$98,J$1,工数管理!$O$3:$O$98,"&lt;="&amp;$H37,工数管理!$P$3:$P$98,"")+COUNTIFS(工数管理!$AK$3:$AK$98,J$1,工数管理!$Q$3:$Q$98,"&lt;="&amp;$H37,工数管理!$R$3:$R$98,"")+COUNTIFS(工数管理!$AK$3:$AK$98,J$1,工数管理!$S$3:$S$98,"&lt;="&amp;$H37,工数管理!$T$3:$T$98,"")+COUNTIFS(工数管理!$AK$3:$AK$98,J$1,工数管理!$U$3:$U$98,"&lt;="&amp;$H37,工数管理!$V$3:$V$98,"")+COUNTIFS(工数管理!$AK$3:$AK$98,J$1,工数管理!$W$3:$W$98,"&lt;="&amp;$H37,工数管理!$X$3:$X$98,"")+COUNTIFS(工数管理!$AK$3:$AK$98,J$1,工数管理!$Y$3:$Y$98,"&lt;="&amp;$H37,工数管理!$Z$3:$Z$98,"")+COUNTIFS(工数管理!$AK$3:$AK$98,J$1,工数管理!$AA$3:$AA$98,"&lt;="&amp;$H37,工数管理!$AB$3:$AB$98,"")+COUNTIFS(工数管理!$AK$3:$AK$98,J$1,工数管理!$AC$3:$AC$98,"&lt;="&amp;$H37,工数管理!$AD$3:$AD$98,"")+COUNTIFS(工数管理!$AK$3:$AK$98,J$1,工数管理!$AE$3:$AE$98,"&lt;="&amp;$H37,工数管理!$AF$3:$AF$98,"")+COUNTIFS(工数管理!$AK$3:$AK$98,J$1,工数管理!$AG$3:$AG$98,"&lt;="&amp;$H37,工数管理!$AH$3:$AH$98,""))*($H37&lt;=工数管理!$AI$1))</f>
        <v>1</v>
      </c>
      <c r="K37" s="42">
        <f ca="1">IF(K$1="",0,COUNTIFS(工数管理!$AK$3:$AK$98,K$1,工数管理!$K$3:$K$98,"&lt;="&amp;$H37,工数管理!$L$3:$L$98,"&gt;="&amp;$H37)+COUNTIFS(工数管理!$AK$3:$AK$98,K$1,工数管理!$M$3:$M$98,"&lt;="&amp;$H37,工数管理!$N$3:$N$98,"&gt;="&amp;$H37)+COUNTIFS(工数管理!$AK$3:$AK$98,K$1,工数管理!$O$3:$O$98,"&lt;="&amp;$H37,工数管理!$P$3:$P$98,"&gt;="&amp;$H37)+COUNTIFS(工数管理!$AK$3:$AK$98,K$1,工数管理!$Q$3:$Q$98,"&lt;="&amp;$H37,工数管理!$R$3:$R$98,"&gt;="&amp;$H37)+COUNTIFS(工数管理!$AK$3:$AK$98,K$1,工数管理!$S$3:$S$98,"&lt;="&amp;$H37,工数管理!$T$3:$T$98,"&gt;="&amp;$H37)+COUNTIFS(工数管理!$AK$3:$AK$98,K$1,工数管理!$U$3:$U$98,"&lt;="&amp;$H37,工数管理!$V$3:$V$98,"&gt;="&amp;$H37)+COUNTIFS(工数管理!$AK$3:$AK$98,K$1,工数管理!$W$3:$W$98,"&lt;="&amp;$H37,工数管理!$X$3:$X$98,"&gt;="&amp;$H37)+COUNTIFS(工数管理!$AK$3:$AK$98,K$1,工数管理!$Y$3:$Y$98,"&lt;="&amp;$H37,工数管理!$Z$3:$Z$98,"&gt;="&amp;$H37)+COUNTIFS(工数管理!$AK$3:$AK$98,K$1,工数管理!$AA$3:$AA$98,"&lt;="&amp;$H37,工数管理!$AB$3:$AB$98,"&gt;="&amp;$H37)+COUNTIFS(工数管理!$AK$3:$AK$98,K$1,工数管理!$AC$3:$AC$98,"&lt;="&amp;$H37,工数管理!$AD$3:$AD$98,"&gt;="&amp;$H37)+COUNTIFS(工数管理!$AK$3:$AK$98,K$1,工数管理!$AE$3:$AE$98,"&lt;="&amp;$H37,工数管理!$AF$3:$AF$98,"&gt;="&amp;$H37)+COUNTIFS(工数管理!$AK$3:$AK$98,K$1,工数管理!$AG$3:$AG$98,"&lt;="&amp;$H37,工数管理!$AH$3:$AH$98,"&gt;="&amp;$H37)+(COUNTIFS(工数管理!$AK$3:$AK$98,K$1,工数管理!$K$3:$K$98,"&lt;="&amp;$H37,工数管理!$L$3:$L$98,"")+COUNTIFS(工数管理!$AK$3:$AK$98,K$1,工数管理!$M$3:$M$98,"&lt;="&amp;$H37,工数管理!$N$3:$N$98,"")+COUNTIFS(工数管理!$AK$3:$AK$98,K$1,工数管理!$O$3:$O$98,"&lt;="&amp;$H37,工数管理!$P$3:$P$98,"")+COUNTIFS(工数管理!$AK$3:$AK$98,K$1,工数管理!$Q$3:$Q$98,"&lt;="&amp;$H37,工数管理!$R$3:$R$98,"")+COUNTIFS(工数管理!$AK$3:$AK$98,K$1,工数管理!$S$3:$S$98,"&lt;="&amp;$H37,工数管理!$T$3:$T$98,"")+COUNTIFS(工数管理!$AK$3:$AK$98,K$1,工数管理!$U$3:$U$98,"&lt;="&amp;$H37,工数管理!$V$3:$V$98,"")+COUNTIFS(工数管理!$AK$3:$AK$98,K$1,工数管理!$W$3:$W$98,"&lt;="&amp;$H37,工数管理!$X$3:$X$98,"")+COUNTIFS(工数管理!$AK$3:$AK$98,K$1,工数管理!$Y$3:$Y$98,"&lt;="&amp;$H37,工数管理!$Z$3:$Z$98,"")+COUNTIFS(工数管理!$AK$3:$AK$98,K$1,工数管理!$AA$3:$AA$98,"&lt;="&amp;$H37,工数管理!$AB$3:$AB$98,"")+COUNTIFS(工数管理!$AK$3:$AK$98,K$1,工数管理!$AC$3:$AC$98,"&lt;="&amp;$H37,工数管理!$AD$3:$AD$98,"")+COUNTIFS(工数管理!$AK$3:$AK$98,K$1,工数管理!$AE$3:$AE$98,"&lt;="&amp;$H37,工数管理!$AF$3:$AF$98,"")+COUNTIFS(工数管理!$AK$3:$AK$98,K$1,工数管理!$AG$3:$AG$98,"&lt;="&amp;$H37,工数管理!$AH$3:$AH$98,""))*($H37&lt;=工数管理!$AI$1))</f>
        <v>1</v>
      </c>
      <c r="L37" s="42">
        <f ca="1">IF(L$1="",0,COUNTIFS(工数管理!$AK$3:$AK$98,L$1,工数管理!$K$3:$K$98,"&lt;="&amp;$H37,工数管理!$L$3:$L$98,"&gt;="&amp;$H37)+COUNTIFS(工数管理!$AK$3:$AK$98,L$1,工数管理!$M$3:$M$98,"&lt;="&amp;$H37,工数管理!$N$3:$N$98,"&gt;="&amp;$H37)+COUNTIFS(工数管理!$AK$3:$AK$98,L$1,工数管理!$O$3:$O$98,"&lt;="&amp;$H37,工数管理!$P$3:$P$98,"&gt;="&amp;$H37)+COUNTIFS(工数管理!$AK$3:$AK$98,L$1,工数管理!$Q$3:$Q$98,"&lt;="&amp;$H37,工数管理!$R$3:$R$98,"&gt;="&amp;$H37)+COUNTIFS(工数管理!$AK$3:$AK$98,L$1,工数管理!$S$3:$S$98,"&lt;="&amp;$H37,工数管理!$T$3:$T$98,"&gt;="&amp;$H37)+COUNTIFS(工数管理!$AK$3:$AK$98,L$1,工数管理!$U$3:$U$98,"&lt;="&amp;$H37,工数管理!$V$3:$V$98,"&gt;="&amp;$H37)+COUNTIFS(工数管理!$AK$3:$AK$98,L$1,工数管理!$W$3:$W$98,"&lt;="&amp;$H37,工数管理!$X$3:$X$98,"&gt;="&amp;$H37)+COUNTIFS(工数管理!$AK$3:$AK$98,L$1,工数管理!$Y$3:$Y$98,"&lt;="&amp;$H37,工数管理!$Z$3:$Z$98,"&gt;="&amp;$H37)+COUNTIFS(工数管理!$AK$3:$AK$98,L$1,工数管理!$AA$3:$AA$98,"&lt;="&amp;$H37,工数管理!$AB$3:$AB$98,"&gt;="&amp;$H37)+COUNTIFS(工数管理!$AK$3:$AK$98,L$1,工数管理!$AC$3:$AC$98,"&lt;="&amp;$H37,工数管理!$AD$3:$AD$98,"&gt;="&amp;$H37)+COUNTIFS(工数管理!$AK$3:$AK$98,L$1,工数管理!$AE$3:$AE$98,"&lt;="&amp;$H37,工数管理!$AF$3:$AF$98,"&gt;="&amp;$H37)+COUNTIFS(工数管理!$AK$3:$AK$98,L$1,工数管理!$AG$3:$AG$98,"&lt;="&amp;$H37,工数管理!$AH$3:$AH$98,"&gt;="&amp;$H37)+(COUNTIFS(工数管理!$AK$3:$AK$98,L$1,工数管理!$K$3:$K$98,"&lt;="&amp;$H37,工数管理!$L$3:$L$98,"")+COUNTIFS(工数管理!$AK$3:$AK$98,L$1,工数管理!$M$3:$M$98,"&lt;="&amp;$H37,工数管理!$N$3:$N$98,"")+COUNTIFS(工数管理!$AK$3:$AK$98,L$1,工数管理!$O$3:$O$98,"&lt;="&amp;$H37,工数管理!$P$3:$P$98,"")+COUNTIFS(工数管理!$AK$3:$AK$98,L$1,工数管理!$Q$3:$Q$98,"&lt;="&amp;$H37,工数管理!$R$3:$R$98,"")+COUNTIFS(工数管理!$AK$3:$AK$98,L$1,工数管理!$S$3:$S$98,"&lt;="&amp;$H37,工数管理!$T$3:$T$98,"")+COUNTIFS(工数管理!$AK$3:$AK$98,L$1,工数管理!$U$3:$U$98,"&lt;="&amp;$H37,工数管理!$V$3:$V$98,"")+COUNTIFS(工数管理!$AK$3:$AK$98,L$1,工数管理!$W$3:$W$98,"&lt;="&amp;$H37,工数管理!$X$3:$X$98,"")+COUNTIFS(工数管理!$AK$3:$AK$98,L$1,工数管理!$Y$3:$Y$98,"&lt;="&amp;$H37,工数管理!$Z$3:$Z$98,"")+COUNTIFS(工数管理!$AK$3:$AK$98,L$1,工数管理!$AA$3:$AA$98,"&lt;="&amp;$H37,工数管理!$AB$3:$AB$98,"")+COUNTIFS(工数管理!$AK$3:$AK$98,L$1,工数管理!$AC$3:$AC$98,"&lt;="&amp;$H37,工数管理!$AD$3:$AD$98,"")+COUNTIFS(工数管理!$AK$3:$AK$98,L$1,工数管理!$AE$3:$AE$98,"&lt;="&amp;$H37,工数管理!$AF$3:$AF$98,"")+COUNTIFS(工数管理!$AK$3:$AK$98,L$1,工数管理!$AG$3:$AG$98,"&lt;="&amp;$H37,工数管理!$AH$3:$AH$98,""))*($H37&lt;=工数管理!$AI$1))</f>
        <v>1</v>
      </c>
    </row>
    <row r="38" spans="1:12" x14ac:dyDescent="0.15">
      <c r="A38" s="5">
        <v>46506</v>
      </c>
      <c r="B38" s="6" t="s">
        <v>73</v>
      </c>
      <c r="H38" s="41">
        <f t="shared" si="1"/>
        <v>46206</v>
      </c>
      <c r="I38" s="42">
        <f t="shared" si="0"/>
        <v>1</v>
      </c>
      <c r="J38" s="42">
        <f ca="1">IF(J$1="",0,COUNTIFS(工数管理!$AK$3:$AK$98,J$1,工数管理!$K$3:$K$98,"&lt;="&amp;$H38,工数管理!$L$3:$L$98,"&gt;="&amp;$H38)+COUNTIFS(工数管理!$AK$3:$AK$98,J$1,工数管理!$M$3:$M$98,"&lt;="&amp;$H38,工数管理!$N$3:$N$98,"&gt;="&amp;$H38)+COUNTIFS(工数管理!$AK$3:$AK$98,J$1,工数管理!$O$3:$O$98,"&lt;="&amp;$H38,工数管理!$P$3:$P$98,"&gt;="&amp;$H38)+COUNTIFS(工数管理!$AK$3:$AK$98,J$1,工数管理!$Q$3:$Q$98,"&lt;="&amp;$H38,工数管理!$R$3:$R$98,"&gt;="&amp;$H38)+COUNTIFS(工数管理!$AK$3:$AK$98,J$1,工数管理!$S$3:$S$98,"&lt;="&amp;$H38,工数管理!$T$3:$T$98,"&gt;="&amp;$H38)+COUNTIFS(工数管理!$AK$3:$AK$98,J$1,工数管理!$U$3:$U$98,"&lt;="&amp;$H38,工数管理!$V$3:$V$98,"&gt;="&amp;$H38)+COUNTIFS(工数管理!$AK$3:$AK$98,J$1,工数管理!$W$3:$W$98,"&lt;="&amp;$H38,工数管理!$X$3:$X$98,"&gt;="&amp;$H38)+COUNTIFS(工数管理!$AK$3:$AK$98,J$1,工数管理!$Y$3:$Y$98,"&lt;="&amp;$H38,工数管理!$Z$3:$Z$98,"&gt;="&amp;$H38)+COUNTIFS(工数管理!$AK$3:$AK$98,J$1,工数管理!$AA$3:$AA$98,"&lt;="&amp;$H38,工数管理!$AB$3:$AB$98,"&gt;="&amp;$H38)+COUNTIFS(工数管理!$AK$3:$AK$98,J$1,工数管理!$AC$3:$AC$98,"&lt;="&amp;$H38,工数管理!$AD$3:$AD$98,"&gt;="&amp;$H38)+COUNTIFS(工数管理!$AK$3:$AK$98,J$1,工数管理!$AE$3:$AE$98,"&lt;="&amp;$H38,工数管理!$AF$3:$AF$98,"&gt;="&amp;$H38)+COUNTIFS(工数管理!$AK$3:$AK$98,J$1,工数管理!$AG$3:$AG$98,"&lt;="&amp;$H38,工数管理!$AH$3:$AH$98,"&gt;="&amp;$H38)+(COUNTIFS(工数管理!$AK$3:$AK$98,J$1,工数管理!$K$3:$K$98,"&lt;="&amp;$H38,工数管理!$L$3:$L$98,"")+COUNTIFS(工数管理!$AK$3:$AK$98,J$1,工数管理!$M$3:$M$98,"&lt;="&amp;$H38,工数管理!$N$3:$N$98,"")+COUNTIFS(工数管理!$AK$3:$AK$98,J$1,工数管理!$O$3:$O$98,"&lt;="&amp;$H38,工数管理!$P$3:$P$98,"")+COUNTIFS(工数管理!$AK$3:$AK$98,J$1,工数管理!$Q$3:$Q$98,"&lt;="&amp;$H38,工数管理!$R$3:$R$98,"")+COUNTIFS(工数管理!$AK$3:$AK$98,J$1,工数管理!$S$3:$S$98,"&lt;="&amp;$H38,工数管理!$T$3:$T$98,"")+COUNTIFS(工数管理!$AK$3:$AK$98,J$1,工数管理!$U$3:$U$98,"&lt;="&amp;$H38,工数管理!$V$3:$V$98,"")+COUNTIFS(工数管理!$AK$3:$AK$98,J$1,工数管理!$W$3:$W$98,"&lt;="&amp;$H38,工数管理!$X$3:$X$98,"")+COUNTIFS(工数管理!$AK$3:$AK$98,J$1,工数管理!$Y$3:$Y$98,"&lt;="&amp;$H38,工数管理!$Z$3:$Z$98,"")+COUNTIFS(工数管理!$AK$3:$AK$98,J$1,工数管理!$AA$3:$AA$98,"&lt;="&amp;$H38,工数管理!$AB$3:$AB$98,"")+COUNTIFS(工数管理!$AK$3:$AK$98,J$1,工数管理!$AC$3:$AC$98,"&lt;="&amp;$H38,工数管理!$AD$3:$AD$98,"")+COUNTIFS(工数管理!$AK$3:$AK$98,J$1,工数管理!$AE$3:$AE$98,"&lt;="&amp;$H38,工数管理!$AF$3:$AF$98,"")+COUNTIFS(工数管理!$AK$3:$AK$98,J$1,工数管理!$AG$3:$AG$98,"&lt;="&amp;$H38,工数管理!$AH$3:$AH$98,""))*($H38&lt;=工数管理!$AI$1))</f>
        <v>1</v>
      </c>
      <c r="K38" s="42">
        <f ca="1">IF(K$1="",0,COUNTIFS(工数管理!$AK$3:$AK$98,K$1,工数管理!$K$3:$K$98,"&lt;="&amp;$H38,工数管理!$L$3:$L$98,"&gt;="&amp;$H38)+COUNTIFS(工数管理!$AK$3:$AK$98,K$1,工数管理!$M$3:$M$98,"&lt;="&amp;$H38,工数管理!$N$3:$N$98,"&gt;="&amp;$H38)+COUNTIFS(工数管理!$AK$3:$AK$98,K$1,工数管理!$O$3:$O$98,"&lt;="&amp;$H38,工数管理!$P$3:$P$98,"&gt;="&amp;$H38)+COUNTIFS(工数管理!$AK$3:$AK$98,K$1,工数管理!$Q$3:$Q$98,"&lt;="&amp;$H38,工数管理!$R$3:$R$98,"&gt;="&amp;$H38)+COUNTIFS(工数管理!$AK$3:$AK$98,K$1,工数管理!$S$3:$S$98,"&lt;="&amp;$H38,工数管理!$T$3:$T$98,"&gt;="&amp;$H38)+COUNTIFS(工数管理!$AK$3:$AK$98,K$1,工数管理!$U$3:$U$98,"&lt;="&amp;$H38,工数管理!$V$3:$V$98,"&gt;="&amp;$H38)+COUNTIFS(工数管理!$AK$3:$AK$98,K$1,工数管理!$W$3:$W$98,"&lt;="&amp;$H38,工数管理!$X$3:$X$98,"&gt;="&amp;$H38)+COUNTIFS(工数管理!$AK$3:$AK$98,K$1,工数管理!$Y$3:$Y$98,"&lt;="&amp;$H38,工数管理!$Z$3:$Z$98,"&gt;="&amp;$H38)+COUNTIFS(工数管理!$AK$3:$AK$98,K$1,工数管理!$AA$3:$AA$98,"&lt;="&amp;$H38,工数管理!$AB$3:$AB$98,"&gt;="&amp;$H38)+COUNTIFS(工数管理!$AK$3:$AK$98,K$1,工数管理!$AC$3:$AC$98,"&lt;="&amp;$H38,工数管理!$AD$3:$AD$98,"&gt;="&amp;$H38)+COUNTIFS(工数管理!$AK$3:$AK$98,K$1,工数管理!$AE$3:$AE$98,"&lt;="&amp;$H38,工数管理!$AF$3:$AF$98,"&gt;="&amp;$H38)+COUNTIFS(工数管理!$AK$3:$AK$98,K$1,工数管理!$AG$3:$AG$98,"&lt;="&amp;$H38,工数管理!$AH$3:$AH$98,"&gt;="&amp;$H38)+(COUNTIFS(工数管理!$AK$3:$AK$98,K$1,工数管理!$K$3:$K$98,"&lt;="&amp;$H38,工数管理!$L$3:$L$98,"")+COUNTIFS(工数管理!$AK$3:$AK$98,K$1,工数管理!$M$3:$M$98,"&lt;="&amp;$H38,工数管理!$N$3:$N$98,"")+COUNTIFS(工数管理!$AK$3:$AK$98,K$1,工数管理!$O$3:$O$98,"&lt;="&amp;$H38,工数管理!$P$3:$P$98,"")+COUNTIFS(工数管理!$AK$3:$AK$98,K$1,工数管理!$Q$3:$Q$98,"&lt;="&amp;$H38,工数管理!$R$3:$R$98,"")+COUNTIFS(工数管理!$AK$3:$AK$98,K$1,工数管理!$S$3:$S$98,"&lt;="&amp;$H38,工数管理!$T$3:$T$98,"")+COUNTIFS(工数管理!$AK$3:$AK$98,K$1,工数管理!$U$3:$U$98,"&lt;="&amp;$H38,工数管理!$V$3:$V$98,"")+COUNTIFS(工数管理!$AK$3:$AK$98,K$1,工数管理!$W$3:$W$98,"&lt;="&amp;$H38,工数管理!$X$3:$X$98,"")+COUNTIFS(工数管理!$AK$3:$AK$98,K$1,工数管理!$Y$3:$Y$98,"&lt;="&amp;$H38,工数管理!$Z$3:$Z$98,"")+COUNTIFS(工数管理!$AK$3:$AK$98,K$1,工数管理!$AA$3:$AA$98,"&lt;="&amp;$H38,工数管理!$AB$3:$AB$98,"")+COUNTIFS(工数管理!$AK$3:$AK$98,K$1,工数管理!$AC$3:$AC$98,"&lt;="&amp;$H38,工数管理!$AD$3:$AD$98,"")+COUNTIFS(工数管理!$AK$3:$AK$98,K$1,工数管理!$AE$3:$AE$98,"&lt;="&amp;$H38,工数管理!$AF$3:$AF$98,"")+COUNTIFS(工数管理!$AK$3:$AK$98,K$1,工数管理!$AG$3:$AG$98,"&lt;="&amp;$H38,工数管理!$AH$3:$AH$98,""))*($H38&lt;=工数管理!$AI$1))</f>
        <v>1</v>
      </c>
      <c r="L38" s="42">
        <f ca="1">IF(L$1="",0,COUNTIFS(工数管理!$AK$3:$AK$98,L$1,工数管理!$K$3:$K$98,"&lt;="&amp;$H38,工数管理!$L$3:$L$98,"&gt;="&amp;$H38)+COUNTIFS(工数管理!$AK$3:$AK$98,L$1,工数管理!$M$3:$M$98,"&lt;="&amp;$H38,工数管理!$N$3:$N$98,"&gt;="&amp;$H38)+COUNTIFS(工数管理!$AK$3:$AK$98,L$1,工数管理!$O$3:$O$98,"&lt;="&amp;$H38,工数管理!$P$3:$P$98,"&gt;="&amp;$H38)+COUNTIFS(工数管理!$AK$3:$AK$98,L$1,工数管理!$Q$3:$Q$98,"&lt;="&amp;$H38,工数管理!$R$3:$R$98,"&gt;="&amp;$H38)+COUNTIFS(工数管理!$AK$3:$AK$98,L$1,工数管理!$S$3:$S$98,"&lt;="&amp;$H38,工数管理!$T$3:$T$98,"&gt;="&amp;$H38)+COUNTIFS(工数管理!$AK$3:$AK$98,L$1,工数管理!$U$3:$U$98,"&lt;="&amp;$H38,工数管理!$V$3:$V$98,"&gt;="&amp;$H38)+COUNTIFS(工数管理!$AK$3:$AK$98,L$1,工数管理!$W$3:$W$98,"&lt;="&amp;$H38,工数管理!$X$3:$X$98,"&gt;="&amp;$H38)+COUNTIFS(工数管理!$AK$3:$AK$98,L$1,工数管理!$Y$3:$Y$98,"&lt;="&amp;$H38,工数管理!$Z$3:$Z$98,"&gt;="&amp;$H38)+COUNTIFS(工数管理!$AK$3:$AK$98,L$1,工数管理!$AA$3:$AA$98,"&lt;="&amp;$H38,工数管理!$AB$3:$AB$98,"&gt;="&amp;$H38)+COUNTIFS(工数管理!$AK$3:$AK$98,L$1,工数管理!$AC$3:$AC$98,"&lt;="&amp;$H38,工数管理!$AD$3:$AD$98,"&gt;="&amp;$H38)+COUNTIFS(工数管理!$AK$3:$AK$98,L$1,工数管理!$AE$3:$AE$98,"&lt;="&amp;$H38,工数管理!$AF$3:$AF$98,"&gt;="&amp;$H38)+COUNTIFS(工数管理!$AK$3:$AK$98,L$1,工数管理!$AG$3:$AG$98,"&lt;="&amp;$H38,工数管理!$AH$3:$AH$98,"&gt;="&amp;$H38)+(COUNTIFS(工数管理!$AK$3:$AK$98,L$1,工数管理!$K$3:$K$98,"&lt;="&amp;$H38,工数管理!$L$3:$L$98,"")+COUNTIFS(工数管理!$AK$3:$AK$98,L$1,工数管理!$M$3:$M$98,"&lt;="&amp;$H38,工数管理!$N$3:$N$98,"")+COUNTIFS(工数管理!$AK$3:$AK$98,L$1,工数管理!$O$3:$O$98,"&lt;="&amp;$H38,工数管理!$P$3:$P$98,"")+COUNTIFS(工数管理!$AK$3:$AK$98,L$1,工数管理!$Q$3:$Q$98,"&lt;="&amp;$H38,工数管理!$R$3:$R$98,"")+COUNTIFS(工数管理!$AK$3:$AK$98,L$1,工数管理!$S$3:$S$98,"&lt;="&amp;$H38,工数管理!$T$3:$T$98,"")+COUNTIFS(工数管理!$AK$3:$AK$98,L$1,工数管理!$U$3:$U$98,"&lt;="&amp;$H38,工数管理!$V$3:$V$98,"")+COUNTIFS(工数管理!$AK$3:$AK$98,L$1,工数管理!$W$3:$W$98,"&lt;="&amp;$H38,工数管理!$X$3:$X$98,"")+COUNTIFS(工数管理!$AK$3:$AK$98,L$1,工数管理!$Y$3:$Y$98,"&lt;="&amp;$H38,工数管理!$Z$3:$Z$98,"")+COUNTIFS(工数管理!$AK$3:$AK$98,L$1,工数管理!$AA$3:$AA$98,"&lt;="&amp;$H38,工数管理!$AB$3:$AB$98,"")+COUNTIFS(工数管理!$AK$3:$AK$98,L$1,工数管理!$AC$3:$AC$98,"&lt;="&amp;$H38,工数管理!$AD$3:$AD$98,"")+COUNTIFS(工数管理!$AK$3:$AK$98,L$1,工数管理!$AE$3:$AE$98,"&lt;="&amp;$H38,工数管理!$AF$3:$AF$98,"")+COUNTIFS(工数管理!$AK$3:$AK$98,L$1,工数管理!$AG$3:$AG$98,"&lt;="&amp;$H38,工数管理!$AH$3:$AH$98,""))*($H38&lt;=工数管理!$AI$1))</f>
        <v>1</v>
      </c>
    </row>
    <row r="39" spans="1:12" x14ac:dyDescent="0.15">
      <c r="A39" s="5">
        <v>46510</v>
      </c>
      <c r="B39" s="6" t="s">
        <v>74</v>
      </c>
      <c r="H39" s="41">
        <f t="shared" si="1"/>
        <v>46207</v>
      </c>
      <c r="I39" s="42">
        <f t="shared" si="0"/>
        <v>0</v>
      </c>
      <c r="J39" s="42">
        <f ca="1">IF(J$1="",0,COUNTIFS(工数管理!$AK$3:$AK$98,J$1,工数管理!$K$3:$K$98,"&lt;="&amp;$H39,工数管理!$L$3:$L$98,"&gt;="&amp;$H39)+COUNTIFS(工数管理!$AK$3:$AK$98,J$1,工数管理!$M$3:$M$98,"&lt;="&amp;$H39,工数管理!$N$3:$N$98,"&gt;="&amp;$H39)+COUNTIFS(工数管理!$AK$3:$AK$98,J$1,工数管理!$O$3:$O$98,"&lt;="&amp;$H39,工数管理!$P$3:$P$98,"&gt;="&amp;$H39)+COUNTIFS(工数管理!$AK$3:$AK$98,J$1,工数管理!$Q$3:$Q$98,"&lt;="&amp;$H39,工数管理!$R$3:$R$98,"&gt;="&amp;$H39)+COUNTIFS(工数管理!$AK$3:$AK$98,J$1,工数管理!$S$3:$S$98,"&lt;="&amp;$H39,工数管理!$T$3:$T$98,"&gt;="&amp;$H39)+COUNTIFS(工数管理!$AK$3:$AK$98,J$1,工数管理!$U$3:$U$98,"&lt;="&amp;$H39,工数管理!$V$3:$V$98,"&gt;="&amp;$H39)+COUNTIFS(工数管理!$AK$3:$AK$98,J$1,工数管理!$W$3:$W$98,"&lt;="&amp;$H39,工数管理!$X$3:$X$98,"&gt;="&amp;$H39)+COUNTIFS(工数管理!$AK$3:$AK$98,J$1,工数管理!$Y$3:$Y$98,"&lt;="&amp;$H39,工数管理!$Z$3:$Z$98,"&gt;="&amp;$H39)+COUNTIFS(工数管理!$AK$3:$AK$98,J$1,工数管理!$AA$3:$AA$98,"&lt;="&amp;$H39,工数管理!$AB$3:$AB$98,"&gt;="&amp;$H39)+COUNTIFS(工数管理!$AK$3:$AK$98,J$1,工数管理!$AC$3:$AC$98,"&lt;="&amp;$H39,工数管理!$AD$3:$AD$98,"&gt;="&amp;$H39)+COUNTIFS(工数管理!$AK$3:$AK$98,J$1,工数管理!$AE$3:$AE$98,"&lt;="&amp;$H39,工数管理!$AF$3:$AF$98,"&gt;="&amp;$H39)+COUNTIFS(工数管理!$AK$3:$AK$98,J$1,工数管理!$AG$3:$AG$98,"&lt;="&amp;$H39,工数管理!$AH$3:$AH$98,"&gt;="&amp;$H39)+(COUNTIFS(工数管理!$AK$3:$AK$98,J$1,工数管理!$K$3:$K$98,"&lt;="&amp;$H39,工数管理!$L$3:$L$98,"")+COUNTIFS(工数管理!$AK$3:$AK$98,J$1,工数管理!$M$3:$M$98,"&lt;="&amp;$H39,工数管理!$N$3:$N$98,"")+COUNTIFS(工数管理!$AK$3:$AK$98,J$1,工数管理!$O$3:$O$98,"&lt;="&amp;$H39,工数管理!$P$3:$P$98,"")+COUNTIFS(工数管理!$AK$3:$AK$98,J$1,工数管理!$Q$3:$Q$98,"&lt;="&amp;$H39,工数管理!$R$3:$R$98,"")+COUNTIFS(工数管理!$AK$3:$AK$98,J$1,工数管理!$S$3:$S$98,"&lt;="&amp;$H39,工数管理!$T$3:$T$98,"")+COUNTIFS(工数管理!$AK$3:$AK$98,J$1,工数管理!$U$3:$U$98,"&lt;="&amp;$H39,工数管理!$V$3:$V$98,"")+COUNTIFS(工数管理!$AK$3:$AK$98,J$1,工数管理!$W$3:$W$98,"&lt;="&amp;$H39,工数管理!$X$3:$X$98,"")+COUNTIFS(工数管理!$AK$3:$AK$98,J$1,工数管理!$Y$3:$Y$98,"&lt;="&amp;$H39,工数管理!$Z$3:$Z$98,"")+COUNTIFS(工数管理!$AK$3:$AK$98,J$1,工数管理!$AA$3:$AA$98,"&lt;="&amp;$H39,工数管理!$AB$3:$AB$98,"")+COUNTIFS(工数管理!$AK$3:$AK$98,J$1,工数管理!$AC$3:$AC$98,"&lt;="&amp;$H39,工数管理!$AD$3:$AD$98,"")+COUNTIFS(工数管理!$AK$3:$AK$98,J$1,工数管理!$AE$3:$AE$98,"&lt;="&amp;$H39,工数管理!$AF$3:$AF$98,"")+COUNTIFS(工数管理!$AK$3:$AK$98,J$1,工数管理!$AG$3:$AG$98,"&lt;="&amp;$H39,工数管理!$AH$3:$AH$98,""))*($H39&lt;=工数管理!$AI$1))</f>
        <v>1</v>
      </c>
      <c r="K39" s="42">
        <f ca="1">IF(K$1="",0,COUNTIFS(工数管理!$AK$3:$AK$98,K$1,工数管理!$K$3:$K$98,"&lt;="&amp;$H39,工数管理!$L$3:$L$98,"&gt;="&amp;$H39)+COUNTIFS(工数管理!$AK$3:$AK$98,K$1,工数管理!$M$3:$M$98,"&lt;="&amp;$H39,工数管理!$N$3:$N$98,"&gt;="&amp;$H39)+COUNTIFS(工数管理!$AK$3:$AK$98,K$1,工数管理!$O$3:$O$98,"&lt;="&amp;$H39,工数管理!$P$3:$P$98,"&gt;="&amp;$H39)+COUNTIFS(工数管理!$AK$3:$AK$98,K$1,工数管理!$Q$3:$Q$98,"&lt;="&amp;$H39,工数管理!$R$3:$R$98,"&gt;="&amp;$H39)+COUNTIFS(工数管理!$AK$3:$AK$98,K$1,工数管理!$S$3:$S$98,"&lt;="&amp;$H39,工数管理!$T$3:$T$98,"&gt;="&amp;$H39)+COUNTIFS(工数管理!$AK$3:$AK$98,K$1,工数管理!$U$3:$U$98,"&lt;="&amp;$H39,工数管理!$V$3:$V$98,"&gt;="&amp;$H39)+COUNTIFS(工数管理!$AK$3:$AK$98,K$1,工数管理!$W$3:$W$98,"&lt;="&amp;$H39,工数管理!$X$3:$X$98,"&gt;="&amp;$H39)+COUNTIFS(工数管理!$AK$3:$AK$98,K$1,工数管理!$Y$3:$Y$98,"&lt;="&amp;$H39,工数管理!$Z$3:$Z$98,"&gt;="&amp;$H39)+COUNTIFS(工数管理!$AK$3:$AK$98,K$1,工数管理!$AA$3:$AA$98,"&lt;="&amp;$H39,工数管理!$AB$3:$AB$98,"&gt;="&amp;$H39)+COUNTIFS(工数管理!$AK$3:$AK$98,K$1,工数管理!$AC$3:$AC$98,"&lt;="&amp;$H39,工数管理!$AD$3:$AD$98,"&gt;="&amp;$H39)+COUNTIFS(工数管理!$AK$3:$AK$98,K$1,工数管理!$AE$3:$AE$98,"&lt;="&amp;$H39,工数管理!$AF$3:$AF$98,"&gt;="&amp;$H39)+COUNTIFS(工数管理!$AK$3:$AK$98,K$1,工数管理!$AG$3:$AG$98,"&lt;="&amp;$H39,工数管理!$AH$3:$AH$98,"&gt;="&amp;$H39)+(COUNTIFS(工数管理!$AK$3:$AK$98,K$1,工数管理!$K$3:$K$98,"&lt;="&amp;$H39,工数管理!$L$3:$L$98,"")+COUNTIFS(工数管理!$AK$3:$AK$98,K$1,工数管理!$M$3:$M$98,"&lt;="&amp;$H39,工数管理!$N$3:$N$98,"")+COUNTIFS(工数管理!$AK$3:$AK$98,K$1,工数管理!$O$3:$O$98,"&lt;="&amp;$H39,工数管理!$P$3:$P$98,"")+COUNTIFS(工数管理!$AK$3:$AK$98,K$1,工数管理!$Q$3:$Q$98,"&lt;="&amp;$H39,工数管理!$R$3:$R$98,"")+COUNTIFS(工数管理!$AK$3:$AK$98,K$1,工数管理!$S$3:$S$98,"&lt;="&amp;$H39,工数管理!$T$3:$T$98,"")+COUNTIFS(工数管理!$AK$3:$AK$98,K$1,工数管理!$U$3:$U$98,"&lt;="&amp;$H39,工数管理!$V$3:$V$98,"")+COUNTIFS(工数管理!$AK$3:$AK$98,K$1,工数管理!$W$3:$W$98,"&lt;="&amp;$H39,工数管理!$X$3:$X$98,"")+COUNTIFS(工数管理!$AK$3:$AK$98,K$1,工数管理!$Y$3:$Y$98,"&lt;="&amp;$H39,工数管理!$Z$3:$Z$98,"")+COUNTIFS(工数管理!$AK$3:$AK$98,K$1,工数管理!$AA$3:$AA$98,"&lt;="&amp;$H39,工数管理!$AB$3:$AB$98,"")+COUNTIFS(工数管理!$AK$3:$AK$98,K$1,工数管理!$AC$3:$AC$98,"&lt;="&amp;$H39,工数管理!$AD$3:$AD$98,"")+COUNTIFS(工数管理!$AK$3:$AK$98,K$1,工数管理!$AE$3:$AE$98,"&lt;="&amp;$H39,工数管理!$AF$3:$AF$98,"")+COUNTIFS(工数管理!$AK$3:$AK$98,K$1,工数管理!$AG$3:$AG$98,"&lt;="&amp;$H39,工数管理!$AH$3:$AH$98,""))*($H39&lt;=工数管理!$AI$1))</f>
        <v>1</v>
      </c>
      <c r="L39" s="42">
        <f ca="1">IF(L$1="",0,COUNTIFS(工数管理!$AK$3:$AK$98,L$1,工数管理!$K$3:$K$98,"&lt;="&amp;$H39,工数管理!$L$3:$L$98,"&gt;="&amp;$H39)+COUNTIFS(工数管理!$AK$3:$AK$98,L$1,工数管理!$M$3:$M$98,"&lt;="&amp;$H39,工数管理!$N$3:$N$98,"&gt;="&amp;$H39)+COUNTIFS(工数管理!$AK$3:$AK$98,L$1,工数管理!$O$3:$O$98,"&lt;="&amp;$H39,工数管理!$P$3:$P$98,"&gt;="&amp;$H39)+COUNTIFS(工数管理!$AK$3:$AK$98,L$1,工数管理!$Q$3:$Q$98,"&lt;="&amp;$H39,工数管理!$R$3:$R$98,"&gt;="&amp;$H39)+COUNTIFS(工数管理!$AK$3:$AK$98,L$1,工数管理!$S$3:$S$98,"&lt;="&amp;$H39,工数管理!$T$3:$T$98,"&gt;="&amp;$H39)+COUNTIFS(工数管理!$AK$3:$AK$98,L$1,工数管理!$U$3:$U$98,"&lt;="&amp;$H39,工数管理!$V$3:$V$98,"&gt;="&amp;$H39)+COUNTIFS(工数管理!$AK$3:$AK$98,L$1,工数管理!$W$3:$W$98,"&lt;="&amp;$H39,工数管理!$X$3:$X$98,"&gt;="&amp;$H39)+COUNTIFS(工数管理!$AK$3:$AK$98,L$1,工数管理!$Y$3:$Y$98,"&lt;="&amp;$H39,工数管理!$Z$3:$Z$98,"&gt;="&amp;$H39)+COUNTIFS(工数管理!$AK$3:$AK$98,L$1,工数管理!$AA$3:$AA$98,"&lt;="&amp;$H39,工数管理!$AB$3:$AB$98,"&gt;="&amp;$H39)+COUNTIFS(工数管理!$AK$3:$AK$98,L$1,工数管理!$AC$3:$AC$98,"&lt;="&amp;$H39,工数管理!$AD$3:$AD$98,"&gt;="&amp;$H39)+COUNTIFS(工数管理!$AK$3:$AK$98,L$1,工数管理!$AE$3:$AE$98,"&lt;="&amp;$H39,工数管理!$AF$3:$AF$98,"&gt;="&amp;$H39)+COUNTIFS(工数管理!$AK$3:$AK$98,L$1,工数管理!$AG$3:$AG$98,"&lt;="&amp;$H39,工数管理!$AH$3:$AH$98,"&gt;="&amp;$H39)+(COUNTIFS(工数管理!$AK$3:$AK$98,L$1,工数管理!$K$3:$K$98,"&lt;="&amp;$H39,工数管理!$L$3:$L$98,"")+COUNTIFS(工数管理!$AK$3:$AK$98,L$1,工数管理!$M$3:$M$98,"&lt;="&amp;$H39,工数管理!$N$3:$N$98,"")+COUNTIFS(工数管理!$AK$3:$AK$98,L$1,工数管理!$O$3:$O$98,"&lt;="&amp;$H39,工数管理!$P$3:$P$98,"")+COUNTIFS(工数管理!$AK$3:$AK$98,L$1,工数管理!$Q$3:$Q$98,"&lt;="&amp;$H39,工数管理!$R$3:$R$98,"")+COUNTIFS(工数管理!$AK$3:$AK$98,L$1,工数管理!$S$3:$S$98,"&lt;="&amp;$H39,工数管理!$T$3:$T$98,"")+COUNTIFS(工数管理!$AK$3:$AK$98,L$1,工数管理!$U$3:$U$98,"&lt;="&amp;$H39,工数管理!$V$3:$V$98,"")+COUNTIFS(工数管理!$AK$3:$AK$98,L$1,工数管理!$W$3:$W$98,"&lt;="&amp;$H39,工数管理!$X$3:$X$98,"")+COUNTIFS(工数管理!$AK$3:$AK$98,L$1,工数管理!$Y$3:$Y$98,"&lt;="&amp;$H39,工数管理!$Z$3:$Z$98,"")+COUNTIFS(工数管理!$AK$3:$AK$98,L$1,工数管理!$AA$3:$AA$98,"&lt;="&amp;$H39,工数管理!$AB$3:$AB$98,"")+COUNTIFS(工数管理!$AK$3:$AK$98,L$1,工数管理!$AC$3:$AC$98,"&lt;="&amp;$H39,工数管理!$AD$3:$AD$98,"")+COUNTIFS(工数管理!$AK$3:$AK$98,L$1,工数管理!$AE$3:$AE$98,"&lt;="&amp;$H39,工数管理!$AF$3:$AF$98,"")+COUNTIFS(工数管理!$AK$3:$AK$98,L$1,工数管理!$AG$3:$AG$98,"&lt;="&amp;$H39,工数管理!$AH$3:$AH$98,""))*($H39&lt;=工数管理!$AI$1))</f>
        <v>1</v>
      </c>
    </row>
    <row r="40" spans="1:12" x14ac:dyDescent="0.15">
      <c r="A40" s="5">
        <v>46511</v>
      </c>
      <c r="B40" s="6" t="s">
        <v>75</v>
      </c>
      <c r="H40" s="41">
        <f t="shared" si="1"/>
        <v>46208</v>
      </c>
      <c r="I40" s="42">
        <f t="shared" si="0"/>
        <v>0</v>
      </c>
      <c r="J40" s="42">
        <f ca="1">IF(J$1="",0,COUNTIFS(工数管理!$AK$3:$AK$98,J$1,工数管理!$K$3:$K$98,"&lt;="&amp;$H40,工数管理!$L$3:$L$98,"&gt;="&amp;$H40)+COUNTIFS(工数管理!$AK$3:$AK$98,J$1,工数管理!$M$3:$M$98,"&lt;="&amp;$H40,工数管理!$N$3:$N$98,"&gt;="&amp;$H40)+COUNTIFS(工数管理!$AK$3:$AK$98,J$1,工数管理!$O$3:$O$98,"&lt;="&amp;$H40,工数管理!$P$3:$P$98,"&gt;="&amp;$H40)+COUNTIFS(工数管理!$AK$3:$AK$98,J$1,工数管理!$Q$3:$Q$98,"&lt;="&amp;$H40,工数管理!$R$3:$R$98,"&gt;="&amp;$H40)+COUNTIFS(工数管理!$AK$3:$AK$98,J$1,工数管理!$S$3:$S$98,"&lt;="&amp;$H40,工数管理!$T$3:$T$98,"&gt;="&amp;$H40)+COUNTIFS(工数管理!$AK$3:$AK$98,J$1,工数管理!$U$3:$U$98,"&lt;="&amp;$H40,工数管理!$V$3:$V$98,"&gt;="&amp;$H40)+COUNTIFS(工数管理!$AK$3:$AK$98,J$1,工数管理!$W$3:$W$98,"&lt;="&amp;$H40,工数管理!$X$3:$X$98,"&gt;="&amp;$H40)+COUNTIFS(工数管理!$AK$3:$AK$98,J$1,工数管理!$Y$3:$Y$98,"&lt;="&amp;$H40,工数管理!$Z$3:$Z$98,"&gt;="&amp;$H40)+COUNTIFS(工数管理!$AK$3:$AK$98,J$1,工数管理!$AA$3:$AA$98,"&lt;="&amp;$H40,工数管理!$AB$3:$AB$98,"&gt;="&amp;$H40)+COUNTIFS(工数管理!$AK$3:$AK$98,J$1,工数管理!$AC$3:$AC$98,"&lt;="&amp;$H40,工数管理!$AD$3:$AD$98,"&gt;="&amp;$H40)+COUNTIFS(工数管理!$AK$3:$AK$98,J$1,工数管理!$AE$3:$AE$98,"&lt;="&amp;$H40,工数管理!$AF$3:$AF$98,"&gt;="&amp;$H40)+COUNTIFS(工数管理!$AK$3:$AK$98,J$1,工数管理!$AG$3:$AG$98,"&lt;="&amp;$H40,工数管理!$AH$3:$AH$98,"&gt;="&amp;$H40)+(COUNTIFS(工数管理!$AK$3:$AK$98,J$1,工数管理!$K$3:$K$98,"&lt;="&amp;$H40,工数管理!$L$3:$L$98,"")+COUNTIFS(工数管理!$AK$3:$AK$98,J$1,工数管理!$M$3:$M$98,"&lt;="&amp;$H40,工数管理!$N$3:$N$98,"")+COUNTIFS(工数管理!$AK$3:$AK$98,J$1,工数管理!$O$3:$O$98,"&lt;="&amp;$H40,工数管理!$P$3:$P$98,"")+COUNTIFS(工数管理!$AK$3:$AK$98,J$1,工数管理!$Q$3:$Q$98,"&lt;="&amp;$H40,工数管理!$R$3:$R$98,"")+COUNTIFS(工数管理!$AK$3:$AK$98,J$1,工数管理!$S$3:$S$98,"&lt;="&amp;$H40,工数管理!$T$3:$T$98,"")+COUNTIFS(工数管理!$AK$3:$AK$98,J$1,工数管理!$U$3:$U$98,"&lt;="&amp;$H40,工数管理!$V$3:$V$98,"")+COUNTIFS(工数管理!$AK$3:$AK$98,J$1,工数管理!$W$3:$W$98,"&lt;="&amp;$H40,工数管理!$X$3:$X$98,"")+COUNTIFS(工数管理!$AK$3:$AK$98,J$1,工数管理!$Y$3:$Y$98,"&lt;="&amp;$H40,工数管理!$Z$3:$Z$98,"")+COUNTIFS(工数管理!$AK$3:$AK$98,J$1,工数管理!$AA$3:$AA$98,"&lt;="&amp;$H40,工数管理!$AB$3:$AB$98,"")+COUNTIFS(工数管理!$AK$3:$AK$98,J$1,工数管理!$AC$3:$AC$98,"&lt;="&amp;$H40,工数管理!$AD$3:$AD$98,"")+COUNTIFS(工数管理!$AK$3:$AK$98,J$1,工数管理!$AE$3:$AE$98,"&lt;="&amp;$H40,工数管理!$AF$3:$AF$98,"")+COUNTIFS(工数管理!$AK$3:$AK$98,J$1,工数管理!$AG$3:$AG$98,"&lt;="&amp;$H40,工数管理!$AH$3:$AH$98,""))*($H40&lt;=工数管理!$AI$1))</f>
        <v>1</v>
      </c>
      <c r="K40" s="42">
        <f ca="1">IF(K$1="",0,COUNTIFS(工数管理!$AK$3:$AK$98,K$1,工数管理!$K$3:$K$98,"&lt;="&amp;$H40,工数管理!$L$3:$L$98,"&gt;="&amp;$H40)+COUNTIFS(工数管理!$AK$3:$AK$98,K$1,工数管理!$M$3:$M$98,"&lt;="&amp;$H40,工数管理!$N$3:$N$98,"&gt;="&amp;$H40)+COUNTIFS(工数管理!$AK$3:$AK$98,K$1,工数管理!$O$3:$O$98,"&lt;="&amp;$H40,工数管理!$P$3:$P$98,"&gt;="&amp;$H40)+COUNTIFS(工数管理!$AK$3:$AK$98,K$1,工数管理!$Q$3:$Q$98,"&lt;="&amp;$H40,工数管理!$R$3:$R$98,"&gt;="&amp;$H40)+COUNTIFS(工数管理!$AK$3:$AK$98,K$1,工数管理!$S$3:$S$98,"&lt;="&amp;$H40,工数管理!$T$3:$T$98,"&gt;="&amp;$H40)+COUNTIFS(工数管理!$AK$3:$AK$98,K$1,工数管理!$U$3:$U$98,"&lt;="&amp;$H40,工数管理!$V$3:$V$98,"&gt;="&amp;$H40)+COUNTIFS(工数管理!$AK$3:$AK$98,K$1,工数管理!$W$3:$W$98,"&lt;="&amp;$H40,工数管理!$X$3:$X$98,"&gt;="&amp;$H40)+COUNTIFS(工数管理!$AK$3:$AK$98,K$1,工数管理!$Y$3:$Y$98,"&lt;="&amp;$H40,工数管理!$Z$3:$Z$98,"&gt;="&amp;$H40)+COUNTIFS(工数管理!$AK$3:$AK$98,K$1,工数管理!$AA$3:$AA$98,"&lt;="&amp;$H40,工数管理!$AB$3:$AB$98,"&gt;="&amp;$H40)+COUNTIFS(工数管理!$AK$3:$AK$98,K$1,工数管理!$AC$3:$AC$98,"&lt;="&amp;$H40,工数管理!$AD$3:$AD$98,"&gt;="&amp;$H40)+COUNTIFS(工数管理!$AK$3:$AK$98,K$1,工数管理!$AE$3:$AE$98,"&lt;="&amp;$H40,工数管理!$AF$3:$AF$98,"&gt;="&amp;$H40)+COUNTIFS(工数管理!$AK$3:$AK$98,K$1,工数管理!$AG$3:$AG$98,"&lt;="&amp;$H40,工数管理!$AH$3:$AH$98,"&gt;="&amp;$H40)+(COUNTIFS(工数管理!$AK$3:$AK$98,K$1,工数管理!$K$3:$K$98,"&lt;="&amp;$H40,工数管理!$L$3:$L$98,"")+COUNTIFS(工数管理!$AK$3:$AK$98,K$1,工数管理!$M$3:$M$98,"&lt;="&amp;$H40,工数管理!$N$3:$N$98,"")+COUNTIFS(工数管理!$AK$3:$AK$98,K$1,工数管理!$O$3:$O$98,"&lt;="&amp;$H40,工数管理!$P$3:$P$98,"")+COUNTIFS(工数管理!$AK$3:$AK$98,K$1,工数管理!$Q$3:$Q$98,"&lt;="&amp;$H40,工数管理!$R$3:$R$98,"")+COUNTIFS(工数管理!$AK$3:$AK$98,K$1,工数管理!$S$3:$S$98,"&lt;="&amp;$H40,工数管理!$T$3:$T$98,"")+COUNTIFS(工数管理!$AK$3:$AK$98,K$1,工数管理!$U$3:$U$98,"&lt;="&amp;$H40,工数管理!$V$3:$V$98,"")+COUNTIFS(工数管理!$AK$3:$AK$98,K$1,工数管理!$W$3:$W$98,"&lt;="&amp;$H40,工数管理!$X$3:$X$98,"")+COUNTIFS(工数管理!$AK$3:$AK$98,K$1,工数管理!$Y$3:$Y$98,"&lt;="&amp;$H40,工数管理!$Z$3:$Z$98,"")+COUNTIFS(工数管理!$AK$3:$AK$98,K$1,工数管理!$AA$3:$AA$98,"&lt;="&amp;$H40,工数管理!$AB$3:$AB$98,"")+COUNTIFS(工数管理!$AK$3:$AK$98,K$1,工数管理!$AC$3:$AC$98,"&lt;="&amp;$H40,工数管理!$AD$3:$AD$98,"")+COUNTIFS(工数管理!$AK$3:$AK$98,K$1,工数管理!$AE$3:$AE$98,"&lt;="&amp;$H40,工数管理!$AF$3:$AF$98,"")+COUNTIFS(工数管理!$AK$3:$AK$98,K$1,工数管理!$AG$3:$AG$98,"&lt;="&amp;$H40,工数管理!$AH$3:$AH$98,""))*($H40&lt;=工数管理!$AI$1))</f>
        <v>1</v>
      </c>
      <c r="L40" s="42">
        <f ca="1">IF(L$1="",0,COUNTIFS(工数管理!$AK$3:$AK$98,L$1,工数管理!$K$3:$K$98,"&lt;="&amp;$H40,工数管理!$L$3:$L$98,"&gt;="&amp;$H40)+COUNTIFS(工数管理!$AK$3:$AK$98,L$1,工数管理!$M$3:$M$98,"&lt;="&amp;$H40,工数管理!$N$3:$N$98,"&gt;="&amp;$H40)+COUNTIFS(工数管理!$AK$3:$AK$98,L$1,工数管理!$O$3:$O$98,"&lt;="&amp;$H40,工数管理!$P$3:$P$98,"&gt;="&amp;$H40)+COUNTIFS(工数管理!$AK$3:$AK$98,L$1,工数管理!$Q$3:$Q$98,"&lt;="&amp;$H40,工数管理!$R$3:$R$98,"&gt;="&amp;$H40)+COUNTIFS(工数管理!$AK$3:$AK$98,L$1,工数管理!$S$3:$S$98,"&lt;="&amp;$H40,工数管理!$T$3:$T$98,"&gt;="&amp;$H40)+COUNTIFS(工数管理!$AK$3:$AK$98,L$1,工数管理!$U$3:$U$98,"&lt;="&amp;$H40,工数管理!$V$3:$V$98,"&gt;="&amp;$H40)+COUNTIFS(工数管理!$AK$3:$AK$98,L$1,工数管理!$W$3:$W$98,"&lt;="&amp;$H40,工数管理!$X$3:$X$98,"&gt;="&amp;$H40)+COUNTIFS(工数管理!$AK$3:$AK$98,L$1,工数管理!$Y$3:$Y$98,"&lt;="&amp;$H40,工数管理!$Z$3:$Z$98,"&gt;="&amp;$H40)+COUNTIFS(工数管理!$AK$3:$AK$98,L$1,工数管理!$AA$3:$AA$98,"&lt;="&amp;$H40,工数管理!$AB$3:$AB$98,"&gt;="&amp;$H40)+COUNTIFS(工数管理!$AK$3:$AK$98,L$1,工数管理!$AC$3:$AC$98,"&lt;="&amp;$H40,工数管理!$AD$3:$AD$98,"&gt;="&amp;$H40)+COUNTIFS(工数管理!$AK$3:$AK$98,L$1,工数管理!$AE$3:$AE$98,"&lt;="&amp;$H40,工数管理!$AF$3:$AF$98,"&gt;="&amp;$H40)+COUNTIFS(工数管理!$AK$3:$AK$98,L$1,工数管理!$AG$3:$AG$98,"&lt;="&amp;$H40,工数管理!$AH$3:$AH$98,"&gt;="&amp;$H40)+(COUNTIFS(工数管理!$AK$3:$AK$98,L$1,工数管理!$K$3:$K$98,"&lt;="&amp;$H40,工数管理!$L$3:$L$98,"")+COUNTIFS(工数管理!$AK$3:$AK$98,L$1,工数管理!$M$3:$M$98,"&lt;="&amp;$H40,工数管理!$N$3:$N$98,"")+COUNTIFS(工数管理!$AK$3:$AK$98,L$1,工数管理!$O$3:$O$98,"&lt;="&amp;$H40,工数管理!$P$3:$P$98,"")+COUNTIFS(工数管理!$AK$3:$AK$98,L$1,工数管理!$Q$3:$Q$98,"&lt;="&amp;$H40,工数管理!$R$3:$R$98,"")+COUNTIFS(工数管理!$AK$3:$AK$98,L$1,工数管理!$S$3:$S$98,"&lt;="&amp;$H40,工数管理!$T$3:$T$98,"")+COUNTIFS(工数管理!$AK$3:$AK$98,L$1,工数管理!$U$3:$U$98,"&lt;="&amp;$H40,工数管理!$V$3:$V$98,"")+COUNTIFS(工数管理!$AK$3:$AK$98,L$1,工数管理!$W$3:$W$98,"&lt;="&amp;$H40,工数管理!$X$3:$X$98,"")+COUNTIFS(工数管理!$AK$3:$AK$98,L$1,工数管理!$Y$3:$Y$98,"&lt;="&amp;$H40,工数管理!$Z$3:$Z$98,"")+COUNTIFS(工数管理!$AK$3:$AK$98,L$1,工数管理!$AA$3:$AA$98,"&lt;="&amp;$H40,工数管理!$AB$3:$AB$98,"")+COUNTIFS(工数管理!$AK$3:$AK$98,L$1,工数管理!$AC$3:$AC$98,"&lt;="&amp;$H40,工数管理!$AD$3:$AD$98,"")+COUNTIFS(工数管理!$AK$3:$AK$98,L$1,工数管理!$AE$3:$AE$98,"&lt;="&amp;$H40,工数管理!$AF$3:$AF$98,"")+COUNTIFS(工数管理!$AK$3:$AK$98,L$1,工数管理!$AG$3:$AG$98,"&lt;="&amp;$H40,工数管理!$AH$3:$AH$98,""))*($H40&lt;=工数管理!$AI$1))</f>
        <v>1</v>
      </c>
    </row>
    <row r="41" spans="1:12" x14ac:dyDescent="0.15">
      <c r="A41" s="5">
        <v>46512</v>
      </c>
      <c r="B41" s="6" t="s">
        <v>76</v>
      </c>
      <c r="H41" s="41">
        <f t="shared" si="1"/>
        <v>46209</v>
      </c>
      <c r="I41" s="42">
        <f t="shared" si="0"/>
        <v>1</v>
      </c>
      <c r="J41" s="42">
        <f ca="1">IF(J$1="",0,COUNTIFS(工数管理!$AK$3:$AK$98,J$1,工数管理!$K$3:$K$98,"&lt;="&amp;$H41,工数管理!$L$3:$L$98,"&gt;="&amp;$H41)+COUNTIFS(工数管理!$AK$3:$AK$98,J$1,工数管理!$M$3:$M$98,"&lt;="&amp;$H41,工数管理!$N$3:$N$98,"&gt;="&amp;$H41)+COUNTIFS(工数管理!$AK$3:$AK$98,J$1,工数管理!$O$3:$O$98,"&lt;="&amp;$H41,工数管理!$P$3:$P$98,"&gt;="&amp;$H41)+COUNTIFS(工数管理!$AK$3:$AK$98,J$1,工数管理!$Q$3:$Q$98,"&lt;="&amp;$H41,工数管理!$R$3:$R$98,"&gt;="&amp;$H41)+COUNTIFS(工数管理!$AK$3:$AK$98,J$1,工数管理!$S$3:$S$98,"&lt;="&amp;$H41,工数管理!$T$3:$T$98,"&gt;="&amp;$H41)+COUNTIFS(工数管理!$AK$3:$AK$98,J$1,工数管理!$U$3:$U$98,"&lt;="&amp;$H41,工数管理!$V$3:$V$98,"&gt;="&amp;$H41)+COUNTIFS(工数管理!$AK$3:$AK$98,J$1,工数管理!$W$3:$W$98,"&lt;="&amp;$H41,工数管理!$X$3:$X$98,"&gt;="&amp;$H41)+COUNTIFS(工数管理!$AK$3:$AK$98,J$1,工数管理!$Y$3:$Y$98,"&lt;="&amp;$H41,工数管理!$Z$3:$Z$98,"&gt;="&amp;$H41)+COUNTIFS(工数管理!$AK$3:$AK$98,J$1,工数管理!$AA$3:$AA$98,"&lt;="&amp;$H41,工数管理!$AB$3:$AB$98,"&gt;="&amp;$H41)+COUNTIFS(工数管理!$AK$3:$AK$98,J$1,工数管理!$AC$3:$AC$98,"&lt;="&amp;$H41,工数管理!$AD$3:$AD$98,"&gt;="&amp;$H41)+COUNTIFS(工数管理!$AK$3:$AK$98,J$1,工数管理!$AE$3:$AE$98,"&lt;="&amp;$H41,工数管理!$AF$3:$AF$98,"&gt;="&amp;$H41)+COUNTIFS(工数管理!$AK$3:$AK$98,J$1,工数管理!$AG$3:$AG$98,"&lt;="&amp;$H41,工数管理!$AH$3:$AH$98,"&gt;="&amp;$H41)+(COUNTIFS(工数管理!$AK$3:$AK$98,J$1,工数管理!$K$3:$K$98,"&lt;="&amp;$H41,工数管理!$L$3:$L$98,"")+COUNTIFS(工数管理!$AK$3:$AK$98,J$1,工数管理!$M$3:$M$98,"&lt;="&amp;$H41,工数管理!$N$3:$N$98,"")+COUNTIFS(工数管理!$AK$3:$AK$98,J$1,工数管理!$O$3:$O$98,"&lt;="&amp;$H41,工数管理!$P$3:$P$98,"")+COUNTIFS(工数管理!$AK$3:$AK$98,J$1,工数管理!$Q$3:$Q$98,"&lt;="&amp;$H41,工数管理!$R$3:$R$98,"")+COUNTIFS(工数管理!$AK$3:$AK$98,J$1,工数管理!$S$3:$S$98,"&lt;="&amp;$H41,工数管理!$T$3:$T$98,"")+COUNTIFS(工数管理!$AK$3:$AK$98,J$1,工数管理!$U$3:$U$98,"&lt;="&amp;$H41,工数管理!$V$3:$V$98,"")+COUNTIFS(工数管理!$AK$3:$AK$98,J$1,工数管理!$W$3:$W$98,"&lt;="&amp;$H41,工数管理!$X$3:$X$98,"")+COUNTIFS(工数管理!$AK$3:$AK$98,J$1,工数管理!$Y$3:$Y$98,"&lt;="&amp;$H41,工数管理!$Z$3:$Z$98,"")+COUNTIFS(工数管理!$AK$3:$AK$98,J$1,工数管理!$AA$3:$AA$98,"&lt;="&amp;$H41,工数管理!$AB$3:$AB$98,"")+COUNTIFS(工数管理!$AK$3:$AK$98,J$1,工数管理!$AC$3:$AC$98,"&lt;="&amp;$H41,工数管理!$AD$3:$AD$98,"")+COUNTIFS(工数管理!$AK$3:$AK$98,J$1,工数管理!$AE$3:$AE$98,"&lt;="&amp;$H41,工数管理!$AF$3:$AF$98,"")+COUNTIFS(工数管理!$AK$3:$AK$98,J$1,工数管理!$AG$3:$AG$98,"&lt;="&amp;$H41,工数管理!$AH$3:$AH$98,""))*($H41&lt;=工数管理!$AI$1))</f>
        <v>1</v>
      </c>
      <c r="K41" s="42">
        <f ca="1">IF(K$1="",0,COUNTIFS(工数管理!$AK$3:$AK$98,K$1,工数管理!$K$3:$K$98,"&lt;="&amp;$H41,工数管理!$L$3:$L$98,"&gt;="&amp;$H41)+COUNTIFS(工数管理!$AK$3:$AK$98,K$1,工数管理!$M$3:$M$98,"&lt;="&amp;$H41,工数管理!$N$3:$N$98,"&gt;="&amp;$H41)+COUNTIFS(工数管理!$AK$3:$AK$98,K$1,工数管理!$O$3:$O$98,"&lt;="&amp;$H41,工数管理!$P$3:$P$98,"&gt;="&amp;$H41)+COUNTIFS(工数管理!$AK$3:$AK$98,K$1,工数管理!$Q$3:$Q$98,"&lt;="&amp;$H41,工数管理!$R$3:$R$98,"&gt;="&amp;$H41)+COUNTIFS(工数管理!$AK$3:$AK$98,K$1,工数管理!$S$3:$S$98,"&lt;="&amp;$H41,工数管理!$T$3:$T$98,"&gt;="&amp;$H41)+COUNTIFS(工数管理!$AK$3:$AK$98,K$1,工数管理!$U$3:$U$98,"&lt;="&amp;$H41,工数管理!$V$3:$V$98,"&gt;="&amp;$H41)+COUNTIFS(工数管理!$AK$3:$AK$98,K$1,工数管理!$W$3:$W$98,"&lt;="&amp;$H41,工数管理!$X$3:$X$98,"&gt;="&amp;$H41)+COUNTIFS(工数管理!$AK$3:$AK$98,K$1,工数管理!$Y$3:$Y$98,"&lt;="&amp;$H41,工数管理!$Z$3:$Z$98,"&gt;="&amp;$H41)+COUNTIFS(工数管理!$AK$3:$AK$98,K$1,工数管理!$AA$3:$AA$98,"&lt;="&amp;$H41,工数管理!$AB$3:$AB$98,"&gt;="&amp;$H41)+COUNTIFS(工数管理!$AK$3:$AK$98,K$1,工数管理!$AC$3:$AC$98,"&lt;="&amp;$H41,工数管理!$AD$3:$AD$98,"&gt;="&amp;$H41)+COUNTIFS(工数管理!$AK$3:$AK$98,K$1,工数管理!$AE$3:$AE$98,"&lt;="&amp;$H41,工数管理!$AF$3:$AF$98,"&gt;="&amp;$H41)+COUNTIFS(工数管理!$AK$3:$AK$98,K$1,工数管理!$AG$3:$AG$98,"&lt;="&amp;$H41,工数管理!$AH$3:$AH$98,"&gt;="&amp;$H41)+(COUNTIFS(工数管理!$AK$3:$AK$98,K$1,工数管理!$K$3:$K$98,"&lt;="&amp;$H41,工数管理!$L$3:$L$98,"")+COUNTIFS(工数管理!$AK$3:$AK$98,K$1,工数管理!$M$3:$M$98,"&lt;="&amp;$H41,工数管理!$N$3:$N$98,"")+COUNTIFS(工数管理!$AK$3:$AK$98,K$1,工数管理!$O$3:$O$98,"&lt;="&amp;$H41,工数管理!$P$3:$P$98,"")+COUNTIFS(工数管理!$AK$3:$AK$98,K$1,工数管理!$Q$3:$Q$98,"&lt;="&amp;$H41,工数管理!$R$3:$R$98,"")+COUNTIFS(工数管理!$AK$3:$AK$98,K$1,工数管理!$S$3:$S$98,"&lt;="&amp;$H41,工数管理!$T$3:$T$98,"")+COUNTIFS(工数管理!$AK$3:$AK$98,K$1,工数管理!$U$3:$U$98,"&lt;="&amp;$H41,工数管理!$V$3:$V$98,"")+COUNTIFS(工数管理!$AK$3:$AK$98,K$1,工数管理!$W$3:$W$98,"&lt;="&amp;$H41,工数管理!$X$3:$X$98,"")+COUNTIFS(工数管理!$AK$3:$AK$98,K$1,工数管理!$Y$3:$Y$98,"&lt;="&amp;$H41,工数管理!$Z$3:$Z$98,"")+COUNTIFS(工数管理!$AK$3:$AK$98,K$1,工数管理!$AA$3:$AA$98,"&lt;="&amp;$H41,工数管理!$AB$3:$AB$98,"")+COUNTIFS(工数管理!$AK$3:$AK$98,K$1,工数管理!$AC$3:$AC$98,"&lt;="&amp;$H41,工数管理!$AD$3:$AD$98,"")+COUNTIFS(工数管理!$AK$3:$AK$98,K$1,工数管理!$AE$3:$AE$98,"&lt;="&amp;$H41,工数管理!$AF$3:$AF$98,"")+COUNTIFS(工数管理!$AK$3:$AK$98,K$1,工数管理!$AG$3:$AG$98,"&lt;="&amp;$H41,工数管理!$AH$3:$AH$98,""))*($H41&lt;=工数管理!$AI$1))</f>
        <v>1</v>
      </c>
      <c r="L41" s="42">
        <f ca="1">IF(L$1="",0,COUNTIFS(工数管理!$AK$3:$AK$98,L$1,工数管理!$K$3:$K$98,"&lt;="&amp;$H41,工数管理!$L$3:$L$98,"&gt;="&amp;$H41)+COUNTIFS(工数管理!$AK$3:$AK$98,L$1,工数管理!$M$3:$M$98,"&lt;="&amp;$H41,工数管理!$N$3:$N$98,"&gt;="&amp;$H41)+COUNTIFS(工数管理!$AK$3:$AK$98,L$1,工数管理!$O$3:$O$98,"&lt;="&amp;$H41,工数管理!$P$3:$P$98,"&gt;="&amp;$H41)+COUNTIFS(工数管理!$AK$3:$AK$98,L$1,工数管理!$Q$3:$Q$98,"&lt;="&amp;$H41,工数管理!$R$3:$R$98,"&gt;="&amp;$H41)+COUNTIFS(工数管理!$AK$3:$AK$98,L$1,工数管理!$S$3:$S$98,"&lt;="&amp;$H41,工数管理!$T$3:$T$98,"&gt;="&amp;$H41)+COUNTIFS(工数管理!$AK$3:$AK$98,L$1,工数管理!$U$3:$U$98,"&lt;="&amp;$H41,工数管理!$V$3:$V$98,"&gt;="&amp;$H41)+COUNTIFS(工数管理!$AK$3:$AK$98,L$1,工数管理!$W$3:$W$98,"&lt;="&amp;$H41,工数管理!$X$3:$X$98,"&gt;="&amp;$H41)+COUNTIFS(工数管理!$AK$3:$AK$98,L$1,工数管理!$Y$3:$Y$98,"&lt;="&amp;$H41,工数管理!$Z$3:$Z$98,"&gt;="&amp;$H41)+COUNTIFS(工数管理!$AK$3:$AK$98,L$1,工数管理!$AA$3:$AA$98,"&lt;="&amp;$H41,工数管理!$AB$3:$AB$98,"&gt;="&amp;$H41)+COUNTIFS(工数管理!$AK$3:$AK$98,L$1,工数管理!$AC$3:$AC$98,"&lt;="&amp;$H41,工数管理!$AD$3:$AD$98,"&gt;="&amp;$H41)+COUNTIFS(工数管理!$AK$3:$AK$98,L$1,工数管理!$AE$3:$AE$98,"&lt;="&amp;$H41,工数管理!$AF$3:$AF$98,"&gt;="&amp;$H41)+COUNTIFS(工数管理!$AK$3:$AK$98,L$1,工数管理!$AG$3:$AG$98,"&lt;="&amp;$H41,工数管理!$AH$3:$AH$98,"&gt;="&amp;$H41)+(COUNTIFS(工数管理!$AK$3:$AK$98,L$1,工数管理!$K$3:$K$98,"&lt;="&amp;$H41,工数管理!$L$3:$L$98,"")+COUNTIFS(工数管理!$AK$3:$AK$98,L$1,工数管理!$M$3:$M$98,"&lt;="&amp;$H41,工数管理!$N$3:$N$98,"")+COUNTIFS(工数管理!$AK$3:$AK$98,L$1,工数管理!$O$3:$O$98,"&lt;="&amp;$H41,工数管理!$P$3:$P$98,"")+COUNTIFS(工数管理!$AK$3:$AK$98,L$1,工数管理!$Q$3:$Q$98,"&lt;="&amp;$H41,工数管理!$R$3:$R$98,"")+COUNTIFS(工数管理!$AK$3:$AK$98,L$1,工数管理!$S$3:$S$98,"&lt;="&amp;$H41,工数管理!$T$3:$T$98,"")+COUNTIFS(工数管理!$AK$3:$AK$98,L$1,工数管理!$U$3:$U$98,"&lt;="&amp;$H41,工数管理!$V$3:$V$98,"")+COUNTIFS(工数管理!$AK$3:$AK$98,L$1,工数管理!$W$3:$W$98,"&lt;="&amp;$H41,工数管理!$X$3:$X$98,"")+COUNTIFS(工数管理!$AK$3:$AK$98,L$1,工数管理!$Y$3:$Y$98,"&lt;="&amp;$H41,工数管理!$Z$3:$Z$98,"")+COUNTIFS(工数管理!$AK$3:$AK$98,L$1,工数管理!$AA$3:$AA$98,"&lt;="&amp;$H41,工数管理!$AB$3:$AB$98,"")+COUNTIFS(工数管理!$AK$3:$AK$98,L$1,工数管理!$AC$3:$AC$98,"&lt;="&amp;$H41,工数管理!$AD$3:$AD$98,"")+COUNTIFS(工数管理!$AK$3:$AK$98,L$1,工数管理!$AE$3:$AE$98,"&lt;="&amp;$H41,工数管理!$AF$3:$AF$98,"")+COUNTIFS(工数管理!$AK$3:$AK$98,L$1,工数管理!$AG$3:$AG$98,"&lt;="&amp;$H41,工数管理!$AH$3:$AH$98,""))*($H41&lt;=工数管理!$AI$1))</f>
        <v>1</v>
      </c>
    </row>
    <row r="42" spans="1:12" x14ac:dyDescent="0.15">
      <c r="A42" s="5">
        <v>46587</v>
      </c>
      <c r="B42" s="6" t="s">
        <v>78</v>
      </c>
      <c r="H42" s="41">
        <f t="shared" si="1"/>
        <v>46210</v>
      </c>
      <c r="I42" s="42">
        <f t="shared" si="0"/>
        <v>1</v>
      </c>
      <c r="J42" s="42">
        <f ca="1">IF(J$1="",0,COUNTIFS(工数管理!$AK$3:$AK$98,J$1,工数管理!$K$3:$K$98,"&lt;="&amp;$H42,工数管理!$L$3:$L$98,"&gt;="&amp;$H42)+COUNTIFS(工数管理!$AK$3:$AK$98,J$1,工数管理!$M$3:$M$98,"&lt;="&amp;$H42,工数管理!$N$3:$N$98,"&gt;="&amp;$H42)+COUNTIFS(工数管理!$AK$3:$AK$98,J$1,工数管理!$O$3:$O$98,"&lt;="&amp;$H42,工数管理!$P$3:$P$98,"&gt;="&amp;$H42)+COUNTIFS(工数管理!$AK$3:$AK$98,J$1,工数管理!$Q$3:$Q$98,"&lt;="&amp;$H42,工数管理!$R$3:$R$98,"&gt;="&amp;$H42)+COUNTIFS(工数管理!$AK$3:$AK$98,J$1,工数管理!$S$3:$S$98,"&lt;="&amp;$H42,工数管理!$T$3:$T$98,"&gt;="&amp;$H42)+COUNTIFS(工数管理!$AK$3:$AK$98,J$1,工数管理!$U$3:$U$98,"&lt;="&amp;$H42,工数管理!$V$3:$V$98,"&gt;="&amp;$H42)+COUNTIFS(工数管理!$AK$3:$AK$98,J$1,工数管理!$W$3:$W$98,"&lt;="&amp;$H42,工数管理!$X$3:$X$98,"&gt;="&amp;$H42)+COUNTIFS(工数管理!$AK$3:$AK$98,J$1,工数管理!$Y$3:$Y$98,"&lt;="&amp;$H42,工数管理!$Z$3:$Z$98,"&gt;="&amp;$H42)+COUNTIFS(工数管理!$AK$3:$AK$98,J$1,工数管理!$AA$3:$AA$98,"&lt;="&amp;$H42,工数管理!$AB$3:$AB$98,"&gt;="&amp;$H42)+COUNTIFS(工数管理!$AK$3:$AK$98,J$1,工数管理!$AC$3:$AC$98,"&lt;="&amp;$H42,工数管理!$AD$3:$AD$98,"&gt;="&amp;$H42)+COUNTIFS(工数管理!$AK$3:$AK$98,J$1,工数管理!$AE$3:$AE$98,"&lt;="&amp;$H42,工数管理!$AF$3:$AF$98,"&gt;="&amp;$H42)+COUNTIFS(工数管理!$AK$3:$AK$98,J$1,工数管理!$AG$3:$AG$98,"&lt;="&amp;$H42,工数管理!$AH$3:$AH$98,"&gt;="&amp;$H42)+(COUNTIFS(工数管理!$AK$3:$AK$98,J$1,工数管理!$K$3:$K$98,"&lt;="&amp;$H42,工数管理!$L$3:$L$98,"")+COUNTIFS(工数管理!$AK$3:$AK$98,J$1,工数管理!$M$3:$M$98,"&lt;="&amp;$H42,工数管理!$N$3:$N$98,"")+COUNTIFS(工数管理!$AK$3:$AK$98,J$1,工数管理!$O$3:$O$98,"&lt;="&amp;$H42,工数管理!$P$3:$P$98,"")+COUNTIFS(工数管理!$AK$3:$AK$98,J$1,工数管理!$Q$3:$Q$98,"&lt;="&amp;$H42,工数管理!$R$3:$R$98,"")+COUNTIFS(工数管理!$AK$3:$AK$98,J$1,工数管理!$S$3:$S$98,"&lt;="&amp;$H42,工数管理!$T$3:$T$98,"")+COUNTIFS(工数管理!$AK$3:$AK$98,J$1,工数管理!$U$3:$U$98,"&lt;="&amp;$H42,工数管理!$V$3:$V$98,"")+COUNTIFS(工数管理!$AK$3:$AK$98,J$1,工数管理!$W$3:$W$98,"&lt;="&amp;$H42,工数管理!$X$3:$X$98,"")+COUNTIFS(工数管理!$AK$3:$AK$98,J$1,工数管理!$Y$3:$Y$98,"&lt;="&amp;$H42,工数管理!$Z$3:$Z$98,"")+COUNTIFS(工数管理!$AK$3:$AK$98,J$1,工数管理!$AA$3:$AA$98,"&lt;="&amp;$H42,工数管理!$AB$3:$AB$98,"")+COUNTIFS(工数管理!$AK$3:$AK$98,J$1,工数管理!$AC$3:$AC$98,"&lt;="&amp;$H42,工数管理!$AD$3:$AD$98,"")+COUNTIFS(工数管理!$AK$3:$AK$98,J$1,工数管理!$AE$3:$AE$98,"&lt;="&amp;$H42,工数管理!$AF$3:$AF$98,"")+COUNTIFS(工数管理!$AK$3:$AK$98,J$1,工数管理!$AG$3:$AG$98,"&lt;="&amp;$H42,工数管理!$AH$3:$AH$98,""))*($H42&lt;=工数管理!$AI$1))</f>
        <v>1</v>
      </c>
      <c r="K42" s="42">
        <f ca="1">IF(K$1="",0,COUNTIFS(工数管理!$AK$3:$AK$98,K$1,工数管理!$K$3:$K$98,"&lt;="&amp;$H42,工数管理!$L$3:$L$98,"&gt;="&amp;$H42)+COUNTIFS(工数管理!$AK$3:$AK$98,K$1,工数管理!$M$3:$M$98,"&lt;="&amp;$H42,工数管理!$N$3:$N$98,"&gt;="&amp;$H42)+COUNTIFS(工数管理!$AK$3:$AK$98,K$1,工数管理!$O$3:$O$98,"&lt;="&amp;$H42,工数管理!$P$3:$P$98,"&gt;="&amp;$H42)+COUNTIFS(工数管理!$AK$3:$AK$98,K$1,工数管理!$Q$3:$Q$98,"&lt;="&amp;$H42,工数管理!$R$3:$R$98,"&gt;="&amp;$H42)+COUNTIFS(工数管理!$AK$3:$AK$98,K$1,工数管理!$S$3:$S$98,"&lt;="&amp;$H42,工数管理!$T$3:$T$98,"&gt;="&amp;$H42)+COUNTIFS(工数管理!$AK$3:$AK$98,K$1,工数管理!$U$3:$U$98,"&lt;="&amp;$H42,工数管理!$V$3:$V$98,"&gt;="&amp;$H42)+COUNTIFS(工数管理!$AK$3:$AK$98,K$1,工数管理!$W$3:$W$98,"&lt;="&amp;$H42,工数管理!$X$3:$X$98,"&gt;="&amp;$H42)+COUNTIFS(工数管理!$AK$3:$AK$98,K$1,工数管理!$Y$3:$Y$98,"&lt;="&amp;$H42,工数管理!$Z$3:$Z$98,"&gt;="&amp;$H42)+COUNTIFS(工数管理!$AK$3:$AK$98,K$1,工数管理!$AA$3:$AA$98,"&lt;="&amp;$H42,工数管理!$AB$3:$AB$98,"&gt;="&amp;$H42)+COUNTIFS(工数管理!$AK$3:$AK$98,K$1,工数管理!$AC$3:$AC$98,"&lt;="&amp;$H42,工数管理!$AD$3:$AD$98,"&gt;="&amp;$H42)+COUNTIFS(工数管理!$AK$3:$AK$98,K$1,工数管理!$AE$3:$AE$98,"&lt;="&amp;$H42,工数管理!$AF$3:$AF$98,"&gt;="&amp;$H42)+COUNTIFS(工数管理!$AK$3:$AK$98,K$1,工数管理!$AG$3:$AG$98,"&lt;="&amp;$H42,工数管理!$AH$3:$AH$98,"&gt;="&amp;$H42)+(COUNTIFS(工数管理!$AK$3:$AK$98,K$1,工数管理!$K$3:$K$98,"&lt;="&amp;$H42,工数管理!$L$3:$L$98,"")+COUNTIFS(工数管理!$AK$3:$AK$98,K$1,工数管理!$M$3:$M$98,"&lt;="&amp;$H42,工数管理!$N$3:$N$98,"")+COUNTIFS(工数管理!$AK$3:$AK$98,K$1,工数管理!$O$3:$O$98,"&lt;="&amp;$H42,工数管理!$P$3:$P$98,"")+COUNTIFS(工数管理!$AK$3:$AK$98,K$1,工数管理!$Q$3:$Q$98,"&lt;="&amp;$H42,工数管理!$R$3:$R$98,"")+COUNTIFS(工数管理!$AK$3:$AK$98,K$1,工数管理!$S$3:$S$98,"&lt;="&amp;$H42,工数管理!$T$3:$T$98,"")+COUNTIFS(工数管理!$AK$3:$AK$98,K$1,工数管理!$U$3:$U$98,"&lt;="&amp;$H42,工数管理!$V$3:$V$98,"")+COUNTIFS(工数管理!$AK$3:$AK$98,K$1,工数管理!$W$3:$W$98,"&lt;="&amp;$H42,工数管理!$X$3:$X$98,"")+COUNTIFS(工数管理!$AK$3:$AK$98,K$1,工数管理!$Y$3:$Y$98,"&lt;="&amp;$H42,工数管理!$Z$3:$Z$98,"")+COUNTIFS(工数管理!$AK$3:$AK$98,K$1,工数管理!$AA$3:$AA$98,"&lt;="&amp;$H42,工数管理!$AB$3:$AB$98,"")+COUNTIFS(工数管理!$AK$3:$AK$98,K$1,工数管理!$AC$3:$AC$98,"&lt;="&amp;$H42,工数管理!$AD$3:$AD$98,"")+COUNTIFS(工数管理!$AK$3:$AK$98,K$1,工数管理!$AE$3:$AE$98,"&lt;="&amp;$H42,工数管理!$AF$3:$AF$98,"")+COUNTIFS(工数管理!$AK$3:$AK$98,K$1,工数管理!$AG$3:$AG$98,"&lt;="&amp;$H42,工数管理!$AH$3:$AH$98,""))*($H42&lt;=工数管理!$AI$1))</f>
        <v>1</v>
      </c>
      <c r="L42" s="42">
        <f ca="1">IF(L$1="",0,COUNTIFS(工数管理!$AK$3:$AK$98,L$1,工数管理!$K$3:$K$98,"&lt;="&amp;$H42,工数管理!$L$3:$L$98,"&gt;="&amp;$H42)+COUNTIFS(工数管理!$AK$3:$AK$98,L$1,工数管理!$M$3:$M$98,"&lt;="&amp;$H42,工数管理!$N$3:$N$98,"&gt;="&amp;$H42)+COUNTIFS(工数管理!$AK$3:$AK$98,L$1,工数管理!$O$3:$O$98,"&lt;="&amp;$H42,工数管理!$P$3:$P$98,"&gt;="&amp;$H42)+COUNTIFS(工数管理!$AK$3:$AK$98,L$1,工数管理!$Q$3:$Q$98,"&lt;="&amp;$H42,工数管理!$R$3:$R$98,"&gt;="&amp;$H42)+COUNTIFS(工数管理!$AK$3:$AK$98,L$1,工数管理!$S$3:$S$98,"&lt;="&amp;$H42,工数管理!$T$3:$T$98,"&gt;="&amp;$H42)+COUNTIFS(工数管理!$AK$3:$AK$98,L$1,工数管理!$U$3:$U$98,"&lt;="&amp;$H42,工数管理!$V$3:$V$98,"&gt;="&amp;$H42)+COUNTIFS(工数管理!$AK$3:$AK$98,L$1,工数管理!$W$3:$W$98,"&lt;="&amp;$H42,工数管理!$X$3:$X$98,"&gt;="&amp;$H42)+COUNTIFS(工数管理!$AK$3:$AK$98,L$1,工数管理!$Y$3:$Y$98,"&lt;="&amp;$H42,工数管理!$Z$3:$Z$98,"&gt;="&amp;$H42)+COUNTIFS(工数管理!$AK$3:$AK$98,L$1,工数管理!$AA$3:$AA$98,"&lt;="&amp;$H42,工数管理!$AB$3:$AB$98,"&gt;="&amp;$H42)+COUNTIFS(工数管理!$AK$3:$AK$98,L$1,工数管理!$AC$3:$AC$98,"&lt;="&amp;$H42,工数管理!$AD$3:$AD$98,"&gt;="&amp;$H42)+COUNTIFS(工数管理!$AK$3:$AK$98,L$1,工数管理!$AE$3:$AE$98,"&lt;="&amp;$H42,工数管理!$AF$3:$AF$98,"&gt;="&amp;$H42)+COUNTIFS(工数管理!$AK$3:$AK$98,L$1,工数管理!$AG$3:$AG$98,"&lt;="&amp;$H42,工数管理!$AH$3:$AH$98,"&gt;="&amp;$H42)+(COUNTIFS(工数管理!$AK$3:$AK$98,L$1,工数管理!$K$3:$K$98,"&lt;="&amp;$H42,工数管理!$L$3:$L$98,"")+COUNTIFS(工数管理!$AK$3:$AK$98,L$1,工数管理!$M$3:$M$98,"&lt;="&amp;$H42,工数管理!$N$3:$N$98,"")+COUNTIFS(工数管理!$AK$3:$AK$98,L$1,工数管理!$O$3:$O$98,"&lt;="&amp;$H42,工数管理!$P$3:$P$98,"")+COUNTIFS(工数管理!$AK$3:$AK$98,L$1,工数管理!$Q$3:$Q$98,"&lt;="&amp;$H42,工数管理!$R$3:$R$98,"")+COUNTIFS(工数管理!$AK$3:$AK$98,L$1,工数管理!$S$3:$S$98,"&lt;="&amp;$H42,工数管理!$T$3:$T$98,"")+COUNTIFS(工数管理!$AK$3:$AK$98,L$1,工数管理!$U$3:$U$98,"&lt;="&amp;$H42,工数管理!$V$3:$V$98,"")+COUNTIFS(工数管理!$AK$3:$AK$98,L$1,工数管理!$W$3:$W$98,"&lt;="&amp;$H42,工数管理!$X$3:$X$98,"")+COUNTIFS(工数管理!$AK$3:$AK$98,L$1,工数管理!$Y$3:$Y$98,"&lt;="&amp;$H42,工数管理!$Z$3:$Z$98,"")+COUNTIFS(工数管理!$AK$3:$AK$98,L$1,工数管理!$AA$3:$AA$98,"&lt;="&amp;$H42,工数管理!$AB$3:$AB$98,"")+COUNTIFS(工数管理!$AK$3:$AK$98,L$1,工数管理!$AC$3:$AC$98,"&lt;="&amp;$H42,工数管理!$AD$3:$AD$98,"")+COUNTIFS(工数管理!$AK$3:$AK$98,L$1,工数管理!$AE$3:$AE$98,"&lt;="&amp;$H42,工数管理!$AF$3:$AF$98,"")+COUNTIFS(工数管理!$AK$3:$AK$98,L$1,工数管理!$AG$3:$AG$98,"&lt;="&amp;$H42,工数管理!$AH$3:$AH$98,""))*($H42&lt;=工数管理!$AI$1))</f>
        <v>1</v>
      </c>
    </row>
    <row r="43" spans="1:12" x14ac:dyDescent="0.15">
      <c r="A43" s="5">
        <v>46610</v>
      </c>
      <c r="B43" s="6" t="s">
        <v>79</v>
      </c>
      <c r="H43" s="41">
        <f t="shared" si="1"/>
        <v>46211</v>
      </c>
      <c r="I43" s="42">
        <f t="shared" si="0"/>
        <v>1</v>
      </c>
      <c r="J43" s="42">
        <f ca="1">IF(J$1="",0,COUNTIFS(工数管理!$AK$3:$AK$98,J$1,工数管理!$K$3:$K$98,"&lt;="&amp;$H43,工数管理!$L$3:$L$98,"&gt;="&amp;$H43)+COUNTIFS(工数管理!$AK$3:$AK$98,J$1,工数管理!$M$3:$M$98,"&lt;="&amp;$H43,工数管理!$N$3:$N$98,"&gt;="&amp;$H43)+COUNTIFS(工数管理!$AK$3:$AK$98,J$1,工数管理!$O$3:$O$98,"&lt;="&amp;$H43,工数管理!$P$3:$P$98,"&gt;="&amp;$H43)+COUNTIFS(工数管理!$AK$3:$AK$98,J$1,工数管理!$Q$3:$Q$98,"&lt;="&amp;$H43,工数管理!$R$3:$R$98,"&gt;="&amp;$H43)+COUNTIFS(工数管理!$AK$3:$AK$98,J$1,工数管理!$S$3:$S$98,"&lt;="&amp;$H43,工数管理!$T$3:$T$98,"&gt;="&amp;$H43)+COUNTIFS(工数管理!$AK$3:$AK$98,J$1,工数管理!$U$3:$U$98,"&lt;="&amp;$H43,工数管理!$V$3:$V$98,"&gt;="&amp;$H43)+COUNTIFS(工数管理!$AK$3:$AK$98,J$1,工数管理!$W$3:$W$98,"&lt;="&amp;$H43,工数管理!$X$3:$X$98,"&gt;="&amp;$H43)+COUNTIFS(工数管理!$AK$3:$AK$98,J$1,工数管理!$Y$3:$Y$98,"&lt;="&amp;$H43,工数管理!$Z$3:$Z$98,"&gt;="&amp;$H43)+COUNTIFS(工数管理!$AK$3:$AK$98,J$1,工数管理!$AA$3:$AA$98,"&lt;="&amp;$H43,工数管理!$AB$3:$AB$98,"&gt;="&amp;$H43)+COUNTIFS(工数管理!$AK$3:$AK$98,J$1,工数管理!$AC$3:$AC$98,"&lt;="&amp;$H43,工数管理!$AD$3:$AD$98,"&gt;="&amp;$H43)+COUNTIFS(工数管理!$AK$3:$AK$98,J$1,工数管理!$AE$3:$AE$98,"&lt;="&amp;$H43,工数管理!$AF$3:$AF$98,"&gt;="&amp;$H43)+COUNTIFS(工数管理!$AK$3:$AK$98,J$1,工数管理!$AG$3:$AG$98,"&lt;="&amp;$H43,工数管理!$AH$3:$AH$98,"&gt;="&amp;$H43)+(COUNTIFS(工数管理!$AK$3:$AK$98,J$1,工数管理!$K$3:$K$98,"&lt;="&amp;$H43,工数管理!$L$3:$L$98,"")+COUNTIFS(工数管理!$AK$3:$AK$98,J$1,工数管理!$M$3:$M$98,"&lt;="&amp;$H43,工数管理!$N$3:$N$98,"")+COUNTIFS(工数管理!$AK$3:$AK$98,J$1,工数管理!$O$3:$O$98,"&lt;="&amp;$H43,工数管理!$P$3:$P$98,"")+COUNTIFS(工数管理!$AK$3:$AK$98,J$1,工数管理!$Q$3:$Q$98,"&lt;="&amp;$H43,工数管理!$R$3:$R$98,"")+COUNTIFS(工数管理!$AK$3:$AK$98,J$1,工数管理!$S$3:$S$98,"&lt;="&amp;$H43,工数管理!$T$3:$T$98,"")+COUNTIFS(工数管理!$AK$3:$AK$98,J$1,工数管理!$U$3:$U$98,"&lt;="&amp;$H43,工数管理!$V$3:$V$98,"")+COUNTIFS(工数管理!$AK$3:$AK$98,J$1,工数管理!$W$3:$W$98,"&lt;="&amp;$H43,工数管理!$X$3:$X$98,"")+COUNTIFS(工数管理!$AK$3:$AK$98,J$1,工数管理!$Y$3:$Y$98,"&lt;="&amp;$H43,工数管理!$Z$3:$Z$98,"")+COUNTIFS(工数管理!$AK$3:$AK$98,J$1,工数管理!$AA$3:$AA$98,"&lt;="&amp;$H43,工数管理!$AB$3:$AB$98,"")+COUNTIFS(工数管理!$AK$3:$AK$98,J$1,工数管理!$AC$3:$AC$98,"&lt;="&amp;$H43,工数管理!$AD$3:$AD$98,"")+COUNTIFS(工数管理!$AK$3:$AK$98,J$1,工数管理!$AE$3:$AE$98,"&lt;="&amp;$H43,工数管理!$AF$3:$AF$98,"")+COUNTIFS(工数管理!$AK$3:$AK$98,J$1,工数管理!$AG$3:$AG$98,"&lt;="&amp;$H43,工数管理!$AH$3:$AH$98,""))*($H43&lt;=工数管理!$AI$1))</f>
        <v>1</v>
      </c>
      <c r="K43" s="42">
        <f ca="1">IF(K$1="",0,COUNTIFS(工数管理!$AK$3:$AK$98,K$1,工数管理!$K$3:$K$98,"&lt;="&amp;$H43,工数管理!$L$3:$L$98,"&gt;="&amp;$H43)+COUNTIFS(工数管理!$AK$3:$AK$98,K$1,工数管理!$M$3:$M$98,"&lt;="&amp;$H43,工数管理!$N$3:$N$98,"&gt;="&amp;$H43)+COUNTIFS(工数管理!$AK$3:$AK$98,K$1,工数管理!$O$3:$O$98,"&lt;="&amp;$H43,工数管理!$P$3:$P$98,"&gt;="&amp;$H43)+COUNTIFS(工数管理!$AK$3:$AK$98,K$1,工数管理!$Q$3:$Q$98,"&lt;="&amp;$H43,工数管理!$R$3:$R$98,"&gt;="&amp;$H43)+COUNTIFS(工数管理!$AK$3:$AK$98,K$1,工数管理!$S$3:$S$98,"&lt;="&amp;$H43,工数管理!$T$3:$T$98,"&gt;="&amp;$H43)+COUNTIFS(工数管理!$AK$3:$AK$98,K$1,工数管理!$U$3:$U$98,"&lt;="&amp;$H43,工数管理!$V$3:$V$98,"&gt;="&amp;$H43)+COUNTIFS(工数管理!$AK$3:$AK$98,K$1,工数管理!$W$3:$W$98,"&lt;="&amp;$H43,工数管理!$X$3:$X$98,"&gt;="&amp;$H43)+COUNTIFS(工数管理!$AK$3:$AK$98,K$1,工数管理!$Y$3:$Y$98,"&lt;="&amp;$H43,工数管理!$Z$3:$Z$98,"&gt;="&amp;$H43)+COUNTIFS(工数管理!$AK$3:$AK$98,K$1,工数管理!$AA$3:$AA$98,"&lt;="&amp;$H43,工数管理!$AB$3:$AB$98,"&gt;="&amp;$H43)+COUNTIFS(工数管理!$AK$3:$AK$98,K$1,工数管理!$AC$3:$AC$98,"&lt;="&amp;$H43,工数管理!$AD$3:$AD$98,"&gt;="&amp;$H43)+COUNTIFS(工数管理!$AK$3:$AK$98,K$1,工数管理!$AE$3:$AE$98,"&lt;="&amp;$H43,工数管理!$AF$3:$AF$98,"&gt;="&amp;$H43)+COUNTIFS(工数管理!$AK$3:$AK$98,K$1,工数管理!$AG$3:$AG$98,"&lt;="&amp;$H43,工数管理!$AH$3:$AH$98,"&gt;="&amp;$H43)+(COUNTIFS(工数管理!$AK$3:$AK$98,K$1,工数管理!$K$3:$K$98,"&lt;="&amp;$H43,工数管理!$L$3:$L$98,"")+COUNTIFS(工数管理!$AK$3:$AK$98,K$1,工数管理!$M$3:$M$98,"&lt;="&amp;$H43,工数管理!$N$3:$N$98,"")+COUNTIFS(工数管理!$AK$3:$AK$98,K$1,工数管理!$O$3:$O$98,"&lt;="&amp;$H43,工数管理!$P$3:$P$98,"")+COUNTIFS(工数管理!$AK$3:$AK$98,K$1,工数管理!$Q$3:$Q$98,"&lt;="&amp;$H43,工数管理!$R$3:$R$98,"")+COUNTIFS(工数管理!$AK$3:$AK$98,K$1,工数管理!$S$3:$S$98,"&lt;="&amp;$H43,工数管理!$T$3:$T$98,"")+COUNTIFS(工数管理!$AK$3:$AK$98,K$1,工数管理!$U$3:$U$98,"&lt;="&amp;$H43,工数管理!$V$3:$V$98,"")+COUNTIFS(工数管理!$AK$3:$AK$98,K$1,工数管理!$W$3:$W$98,"&lt;="&amp;$H43,工数管理!$X$3:$X$98,"")+COUNTIFS(工数管理!$AK$3:$AK$98,K$1,工数管理!$Y$3:$Y$98,"&lt;="&amp;$H43,工数管理!$Z$3:$Z$98,"")+COUNTIFS(工数管理!$AK$3:$AK$98,K$1,工数管理!$AA$3:$AA$98,"&lt;="&amp;$H43,工数管理!$AB$3:$AB$98,"")+COUNTIFS(工数管理!$AK$3:$AK$98,K$1,工数管理!$AC$3:$AC$98,"&lt;="&amp;$H43,工数管理!$AD$3:$AD$98,"")+COUNTIFS(工数管理!$AK$3:$AK$98,K$1,工数管理!$AE$3:$AE$98,"&lt;="&amp;$H43,工数管理!$AF$3:$AF$98,"")+COUNTIFS(工数管理!$AK$3:$AK$98,K$1,工数管理!$AG$3:$AG$98,"&lt;="&amp;$H43,工数管理!$AH$3:$AH$98,""))*($H43&lt;=工数管理!$AI$1))</f>
        <v>1</v>
      </c>
      <c r="L43" s="42">
        <f ca="1">IF(L$1="",0,COUNTIFS(工数管理!$AK$3:$AK$98,L$1,工数管理!$K$3:$K$98,"&lt;="&amp;$H43,工数管理!$L$3:$L$98,"&gt;="&amp;$H43)+COUNTIFS(工数管理!$AK$3:$AK$98,L$1,工数管理!$M$3:$M$98,"&lt;="&amp;$H43,工数管理!$N$3:$N$98,"&gt;="&amp;$H43)+COUNTIFS(工数管理!$AK$3:$AK$98,L$1,工数管理!$O$3:$O$98,"&lt;="&amp;$H43,工数管理!$P$3:$P$98,"&gt;="&amp;$H43)+COUNTIFS(工数管理!$AK$3:$AK$98,L$1,工数管理!$Q$3:$Q$98,"&lt;="&amp;$H43,工数管理!$R$3:$R$98,"&gt;="&amp;$H43)+COUNTIFS(工数管理!$AK$3:$AK$98,L$1,工数管理!$S$3:$S$98,"&lt;="&amp;$H43,工数管理!$T$3:$T$98,"&gt;="&amp;$H43)+COUNTIFS(工数管理!$AK$3:$AK$98,L$1,工数管理!$U$3:$U$98,"&lt;="&amp;$H43,工数管理!$V$3:$V$98,"&gt;="&amp;$H43)+COUNTIFS(工数管理!$AK$3:$AK$98,L$1,工数管理!$W$3:$W$98,"&lt;="&amp;$H43,工数管理!$X$3:$X$98,"&gt;="&amp;$H43)+COUNTIFS(工数管理!$AK$3:$AK$98,L$1,工数管理!$Y$3:$Y$98,"&lt;="&amp;$H43,工数管理!$Z$3:$Z$98,"&gt;="&amp;$H43)+COUNTIFS(工数管理!$AK$3:$AK$98,L$1,工数管理!$AA$3:$AA$98,"&lt;="&amp;$H43,工数管理!$AB$3:$AB$98,"&gt;="&amp;$H43)+COUNTIFS(工数管理!$AK$3:$AK$98,L$1,工数管理!$AC$3:$AC$98,"&lt;="&amp;$H43,工数管理!$AD$3:$AD$98,"&gt;="&amp;$H43)+COUNTIFS(工数管理!$AK$3:$AK$98,L$1,工数管理!$AE$3:$AE$98,"&lt;="&amp;$H43,工数管理!$AF$3:$AF$98,"&gt;="&amp;$H43)+COUNTIFS(工数管理!$AK$3:$AK$98,L$1,工数管理!$AG$3:$AG$98,"&lt;="&amp;$H43,工数管理!$AH$3:$AH$98,"&gt;="&amp;$H43)+(COUNTIFS(工数管理!$AK$3:$AK$98,L$1,工数管理!$K$3:$K$98,"&lt;="&amp;$H43,工数管理!$L$3:$L$98,"")+COUNTIFS(工数管理!$AK$3:$AK$98,L$1,工数管理!$M$3:$M$98,"&lt;="&amp;$H43,工数管理!$N$3:$N$98,"")+COUNTIFS(工数管理!$AK$3:$AK$98,L$1,工数管理!$O$3:$O$98,"&lt;="&amp;$H43,工数管理!$P$3:$P$98,"")+COUNTIFS(工数管理!$AK$3:$AK$98,L$1,工数管理!$Q$3:$Q$98,"&lt;="&amp;$H43,工数管理!$R$3:$R$98,"")+COUNTIFS(工数管理!$AK$3:$AK$98,L$1,工数管理!$S$3:$S$98,"&lt;="&amp;$H43,工数管理!$T$3:$T$98,"")+COUNTIFS(工数管理!$AK$3:$AK$98,L$1,工数管理!$U$3:$U$98,"&lt;="&amp;$H43,工数管理!$V$3:$V$98,"")+COUNTIFS(工数管理!$AK$3:$AK$98,L$1,工数管理!$W$3:$W$98,"&lt;="&amp;$H43,工数管理!$X$3:$X$98,"")+COUNTIFS(工数管理!$AK$3:$AK$98,L$1,工数管理!$Y$3:$Y$98,"&lt;="&amp;$H43,工数管理!$Z$3:$Z$98,"")+COUNTIFS(工数管理!$AK$3:$AK$98,L$1,工数管理!$AA$3:$AA$98,"&lt;="&amp;$H43,工数管理!$AB$3:$AB$98,"")+COUNTIFS(工数管理!$AK$3:$AK$98,L$1,工数管理!$AC$3:$AC$98,"&lt;="&amp;$H43,工数管理!$AD$3:$AD$98,"")+COUNTIFS(工数管理!$AK$3:$AK$98,L$1,工数管理!$AE$3:$AE$98,"&lt;="&amp;$H43,工数管理!$AF$3:$AF$98,"")+COUNTIFS(工数管理!$AK$3:$AK$98,L$1,工数管理!$AG$3:$AG$98,"&lt;="&amp;$H43,工数管理!$AH$3:$AH$98,""))*($H43&lt;=工数管理!$AI$1))</f>
        <v>1</v>
      </c>
    </row>
    <row r="44" spans="1:12" x14ac:dyDescent="0.15">
      <c r="A44" s="5">
        <v>46650</v>
      </c>
      <c r="B44" s="6" t="s">
        <v>81</v>
      </c>
      <c r="H44" s="41">
        <f t="shared" si="1"/>
        <v>46212</v>
      </c>
      <c r="I44" s="42">
        <f t="shared" si="0"/>
        <v>1</v>
      </c>
      <c r="J44" s="42">
        <f ca="1">IF(J$1="",0,COUNTIFS(工数管理!$AK$3:$AK$98,J$1,工数管理!$K$3:$K$98,"&lt;="&amp;$H44,工数管理!$L$3:$L$98,"&gt;="&amp;$H44)+COUNTIFS(工数管理!$AK$3:$AK$98,J$1,工数管理!$M$3:$M$98,"&lt;="&amp;$H44,工数管理!$N$3:$N$98,"&gt;="&amp;$H44)+COUNTIFS(工数管理!$AK$3:$AK$98,J$1,工数管理!$O$3:$O$98,"&lt;="&amp;$H44,工数管理!$P$3:$P$98,"&gt;="&amp;$H44)+COUNTIFS(工数管理!$AK$3:$AK$98,J$1,工数管理!$Q$3:$Q$98,"&lt;="&amp;$H44,工数管理!$R$3:$R$98,"&gt;="&amp;$H44)+COUNTIFS(工数管理!$AK$3:$AK$98,J$1,工数管理!$S$3:$S$98,"&lt;="&amp;$H44,工数管理!$T$3:$T$98,"&gt;="&amp;$H44)+COUNTIFS(工数管理!$AK$3:$AK$98,J$1,工数管理!$U$3:$U$98,"&lt;="&amp;$H44,工数管理!$V$3:$V$98,"&gt;="&amp;$H44)+COUNTIFS(工数管理!$AK$3:$AK$98,J$1,工数管理!$W$3:$W$98,"&lt;="&amp;$H44,工数管理!$X$3:$X$98,"&gt;="&amp;$H44)+COUNTIFS(工数管理!$AK$3:$AK$98,J$1,工数管理!$Y$3:$Y$98,"&lt;="&amp;$H44,工数管理!$Z$3:$Z$98,"&gt;="&amp;$H44)+COUNTIFS(工数管理!$AK$3:$AK$98,J$1,工数管理!$AA$3:$AA$98,"&lt;="&amp;$H44,工数管理!$AB$3:$AB$98,"&gt;="&amp;$H44)+COUNTIFS(工数管理!$AK$3:$AK$98,J$1,工数管理!$AC$3:$AC$98,"&lt;="&amp;$H44,工数管理!$AD$3:$AD$98,"&gt;="&amp;$H44)+COUNTIFS(工数管理!$AK$3:$AK$98,J$1,工数管理!$AE$3:$AE$98,"&lt;="&amp;$H44,工数管理!$AF$3:$AF$98,"&gt;="&amp;$H44)+COUNTIFS(工数管理!$AK$3:$AK$98,J$1,工数管理!$AG$3:$AG$98,"&lt;="&amp;$H44,工数管理!$AH$3:$AH$98,"&gt;="&amp;$H44)+(COUNTIFS(工数管理!$AK$3:$AK$98,J$1,工数管理!$K$3:$K$98,"&lt;="&amp;$H44,工数管理!$L$3:$L$98,"")+COUNTIFS(工数管理!$AK$3:$AK$98,J$1,工数管理!$M$3:$M$98,"&lt;="&amp;$H44,工数管理!$N$3:$N$98,"")+COUNTIFS(工数管理!$AK$3:$AK$98,J$1,工数管理!$O$3:$O$98,"&lt;="&amp;$H44,工数管理!$P$3:$P$98,"")+COUNTIFS(工数管理!$AK$3:$AK$98,J$1,工数管理!$Q$3:$Q$98,"&lt;="&amp;$H44,工数管理!$R$3:$R$98,"")+COUNTIFS(工数管理!$AK$3:$AK$98,J$1,工数管理!$S$3:$S$98,"&lt;="&amp;$H44,工数管理!$T$3:$T$98,"")+COUNTIFS(工数管理!$AK$3:$AK$98,J$1,工数管理!$U$3:$U$98,"&lt;="&amp;$H44,工数管理!$V$3:$V$98,"")+COUNTIFS(工数管理!$AK$3:$AK$98,J$1,工数管理!$W$3:$W$98,"&lt;="&amp;$H44,工数管理!$X$3:$X$98,"")+COUNTIFS(工数管理!$AK$3:$AK$98,J$1,工数管理!$Y$3:$Y$98,"&lt;="&amp;$H44,工数管理!$Z$3:$Z$98,"")+COUNTIFS(工数管理!$AK$3:$AK$98,J$1,工数管理!$AA$3:$AA$98,"&lt;="&amp;$H44,工数管理!$AB$3:$AB$98,"")+COUNTIFS(工数管理!$AK$3:$AK$98,J$1,工数管理!$AC$3:$AC$98,"&lt;="&amp;$H44,工数管理!$AD$3:$AD$98,"")+COUNTIFS(工数管理!$AK$3:$AK$98,J$1,工数管理!$AE$3:$AE$98,"&lt;="&amp;$H44,工数管理!$AF$3:$AF$98,"")+COUNTIFS(工数管理!$AK$3:$AK$98,J$1,工数管理!$AG$3:$AG$98,"&lt;="&amp;$H44,工数管理!$AH$3:$AH$98,""))*($H44&lt;=工数管理!$AI$1))</f>
        <v>1</v>
      </c>
      <c r="K44" s="42">
        <f ca="1">IF(K$1="",0,COUNTIFS(工数管理!$AK$3:$AK$98,K$1,工数管理!$K$3:$K$98,"&lt;="&amp;$H44,工数管理!$L$3:$L$98,"&gt;="&amp;$H44)+COUNTIFS(工数管理!$AK$3:$AK$98,K$1,工数管理!$M$3:$M$98,"&lt;="&amp;$H44,工数管理!$N$3:$N$98,"&gt;="&amp;$H44)+COUNTIFS(工数管理!$AK$3:$AK$98,K$1,工数管理!$O$3:$O$98,"&lt;="&amp;$H44,工数管理!$P$3:$P$98,"&gt;="&amp;$H44)+COUNTIFS(工数管理!$AK$3:$AK$98,K$1,工数管理!$Q$3:$Q$98,"&lt;="&amp;$H44,工数管理!$R$3:$R$98,"&gt;="&amp;$H44)+COUNTIFS(工数管理!$AK$3:$AK$98,K$1,工数管理!$S$3:$S$98,"&lt;="&amp;$H44,工数管理!$T$3:$T$98,"&gt;="&amp;$H44)+COUNTIFS(工数管理!$AK$3:$AK$98,K$1,工数管理!$U$3:$U$98,"&lt;="&amp;$H44,工数管理!$V$3:$V$98,"&gt;="&amp;$H44)+COUNTIFS(工数管理!$AK$3:$AK$98,K$1,工数管理!$W$3:$W$98,"&lt;="&amp;$H44,工数管理!$X$3:$X$98,"&gt;="&amp;$H44)+COUNTIFS(工数管理!$AK$3:$AK$98,K$1,工数管理!$Y$3:$Y$98,"&lt;="&amp;$H44,工数管理!$Z$3:$Z$98,"&gt;="&amp;$H44)+COUNTIFS(工数管理!$AK$3:$AK$98,K$1,工数管理!$AA$3:$AA$98,"&lt;="&amp;$H44,工数管理!$AB$3:$AB$98,"&gt;="&amp;$H44)+COUNTIFS(工数管理!$AK$3:$AK$98,K$1,工数管理!$AC$3:$AC$98,"&lt;="&amp;$H44,工数管理!$AD$3:$AD$98,"&gt;="&amp;$H44)+COUNTIFS(工数管理!$AK$3:$AK$98,K$1,工数管理!$AE$3:$AE$98,"&lt;="&amp;$H44,工数管理!$AF$3:$AF$98,"&gt;="&amp;$H44)+COUNTIFS(工数管理!$AK$3:$AK$98,K$1,工数管理!$AG$3:$AG$98,"&lt;="&amp;$H44,工数管理!$AH$3:$AH$98,"&gt;="&amp;$H44)+(COUNTIFS(工数管理!$AK$3:$AK$98,K$1,工数管理!$K$3:$K$98,"&lt;="&amp;$H44,工数管理!$L$3:$L$98,"")+COUNTIFS(工数管理!$AK$3:$AK$98,K$1,工数管理!$M$3:$M$98,"&lt;="&amp;$H44,工数管理!$N$3:$N$98,"")+COUNTIFS(工数管理!$AK$3:$AK$98,K$1,工数管理!$O$3:$O$98,"&lt;="&amp;$H44,工数管理!$P$3:$P$98,"")+COUNTIFS(工数管理!$AK$3:$AK$98,K$1,工数管理!$Q$3:$Q$98,"&lt;="&amp;$H44,工数管理!$R$3:$R$98,"")+COUNTIFS(工数管理!$AK$3:$AK$98,K$1,工数管理!$S$3:$S$98,"&lt;="&amp;$H44,工数管理!$T$3:$T$98,"")+COUNTIFS(工数管理!$AK$3:$AK$98,K$1,工数管理!$U$3:$U$98,"&lt;="&amp;$H44,工数管理!$V$3:$V$98,"")+COUNTIFS(工数管理!$AK$3:$AK$98,K$1,工数管理!$W$3:$W$98,"&lt;="&amp;$H44,工数管理!$X$3:$X$98,"")+COUNTIFS(工数管理!$AK$3:$AK$98,K$1,工数管理!$Y$3:$Y$98,"&lt;="&amp;$H44,工数管理!$Z$3:$Z$98,"")+COUNTIFS(工数管理!$AK$3:$AK$98,K$1,工数管理!$AA$3:$AA$98,"&lt;="&amp;$H44,工数管理!$AB$3:$AB$98,"")+COUNTIFS(工数管理!$AK$3:$AK$98,K$1,工数管理!$AC$3:$AC$98,"&lt;="&amp;$H44,工数管理!$AD$3:$AD$98,"")+COUNTIFS(工数管理!$AK$3:$AK$98,K$1,工数管理!$AE$3:$AE$98,"&lt;="&amp;$H44,工数管理!$AF$3:$AF$98,"")+COUNTIFS(工数管理!$AK$3:$AK$98,K$1,工数管理!$AG$3:$AG$98,"&lt;="&amp;$H44,工数管理!$AH$3:$AH$98,""))*($H44&lt;=工数管理!$AI$1))</f>
        <v>1</v>
      </c>
      <c r="L44" s="42">
        <f ca="1">IF(L$1="",0,COUNTIFS(工数管理!$AK$3:$AK$98,L$1,工数管理!$K$3:$K$98,"&lt;="&amp;$H44,工数管理!$L$3:$L$98,"&gt;="&amp;$H44)+COUNTIFS(工数管理!$AK$3:$AK$98,L$1,工数管理!$M$3:$M$98,"&lt;="&amp;$H44,工数管理!$N$3:$N$98,"&gt;="&amp;$H44)+COUNTIFS(工数管理!$AK$3:$AK$98,L$1,工数管理!$O$3:$O$98,"&lt;="&amp;$H44,工数管理!$P$3:$P$98,"&gt;="&amp;$H44)+COUNTIFS(工数管理!$AK$3:$AK$98,L$1,工数管理!$Q$3:$Q$98,"&lt;="&amp;$H44,工数管理!$R$3:$R$98,"&gt;="&amp;$H44)+COUNTIFS(工数管理!$AK$3:$AK$98,L$1,工数管理!$S$3:$S$98,"&lt;="&amp;$H44,工数管理!$T$3:$T$98,"&gt;="&amp;$H44)+COUNTIFS(工数管理!$AK$3:$AK$98,L$1,工数管理!$U$3:$U$98,"&lt;="&amp;$H44,工数管理!$V$3:$V$98,"&gt;="&amp;$H44)+COUNTIFS(工数管理!$AK$3:$AK$98,L$1,工数管理!$W$3:$W$98,"&lt;="&amp;$H44,工数管理!$X$3:$X$98,"&gt;="&amp;$H44)+COUNTIFS(工数管理!$AK$3:$AK$98,L$1,工数管理!$Y$3:$Y$98,"&lt;="&amp;$H44,工数管理!$Z$3:$Z$98,"&gt;="&amp;$H44)+COUNTIFS(工数管理!$AK$3:$AK$98,L$1,工数管理!$AA$3:$AA$98,"&lt;="&amp;$H44,工数管理!$AB$3:$AB$98,"&gt;="&amp;$H44)+COUNTIFS(工数管理!$AK$3:$AK$98,L$1,工数管理!$AC$3:$AC$98,"&lt;="&amp;$H44,工数管理!$AD$3:$AD$98,"&gt;="&amp;$H44)+COUNTIFS(工数管理!$AK$3:$AK$98,L$1,工数管理!$AE$3:$AE$98,"&lt;="&amp;$H44,工数管理!$AF$3:$AF$98,"&gt;="&amp;$H44)+COUNTIFS(工数管理!$AK$3:$AK$98,L$1,工数管理!$AG$3:$AG$98,"&lt;="&amp;$H44,工数管理!$AH$3:$AH$98,"&gt;="&amp;$H44)+(COUNTIFS(工数管理!$AK$3:$AK$98,L$1,工数管理!$K$3:$K$98,"&lt;="&amp;$H44,工数管理!$L$3:$L$98,"")+COUNTIFS(工数管理!$AK$3:$AK$98,L$1,工数管理!$M$3:$M$98,"&lt;="&amp;$H44,工数管理!$N$3:$N$98,"")+COUNTIFS(工数管理!$AK$3:$AK$98,L$1,工数管理!$O$3:$O$98,"&lt;="&amp;$H44,工数管理!$P$3:$P$98,"")+COUNTIFS(工数管理!$AK$3:$AK$98,L$1,工数管理!$Q$3:$Q$98,"&lt;="&amp;$H44,工数管理!$R$3:$R$98,"")+COUNTIFS(工数管理!$AK$3:$AK$98,L$1,工数管理!$S$3:$S$98,"&lt;="&amp;$H44,工数管理!$T$3:$T$98,"")+COUNTIFS(工数管理!$AK$3:$AK$98,L$1,工数管理!$U$3:$U$98,"&lt;="&amp;$H44,工数管理!$V$3:$V$98,"")+COUNTIFS(工数管理!$AK$3:$AK$98,L$1,工数管理!$W$3:$W$98,"&lt;="&amp;$H44,工数管理!$X$3:$X$98,"")+COUNTIFS(工数管理!$AK$3:$AK$98,L$1,工数管理!$Y$3:$Y$98,"&lt;="&amp;$H44,工数管理!$Z$3:$Z$98,"")+COUNTIFS(工数管理!$AK$3:$AK$98,L$1,工数管理!$AA$3:$AA$98,"&lt;="&amp;$H44,工数管理!$AB$3:$AB$98,"")+COUNTIFS(工数管理!$AK$3:$AK$98,L$1,工数管理!$AC$3:$AC$98,"&lt;="&amp;$H44,工数管理!$AD$3:$AD$98,"")+COUNTIFS(工数管理!$AK$3:$AK$98,L$1,工数管理!$AE$3:$AE$98,"&lt;="&amp;$H44,工数管理!$AF$3:$AF$98,"")+COUNTIFS(工数管理!$AK$3:$AK$98,L$1,工数管理!$AG$3:$AG$98,"&lt;="&amp;$H44,工数管理!$AH$3:$AH$98,""))*($H44&lt;=工数管理!$AI$1))</f>
        <v>1</v>
      </c>
    </row>
    <row r="45" spans="1:12" x14ac:dyDescent="0.15">
      <c r="A45" s="5">
        <v>46653</v>
      </c>
      <c r="B45" s="6" t="s">
        <v>83</v>
      </c>
      <c r="H45" s="41">
        <f t="shared" si="1"/>
        <v>46213</v>
      </c>
      <c r="I45" s="42">
        <f t="shared" si="0"/>
        <v>1</v>
      </c>
      <c r="J45" s="42">
        <f ca="1">IF(J$1="",0,COUNTIFS(工数管理!$AK$3:$AK$98,J$1,工数管理!$K$3:$K$98,"&lt;="&amp;$H45,工数管理!$L$3:$L$98,"&gt;="&amp;$H45)+COUNTIFS(工数管理!$AK$3:$AK$98,J$1,工数管理!$M$3:$M$98,"&lt;="&amp;$H45,工数管理!$N$3:$N$98,"&gt;="&amp;$H45)+COUNTIFS(工数管理!$AK$3:$AK$98,J$1,工数管理!$O$3:$O$98,"&lt;="&amp;$H45,工数管理!$P$3:$P$98,"&gt;="&amp;$H45)+COUNTIFS(工数管理!$AK$3:$AK$98,J$1,工数管理!$Q$3:$Q$98,"&lt;="&amp;$H45,工数管理!$R$3:$R$98,"&gt;="&amp;$H45)+COUNTIFS(工数管理!$AK$3:$AK$98,J$1,工数管理!$S$3:$S$98,"&lt;="&amp;$H45,工数管理!$T$3:$T$98,"&gt;="&amp;$H45)+COUNTIFS(工数管理!$AK$3:$AK$98,J$1,工数管理!$U$3:$U$98,"&lt;="&amp;$H45,工数管理!$V$3:$V$98,"&gt;="&amp;$H45)+COUNTIFS(工数管理!$AK$3:$AK$98,J$1,工数管理!$W$3:$W$98,"&lt;="&amp;$H45,工数管理!$X$3:$X$98,"&gt;="&amp;$H45)+COUNTIFS(工数管理!$AK$3:$AK$98,J$1,工数管理!$Y$3:$Y$98,"&lt;="&amp;$H45,工数管理!$Z$3:$Z$98,"&gt;="&amp;$H45)+COUNTIFS(工数管理!$AK$3:$AK$98,J$1,工数管理!$AA$3:$AA$98,"&lt;="&amp;$H45,工数管理!$AB$3:$AB$98,"&gt;="&amp;$H45)+COUNTIFS(工数管理!$AK$3:$AK$98,J$1,工数管理!$AC$3:$AC$98,"&lt;="&amp;$H45,工数管理!$AD$3:$AD$98,"&gt;="&amp;$H45)+COUNTIFS(工数管理!$AK$3:$AK$98,J$1,工数管理!$AE$3:$AE$98,"&lt;="&amp;$H45,工数管理!$AF$3:$AF$98,"&gt;="&amp;$H45)+COUNTIFS(工数管理!$AK$3:$AK$98,J$1,工数管理!$AG$3:$AG$98,"&lt;="&amp;$H45,工数管理!$AH$3:$AH$98,"&gt;="&amp;$H45)+(COUNTIFS(工数管理!$AK$3:$AK$98,J$1,工数管理!$K$3:$K$98,"&lt;="&amp;$H45,工数管理!$L$3:$L$98,"")+COUNTIFS(工数管理!$AK$3:$AK$98,J$1,工数管理!$M$3:$M$98,"&lt;="&amp;$H45,工数管理!$N$3:$N$98,"")+COUNTIFS(工数管理!$AK$3:$AK$98,J$1,工数管理!$O$3:$O$98,"&lt;="&amp;$H45,工数管理!$P$3:$P$98,"")+COUNTIFS(工数管理!$AK$3:$AK$98,J$1,工数管理!$Q$3:$Q$98,"&lt;="&amp;$H45,工数管理!$R$3:$R$98,"")+COUNTIFS(工数管理!$AK$3:$AK$98,J$1,工数管理!$S$3:$S$98,"&lt;="&amp;$H45,工数管理!$T$3:$T$98,"")+COUNTIFS(工数管理!$AK$3:$AK$98,J$1,工数管理!$U$3:$U$98,"&lt;="&amp;$H45,工数管理!$V$3:$V$98,"")+COUNTIFS(工数管理!$AK$3:$AK$98,J$1,工数管理!$W$3:$W$98,"&lt;="&amp;$H45,工数管理!$X$3:$X$98,"")+COUNTIFS(工数管理!$AK$3:$AK$98,J$1,工数管理!$Y$3:$Y$98,"&lt;="&amp;$H45,工数管理!$Z$3:$Z$98,"")+COUNTIFS(工数管理!$AK$3:$AK$98,J$1,工数管理!$AA$3:$AA$98,"&lt;="&amp;$H45,工数管理!$AB$3:$AB$98,"")+COUNTIFS(工数管理!$AK$3:$AK$98,J$1,工数管理!$AC$3:$AC$98,"&lt;="&amp;$H45,工数管理!$AD$3:$AD$98,"")+COUNTIFS(工数管理!$AK$3:$AK$98,J$1,工数管理!$AE$3:$AE$98,"&lt;="&amp;$H45,工数管理!$AF$3:$AF$98,"")+COUNTIFS(工数管理!$AK$3:$AK$98,J$1,工数管理!$AG$3:$AG$98,"&lt;="&amp;$H45,工数管理!$AH$3:$AH$98,""))*($H45&lt;=工数管理!$AI$1))</f>
        <v>1</v>
      </c>
      <c r="K45" s="42">
        <f ca="1">IF(K$1="",0,COUNTIFS(工数管理!$AK$3:$AK$98,K$1,工数管理!$K$3:$K$98,"&lt;="&amp;$H45,工数管理!$L$3:$L$98,"&gt;="&amp;$H45)+COUNTIFS(工数管理!$AK$3:$AK$98,K$1,工数管理!$M$3:$M$98,"&lt;="&amp;$H45,工数管理!$N$3:$N$98,"&gt;="&amp;$H45)+COUNTIFS(工数管理!$AK$3:$AK$98,K$1,工数管理!$O$3:$O$98,"&lt;="&amp;$H45,工数管理!$P$3:$P$98,"&gt;="&amp;$H45)+COUNTIFS(工数管理!$AK$3:$AK$98,K$1,工数管理!$Q$3:$Q$98,"&lt;="&amp;$H45,工数管理!$R$3:$R$98,"&gt;="&amp;$H45)+COUNTIFS(工数管理!$AK$3:$AK$98,K$1,工数管理!$S$3:$S$98,"&lt;="&amp;$H45,工数管理!$T$3:$T$98,"&gt;="&amp;$H45)+COUNTIFS(工数管理!$AK$3:$AK$98,K$1,工数管理!$U$3:$U$98,"&lt;="&amp;$H45,工数管理!$V$3:$V$98,"&gt;="&amp;$H45)+COUNTIFS(工数管理!$AK$3:$AK$98,K$1,工数管理!$W$3:$W$98,"&lt;="&amp;$H45,工数管理!$X$3:$X$98,"&gt;="&amp;$H45)+COUNTIFS(工数管理!$AK$3:$AK$98,K$1,工数管理!$Y$3:$Y$98,"&lt;="&amp;$H45,工数管理!$Z$3:$Z$98,"&gt;="&amp;$H45)+COUNTIFS(工数管理!$AK$3:$AK$98,K$1,工数管理!$AA$3:$AA$98,"&lt;="&amp;$H45,工数管理!$AB$3:$AB$98,"&gt;="&amp;$H45)+COUNTIFS(工数管理!$AK$3:$AK$98,K$1,工数管理!$AC$3:$AC$98,"&lt;="&amp;$H45,工数管理!$AD$3:$AD$98,"&gt;="&amp;$H45)+COUNTIFS(工数管理!$AK$3:$AK$98,K$1,工数管理!$AE$3:$AE$98,"&lt;="&amp;$H45,工数管理!$AF$3:$AF$98,"&gt;="&amp;$H45)+COUNTIFS(工数管理!$AK$3:$AK$98,K$1,工数管理!$AG$3:$AG$98,"&lt;="&amp;$H45,工数管理!$AH$3:$AH$98,"&gt;="&amp;$H45)+(COUNTIFS(工数管理!$AK$3:$AK$98,K$1,工数管理!$K$3:$K$98,"&lt;="&amp;$H45,工数管理!$L$3:$L$98,"")+COUNTIFS(工数管理!$AK$3:$AK$98,K$1,工数管理!$M$3:$M$98,"&lt;="&amp;$H45,工数管理!$N$3:$N$98,"")+COUNTIFS(工数管理!$AK$3:$AK$98,K$1,工数管理!$O$3:$O$98,"&lt;="&amp;$H45,工数管理!$P$3:$P$98,"")+COUNTIFS(工数管理!$AK$3:$AK$98,K$1,工数管理!$Q$3:$Q$98,"&lt;="&amp;$H45,工数管理!$R$3:$R$98,"")+COUNTIFS(工数管理!$AK$3:$AK$98,K$1,工数管理!$S$3:$S$98,"&lt;="&amp;$H45,工数管理!$T$3:$T$98,"")+COUNTIFS(工数管理!$AK$3:$AK$98,K$1,工数管理!$U$3:$U$98,"&lt;="&amp;$H45,工数管理!$V$3:$V$98,"")+COUNTIFS(工数管理!$AK$3:$AK$98,K$1,工数管理!$W$3:$W$98,"&lt;="&amp;$H45,工数管理!$X$3:$X$98,"")+COUNTIFS(工数管理!$AK$3:$AK$98,K$1,工数管理!$Y$3:$Y$98,"&lt;="&amp;$H45,工数管理!$Z$3:$Z$98,"")+COUNTIFS(工数管理!$AK$3:$AK$98,K$1,工数管理!$AA$3:$AA$98,"&lt;="&amp;$H45,工数管理!$AB$3:$AB$98,"")+COUNTIFS(工数管理!$AK$3:$AK$98,K$1,工数管理!$AC$3:$AC$98,"&lt;="&amp;$H45,工数管理!$AD$3:$AD$98,"")+COUNTIFS(工数管理!$AK$3:$AK$98,K$1,工数管理!$AE$3:$AE$98,"&lt;="&amp;$H45,工数管理!$AF$3:$AF$98,"")+COUNTIFS(工数管理!$AK$3:$AK$98,K$1,工数管理!$AG$3:$AG$98,"&lt;="&amp;$H45,工数管理!$AH$3:$AH$98,""))*($H45&lt;=工数管理!$AI$1))</f>
        <v>1</v>
      </c>
      <c r="L45" s="42">
        <f ca="1">IF(L$1="",0,COUNTIFS(工数管理!$AK$3:$AK$98,L$1,工数管理!$K$3:$K$98,"&lt;="&amp;$H45,工数管理!$L$3:$L$98,"&gt;="&amp;$H45)+COUNTIFS(工数管理!$AK$3:$AK$98,L$1,工数管理!$M$3:$M$98,"&lt;="&amp;$H45,工数管理!$N$3:$N$98,"&gt;="&amp;$H45)+COUNTIFS(工数管理!$AK$3:$AK$98,L$1,工数管理!$O$3:$O$98,"&lt;="&amp;$H45,工数管理!$P$3:$P$98,"&gt;="&amp;$H45)+COUNTIFS(工数管理!$AK$3:$AK$98,L$1,工数管理!$Q$3:$Q$98,"&lt;="&amp;$H45,工数管理!$R$3:$R$98,"&gt;="&amp;$H45)+COUNTIFS(工数管理!$AK$3:$AK$98,L$1,工数管理!$S$3:$S$98,"&lt;="&amp;$H45,工数管理!$T$3:$T$98,"&gt;="&amp;$H45)+COUNTIFS(工数管理!$AK$3:$AK$98,L$1,工数管理!$U$3:$U$98,"&lt;="&amp;$H45,工数管理!$V$3:$V$98,"&gt;="&amp;$H45)+COUNTIFS(工数管理!$AK$3:$AK$98,L$1,工数管理!$W$3:$W$98,"&lt;="&amp;$H45,工数管理!$X$3:$X$98,"&gt;="&amp;$H45)+COUNTIFS(工数管理!$AK$3:$AK$98,L$1,工数管理!$Y$3:$Y$98,"&lt;="&amp;$H45,工数管理!$Z$3:$Z$98,"&gt;="&amp;$H45)+COUNTIFS(工数管理!$AK$3:$AK$98,L$1,工数管理!$AA$3:$AA$98,"&lt;="&amp;$H45,工数管理!$AB$3:$AB$98,"&gt;="&amp;$H45)+COUNTIFS(工数管理!$AK$3:$AK$98,L$1,工数管理!$AC$3:$AC$98,"&lt;="&amp;$H45,工数管理!$AD$3:$AD$98,"&gt;="&amp;$H45)+COUNTIFS(工数管理!$AK$3:$AK$98,L$1,工数管理!$AE$3:$AE$98,"&lt;="&amp;$H45,工数管理!$AF$3:$AF$98,"&gt;="&amp;$H45)+COUNTIFS(工数管理!$AK$3:$AK$98,L$1,工数管理!$AG$3:$AG$98,"&lt;="&amp;$H45,工数管理!$AH$3:$AH$98,"&gt;="&amp;$H45)+(COUNTIFS(工数管理!$AK$3:$AK$98,L$1,工数管理!$K$3:$K$98,"&lt;="&amp;$H45,工数管理!$L$3:$L$98,"")+COUNTIFS(工数管理!$AK$3:$AK$98,L$1,工数管理!$M$3:$M$98,"&lt;="&amp;$H45,工数管理!$N$3:$N$98,"")+COUNTIFS(工数管理!$AK$3:$AK$98,L$1,工数管理!$O$3:$O$98,"&lt;="&amp;$H45,工数管理!$P$3:$P$98,"")+COUNTIFS(工数管理!$AK$3:$AK$98,L$1,工数管理!$Q$3:$Q$98,"&lt;="&amp;$H45,工数管理!$R$3:$R$98,"")+COUNTIFS(工数管理!$AK$3:$AK$98,L$1,工数管理!$S$3:$S$98,"&lt;="&amp;$H45,工数管理!$T$3:$T$98,"")+COUNTIFS(工数管理!$AK$3:$AK$98,L$1,工数管理!$U$3:$U$98,"&lt;="&amp;$H45,工数管理!$V$3:$V$98,"")+COUNTIFS(工数管理!$AK$3:$AK$98,L$1,工数管理!$W$3:$W$98,"&lt;="&amp;$H45,工数管理!$X$3:$X$98,"")+COUNTIFS(工数管理!$AK$3:$AK$98,L$1,工数管理!$Y$3:$Y$98,"&lt;="&amp;$H45,工数管理!$Z$3:$Z$98,"")+COUNTIFS(工数管理!$AK$3:$AK$98,L$1,工数管理!$AA$3:$AA$98,"&lt;="&amp;$H45,工数管理!$AB$3:$AB$98,"")+COUNTIFS(工数管理!$AK$3:$AK$98,L$1,工数管理!$AC$3:$AC$98,"&lt;="&amp;$H45,工数管理!$AD$3:$AD$98,"")+COUNTIFS(工数管理!$AK$3:$AK$98,L$1,工数管理!$AE$3:$AE$98,"&lt;="&amp;$H45,工数管理!$AF$3:$AF$98,"")+COUNTIFS(工数管理!$AK$3:$AK$98,L$1,工数管理!$AG$3:$AG$98,"&lt;="&amp;$H45,工数管理!$AH$3:$AH$98,""))*($H45&lt;=工数管理!$AI$1))</f>
        <v>1</v>
      </c>
    </row>
    <row r="46" spans="1:12" x14ac:dyDescent="0.15">
      <c r="A46" s="5">
        <v>46671</v>
      </c>
      <c r="B46" s="6" t="s">
        <v>84</v>
      </c>
      <c r="H46" s="41">
        <f t="shared" si="1"/>
        <v>46214</v>
      </c>
      <c r="I46" s="42">
        <f t="shared" si="0"/>
        <v>0</v>
      </c>
      <c r="J46" s="42">
        <f ca="1">IF(J$1="",0,COUNTIFS(工数管理!$AK$3:$AK$98,J$1,工数管理!$K$3:$K$98,"&lt;="&amp;$H46,工数管理!$L$3:$L$98,"&gt;="&amp;$H46)+COUNTIFS(工数管理!$AK$3:$AK$98,J$1,工数管理!$M$3:$M$98,"&lt;="&amp;$H46,工数管理!$N$3:$N$98,"&gt;="&amp;$H46)+COUNTIFS(工数管理!$AK$3:$AK$98,J$1,工数管理!$O$3:$O$98,"&lt;="&amp;$H46,工数管理!$P$3:$P$98,"&gt;="&amp;$H46)+COUNTIFS(工数管理!$AK$3:$AK$98,J$1,工数管理!$Q$3:$Q$98,"&lt;="&amp;$H46,工数管理!$R$3:$R$98,"&gt;="&amp;$H46)+COUNTIFS(工数管理!$AK$3:$AK$98,J$1,工数管理!$S$3:$S$98,"&lt;="&amp;$H46,工数管理!$T$3:$T$98,"&gt;="&amp;$H46)+COUNTIFS(工数管理!$AK$3:$AK$98,J$1,工数管理!$U$3:$U$98,"&lt;="&amp;$H46,工数管理!$V$3:$V$98,"&gt;="&amp;$H46)+COUNTIFS(工数管理!$AK$3:$AK$98,J$1,工数管理!$W$3:$W$98,"&lt;="&amp;$H46,工数管理!$X$3:$X$98,"&gt;="&amp;$H46)+COUNTIFS(工数管理!$AK$3:$AK$98,J$1,工数管理!$Y$3:$Y$98,"&lt;="&amp;$H46,工数管理!$Z$3:$Z$98,"&gt;="&amp;$H46)+COUNTIFS(工数管理!$AK$3:$AK$98,J$1,工数管理!$AA$3:$AA$98,"&lt;="&amp;$H46,工数管理!$AB$3:$AB$98,"&gt;="&amp;$H46)+COUNTIFS(工数管理!$AK$3:$AK$98,J$1,工数管理!$AC$3:$AC$98,"&lt;="&amp;$H46,工数管理!$AD$3:$AD$98,"&gt;="&amp;$H46)+COUNTIFS(工数管理!$AK$3:$AK$98,J$1,工数管理!$AE$3:$AE$98,"&lt;="&amp;$H46,工数管理!$AF$3:$AF$98,"&gt;="&amp;$H46)+COUNTIFS(工数管理!$AK$3:$AK$98,J$1,工数管理!$AG$3:$AG$98,"&lt;="&amp;$H46,工数管理!$AH$3:$AH$98,"&gt;="&amp;$H46)+(COUNTIFS(工数管理!$AK$3:$AK$98,J$1,工数管理!$K$3:$K$98,"&lt;="&amp;$H46,工数管理!$L$3:$L$98,"")+COUNTIFS(工数管理!$AK$3:$AK$98,J$1,工数管理!$M$3:$M$98,"&lt;="&amp;$H46,工数管理!$N$3:$N$98,"")+COUNTIFS(工数管理!$AK$3:$AK$98,J$1,工数管理!$O$3:$O$98,"&lt;="&amp;$H46,工数管理!$P$3:$P$98,"")+COUNTIFS(工数管理!$AK$3:$AK$98,J$1,工数管理!$Q$3:$Q$98,"&lt;="&amp;$H46,工数管理!$R$3:$R$98,"")+COUNTIFS(工数管理!$AK$3:$AK$98,J$1,工数管理!$S$3:$S$98,"&lt;="&amp;$H46,工数管理!$T$3:$T$98,"")+COUNTIFS(工数管理!$AK$3:$AK$98,J$1,工数管理!$U$3:$U$98,"&lt;="&amp;$H46,工数管理!$V$3:$V$98,"")+COUNTIFS(工数管理!$AK$3:$AK$98,J$1,工数管理!$W$3:$W$98,"&lt;="&amp;$H46,工数管理!$X$3:$X$98,"")+COUNTIFS(工数管理!$AK$3:$AK$98,J$1,工数管理!$Y$3:$Y$98,"&lt;="&amp;$H46,工数管理!$Z$3:$Z$98,"")+COUNTIFS(工数管理!$AK$3:$AK$98,J$1,工数管理!$AA$3:$AA$98,"&lt;="&amp;$H46,工数管理!$AB$3:$AB$98,"")+COUNTIFS(工数管理!$AK$3:$AK$98,J$1,工数管理!$AC$3:$AC$98,"&lt;="&amp;$H46,工数管理!$AD$3:$AD$98,"")+COUNTIFS(工数管理!$AK$3:$AK$98,J$1,工数管理!$AE$3:$AE$98,"&lt;="&amp;$H46,工数管理!$AF$3:$AF$98,"")+COUNTIFS(工数管理!$AK$3:$AK$98,J$1,工数管理!$AG$3:$AG$98,"&lt;="&amp;$H46,工数管理!$AH$3:$AH$98,""))*($H46&lt;=工数管理!$AI$1))</f>
        <v>1</v>
      </c>
      <c r="K46" s="42">
        <f ca="1">IF(K$1="",0,COUNTIFS(工数管理!$AK$3:$AK$98,K$1,工数管理!$K$3:$K$98,"&lt;="&amp;$H46,工数管理!$L$3:$L$98,"&gt;="&amp;$H46)+COUNTIFS(工数管理!$AK$3:$AK$98,K$1,工数管理!$M$3:$M$98,"&lt;="&amp;$H46,工数管理!$N$3:$N$98,"&gt;="&amp;$H46)+COUNTIFS(工数管理!$AK$3:$AK$98,K$1,工数管理!$O$3:$O$98,"&lt;="&amp;$H46,工数管理!$P$3:$P$98,"&gt;="&amp;$H46)+COUNTIFS(工数管理!$AK$3:$AK$98,K$1,工数管理!$Q$3:$Q$98,"&lt;="&amp;$H46,工数管理!$R$3:$R$98,"&gt;="&amp;$H46)+COUNTIFS(工数管理!$AK$3:$AK$98,K$1,工数管理!$S$3:$S$98,"&lt;="&amp;$H46,工数管理!$T$3:$T$98,"&gt;="&amp;$H46)+COUNTIFS(工数管理!$AK$3:$AK$98,K$1,工数管理!$U$3:$U$98,"&lt;="&amp;$H46,工数管理!$V$3:$V$98,"&gt;="&amp;$H46)+COUNTIFS(工数管理!$AK$3:$AK$98,K$1,工数管理!$W$3:$W$98,"&lt;="&amp;$H46,工数管理!$X$3:$X$98,"&gt;="&amp;$H46)+COUNTIFS(工数管理!$AK$3:$AK$98,K$1,工数管理!$Y$3:$Y$98,"&lt;="&amp;$H46,工数管理!$Z$3:$Z$98,"&gt;="&amp;$H46)+COUNTIFS(工数管理!$AK$3:$AK$98,K$1,工数管理!$AA$3:$AA$98,"&lt;="&amp;$H46,工数管理!$AB$3:$AB$98,"&gt;="&amp;$H46)+COUNTIFS(工数管理!$AK$3:$AK$98,K$1,工数管理!$AC$3:$AC$98,"&lt;="&amp;$H46,工数管理!$AD$3:$AD$98,"&gt;="&amp;$H46)+COUNTIFS(工数管理!$AK$3:$AK$98,K$1,工数管理!$AE$3:$AE$98,"&lt;="&amp;$H46,工数管理!$AF$3:$AF$98,"&gt;="&amp;$H46)+COUNTIFS(工数管理!$AK$3:$AK$98,K$1,工数管理!$AG$3:$AG$98,"&lt;="&amp;$H46,工数管理!$AH$3:$AH$98,"&gt;="&amp;$H46)+(COUNTIFS(工数管理!$AK$3:$AK$98,K$1,工数管理!$K$3:$K$98,"&lt;="&amp;$H46,工数管理!$L$3:$L$98,"")+COUNTIFS(工数管理!$AK$3:$AK$98,K$1,工数管理!$M$3:$M$98,"&lt;="&amp;$H46,工数管理!$N$3:$N$98,"")+COUNTIFS(工数管理!$AK$3:$AK$98,K$1,工数管理!$O$3:$O$98,"&lt;="&amp;$H46,工数管理!$P$3:$P$98,"")+COUNTIFS(工数管理!$AK$3:$AK$98,K$1,工数管理!$Q$3:$Q$98,"&lt;="&amp;$H46,工数管理!$R$3:$R$98,"")+COUNTIFS(工数管理!$AK$3:$AK$98,K$1,工数管理!$S$3:$S$98,"&lt;="&amp;$H46,工数管理!$T$3:$T$98,"")+COUNTIFS(工数管理!$AK$3:$AK$98,K$1,工数管理!$U$3:$U$98,"&lt;="&amp;$H46,工数管理!$V$3:$V$98,"")+COUNTIFS(工数管理!$AK$3:$AK$98,K$1,工数管理!$W$3:$W$98,"&lt;="&amp;$H46,工数管理!$X$3:$X$98,"")+COUNTIFS(工数管理!$AK$3:$AK$98,K$1,工数管理!$Y$3:$Y$98,"&lt;="&amp;$H46,工数管理!$Z$3:$Z$98,"")+COUNTIFS(工数管理!$AK$3:$AK$98,K$1,工数管理!$AA$3:$AA$98,"&lt;="&amp;$H46,工数管理!$AB$3:$AB$98,"")+COUNTIFS(工数管理!$AK$3:$AK$98,K$1,工数管理!$AC$3:$AC$98,"&lt;="&amp;$H46,工数管理!$AD$3:$AD$98,"")+COUNTIFS(工数管理!$AK$3:$AK$98,K$1,工数管理!$AE$3:$AE$98,"&lt;="&amp;$H46,工数管理!$AF$3:$AF$98,"")+COUNTIFS(工数管理!$AK$3:$AK$98,K$1,工数管理!$AG$3:$AG$98,"&lt;="&amp;$H46,工数管理!$AH$3:$AH$98,""))*($H46&lt;=工数管理!$AI$1))</f>
        <v>1</v>
      </c>
      <c r="L46" s="42">
        <f ca="1">IF(L$1="",0,COUNTIFS(工数管理!$AK$3:$AK$98,L$1,工数管理!$K$3:$K$98,"&lt;="&amp;$H46,工数管理!$L$3:$L$98,"&gt;="&amp;$H46)+COUNTIFS(工数管理!$AK$3:$AK$98,L$1,工数管理!$M$3:$M$98,"&lt;="&amp;$H46,工数管理!$N$3:$N$98,"&gt;="&amp;$H46)+COUNTIFS(工数管理!$AK$3:$AK$98,L$1,工数管理!$O$3:$O$98,"&lt;="&amp;$H46,工数管理!$P$3:$P$98,"&gt;="&amp;$H46)+COUNTIFS(工数管理!$AK$3:$AK$98,L$1,工数管理!$Q$3:$Q$98,"&lt;="&amp;$H46,工数管理!$R$3:$R$98,"&gt;="&amp;$H46)+COUNTIFS(工数管理!$AK$3:$AK$98,L$1,工数管理!$S$3:$S$98,"&lt;="&amp;$H46,工数管理!$T$3:$T$98,"&gt;="&amp;$H46)+COUNTIFS(工数管理!$AK$3:$AK$98,L$1,工数管理!$U$3:$U$98,"&lt;="&amp;$H46,工数管理!$V$3:$V$98,"&gt;="&amp;$H46)+COUNTIFS(工数管理!$AK$3:$AK$98,L$1,工数管理!$W$3:$W$98,"&lt;="&amp;$H46,工数管理!$X$3:$X$98,"&gt;="&amp;$H46)+COUNTIFS(工数管理!$AK$3:$AK$98,L$1,工数管理!$Y$3:$Y$98,"&lt;="&amp;$H46,工数管理!$Z$3:$Z$98,"&gt;="&amp;$H46)+COUNTIFS(工数管理!$AK$3:$AK$98,L$1,工数管理!$AA$3:$AA$98,"&lt;="&amp;$H46,工数管理!$AB$3:$AB$98,"&gt;="&amp;$H46)+COUNTIFS(工数管理!$AK$3:$AK$98,L$1,工数管理!$AC$3:$AC$98,"&lt;="&amp;$H46,工数管理!$AD$3:$AD$98,"&gt;="&amp;$H46)+COUNTIFS(工数管理!$AK$3:$AK$98,L$1,工数管理!$AE$3:$AE$98,"&lt;="&amp;$H46,工数管理!$AF$3:$AF$98,"&gt;="&amp;$H46)+COUNTIFS(工数管理!$AK$3:$AK$98,L$1,工数管理!$AG$3:$AG$98,"&lt;="&amp;$H46,工数管理!$AH$3:$AH$98,"&gt;="&amp;$H46)+(COUNTIFS(工数管理!$AK$3:$AK$98,L$1,工数管理!$K$3:$K$98,"&lt;="&amp;$H46,工数管理!$L$3:$L$98,"")+COUNTIFS(工数管理!$AK$3:$AK$98,L$1,工数管理!$M$3:$M$98,"&lt;="&amp;$H46,工数管理!$N$3:$N$98,"")+COUNTIFS(工数管理!$AK$3:$AK$98,L$1,工数管理!$O$3:$O$98,"&lt;="&amp;$H46,工数管理!$P$3:$P$98,"")+COUNTIFS(工数管理!$AK$3:$AK$98,L$1,工数管理!$Q$3:$Q$98,"&lt;="&amp;$H46,工数管理!$R$3:$R$98,"")+COUNTIFS(工数管理!$AK$3:$AK$98,L$1,工数管理!$S$3:$S$98,"&lt;="&amp;$H46,工数管理!$T$3:$T$98,"")+COUNTIFS(工数管理!$AK$3:$AK$98,L$1,工数管理!$U$3:$U$98,"&lt;="&amp;$H46,工数管理!$V$3:$V$98,"")+COUNTIFS(工数管理!$AK$3:$AK$98,L$1,工数管理!$W$3:$W$98,"&lt;="&amp;$H46,工数管理!$X$3:$X$98,"")+COUNTIFS(工数管理!$AK$3:$AK$98,L$1,工数管理!$Y$3:$Y$98,"&lt;="&amp;$H46,工数管理!$Z$3:$Z$98,"")+COUNTIFS(工数管理!$AK$3:$AK$98,L$1,工数管理!$AA$3:$AA$98,"&lt;="&amp;$H46,工数管理!$AB$3:$AB$98,"")+COUNTIFS(工数管理!$AK$3:$AK$98,L$1,工数管理!$AC$3:$AC$98,"&lt;="&amp;$H46,工数管理!$AD$3:$AD$98,"")+COUNTIFS(工数管理!$AK$3:$AK$98,L$1,工数管理!$AE$3:$AE$98,"&lt;="&amp;$H46,工数管理!$AF$3:$AF$98,"")+COUNTIFS(工数管理!$AK$3:$AK$98,L$1,工数管理!$AG$3:$AG$98,"&lt;="&amp;$H46,工数管理!$AH$3:$AH$98,""))*($H46&lt;=工数管理!$AI$1))</f>
        <v>1</v>
      </c>
    </row>
    <row r="47" spans="1:12" x14ac:dyDescent="0.15">
      <c r="A47" s="5">
        <v>46694</v>
      </c>
      <c r="B47" s="6" t="s">
        <v>85</v>
      </c>
      <c r="H47" s="41">
        <f t="shared" si="1"/>
        <v>46215</v>
      </c>
      <c r="I47" s="42">
        <f t="shared" si="0"/>
        <v>0</v>
      </c>
      <c r="J47" s="42">
        <f ca="1">IF(J$1="",0,COUNTIFS(工数管理!$AK$3:$AK$98,J$1,工数管理!$K$3:$K$98,"&lt;="&amp;$H47,工数管理!$L$3:$L$98,"&gt;="&amp;$H47)+COUNTIFS(工数管理!$AK$3:$AK$98,J$1,工数管理!$M$3:$M$98,"&lt;="&amp;$H47,工数管理!$N$3:$N$98,"&gt;="&amp;$H47)+COUNTIFS(工数管理!$AK$3:$AK$98,J$1,工数管理!$O$3:$O$98,"&lt;="&amp;$H47,工数管理!$P$3:$P$98,"&gt;="&amp;$H47)+COUNTIFS(工数管理!$AK$3:$AK$98,J$1,工数管理!$Q$3:$Q$98,"&lt;="&amp;$H47,工数管理!$R$3:$R$98,"&gt;="&amp;$H47)+COUNTIFS(工数管理!$AK$3:$AK$98,J$1,工数管理!$S$3:$S$98,"&lt;="&amp;$H47,工数管理!$T$3:$T$98,"&gt;="&amp;$H47)+COUNTIFS(工数管理!$AK$3:$AK$98,J$1,工数管理!$U$3:$U$98,"&lt;="&amp;$H47,工数管理!$V$3:$V$98,"&gt;="&amp;$H47)+COUNTIFS(工数管理!$AK$3:$AK$98,J$1,工数管理!$W$3:$W$98,"&lt;="&amp;$H47,工数管理!$X$3:$X$98,"&gt;="&amp;$H47)+COUNTIFS(工数管理!$AK$3:$AK$98,J$1,工数管理!$Y$3:$Y$98,"&lt;="&amp;$H47,工数管理!$Z$3:$Z$98,"&gt;="&amp;$H47)+COUNTIFS(工数管理!$AK$3:$AK$98,J$1,工数管理!$AA$3:$AA$98,"&lt;="&amp;$H47,工数管理!$AB$3:$AB$98,"&gt;="&amp;$H47)+COUNTIFS(工数管理!$AK$3:$AK$98,J$1,工数管理!$AC$3:$AC$98,"&lt;="&amp;$H47,工数管理!$AD$3:$AD$98,"&gt;="&amp;$H47)+COUNTIFS(工数管理!$AK$3:$AK$98,J$1,工数管理!$AE$3:$AE$98,"&lt;="&amp;$H47,工数管理!$AF$3:$AF$98,"&gt;="&amp;$H47)+COUNTIFS(工数管理!$AK$3:$AK$98,J$1,工数管理!$AG$3:$AG$98,"&lt;="&amp;$H47,工数管理!$AH$3:$AH$98,"&gt;="&amp;$H47)+(COUNTIFS(工数管理!$AK$3:$AK$98,J$1,工数管理!$K$3:$K$98,"&lt;="&amp;$H47,工数管理!$L$3:$L$98,"")+COUNTIFS(工数管理!$AK$3:$AK$98,J$1,工数管理!$M$3:$M$98,"&lt;="&amp;$H47,工数管理!$N$3:$N$98,"")+COUNTIFS(工数管理!$AK$3:$AK$98,J$1,工数管理!$O$3:$O$98,"&lt;="&amp;$H47,工数管理!$P$3:$P$98,"")+COUNTIFS(工数管理!$AK$3:$AK$98,J$1,工数管理!$Q$3:$Q$98,"&lt;="&amp;$H47,工数管理!$R$3:$R$98,"")+COUNTIFS(工数管理!$AK$3:$AK$98,J$1,工数管理!$S$3:$S$98,"&lt;="&amp;$H47,工数管理!$T$3:$T$98,"")+COUNTIFS(工数管理!$AK$3:$AK$98,J$1,工数管理!$U$3:$U$98,"&lt;="&amp;$H47,工数管理!$V$3:$V$98,"")+COUNTIFS(工数管理!$AK$3:$AK$98,J$1,工数管理!$W$3:$W$98,"&lt;="&amp;$H47,工数管理!$X$3:$X$98,"")+COUNTIFS(工数管理!$AK$3:$AK$98,J$1,工数管理!$Y$3:$Y$98,"&lt;="&amp;$H47,工数管理!$Z$3:$Z$98,"")+COUNTIFS(工数管理!$AK$3:$AK$98,J$1,工数管理!$AA$3:$AA$98,"&lt;="&amp;$H47,工数管理!$AB$3:$AB$98,"")+COUNTIFS(工数管理!$AK$3:$AK$98,J$1,工数管理!$AC$3:$AC$98,"&lt;="&amp;$H47,工数管理!$AD$3:$AD$98,"")+COUNTIFS(工数管理!$AK$3:$AK$98,J$1,工数管理!$AE$3:$AE$98,"&lt;="&amp;$H47,工数管理!$AF$3:$AF$98,"")+COUNTIFS(工数管理!$AK$3:$AK$98,J$1,工数管理!$AG$3:$AG$98,"&lt;="&amp;$H47,工数管理!$AH$3:$AH$98,""))*($H47&lt;=工数管理!$AI$1))</f>
        <v>1</v>
      </c>
      <c r="K47" s="42">
        <f ca="1">IF(K$1="",0,COUNTIFS(工数管理!$AK$3:$AK$98,K$1,工数管理!$K$3:$K$98,"&lt;="&amp;$H47,工数管理!$L$3:$L$98,"&gt;="&amp;$H47)+COUNTIFS(工数管理!$AK$3:$AK$98,K$1,工数管理!$M$3:$M$98,"&lt;="&amp;$H47,工数管理!$N$3:$N$98,"&gt;="&amp;$H47)+COUNTIFS(工数管理!$AK$3:$AK$98,K$1,工数管理!$O$3:$O$98,"&lt;="&amp;$H47,工数管理!$P$3:$P$98,"&gt;="&amp;$H47)+COUNTIFS(工数管理!$AK$3:$AK$98,K$1,工数管理!$Q$3:$Q$98,"&lt;="&amp;$H47,工数管理!$R$3:$R$98,"&gt;="&amp;$H47)+COUNTIFS(工数管理!$AK$3:$AK$98,K$1,工数管理!$S$3:$S$98,"&lt;="&amp;$H47,工数管理!$T$3:$T$98,"&gt;="&amp;$H47)+COUNTIFS(工数管理!$AK$3:$AK$98,K$1,工数管理!$U$3:$U$98,"&lt;="&amp;$H47,工数管理!$V$3:$V$98,"&gt;="&amp;$H47)+COUNTIFS(工数管理!$AK$3:$AK$98,K$1,工数管理!$W$3:$W$98,"&lt;="&amp;$H47,工数管理!$X$3:$X$98,"&gt;="&amp;$H47)+COUNTIFS(工数管理!$AK$3:$AK$98,K$1,工数管理!$Y$3:$Y$98,"&lt;="&amp;$H47,工数管理!$Z$3:$Z$98,"&gt;="&amp;$H47)+COUNTIFS(工数管理!$AK$3:$AK$98,K$1,工数管理!$AA$3:$AA$98,"&lt;="&amp;$H47,工数管理!$AB$3:$AB$98,"&gt;="&amp;$H47)+COUNTIFS(工数管理!$AK$3:$AK$98,K$1,工数管理!$AC$3:$AC$98,"&lt;="&amp;$H47,工数管理!$AD$3:$AD$98,"&gt;="&amp;$H47)+COUNTIFS(工数管理!$AK$3:$AK$98,K$1,工数管理!$AE$3:$AE$98,"&lt;="&amp;$H47,工数管理!$AF$3:$AF$98,"&gt;="&amp;$H47)+COUNTIFS(工数管理!$AK$3:$AK$98,K$1,工数管理!$AG$3:$AG$98,"&lt;="&amp;$H47,工数管理!$AH$3:$AH$98,"&gt;="&amp;$H47)+(COUNTIFS(工数管理!$AK$3:$AK$98,K$1,工数管理!$K$3:$K$98,"&lt;="&amp;$H47,工数管理!$L$3:$L$98,"")+COUNTIFS(工数管理!$AK$3:$AK$98,K$1,工数管理!$M$3:$M$98,"&lt;="&amp;$H47,工数管理!$N$3:$N$98,"")+COUNTIFS(工数管理!$AK$3:$AK$98,K$1,工数管理!$O$3:$O$98,"&lt;="&amp;$H47,工数管理!$P$3:$P$98,"")+COUNTIFS(工数管理!$AK$3:$AK$98,K$1,工数管理!$Q$3:$Q$98,"&lt;="&amp;$H47,工数管理!$R$3:$R$98,"")+COUNTIFS(工数管理!$AK$3:$AK$98,K$1,工数管理!$S$3:$S$98,"&lt;="&amp;$H47,工数管理!$T$3:$T$98,"")+COUNTIFS(工数管理!$AK$3:$AK$98,K$1,工数管理!$U$3:$U$98,"&lt;="&amp;$H47,工数管理!$V$3:$V$98,"")+COUNTIFS(工数管理!$AK$3:$AK$98,K$1,工数管理!$W$3:$W$98,"&lt;="&amp;$H47,工数管理!$X$3:$X$98,"")+COUNTIFS(工数管理!$AK$3:$AK$98,K$1,工数管理!$Y$3:$Y$98,"&lt;="&amp;$H47,工数管理!$Z$3:$Z$98,"")+COUNTIFS(工数管理!$AK$3:$AK$98,K$1,工数管理!$AA$3:$AA$98,"&lt;="&amp;$H47,工数管理!$AB$3:$AB$98,"")+COUNTIFS(工数管理!$AK$3:$AK$98,K$1,工数管理!$AC$3:$AC$98,"&lt;="&amp;$H47,工数管理!$AD$3:$AD$98,"")+COUNTIFS(工数管理!$AK$3:$AK$98,K$1,工数管理!$AE$3:$AE$98,"&lt;="&amp;$H47,工数管理!$AF$3:$AF$98,"")+COUNTIFS(工数管理!$AK$3:$AK$98,K$1,工数管理!$AG$3:$AG$98,"&lt;="&amp;$H47,工数管理!$AH$3:$AH$98,""))*($H47&lt;=工数管理!$AI$1))</f>
        <v>1</v>
      </c>
      <c r="L47" s="42">
        <f ca="1">IF(L$1="",0,COUNTIFS(工数管理!$AK$3:$AK$98,L$1,工数管理!$K$3:$K$98,"&lt;="&amp;$H47,工数管理!$L$3:$L$98,"&gt;="&amp;$H47)+COUNTIFS(工数管理!$AK$3:$AK$98,L$1,工数管理!$M$3:$M$98,"&lt;="&amp;$H47,工数管理!$N$3:$N$98,"&gt;="&amp;$H47)+COUNTIFS(工数管理!$AK$3:$AK$98,L$1,工数管理!$O$3:$O$98,"&lt;="&amp;$H47,工数管理!$P$3:$P$98,"&gt;="&amp;$H47)+COUNTIFS(工数管理!$AK$3:$AK$98,L$1,工数管理!$Q$3:$Q$98,"&lt;="&amp;$H47,工数管理!$R$3:$R$98,"&gt;="&amp;$H47)+COUNTIFS(工数管理!$AK$3:$AK$98,L$1,工数管理!$S$3:$S$98,"&lt;="&amp;$H47,工数管理!$T$3:$T$98,"&gt;="&amp;$H47)+COUNTIFS(工数管理!$AK$3:$AK$98,L$1,工数管理!$U$3:$U$98,"&lt;="&amp;$H47,工数管理!$V$3:$V$98,"&gt;="&amp;$H47)+COUNTIFS(工数管理!$AK$3:$AK$98,L$1,工数管理!$W$3:$W$98,"&lt;="&amp;$H47,工数管理!$X$3:$X$98,"&gt;="&amp;$H47)+COUNTIFS(工数管理!$AK$3:$AK$98,L$1,工数管理!$Y$3:$Y$98,"&lt;="&amp;$H47,工数管理!$Z$3:$Z$98,"&gt;="&amp;$H47)+COUNTIFS(工数管理!$AK$3:$AK$98,L$1,工数管理!$AA$3:$AA$98,"&lt;="&amp;$H47,工数管理!$AB$3:$AB$98,"&gt;="&amp;$H47)+COUNTIFS(工数管理!$AK$3:$AK$98,L$1,工数管理!$AC$3:$AC$98,"&lt;="&amp;$H47,工数管理!$AD$3:$AD$98,"&gt;="&amp;$H47)+COUNTIFS(工数管理!$AK$3:$AK$98,L$1,工数管理!$AE$3:$AE$98,"&lt;="&amp;$H47,工数管理!$AF$3:$AF$98,"&gt;="&amp;$H47)+COUNTIFS(工数管理!$AK$3:$AK$98,L$1,工数管理!$AG$3:$AG$98,"&lt;="&amp;$H47,工数管理!$AH$3:$AH$98,"&gt;="&amp;$H47)+(COUNTIFS(工数管理!$AK$3:$AK$98,L$1,工数管理!$K$3:$K$98,"&lt;="&amp;$H47,工数管理!$L$3:$L$98,"")+COUNTIFS(工数管理!$AK$3:$AK$98,L$1,工数管理!$M$3:$M$98,"&lt;="&amp;$H47,工数管理!$N$3:$N$98,"")+COUNTIFS(工数管理!$AK$3:$AK$98,L$1,工数管理!$O$3:$O$98,"&lt;="&amp;$H47,工数管理!$P$3:$P$98,"")+COUNTIFS(工数管理!$AK$3:$AK$98,L$1,工数管理!$Q$3:$Q$98,"&lt;="&amp;$H47,工数管理!$R$3:$R$98,"")+COUNTIFS(工数管理!$AK$3:$AK$98,L$1,工数管理!$S$3:$S$98,"&lt;="&amp;$H47,工数管理!$T$3:$T$98,"")+COUNTIFS(工数管理!$AK$3:$AK$98,L$1,工数管理!$U$3:$U$98,"&lt;="&amp;$H47,工数管理!$V$3:$V$98,"")+COUNTIFS(工数管理!$AK$3:$AK$98,L$1,工数管理!$W$3:$W$98,"&lt;="&amp;$H47,工数管理!$X$3:$X$98,"")+COUNTIFS(工数管理!$AK$3:$AK$98,L$1,工数管理!$Y$3:$Y$98,"&lt;="&amp;$H47,工数管理!$Z$3:$Z$98,"")+COUNTIFS(工数管理!$AK$3:$AK$98,L$1,工数管理!$AA$3:$AA$98,"&lt;="&amp;$H47,工数管理!$AB$3:$AB$98,"")+COUNTIFS(工数管理!$AK$3:$AK$98,L$1,工数管理!$AC$3:$AC$98,"&lt;="&amp;$H47,工数管理!$AD$3:$AD$98,"")+COUNTIFS(工数管理!$AK$3:$AK$98,L$1,工数管理!$AE$3:$AE$98,"&lt;="&amp;$H47,工数管理!$AF$3:$AF$98,"")+COUNTIFS(工数管理!$AK$3:$AK$98,L$1,工数管理!$AG$3:$AG$98,"&lt;="&amp;$H47,工数管理!$AH$3:$AH$98,""))*($H47&lt;=工数管理!$AI$1))</f>
        <v>1</v>
      </c>
    </row>
    <row r="48" spans="1:12" x14ac:dyDescent="0.15">
      <c r="A48" s="5">
        <v>46714</v>
      </c>
      <c r="B48" s="6" t="s">
        <v>86</v>
      </c>
      <c r="H48" s="41">
        <f t="shared" si="1"/>
        <v>46216</v>
      </c>
      <c r="I48" s="42">
        <f t="shared" si="0"/>
        <v>1</v>
      </c>
      <c r="J48" s="42">
        <f ca="1">IF(J$1="",0,COUNTIFS(工数管理!$AK$3:$AK$98,J$1,工数管理!$K$3:$K$98,"&lt;="&amp;$H48,工数管理!$L$3:$L$98,"&gt;="&amp;$H48)+COUNTIFS(工数管理!$AK$3:$AK$98,J$1,工数管理!$M$3:$M$98,"&lt;="&amp;$H48,工数管理!$N$3:$N$98,"&gt;="&amp;$H48)+COUNTIFS(工数管理!$AK$3:$AK$98,J$1,工数管理!$O$3:$O$98,"&lt;="&amp;$H48,工数管理!$P$3:$P$98,"&gt;="&amp;$H48)+COUNTIFS(工数管理!$AK$3:$AK$98,J$1,工数管理!$Q$3:$Q$98,"&lt;="&amp;$H48,工数管理!$R$3:$R$98,"&gt;="&amp;$H48)+COUNTIFS(工数管理!$AK$3:$AK$98,J$1,工数管理!$S$3:$S$98,"&lt;="&amp;$H48,工数管理!$T$3:$T$98,"&gt;="&amp;$H48)+COUNTIFS(工数管理!$AK$3:$AK$98,J$1,工数管理!$U$3:$U$98,"&lt;="&amp;$H48,工数管理!$V$3:$V$98,"&gt;="&amp;$H48)+COUNTIFS(工数管理!$AK$3:$AK$98,J$1,工数管理!$W$3:$W$98,"&lt;="&amp;$H48,工数管理!$X$3:$X$98,"&gt;="&amp;$H48)+COUNTIFS(工数管理!$AK$3:$AK$98,J$1,工数管理!$Y$3:$Y$98,"&lt;="&amp;$H48,工数管理!$Z$3:$Z$98,"&gt;="&amp;$H48)+COUNTIFS(工数管理!$AK$3:$AK$98,J$1,工数管理!$AA$3:$AA$98,"&lt;="&amp;$H48,工数管理!$AB$3:$AB$98,"&gt;="&amp;$H48)+COUNTIFS(工数管理!$AK$3:$AK$98,J$1,工数管理!$AC$3:$AC$98,"&lt;="&amp;$H48,工数管理!$AD$3:$AD$98,"&gt;="&amp;$H48)+COUNTIFS(工数管理!$AK$3:$AK$98,J$1,工数管理!$AE$3:$AE$98,"&lt;="&amp;$H48,工数管理!$AF$3:$AF$98,"&gt;="&amp;$H48)+COUNTIFS(工数管理!$AK$3:$AK$98,J$1,工数管理!$AG$3:$AG$98,"&lt;="&amp;$H48,工数管理!$AH$3:$AH$98,"&gt;="&amp;$H48)+(COUNTIFS(工数管理!$AK$3:$AK$98,J$1,工数管理!$K$3:$K$98,"&lt;="&amp;$H48,工数管理!$L$3:$L$98,"")+COUNTIFS(工数管理!$AK$3:$AK$98,J$1,工数管理!$M$3:$M$98,"&lt;="&amp;$H48,工数管理!$N$3:$N$98,"")+COUNTIFS(工数管理!$AK$3:$AK$98,J$1,工数管理!$O$3:$O$98,"&lt;="&amp;$H48,工数管理!$P$3:$P$98,"")+COUNTIFS(工数管理!$AK$3:$AK$98,J$1,工数管理!$Q$3:$Q$98,"&lt;="&amp;$H48,工数管理!$R$3:$R$98,"")+COUNTIFS(工数管理!$AK$3:$AK$98,J$1,工数管理!$S$3:$S$98,"&lt;="&amp;$H48,工数管理!$T$3:$T$98,"")+COUNTIFS(工数管理!$AK$3:$AK$98,J$1,工数管理!$U$3:$U$98,"&lt;="&amp;$H48,工数管理!$V$3:$V$98,"")+COUNTIFS(工数管理!$AK$3:$AK$98,J$1,工数管理!$W$3:$W$98,"&lt;="&amp;$H48,工数管理!$X$3:$X$98,"")+COUNTIFS(工数管理!$AK$3:$AK$98,J$1,工数管理!$Y$3:$Y$98,"&lt;="&amp;$H48,工数管理!$Z$3:$Z$98,"")+COUNTIFS(工数管理!$AK$3:$AK$98,J$1,工数管理!$AA$3:$AA$98,"&lt;="&amp;$H48,工数管理!$AB$3:$AB$98,"")+COUNTIFS(工数管理!$AK$3:$AK$98,J$1,工数管理!$AC$3:$AC$98,"&lt;="&amp;$H48,工数管理!$AD$3:$AD$98,"")+COUNTIFS(工数管理!$AK$3:$AK$98,J$1,工数管理!$AE$3:$AE$98,"&lt;="&amp;$H48,工数管理!$AF$3:$AF$98,"")+COUNTIFS(工数管理!$AK$3:$AK$98,J$1,工数管理!$AG$3:$AG$98,"&lt;="&amp;$H48,工数管理!$AH$3:$AH$98,""))*($H48&lt;=工数管理!$AI$1))</f>
        <v>1</v>
      </c>
      <c r="K48" s="42">
        <f ca="1">IF(K$1="",0,COUNTIFS(工数管理!$AK$3:$AK$98,K$1,工数管理!$K$3:$K$98,"&lt;="&amp;$H48,工数管理!$L$3:$L$98,"&gt;="&amp;$H48)+COUNTIFS(工数管理!$AK$3:$AK$98,K$1,工数管理!$M$3:$M$98,"&lt;="&amp;$H48,工数管理!$N$3:$N$98,"&gt;="&amp;$H48)+COUNTIFS(工数管理!$AK$3:$AK$98,K$1,工数管理!$O$3:$O$98,"&lt;="&amp;$H48,工数管理!$P$3:$P$98,"&gt;="&amp;$H48)+COUNTIFS(工数管理!$AK$3:$AK$98,K$1,工数管理!$Q$3:$Q$98,"&lt;="&amp;$H48,工数管理!$R$3:$R$98,"&gt;="&amp;$H48)+COUNTIFS(工数管理!$AK$3:$AK$98,K$1,工数管理!$S$3:$S$98,"&lt;="&amp;$H48,工数管理!$T$3:$T$98,"&gt;="&amp;$H48)+COUNTIFS(工数管理!$AK$3:$AK$98,K$1,工数管理!$U$3:$U$98,"&lt;="&amp;$H48,工数管理!$V$3:$V$98,"&gt;="&amp;$H48)+COUNTIFS(工数管理!$AK$3:$AK$98,K$1,工数管理!$W$3:$W$98,"&lt;="&amp;$H48,工数管理!$X$3:$X$98,"&gt;="&amp;$H48)+COUNTIFS(工数管理!$AK$3:$AK$98,K$1,工数管理!$Y$3:$Y$98,"&lt;="&amp;$H48,工数管理!$Z$3:$Z$98,"&gt;="&amp;$H48)+COUNTIFS(工数管理!$AK$3:$AK$98,K$1,工数管理!$AA$3:$AA$98,"&lt;="&amp;$H48,工数管理!$AB$3:$AB$98,"&gt;="&amp;$H48)+COUNTIFS(工数管理!$AK$3:$AK$98,K$1,工数管理!$AC$3:$AC$98,"&lt;="&amp;$H48,工数管理!$AD$3:$AD$98,"&gt;="&amp;$H48)+COUNTIFS(工数管理!$AK$3:$AK$98,K$1,工数管理!$AE$3:$AE$98,"&lt;="&amp;$H48,工数管理!$AF$3:$AF$98,"&gt;="&amp;$H48)+COUNTIFS(工数管理!$AK$3:$AK$98,K$1,工数管理!$AG$3:$AG$98,"&lt;="&amp;$H48,工数管理!$AH$3:$AH$98,"&gt;="&amp;$H48)+(COUNTIFS(工数管理!$AK$3:$AK$98,K$1,工数管理!$K$3:$K$98,"&lt;="&amp;$H48,工数管理!$L$3:$L$98,"")+COUNTIFS(工数管理!$AK$3:$AK$98,K$1,工数管理!$M$3:$M$98,"&lt;="&amp;$H48,工数管理!$N$3:$N$98,"")+COUNTIFS(工数管理!$AK$3:$AK$98,K$1,工数管理!$O$3:$O$98,"&lt;="&amp;$H48,工数管理!$P$3:$P$98,"")+COUNTIFS(工数管理!$AK$3:$AK$98,K$1,工数管理!$Q$3:$Q$98,"&lt;="&amp;$H48,工数管理!$R$3:$R$98,"")+COUNTIFS(工数管理!$AK$3:$AK$98,K$1,工数管理!$S$3:$S$98,"&lt;="&amp;$H48,工数管理!$T$3:$T$98,"")+COUNTIFS(工数管理!$AK$3:$AK$98,K$1,工数管理!$U$3:$U$98,"&lt;="&amp;$H48,工数管理!$V$3:$V$98,"")+COUNTIFS(工数管理!$AK$3:$AK$98,K$1,工数管理!$W$3:$W$98,"&lt;="&amp;$H48,工数管理!$X$3:$X$98,"")+COUNTIFS(工数管理!$AK$3:$AK$98,K$1,工数管理!$Y$3:$Y$98,"&lt;="&amp;$H48,工数管理!$Z$3:$Z$98,"")+COUNTIFS(工数管理!$AK$3:$AK$98,K$1,工数管理!$AA$3:$AA$98,"&lt;="&amp;$H48,工数管理!$AB$3:$AB$98,"")+COUNTIFS(工数管理!$AK$3:$AK$98,K$1,工数管理!$AC$3:$AC$98,"&lt;="&amp;$H48,工数管理!$AD$3:$AD$98,"")+COUNTIFS(工数管理!$AK$3:$AK$98,K$1,工数管理!$AE$3:$AE$98,"&lt;="&amp;$H48,工数管理!$AF$3:$AF$98,"")+COUNTIFS(工数管理!$AK$3:$AK$98,K$1,工数管理!$AG$3:$AG$98,"&lt;="&amp;$H48,工数管理!$AH$3:$AH$98,""))*($H48&lt;=工数管理!$AI$1))</f>
        <v>1</v>
      </c>
      <c r="L48" s="42">
        <f ca="1">IF(L$1="",0,COUNTIFS(工数管理!$AK$3:$AK$98,L$1,工数管理!$K$3:$K$98,"&lt;="&amp;$H48,工数管理!$L$3:$L$98,"&gt;="&amp;$H48)+COUNTIFS(工数管理!$AK$3:$AK$98,L$1,工数管理!$M$3:$M$98,"&lt;="&amp;$H48,工数管理!$N$3:$N$98,"&gt;="&amp;$H48)+COUNTIFS(工数管理!$AK$3:$AK$98,L$1,工数管理!$O$3:$O$98,"&lt;="&amp;$H48,工数管理!$P$3:$P$98,"&gt;="&amp;$H48)+COUNTIFS(工数管理!$AK$3:$AK$98,L$1,工数管理!$Q$3:$Q$98,"&lt;="&amp;$H48,工数管理!$R$3:$R$98,"&gt;="&amp;$H48)+COUNTIFS(工数管理!$AK$3:$AK$98,L$1,工数管理!$S$3:$S$98,"&lt;="&amp;$H48,工数管理!$T$3:$T$98,"&gt;="&amp;$H48)+COUNTIFS(工数管理!$AK$3:$AK$98,L$1,工数管理!$U$3:$U$98,"&lt;="&amp;$H48,工数管理!$V$3:$V$98,"&gt;="&amp;$H48)+COUNTIFS(工数管理!$AK$3:$AK$98,L$1,工数管理!$W$3:$W$98,"&lt;="&amp;$H48,工数管理!$X$3:$X$98,"&gt;="&amp;$H48)+COUNTIFS(工数管理!$AK$3:$AK$98,L$1,工数管理!$Y$3:$Y$98,"&lt;="&amp;$H48,工数管理!$Z$3:$Z$98,"&gt;="&amp;$H48)+COUNTIFS(工数管理!$AK$3:$AK$98,L$1,工数管理!$AA$3:$AA$98,"&lt;="&amp;$H48,工数管理!$AB$3:$AB$98,"&gt;="&amp;$H48)+COUNTIFS(工数管理!$AK$3:$AK$98,L$1,工数管理!$AC$3:$AC$98,"&lt;="&amp;$H48,工数管理!$AD$3:$AD$98,"&gt;="&amp;$H48)+COUNTIFS(工数管理!$AK$3:$AK$98,L$1,工数管理!$AE$3:$AE$98,"&lt;="&amp;$H48,工数管理!$AF$3:$AF$98,"&gt;="&amp;$H48)+COUNTIFS(工数管理!$AK$3:$AK$98,L$1,工数管理!$AG$3:$AG$98,"&lt;="&amp;$H48,工数管理!$AH$3:$AH$98,"&gt;="&amp;$H48)+(COUNTIFS(工数管理!$AK$3:$AK$98,L$1,工数管理!$K$3:$K$98,"&lt;="&amp;$H48,工数管理!$L$3:$L$98,"")+COUNTIFS(工数管理!$AK$3:$AK$98,L$1,工数管理!$M$3:$M$98,"&lt;="&amp;$H48,工数管理!$N$3:$N$98,"")+COUNTIFS(工数管理!$AK$3:$AK$98,L$1,工数管理!$O$3:$O$98,"&lt;="&amp;$H48,工数管理!$P$3:$P$98,"")+COUNTIFS(工数管理!$AK$3:$AK$98,L$1,工数管理!$Q$3:$Q$98,"&lt;="&amp;$H48,工数管理!$R$3:$R$98,"")+COUNTIFS(工数管理!$AK$3:$AK$98,L$1,工数管理!$S$3:$S$98,"&lt;="&amp;$H48,工数管理!$T$3:$T$98,"")+COUNTIFS(工数管理!$AK$3:$AK$98,L$1,工数管理!$U$3:$U$98,"&lt;="&amp;$H48,工数管理!$V$3:$V$98,"")+COUNTIFS(工数管理!$AK$3:$AK$98,L$1,工数管理!$W$3:$W$98,"&lt;="&amp;$H48,工数管理!$X$3:$X$98,"")+COUNTIFS(工数管理!$AK$3:$AK$98,L$1,工数管理!$Y$3:$Y$98,"&lt;="&amp;$H48,工数管理!$Z$3:$Z$98,"")+COUNTIFS(工数管理!$AK$3:$AK$98,L$1,工数管理!$AA$3:$AA$98,"&lt;="&amp;$H48,工数管理!$AB$3:$AB$98,"")+COUNTIFS(工数管理!$AK$3:$AK$98,L$1,工数管理!$AC$3:$AC$98,"&lt;="&amp;$H48,工数管理!$AD$3:$AD$98,"")+COUNTIFS(工数管理!$AK$3:$AK$98,L$1,工数管理!$AE$3:$AE$98,"&lt;="&amp;$H48,工数管理!$AF$3:$AF$98,"")+COUNTIFS(工数管理!$AK$3:$AK$98,L$1,工数管理!$AG$3:$AG$98,"&lt;="&amp;$H48,工数管理!$AH$3:$AH$98,""))*($H48&lt;=工数管理!$AI$1))</f>
        <v>1</v>
      </c>
    </row>
    <row r="49" spans="1:12" x14ac:dyDescent="0.15">
      <c r="A49" s="5">
        <v>46750</v>
      </c>
      <c r="B49" s="6" t="s">
        <v>65</v>
      </c>
      <c r="H49" s="41">
        <f t="shared" si="1"/>
        <v>46217</v>
      </c>
      <c r="I49" s="42">
        <f t="shared" si="0"/>
        <v>1</v>
      </c>
      <c r="J49" s="42">
        <f ca="1">IF(J$1="",0,COUNTIFS(工数管理!$AK$3:$AK$98,J$1,工数管理!$K$3:$K$98,"&lt;="&amp;$H49,工数管理!$L$3:$L$98,"&gt;="&amp;$H49)+COUNTIFS(工数管理!$AK$3:$AK$98,J$1,工数管理!$M$3:$M$98,"&lt;="&amp;$H49,工数管理!$N$3:$N$98,"&gt;="&amp;$H49)+COUNTIFS(工数管理!$AK$3:$AK$98,J$1,工数管理!$O$3:$O$98,"&lt;="&amp;$H49,工数管理!$P$3:$P$98,"&gt;="&amp;$H49)+COUNTIFS(工数管理!$AK$3:$AK$98,J$1,工数管理!$Q$3:$Q$98,"&lt;="&amp;$H49,工数管理!$R$3:$R$98,"&gt;="&amp;$H49)+COUNTIFS(工数管理!$AK$3:$AK$98,J$1,工数管理!$S$3:$S$98,"&lt;="&amp;$H49,工数管理!$T$3:$T$98,"&gt;="&amp;$H49)+COUNTIFS(工数管理!$AK$3:$AK$98,J$1,工数管理!$U$3:$U$98,"&lt;="&amp;$H49,工数管理!$V$3:$V$98,"&gt;="&amp;$H49)+COUNTIFS(工数管理!$AK$3:$AK$98,J$1,工数管理!$W$3:$W$98,"&lt;="&amp;$H49,工数管理!$X$3:$X$98,"&gt;="&amp;$H49)+COUNTIFS(工数管理!$AK$3:$AK$98,J$1,工数管理!$Y$3:$Y$98,"&lt;="&amp;$H49,工数管理!$Z$3:$Z$98,"&gt;="&amp;$H49)+COUNTIFS(工数管理!$AK$3:$AK$98,J$1,工数管理!$AA$3:$AA$98,"&lt;="&amp;$H49,工数管理!$AB$3:$AB$98,"&gt;="&amp;$H49)+COUNTIFS(工数管理!$AK$3:$AK$98,J$1,工数管理!$AC$3:$AC$98,"&lt;="&amp;$H49,工数管理!$AD$3:$AD$98,"&gt;="&amp;$H49)+COUNTIFS(工数管理!$AK$3:$AK$98,J$1,工数管理!$AE$3:$AE$98,"&lt;="&amp;$H49,工数管理!$AF$3:$AF$98,"&gt;="&amp;$H49)+COUNTIFS(工数管理!$AK$3:$AK$98,J$1,工数管理!$AG$3:$AG$98,"&lt;="&amp;$H49,工数管理!$AH$3:$AH$98,"&gt;="&amp;$H49)+(COUNTIFS(工数管理!$AK$3:$AK$98,J$1,工数管理!$K$3:$K$98,"&lt;="&amp;$H49,工数管理!$L$3:$L$98,"")+COUNTIFS(工数管理!$AK$3:$AK$98,J$1,工数管理!$M$3:$M$98,"&lt;="&amp;$H49,工数管理!$N$3:$N$98,"")+COUNTIFS(工数管理!$AK$3:$AK$98,J$1,工数管理!$O$3:$O$98,"&lt;="&amp;$H49,工数管理!$P$3:$P$98,"")+COUNTIFS(工数管理!$AK$3:$AK$98,J$1,工数管理!$Q$3:$Q$98,"&lt;="&amp;$H49,工数管理!$R$3:$R$98,"")+COUNTIFS(工数管理!$AK$3:$AK$98,J$1,工数管理!$S$3:$S$98,"&lt;="&amp;$H49,工数管理!$T$3:$T$98,"")+COUNTIFS(工数管理!$AK$3:$AK$98,J$1,工数管理!$U$3:$U$98,"&lt;="&amp;$H49,工数管理!$V$3:$V$98,"")+COUNTIFS(工数管理!$AK$3:$AK$98,J$1,工数管理!$W$3:$W$98,"&lt;="&amp;$H49,工数管理!$X$3:$X$98,"")+COUNTIFS(工数管理!$AK$3:$AK$98,J$1,工数管理!$Y$3:$Y$98,"&lt;="&amp;$H49,工数管理!$Z$3:$Z$98,"")+COUNTIFS(工数管理!$AK$3:$AK$98,J$1,工数管理!$AA$3:$AA$98,"&lt;="&amp;$H49,工数管理!$AB$3:$AB$98,"")+COUNTIFS(工数管理!$AK$3:$AK$98,J$1,工数管理!$AC$3:$AC$98,"&lt;="&amp;$H49,工数管理!$AD$3:$AD$98,"")+COUNTIFS(工数管理!$AK$3:$AK$98,J$1,工数管理!$AE$3:$AE$98,"&lt;="&amp;$H49,工数管理!$AF$3:$AF$98,"")+COUNTIFS(工数管理!$AK$3:$AK$98,J$1,工数管理!$AG$3:$AG$98,"&lt;="&amp;$H49,工数管理!$AH$3:$AH$98,""))*($H49&lt;=工数管理!$AI$1))</f>
        <v>1</v>
      </c>
      <c r="K49" s="42">
        <f ca="1">IF(K$1="",0,COUNTIFS(工数管理!$AK$3:$AK$98,K$1,工数管理!$K$3:$K$98,"&lt;="&amp;$H49,工数管理!$L$3:$L$98,"&gt;="&amp;$H49)+COUNTIFS(工数管理!$AK$3:$AK$98,K$1,工数管理!$M$3:$M$98,"&lt;="&amp;$H49,工数管理!$N$3:$N$98,"&gt;="&amp;$H49)+COUNTIFS(工数管理!$AK$3:$AK$98,K$1,工数管理!$O$3:$O$98,"&lt;="&amp;$H49,工数管理!$P$3:$P$98,"&gt;="&amp;$H49)+COUNTIFS(工数管理!$AK$3:$AK$98,K$1,工数管理!$Q$3:$Q$98,"&lt;="&amp;$H49,工数管理!$R$3:$R$98,"&gt;="&amp;$H49)+COUNTIFS(工数管理!$AK$3:$AK$98,K$1,工数管理!$S$3:$S$98,"&lt;="&amp;$H49,工数管理!$T$3:$T$98,"&gt;="&amp;$H49)+COUNTIFS(工数管理!$AK$3:$AK$98,K$1,工数管理!$U$3:$U$98,"&lt;="&amp;$H49,工数管理!$V$3:$V$98,"&gt;="&amp;$H49)+COUNTIFS(工数管理!$AK$3:$AK$98,K$1,工数管理!$W$3:$W$98,"&lt;="&amp;$H49,工数管理!$X$3:$X$98,"&gt;="&amp;$H49)+COUNTIFS(工数管理!$AK$3:$AK$98,K$1,工数管理!$Y$3:$Y$98,"&lt;="&amp;$H49,工数管理!$Z$3:$Z$98,"&gt;="&amp;$H49)+COUNTIFS(工数管理!$AK$3:$AK$98,K$1,工数管理!$AA$3:$AA$98,"&lt;="&amp;$H49,工数管理!$AB$3:$AB$98,"&gt;="&amp;$H49)+COUNTIFS(工数管理!$AK$3:$AK$98,K$1,工数管理!$AC$3:$AC$98,"&lt;="&amp;$H49,工数管理!$AD$3:$AD$98,"&gt;="&amp;$H49)+COUNTIFS(工数管理!$AK$3:$AK$98,K$1,工数管理!$AE$3:$AE$98,"&lt;="&amp;$H49,工数管理!$AF$3:$AF$98,"&gt;="&amp;$H49)+COUNTIFS(工数管理!$AK$3:$AK$98,K$1,工数管理!$AG$3:$AG$98,"&lt;="&amp;$H49,工数管理!$AH$3:$AH$98,"&gt;="&amp;$H49)+(COUNTIFS(工数管理!$AK$3:$AK$98,K$1,工数管理!$K$3:$K$98,"&lt;="&amp;$H49,工数管理!$L$3:$L$98,"")+COUNTIFS(工数管理!$AK$3:$AK$98,K$1,工数管理!$M$3:$M$98,"&lt;="&amp;$H49,工数管理!$N$3:$N$98,"")+COUNTIFS(工数管理!$AK$3:$AK$98,K$1,工数管理!$O$3:$O$98,"&lt;="&amp;$H49,工数管理!$P$3:$P$98,"")+COUNTIFS(工数管理!$AK$3:$AK$98,K$1,工数管理!$Q$3:$Q$98,"&lt;="&amp;$H49,工数管理!$R$3:$R$98,"")+COUNTIFS(工数管理!$AK$3:$AK$98,K$1,工数管理!$S$3:$S$98,"&lt;="&amp;$H49,工数管理!$T$3:$T$98,"")+COUNTIFS(工数管理!$AK$3:$AK$98,K$1,工数管理!$U$3:$U$98,"&lt;="&amp;$H49,工数管理!$V$3:$V$98,"")+COUNTIFS(工数管理!$AK$3:$AK$98,K$1,工数管理!$W$3:$W$98,"&lt;="&amp;$H49,工数管理!$X$3:$X$98,"")+COUNTIFS(工数管理!$AK$3:$AK$98,K$1,工数管理!$Y$3:$Y$98,"&lt;="&amp;$H49,工数管理!$Z$3:$Z$98,"")+COUNTIFS(工数管理!$AK$3:$AK$98,K$1,工数管理!$AA$3:$AA$98,"&lt;="&amp;$H49,工数管理!$AB$3:$AB$98,"")+COUNTIFS(工数管理!$AK$3:$AK$98,K$1,工数管理!$AC$3:$AC$98,"&lt;="&amp;$H49,工数管理!$AD$3:$AD$98,"")+COUNTIFS(工数管理!$AK$3:$AK$98,K$1,工数管理!$AE$3:$AE$98,"&lt;="&amp;$H49,工数管理!$AF$3:$AF$98,"")+COUNTIFS(工数管理!$AK$3:$AK$98,K$1,工数管理!$AG$3:$AG$98,"&lt;="&amp;$H49,工数管理!$AH$3:$AH$98,""))*($H49&lt;=工数管理!$AI$1))</f>
        <v>1</v>
      </c>
      <c r="L49" s="42">
        <f ca="1">IF(L$1="",0,COUNTIFS(工数管理!$AK$3:$AK$98,L$1,工数管理!$K$3:$K$98,"&lt;="&amp;$H49,工数管理!$L$3:$L$98,"&gt;="&amp;$H49)+COUNTIFS(工数管理!$AK$3:$AK$98,L$1,工数管理!$M$3:$M$98,"&lt;="&amp;$H49,工数管理!$N$3:$N$98,"&gt;="&amp;$H49)+COUNTIFS(工数管理!$AK$3:$AK$98,L$1,工数管理!$O$3:$O$98,"&lt;="&amp;$H49,工数管理!$P$3:$P$98,"&gt;="&amp;$H49)+COUNTIFS(工数管理!$AK$3:$AK$98,L$1,工数管理!$Q$3:$Q$98,"&lt;="&amp;$H49,工数管理!$R$3:$R$98,"&gt;="&amp;$H49)+COUNTIFS(工数管理!$AK$3:$AK$98,L$1,工数管理!$S$3:$S$98,"&lt;="&amp;$H49,工数管理!$T$3:$T$98,"&gt;="&amp;$H49)+COUNTIFS(工数管理!$AK$3:$AK$98,L$1,工数管理!$U$3:$U$98,"&lt;="&amp;$H49,工数管理!$V$3:$V$98,"&gt;="&amp;$H49)+COUNTIFS(工数管理!$AK$3:$AK$98,L$1,工数管理!$W$3:$W$98,"&lt;="&amp;$H49,工数管理!$X$3:$X$98,"&gt;="&amp;$H49)+COUNTIFS(工数管理!$AK$3:$AK$98,L$1,工数管理!$Y$3:$Y$98,"&lt;="&amp;$H49,工数管理!$Z$3:$Z$98,"&gt;="&amp;$H49)+COUNTIFS(工数管理!$AK$3:$AK$98,L$1,工数管理!$AA$3:$AA$98,"&lt;="&amp;$H49,工数管理!$AB$3:$AB$98,"&gt;="&amp;$H49)+COUNTIFS(工数管理!$AK$3:$AK$98,L$1,工数管理!$AC$3:$AC$98,"&lt;="&amp;$H49,工数管理!$AD$3:$AD$98,"&gt;="&amp;$H49)+COUNTIFS(工数管理!$AK$3:$AK$98,L$1,工数管理!$AE$3:$AE$98,"&lt;="&amp;$H49,工数管理!$AF$3:$AF$98,"&gt;="&amp;$H49)+COUNTIFS(工数管理!$AK$3:$AK$98,L$1,工数管理!$AG$3:$AG$98,"&lt;="&amp;$H49,工数管理!$AH$3:$AH$98,"&gt;="&amp;$H49)+(COUNTIFS(工数管理!$AK$3:$AK$98,L$1,工数管理!$K$3:$K$98,"&lt;="&amp;$H49,工数管理!$L$3:$L$98,"")+COUNTIFS(工数管理!$AK$3:$AK$98,L$1,工数管理!$M$3:$M$98,"&lt;="&amp;$H49,工数管理!$N$3:$N$98,"")+COUNTIFS(工数管理!$AK$3:$AK$98,L$1,工数管理!$O$3:$O$98,"&lt;="&amp;$H49,工数管理!$P$3:$P$98,"")+COUNTIFS(工数管理!$AK$3:$AK$98,L$1,工数管理!$Q$3:$Q$98,"&lt;="&amp;$H49,工数管理!$R$3:$R$98,"")+COUNTIFS(工数管理!$AK$3:$AK$98,L$1,工数管理!$S$3:$S$98,"&lt;="&amp;$H49,工数管理!$T$3:$T$98,"")+COUNTIFS(工数管理!$AK$3:$AK$98,L$1,工数管理!$U$3:$U$98,"&lt;="&amp;$H49,工数管理!$V$3:$V$98,"")+COUNTIFS(工数管理!$AK$3:$AK$98,L$1,工数管理!$W$3:$W$98,"&lt;="&amp;$H49,工数管理!$X$3:$X$98,"")+COUNTIFS(工数管理!$AK$3:$AK$98,L$1,工数管理!$Y$3:$Y$98,"&lt;="&amp;$H49,工数管理!$Z$3:$Z$98,"")+COUNTIFS(工数管理!$AK$3:$AK$98,L$1,工数管理!$AA$3:$AA$98,"&lt;="&amp;$H49,工数管理!$AB$3:$AB$98,"")+COUNTIFS(工数管理!$AK$3:$AK$98,L$1,工数管理!$AC$3:$AC$98,"&lt;="&amp;$H49,工数管理!$AD$3:$AD$98,"")+COUNTIFS(工数管理!$AK$3:$AK$98,L$1,工数管理!$AE$3:$AE$98,"&lt;="&amp;$H49,工数管理!$AF$3:$AF$98,"")+COUNTIFS(工数管理!$AK$3:$AK$98,L$1,工数管理!$AG$3:$AG$98,"&lt;="&amp;$H49,工数管理!$AH$3:$AH$98,""))*($H49&lt;=工数管理!$AI$1))</f>
        <v>1</v>
      </c>
    </row>
    <row r="50" spans="1:12" x14ac:dyDescent="0.15">
      <c r="A50" s="5">
        <v>46751</v>
      </c>
      <c r="B50" s="6" t="s">
        <v>65</v>
      </c>
      <c r="H50" s="41">
        <f t="shared" si="1"/>
        <v>46218</v>
      </c>
      <c r="I50" s="42">
        <f t="shared" si="0"/>
        <v>1</v>
      </c>
      <c r="J50" s="42">
        <f ca="1">IF(J$1="",0,COUNTIFS(工数管理!$AK$3:$AK$98,J$1,工数管理!$K$3:$K$98,"&lt;="&amp;$H50,工数管理!$L$3:$L$98,"&gt;="&amp;$H50)+COUNTIFS(工数管理!$AK$3:$AK$98,J$1,工数管理!$M$3:$M$98,"&lt;="&amp;$H50,工数管理!$N$3:$N$98,"&gt;="&amp;$H50)+COUNTIFS(工数管理!$AK$3:$AK$98,J$1,工数管理!$O$3:$O$98,"&lt;="&amp;$H50,工数管理!$P$3:$P$98,"&gt;="&amp;$H50)+COUNTIFS(工数管理!$AK$3:$AK$98,J$1,工数管理!$Q$3:$Q$98,"&lt;="&amp;$H50,工数管理!$R$3:$R$98,"&gt;="&amp;$H50)+COUNTIFS(工数管理!$AK$3:$AK$98,J$1,工数管理!$S$3:$S$98,"&lt;="&amp;$H50,工数管理!$T$3:$T$98,"&gt;="&amp;$H50)+COUNTIFS(工数管理!$AK$3:$AK$98,J$1,工数管理!$U$3:$U$98,"&lt;="&amp;$H50,工数管理!$V$3:$V$98,"&gt;="&amp;$H50)+COUNTIFS(工数管理!$AK$3:$AK$98,J$1,工数管理!$W$3:$W$98,"&lt;="&amp;$H50,工数管理!$X$3:$X$98,"&gt;="&amp;$H50)+COUNTIFS(工数管理!$AK$3:$AK$98,J$1,工数管理!$Y$3:$Y$98,"&lt;="&amp;$H50,工数管理!$Z$3:$Z$98,"&gt;="&amp;$H50)+COUNTIFS(工数管理!$AK$3:$AK$98,J$1,工数管理!$AA$3:$AA$98,"&lt;="&amp;$H50,工数管理!$AB$3:$AB$98,"&gt;="&amp;$H50)+COUNTIFS(工数管理!$AK$3:$AK$98,J$1,工数管理!$AC$3:$AC$98,"&lt;="&amp;$H50,工数管理!$AD$3:$AD$98,"&gt;="&amp;$H50)+COUNTIFS(工数管理!$AK$3:$AK$98,J$1,工数管理!$AE$3:$AE$98,"&lt;="&amp;$H50,工数管理!$AF$3:$AF$98,"&gt;="&amp;$H50)+COUNTIFS(工数管理!$AK$3:$AK$98,J$1,工数管理!$AG$3:$AG$98,"&lt;="&amp;$H50,工数管理!$AH$3:$AH$98,"&gt;="&amp;$H50)+(COUNTIFS(工数管理!$AK$3:$AK$98,J$1,工数管理!$K$3:$K$98,"&lt;="&amp;$H50,工数管理!$L$3:$L$98,"")+COUNTIFS(工数管理!$AK$3:$AK$98,J$1,工数管理!$M$3:$M$98,"&lt;="&amp;$H50,工数管理!$N$3:$N$98,"")+COUNTIFS(工数管理!$AK$3:$AK$98,J$1,工数管理!$O$3:$O$98,"&lt;="&amp;$H50,工数管理!$P$3:$P$98,"")+COUNTIFS(工数管理!$AK$3:$AK$98,J$1,工数管理!$Q$3:$Q$98,"&lt;="&amp;$H50,工数管理!$R$3:$R$98,"")+COUNTIFS(工数管理!$AK$3:$AK$98,J$1,工数管理!$S$3:$S$98,"&lt;="&amp;$H50,工数管理!$T$3:$T$98,"")+COUNTIFS(工数管理!$AK$3:$AK$98,J$1,工数管理!$U$3:$U$98,"&lt;="&amp;$H50,工数管理!$V$3:$V$98,"")+COUNTIFS(工数管理!$AK$3:$AK$98,J$1,工数管理!$W$3:$W$98,"&lt;="&amp;$H50,工数管理!$X$3:$X$98,"")+COUNTIFS(工数管理!$AK$3:$AK$98,J$1,工数管理!$Y$3:$Y$98,"&lt;="&amp;$H50,工数管理!$Z$3:$Z$98,"")+COUNTIFS(工数管理!$AK$3:$AK$98,J$1,工数管理!$AA$3:$AA$98,"&lt;="&amp;$H50,工数管理!$AB$3:$AB$98,"")+COUNTIFS(工数管理!$AK$3:$AK$98,J$1,工数管理!$AC$3:$AC$98,"&lt;="&amp;$H50,工数管理!$AD$3:$AD$98,"")+COUNTIFS(工数管理!$AK$3:$AK$98,J$1,工数管理!$AE$3:$AE$98,"&lt;="&amp;$H50,工数管理!$AF$3:$AF$98,"")+COUNTIFS(工数管理!$AK$3:$AK$98,J$1,工数管理!$AG$3:$AG$98,"&lt;="&amp;$H50,工数管理!$AH$3:$AH$98,""))*($H50&lt;=工数管理!$AI$1))</f>
        <v>1</v>
      </c>
      <c r="K50" s="42">
        <f ca="1">IF(K$1="",0,COUNTIFS(工数管理!$AK$3:$AK$98,K$1,工数管理!$K$3:$K$98,"&lt;="&amp;$H50,工数管理!$L$3:$L$98,"&gt;="&amp;$H50)+COUNTIFS(工数管理!$AK$3:$AK$98,K$1,工数管理!$M$3:$M$98,"&lt;="&amp;$H50,工数管理!$N$3:$N$98,"&gt;="&amp;$H50)+COUNTIFS(工数管理!$AK$3:$AK$98,K$1,工数管理!$O$3:$O$98,"&lt;="&amp;$H50,工数管理!$P$3:$P$98,"&gt;="&amp;$H50)+COUNTIFS(工数管理!$AK$3:$AK$98,K$1,工数管理!$Q$3:$Q$98,"&lt;="&amp;$H50,工数管理!$R$3:$R$98,"&gt;="&amp;$H50)+COUNTIFS(工数管理!$AK$3:$AK$98,K$1,工数管理!$S$3:$S$98,"&lt;="&amp;$H50,工数管理!$T$3:$T$98,"&gt;="&amp;$H50)+COUNTIFS(工数管理!$AK$3:$AK$98,K$1,工数管理!$U$3:$U$98,"&lt;="&amp;$H50,工数管理!$V$3:$V$98,"&gt;="&amp;$H50)+COUNTIFS(工数管理!$AK$3:$AK$98,K$1,工数管理!$W$3:$W$98,"&lt;="&amp;$H50,工数管理!$X$3:$X$98,"&gt;="&amp;$H50)+COUNTIFS(工数管理!$AK$3:$AK$98,K$1,工数管理!$Y$3:$Y$98,"&lt;="&amp;$H50,工数管理!$Z$3:$Z$98,"&gt;="&amp;$H50)+COUNTIFS(工数管理!$AK$3:$AK$98,K$1,工数管理!$AA$3:$AA$98,"&lt;="&amp;$H50,工数管理!$AB$3:$AB$98,"&gt;="&amp;$H50)+COUNTIFS(工数管理!$AK$3:$AK$98,K$1,工数管理!$AC$3:$AC$98,"&lt;="&amp;$H50,工数管理!$AD$3:$AD$98,"&gt;="&amp;$H50)+COUNTIFS(工数管理!$AK$3:$AK$98,K$1,工数管理!$AE$3:$AE$98,"&lt;="&amp;$H50,工数管理!$AF$3:$AF$98,"&gt;="&amp;$H50)+COUNTIFS(工数管理!$AK$3:$AK$98,K$1,工数管理!$AG$3:$AG$98,"&lt;="&amp;$H50,工数管理!$AH$3:$AH$98,"&gt;="&amp;$H50)+(COUNTIFS(工数管理!$AK$3:$AK$98,K$1,工数管理!$K$3:$K$98,"&lt;="&amp;$H50,工数管理!$L$3:$L$98,"")+COUNTIFS(工数管理!$AK$3:$AK$98,K$1,工数管理!$M$3:$M$98,"&lt;="&amp;$H50,工数管理!$N$3:$N$98,"")+COUNTIFS(工数管理!$AK$3:$AK$98,K$1,工数管理!$O$3:$O$98,"&lt;="&amp;$H50,工数管理!$P$3:$P$98,"")+COUNTIFS(工数管理!$AK$3:$AK$98,K$1,工数管理!$Q$3:$Q$98,"&lt;="&amp;$H50,工数管理!$R$3:$R$98,"")+COUNTIFS(工数管理!$AK$3:$AK$98,K$1,工数管理!$S$3:$S$98,"&lt;="&amp;$H50,工数管理!$T$3:$T$98,"")+COUNTIFS(工数管理!$AK$3:$AK$98,K$1,工数管理!$U$3:$U$98,"&lt;="&amp;$H50,工数管理!$V$3:$V$98,"")+COUNTIFS(工数管理!$AK$3:$AK$98,K$1,工数管理!$W$3:$W$98,"&lt;="&amp;$H50,工数管理!$X$3:$X$98,"")+COUNTIFS(工数管理!$AK$3:$AK$98,K$1,工数管理!$Y$3:$Y$98,"&lt;="&amp;$H50,工数管理!$Z$3:$Z$98,"")+COUNTIFS(工数管理!$AK$3:$AK$98,K$1,工数管理!$AA$3:$AA$98,"&lt;="&amp;$H50,工数管理!$AB$3:$AB$98,"")+COUNTIFS(工数管理!$AK$3:$AK$98,K$1,工数管理!$AC$3:$AC$98,"&lt;="&amp;$H50,工数管理!$AD$3:$AD$98,"")+COUNTIFS(工数管理!$AK$3:$AK$98,K$1,工数管理!$AE$3:$AE$98,"&lt;="&amp;$H50,工数管理!$AF$3:$AF$98,"")+COUNTIFS(工数管理!$AK$3:$AK$98,K$1,工数管理!$AG$3:$AG$98,"&lt;="&amp;$H50,工数管理!$AH$3:$AH$98,""))*($H50&lt;=工数管理!$AI$1))</f>
        <v>1</v>
      </c>
      <c r="L50" s="42">
        <f ca="1">IF(L$1="",0,COUNTIFS(工数管理!$AK$3:$AK$98,L$1,工数管理!$K$3:$K$98,"&lt;="&amp;$H50,工数管理!$L$3:$L$98,"&gt;="&amp;$H50)+COUNTIFS(工数管理!$AK$3:$AK$98,L$1,工数管理!$M$3:$M$98,"&lt;="&amp;$H50,工数管理!$N$3:$N$98,"&gt;="&amp;$H50)+COUNTIFS(工数管理!$AK$3:$AK$98,L$1,工数管理!$O$3:$O$98,"&lt;="&amp;$H50,工数管理!$P$3:$P$98,"&gt;="&amp;$H50)+COUNTIFS(工数管理!$AK$3:$AK$98,L$1,工数管理!$Q$3:$Q$98,"&lt;="&amp;$H50,工数管理!$R$3:$R$98,"&gt;="&amp;$H50)+COUNTIFS(工数管理!$AK$3:$AK$98,L$1,工数管理!$S$3:$S$98,"&lt;="&amp;$H50,工数管理!$T$3:$T$98,"&gt;="&amp;$H50)+COUNTIFS(工数管理!$AK$3:$AK$98,L$1,工数管理!$U$3:$U$98,"&lt;="&amp;$H50,工数管理!$V$3:$V$98,"&gt;="&amp;$H50)+COUNTIFS(工数管理!$AK$3:$AK$98,L$1,工数管理!$W$3:$W$98,"&lt;="&amp;$H50,工数管理!$X$3:$X$98,"&gt;="&amp;$H50)+COUNTIFS(工数管理!$AK$3:$AK$98,L$1,工数管理!$Y$3:$Y$98,"&lt;="&amp;$H50,工数管理!$Z$3:$Z$98,"&gt;="&amp;$H50)+COUNTIFS(工数管理!$AK$3:$AK$98,L$1,工数管理!$AA$3:$AA$98,"&lt;="&amp;$H50,工数管理!$AB$3:$AB$98,"&gt;="&amp;$H50)+COUNTIFS(工数管理!$AK$3:$AK$98,L$1,工数管理!$AC$3:$AC$98,"&lt;="&amp;$H50,工数管理!$AD$3:$AD$98,"&gt;="&amp;$H50)+COUNTIFS(工数管理!$AK$3:$AK$98,L$1,工数管理!$AE$3:$AE$98,"&lt;="&amp;$H50,工数管理!$AF$3:$AF$98,"&gt;="&amp;$H50)+COUNTIFS(工数管理!$AK$3:$AK$98,L$1,工数管理!$AG$3:$AG$98,"&lt;="&amp;$H50,工数管理!$AH$3:$AH$98,"&gt;="&amp;$H50)+(COUNTIFS(工数管理!$AK$3:$AK$98,L$1,工数管理!$K$3:$K$98,"&lt;="&amp;$H50,工数管理!$L$3:$L$98,"")+COUNTIFS(工数管理!$AK$3:$AK$98,L$1,工数管理!$M$3:$M$98,"&lt;="&amp;$H50,工数管理!$N$3:$N$98,"")+COUNTIFS(工数管理!$AK$3:$AK$98,L$1,工数管理!$O$3:$O$98,"&lt;="&amp;$H50,工数管理!$P$3:$P$98,"")+COUNTIFS(工数管理!$AK$3:$AK$98,L$1,工数管理!$Q$3:$Q$98,"&lt;="&amp;$H50,工数管理!$R$3:$R$98,"")+COUNTIFS(工数管理!$AK$3:$AK$98,L$1,工数管理!$S$3:$S$98,"&lt;="&amp;$H50,工数管理!$T$3:$T$98,"")+COUNTIFS(工数管理!$AK$3:$AK$98,L$1,工数管理!$U$3:$U$98,"&lt;="&amp;$H50,工数管理!$V$3:$V$98,"")+COUNTIFS(工数管理!$AK$3:$AK$98,L$1,工数管理!$W$3:$W$98,"&lt;="&amp;$H50,工数管理!$X$3:$X$98,"")+COUNTIFS(工数管理!$AK$3:$AK$98,L$1,工数管理!$Y$3:$Y$98,"&lt;="&amp;$H50,工数管理!$Z$3:$Z$98,"")+COUNTIFS(工数管理!$AK$3:$AK$98,L$1,工数管理!$AA$3:$AA$98,"&lt;="&amp;$H50,工数管理!$AB$3:$AB$98,"")+COUNTIFS(工数管理!$AK$3:$AK$98,L$1,工数管理!$AC$3:$AC$98,"&lt;="&amp;$H50,工数管理!$AD$3:$AD$98,"")+COUNTIFS(工数管理!$AK$3:$AK$98,L$1,工数管理!$AE$3:$AE$98,"&lt;="&amp;$H50,工数管理!$AF$3:$AF$98,"")+COUNTIFS(工数管理!$AK$3:$AK$98,L$1,工数管理!$AG$3:$AG$98,"&lt;="&amp;$H50,工数管理!$AH$3:$AH$98,""))*($H50&lt;=工数管理!$AI$1))</f>
        <v>1</v>
      </c>
    </row>
    <row r="51" spans="1:12" x14ac:dyDescent="0.15">
      <c r="A51" s="5">
        <v>46752</v>
      </c>
      <c r="B51" s="6" t="s">
        <v>65</v>
      </c>
      <c r="H51" s="41">
        <f t="shared" si="1"/>
        <v>46219</v>
      </c>
      <c r="I51" s="42">
        <f t="shared" si="0"/>
        <v>1</v>
      </c>
      <c r="J51" s="42">
        <f ca="1">IF(J$1="",0,COUNTIFS(工数管理!$AK$3:$AK$98,J$1,工数管理!$K$3:$K$98,"&lt;="&amp;$H51,工数管理!$L$3:$L$98,"&gt;="&amp;$H51)+COUNTIFS(工数管理!$AK$3:$AK$98,J$1,工数管理!$M$3:$M$98,"&lt;="&amp;$H51,工数管理!$N$3:$N$98,"&gt;="&amp;$H51)+COUNTIFS(工数管理!$AK$3:$AK$98,J$1,工数管理!$O$3:$O$98,"&lt;="&amp;$H51,工数管理!$P$3:$P$98,"&gt;="&amp;$H51)+COUNTIFS(工数管理!$AK$3:$AK$98,J$1,工数管理!$Q$3:$Q$98,"&lt;="&amp;$H51,工数管理!$R$3:$R$98,"&gt;="&amp;$H51)+COUNTIFS(工数管理!$AK$3:$AK$98,J$1,工数管理!$S$3:$S$98,"&lt;="&amp;$H51,工数管理!$T$3:$T$98,"&gt;="&amp;$H51)+COUNTIFS(工数管理!$AK$3:$AK$98,J$1,工数管理!$U$3:$U$98,"&lt;="&amp;$H51,工数管理!$V$3:$V$98,"&gt;="&amp;$H51)+COUNTIFS(工数管理!$AK$3:$AK$98,J$1,工数管理!$W$3:$W$98,"&lt;="&amp;$H51,工数管理!$X$3:$X$98,"&gt;="&amp;$H51)+COUNTIFS(工数管理!$AK$3:$AK$98,J$1,工数管理!$Y$3:$Y$98,"&lt;="&amp;$H51,工数管理!$Z$3:$Z$98,"&gt;="&amp;$H51)+COUNTIFS(工数管理!$AK$3:$AK$98,J$1,工数管理!$AA$3:$AA$98,"&lt;="&amp;$H51,工数管理!$AB$3:$AB$98,"&gt;="&amp;$H51)+COUNTIFS(工数管理!$AK$3:$AK$98,J$1,工数管理!$AC$3:$AC$98,"&lt;="&amp;$H51,工数管理!$AD$3:$AD$98,"&gt;="&amp;$H51)+COUNTIFS(工数管理!$AK$3:$AK$98,J$1,工数管理!$AE$3:$AE$98,"&lt;="&amp;$H51,工数管理!$AF$3:$AF$98,"&gt;="&amp;$H51)+COUNTIFS(工数管理!$AK$3:$AK$98,J$1,工数管理!$AG$3:$AG$98,"&lt;="&amp;$H51,工数管理!$AH$3:$AH$98,"&gt;="&amp;$H51)+(COUNTIFS(工数管理!$AK$3:$AK$98,J$1,工数管理!$K$3:$K$98,"&lt;="&amp;$H51,工数管理!$L$3:$L$98,"")+COUNTIFS(工数管理!$AK$3:$AK$98,J$1,工数管理!$M$3:$M$98,"&lt;="&amp;$H51,工数管理!$N$3:$N$98,"")+COUNTIFS(工数管理!$AK$3:$AK$98,J$1,工数管理!$O$3:$O$98,"&lt;="&amp;$H51,工数管理!$P$3:$P$98,"")+COUNTIFS(工数管理!$AK$3:$AK$98,J$1,工数管理!$Q$3:$Q$98,"&lt;="&amp;$H51,工数管理!$R$3:$R$98,"")+COUNTIFS(工数管理!$AK$3:$AK$98,J$1,工数管理!$S$3:$S$98,"&lt;="&amp;$H51,工数管理!$T$3:$T$98,"")+COUNTIFS(工数管理!$AK$3:$AK$98,J$1,工数管理!$U$3:$U$98,"&lt;="&amp;$H51,工数管理!$V$3:$V$98,"")+COUNTIFS(工数管理!$AK$3:$AK$98,J$1,工数管理!$W$3:$W$98,"&lt;="&amp;$H51,工数管理!$X$3:$X$98,"")+COUNTIFS(工数管理!$AK$3:$AK$98,J$1,工数管理!$Y$3:$Y$98,"&lt;="&amp;$H51,工数管理!$Z$3:$Z$98,"")+COUNTIFS(工数管理!$AK$3:$AK$98,J$1,工数管理!$AA$3:$AA$98,"&lt;="&amp;$H51,工数管理!$AB$3:$AB$98,"")+COUNTIFS(工数管理!$AK$3:$AK$98,J$1,工数管理!$AC$3:$AC$98,"&lt;="&amp;$H51,工数管理!$AD$3:$AD$98,"")+COUNTIFS(工数管理!$AK$3:$AK$98,J$1,工数管理!$AE$3:$AE$98,"&lt;="&amp;$H51,工数管理!$AF$3:$AF$98,"")+COUNTIFS(工数管理!$AK$3:$AK$98,J$1,工数管理!$AG$3:$AG$98,"&lt;="&amp;$H51,工数管理!$AH$3:$AH$98,""))*($H51&lt;=工数管理!$AI$1))</f>
        <v>1</v>
      </c>
      <c r="K51" s="42">
        <f ca="1">IF(K$1="",0,COUNTIFS(工数管理!$AK$3:$AK$98,K$1,工数管理!$K$3:$K$98,"&lt;="&amp;$H51,工数管理!$L$3:$L$98,"&gt;="&amp;$H51)+COUNTIFS(工数管理!$AK$3:$AK$98,K$1,工数管理!$M$3:$M$98,"&lt;="&amp;$H51,工数管理!$N$3:$N$98,"&gt;="&amp;$H51)+COUNTIFS(工数管理!$AK$3:$AK$98,K$1,工数管理!$O$3:$O$98,"&lt;="&amp;$H51,工数管理!$P$3:$P$98,"&gt;="&amp;$H51)+COUNTIFS(工数管理!$AK$3:$AK$98,K$1,工数管理!$Q$3:$Q$98,"&lt;="&amp;$H51,工数管理!$R$3:$R$98,"&gt;="&amp;$H51)+COUNTIFS(工数管理!$AK$3:$AK$98,K$1,工数管理!$S$3:$S$98,"&lt;="&amp;$H51,工数管理!$T$3:$T$98,"&gt;="&amp;$H51)+COUNTIFS(工数管理!$AK$3:$AK$98,K$1,工数管理!$U$3:$U$98,"&lt;="&amp;$H51,工数管理!$V$3:$V$98,"&gt;="&amp;$H51)+COUNTIFS(工数管理!$AK$3:$AK$98,K$1,工数管理!$W$3:$W$98,"&lt;="&amp;$H51,工数管理!$X$3:$X$98,"&gt;="&amp;$H51)+COUNTIFS(工数管理!$AK$3:$AK$98,K$1,工数管理!$Y$3:$Y$98,"&lt;="&amp;$H51,工数管理!$Z$3:$Z$98,"&gt;="&amp;$H51)+COUNTIFS(工数管理!$AK$3:$AK$98,K$1,工数管理!$AA$3:$AA$98,"&lt;="&amp;$H51,工数管理!$AB$3:$AB$98,"&gt;="&amp;$H51)+COUNTIFS(工数管理!$AK$3:$AK$98,K$1,工数管理!$AC$3:$AC$98,"&lt;="&amp;$H51,工数管理!$AD$3:$AD$98,"&gt;="&amp;$H51)+COUNTIFS(工数管理!$AK$3:$AK$98,K$1,工数管理!$AE$3:$AE$98,"&lt;="&amp;$H51,工数管理!$AF$3:$AF$98,"&gt;="&amp;$H51)+COUNTIFS(工数管理!$AK$3:$AK$98,K$1,工数管理!$AG$3:$AG$98,"&lt;="&amp;$H51,工数管理!$AH$3:$AH$98,"&gt;="&amp;$H51)+(COUNTIFS(工数管理!$AK$3:$AK$98,K$1,工数管理!$K$3:$K$98,"&lt;="&amp;$H51,工数管理!$L$3:$L$98,"")+COUNTIFS(工数管理!$AK$3:$AK$98,K$1,工数管理!$M$3:$M$98,"&lt;="&amp;$H51,工数管理!$N$3:$N$98,"")+COUNTIFS(工数管理!$AK$3:$AK$98,K$1,工数管理!$O$3:$O$98,"&lt;="&amp;$H51,工数管理!$P$3:$P$98,"")+COUNTIFS(工数管理!$AK$3:$AK$98,K$1,工数管理!$Q$3:$Q$98,"&lt;="&amp;$H51,工数管理!$R$3:$R$98,"")+COUNTIFS(工数管理!$AK$3:$AK$98,K$1,工数管理!$S$3:$S$98,"&lt;="&amp;$H51,工数管理!$T$3:$T$98,"")+COUNTIFS(工数管理!$AK$3:$AK$98,K$1,工数管理!$U$3:$U$98,"&lt;="&amp;$H51,工数管理!$V$3:$V$98,"")+COUNTIFS(工数管理!$AK$3:$AK$98,K$1,工数管理!$W$3:$W$98,"&lt;="&amp;$H51,工数管理!$X$3:$X$98,"")+COUNTIFS(工数管理!$AK$3:$AK$98,K$1,工数管理!$Y$3:$Y$98,"&lt;="&amp;$H51,工数管理!$Z$3:$Z$98,"")+COUNTIFS(工数管理!$AK$3:$AK$98,K$1,工数管理!$AA$3:$AA$98,"&lt;="&amp;$H51,工数管理!$AB$3:$AB$98,"")+COUNTIFS(工数管理!$AK$3:$AK$98,K$1,工数管理!$AC$3:$AC$98,"&lt;="&amp;$H51,工数管理!$AD$3:$AD$98,"")+COUNTIFS(工数管理!$AK$3:$AK$98,K$1,工数管理!$AE$3:$AE$98,"&lt;="&amp;$H51,工数管理!$AF$3:$AF$98,"")+COUNTIFS(工数管理!$AK$3:$AK$98,K$1,工数管理!$AG$3:$AG$98,"&lt;="&amp;$H51,工数管理!$AH$3:$AH$98,""))*($H51&lt;=工数管理!$AI$1))</f>
        <v>1</v>
      </c>
      <c r="L51" s="42">
        <f ca="1">IF(L$1="",0,COUNTIFS(工数管理!$AK$3:$AK$98,L$1,工数管理!$K$3:$K$98,"&lt;="&amp;$H51,工数管理!$L$3:$L$98,"&gt;="&amp;$H51)+COUNTIFS(工数管理!$AK$3:$AK$98,L$1,工数管理!$M$3:$M$98,"&lt;="&amp;$H51,工数管理!$N$3:$N$98,"&gt;="&amp;$H51)+COUNTIFS(工数管理!$AK$3:$AK$98,L$1,工数管理!$O$3:$O$98,"&lt;="&amp;$H51,工数管理!$P$3:$P$98,"&gt;="&amp;$H51)+COUNTIFS(工数管理!$AK$3:$AK$98,L$1,工数管理!$Q$3:$Q$98,"&lt;="&amp;$H51,工数管理!$R$3:$R$98,"&gt;="&amp;$H51)+COUNTIFS(工数管理!$AK$3:$AK$98,L$1,工数管理!$S$3:$S$98,"&lt;="&amp;$H51,工数管理!$T$3:$T$98,"&gt;="&amp;$H51)+COUNTIFS(工数管理!$AK$3:$AK$98,L$1,工数管理!$U$3:$U$98,"&lt;="&amp;$H51,工数管理!$V$3:$V$98,"&gt;="&amp;$H51)+COUNTIFS(工数管理!$AK$3:$AK$98,L$1,工数管理!$W$3:$W$98,"&lt;="&amp;$H51,工数管理!$X$3:$X$98,"&gt;="&amp;$H51)+COUNTIFS(工数管理!$AK$3:$AK$98,L$1,工数管理!$Y$3:$Y$98,"&lt;="&amp;$H51,工数管理!$Z$3:$Z$98,"&gt;="&amp;$H51)+COUNTIFS(工数管理!$AK$3:$AK$98,L$1,工数管理!$AA$3:$AA$98,"&lt;="&amp;$H51,工数管理!$AB$3:$AB$98,"&gt;="&amp;$H51)+COUNTIFS(工数管理!$AK$3:$AK$98,L$1,工数管理!$AC$3:$AC$98,"&lt;="&amp;$H51,工数管理!$AD$3:$AD$98,"&gt;="&amp;$H51)+COUNTIFS(工数管理!$AK$3:$AK$98,L$1,工数管理!$AE$3:$AE$98,"&lt;="&amp;$H51,工数管理!$AF$3:$AF$98,"&gt;="&amp;$H51)+COUNTIFS(工数管理!$AK$3:$AK$98,L$1,工数管理!$AG$3:$AG$98,"&lt;="&amp;$H51,工数管理!$AH$3:$AH$98,"&gt;="&amp;$H51)+(COUNTIFS(工数管理!$AK$3:$AK$98,L$1,工数管理!$K$3:$K$98,"&lt;="&amp;$H51,工数管理!$L$3:$L$98,"")+COUNTIFS(工数管理!$AK$3:$AK$98,L$1,工数管理!$M$3:$M$98,"&lt;="&amp;$H51,工数管理!$N$3:$N$98,"")+COUNTIFS(工数管理!$AK$3:$AK$98,L$1,工数管理!$O$3:$O$98,"&lt;="&amp;$H51,工数管理!$P$3:$P$98,"")+COUNTIFS(工数管理!$AK$3:$AK$98,L$1,工数管理!$Q$3:$Q$98,"&lt;="&amp;$H51,工数管理!$R$3:$R$98,"")+COUNTIFS(工数管理!$AK$3:$AK$98,L$1,工数管理!$S$3:$S$98,"&lt;="&amp;$H51,工数管理!$T$3:$T$98,"")+COUNTIFS(工数管理!$AK$3:$AK$98,L$1,工数管理!$U$3:$U$98,"&lt;="&amp;$H51,工数管理!$V$3:$V$98,"")+COUNTIFS(工数管理!$AK$3:$AK$98,L$1,工数管理!$W$3:$W$98,"&lt;="&amp;$H51,工数管理!$X$3:$X$98,"")+COUNTIFS(工数管理!$AK$3:$AK$98,L$1,工数管理!$Y$3:$Y$98,"&lt;="&amp;$H51,工数管理!$Z$3:$Z$98,"")+COUNTIFS(工数管理!$AK$3:$AK$98,L$1,工数管理!$AA$3:$AA$98,"&lt;="&amp;$H51,工数管理!$AB$3:$AB$98,"")+COUNTIFS(工数管理!$AK$3:$AK$98,L$1,工数管理!$AC$3:$AC$98,"&lt;="&amp;$H51,工数管理!$AD$3:$AD$98,"")+COUNTIFS(工数管理!$AK$3:$AK$98,L$1,工数管理!$AE$3:$AE$98,"&lt;="&amp;$H51,工数管理!$AF$3:$AF$98,"")+COUNTIFS(工数管理!$AK$3:$AK$98,L$1,工数管理!$AG$3:$AG$98,"&lt;="&amp;$H51,工数管理!$AH$3:$AH$98,""))*($H51&lt;=工数管理!$AI$1))</f>
        <v>1</v>
      </c>
    </row>
    <row r="52" spans="1:12" x14ac:dyDescent="0.15">
      <c r="A52" s="5">
        <v>46753</v>
      </c>
      <c r="B52" s="6" t="s">
        <v>63</v>
      </c>
      <c r="H52" s="41">
        <f t="shared" si="1"/>
        <v>46220</v>
      </c>
      <c r="I52" s="42">
        <f t="shared" si="0"/>
        <v>1</v>
      </c>
      <c r="J52" s="42">
        <f ca="1">IF(J$1="",0,COUNTIFS(工数管理!$AK$3:$AK$98,J$1,工数管理!$K$3:$K$98,"&lt;="&amp;$H52,工数管理!$L$3:$L$98,"&gt;="&amp;$H52)+COUNTIFS(工数管理!$AK$3:$AK$98,J$1,工数管理!$M$3:$M$98,"&lt;="&amp;$H52,工数管理!$N$3:$N$98,"&gt;="&amp;$H52)+COUNTIFS(工数管理!$AK$3:$AK$98,J$1,工数管理!$O$3:$O$98,"&lt;="&amp;$H52,工数管理!$P$3:$P$98,"&gt;="&amp;$H52)+COUNTIFS(工数管理!$AK$3:$AK$98,J$1,工数管理!$Q$3:$Q$98,"&lt;="&amp;$H52,工数管理!$R$3:$R$98,"&gt;="&amp;$H52)+COUNTIFS(工数管理!$AK$3:$AK$98,J$1,工数管理!$S$3:$S$98,"&lt;="&amp;$H52,工数管理!$T$3:$T$98,"&gt;="&amp;$H52)+COUNTIFS(工数管理!$AK$3:$AK$98,J$1,工数管理!$U$3:$U$98,"&lt;="&amp;$H52,工数管理!$V$3:$V$98,"&gt;="&amp;$H52)+COUNTIFS(工数管理!$AK$3:$AK$98,J$1,工数管理!$W$3:$W$98,"&lt;="&amp;$H52,工数管理!$X$3:$X$98,"&gt;="&amp;$H52)+COUNTIFS(工数管理!$AK$3:$AK$98,J$1,工数管理!$Y$3:$Y$98,"&lt;="&amp;$H52,工数管理!$Z$3:$Z$98,"&gt;="&amp;$H52)+COUNTIFS(工数管理!$AK$3:$AK$98,J$1,工数管理!$AA$3:$AA$98,"&lt;="&amp;$H52,工数管理!$AB$3:$AB$98,"&gt;="&amp;$H52)+COUNTIFS(工数管理!$AK$3:$AK$98,J$1,工数管理!$AC$3:$AC$98,"&lt;="&amp;$H52,工数管理!$AD$3:$AD$98,"&gt;="&amp;$H52)+COUNTIFS(工数管理!$AK$3:$AK$98,J$1,工数管理!$AE$3:$AE$98,"&lt;="&amp;$H52,工数管理!$AF$3:$AF$98,"&gt;="&amp;$H52)+COUNTIFS(工数管理!$AK$3:$AK$98,J$1,工数管理!$AG$3:$AG$98,"&lt;="&amp;$H52,工数管理!$AH$3:$AH$98,"&gt;="&amp;$H52)+(COUNTIFS(工数管理!$AK$3:$AK$98,J$1,工数管理!$K$3:$K$98,"&lt;="&amp;$H52,工数管理!$L$3:$L$98,"")+COUNTIFS(工数管理!$AK$3:$AK$98,J$1,工数管理!$M$3:$M$98,"&lt;="&amp;$H52,工数管理!$N$3:$N$98,"")+COUNTIFS(工数管理!$AK$3:$AK$98,J$1,工数管理!$O$3:$O$98,"&lt;="&amp;$H52,工数管理!$P$3:$P$98,"")+COUNTIFS(工数管理!$AK$3:$AK$98,J$1,工数管理!$Q$3:$Q$98,"&lt;="&amp;$H52,工数管理!$R$3:$R$98,"")+COUNTIFS(工数管理!$AK$3:$AK$98,J$1,工数管理!$S$3:$S$98,"&lt;="&amp;$H52,工数管理!$T$3:$T$98,"")+COUNTIFS(工数管理!$AK$3:$AK$98,J$1,工数管理!$U$3:$U$98,"&lt;="&amp;$H52,工数管理!$V$3:$V$98,"")+COUNTIFS(工数管理!$AK$3:$AK$98,J$1,工数管理!$W$3:$W$98,"&lt;="&amp;$H52,工数管理!$X$3:$X$98,"")+COUNTIFS(工数管理!$AK$3:$AK$98,J$1,工数管理!$Y$3:$Y$98,"&lt;="&amp;$H52,工数管理!$Z$3:$Z$98,"")+COUNTIFS(工数管理!$AK$3:$AK$98,J$1,工数管理!$AA$3:$AA$98,"&lt;="&amp;$H52,工数管理!$AB$3:$AB$98,"")+COUNTIFS(工数管理!$AK$3:$AK$98,J$1,工数管理!$AC$3:$AC$98,"&lt;="&amp;$H52,工数管理!$AD$3:$AD$98,"")+COUNTIFS(工数管理!$AK$3:$AK$98,J$1,工数管理!$AE$3:$AE$98,"&lt;="&amp;$H52,工数管理!$AF$3:$AF$98,"")+COUNTIFS(工数管理!$AK$3:$AK$98,J$1,工数管理!$AG$3:$AG$98,"&lt;="&amp;$H52,工数管理!$AH$3:$AH$98,""))*($H52&lt;=工数管理!$AI$1))</f>
        <v>1</v>
      </c>
      <c r="K52" s="42">
        <f ca="1">IF(K$1="",0,COUNTIFS(工数管理!$AK$3:$AK$98,K$1,工数管理!$K$3:$K$98,"&lt;="&amp;$H52,工数管理!$L$3:$L$98,"&gt;="&amp;$H52)+COUNTIFS(工数管理!$AK$3:$AK$98,K$1,工数管理!$M$3:$M$98,"&lt;="&amp;$H52,工数管理!$N$3:$N$98,"&gt;="&amp;$H52)+COUNTIFS(工数管理!$AK$3:$AK$98,K$1,工数管理!$O$3:$O$98,"&lt;="&amp;$H52,工数管理!$P$3:$P$98,"&gt;="&amp;$H52)+COUNTIFS(工数管理!$AK$3:$AK$98,K$1,工数管理!$Q$3:$Q$98,"&lt;="&amp;$H52,工数管理!$R$3:$R$98,"&gt;="&amp;$H52)+COUNTIFS(工数管理!$AK$3:$AK$98,K$1,工数管理!$S$3:$S$98,"&lt;="&amp;$H52,工数管理!$T$3:$T$98,"&gt;="&amp;$H52)+COUNTIFS(工数管理!$AK$3:$AK$98,K$1,工数管理!$U$3:$U$98,"&lt;="&amp;$H52,工数管理!$V$3:$V$98,"&gt;="&amp;$H52)+COUNTIFS(工数管理!$AK$3:$AK$98,K$1,工数管理!$W$3:$W$98,"&lt;="&amp;$H52,工数管理!$X$3:$X$98,"&gt;="&amp;$H52)+COUNTIFS(工数管理!$AK$3:$AK$98,K$1,工数管理!$Y$3:$Y$98,"&lt;="&amp;$H52,工数管理!$Z$3:$Z$98,"&gt;="&amp;$H52)+COUNTIFS(工数管理!$AK$3:$AK$98,K$1,工数管理!$AA$3:$AA$98,"&lt;="&amp;$H52,工数管理!$AB$3:$AB$98,"&gt;="&amp;$H52)+COUNTIFS(工数管理!$AK$3:$AK$98,K$1,工数管理!$AC$3:$AC$98,"&lt;="&amp;$H52,工数管理!$AD$3:$AD$98,"&gt;="&amp;$H52)+COUNTIFS(工数管理!$AK$3:$AK$98,K$1,工数管理!$AE$3:$AE$98,"&lt;="&amp;$H52,工数管理!$AF$3:$AF$98,"&gt;="&amp;$H52)+COUNTIFS(工数管理!$AK$3:$AK$98,K$1,工数管理!$AG$3:$AG$98,"&lt;="&amp;$H52,工数管理!$AH$3:$AH$98,"&gt;="&amp;$H52)+(COUNTIFS(工数管理!$AK$3:$AK$98,K$1,工数管理!$K$3:$K$98,"&lt;="&amp;$H52,工数管理!$L$3:$L$98,"")+COUNTIFS(工数管理!$AK$3:$AK$98,K$1,工数管理!$M$3:$M$98,"&lt;="&amp;$H52,工数管理!$N$3:$N$98,"")+COUNTIFS(工数管理!$AK$3:$AK$98,K$1,工数管理!$O$3:$O$98,"&lt;="&amp;$H52,工数管理!$P$3:$P$98,"")+COUNTIFS(工数管理!$AK$3:$AK$98,K$1,工数管理!$Q$3:$Q$98,"&lt;="&amp;$H52,工数管理!$R$3:$R$98,"")+COUNTIFS(工数管理!$AK$3:$AK$98,K$1,工数管理!$S$3:$S$98,"&lt;="&amp;$H52,工数管理!$T$3:$T$98,"")+COUNTIFS(工数管理!$AK$3:$AK$98,K$1,工数管理!$U$3:$U$98,"&lt;="&amp;$H52,工数管理!$V$3:$V$98,"")+COUNTIFS(工数管理!$AK$3:$AK$98,K$1,工数管理!$W$3:$W$98,"&lt;="&amp;$H52,工数管理!$X$3:$X$98,"")+COUNTIFS(工数管理!$AK$3:$AK$98,K$1,工数管理!$Y$3:$Y$98,"&lt;="&amp;$H52,工数管理!$Z$3:$Z$98,"")+COUNTIFS(工数管理!$AK$3:$AK$98,K$1,工数管理!$AA$3:$AA$98,"&lt;="&amp;$H52,工数管理!$AB$3:$AB$98,"")+COUNTIFS(工数管理!$AK$3:$AK$98,K$1,工数管理!$AC$3:$AC$98,"&lt;="&amp;$H52,工数管理!$AD$3:$AD$98,"")+COUNTIFS(工数管理!$AK$3:$AK$98,K$1,工数管理!$AE$3:$AE$98,"&lt;="&amp;$H52,工数管理!$AF$3:$AF$98,"")+COUNTIFS(工数管理!$AK$3:$AK$98,K$1,工数管理!$AG$3:$AG$98,"&lt;="&amp;$H52,工数管理!$AH$3:$AH$98,""))*($H52&lt;=工数管理!$AI$1))</f>
        <v>1</v>
      </c>
      <c r="L52" s="42">
        <f ca="1">IF(L$1="",0,COUNTIFS(工数管理!$AK$3:$AK$98,L$1,工数管理!$K$3:$K$98,"&lt;="&amp;$H52,工数管理!$L$3:$L$98,"&gt;="&amp;$H52)+COUNTIFS(工数管理!$AK$3:$AK$98,L$1,工数管理!$M$3:$M$98,"&lt;="&amp;$H52,工数管理!$N$3:$N$98,"&gt;="&amp;$H52)+COUNTIFS(工数管理!$AK$3:$AK$98,L$1,工数管理!$O$3:$O$98,"&lt;="&amp;$H52,工数管理!$P$3:$P$98,"&gt;="&amp;$H52)+COUNTIFS(工数管理!$AK$3:$AK$98,L$1,工数管理!$Q$3:$Q$98,"&lt;="&amp;$H52,工数管理!$R$3:$R$98,"&gt;="&amp;$H52)+COUNTIFS(工数管理!$AK$3:$AK$98,L$1,工数管理!$S$3:$S$98,"&lt;="&amp;$H52,工数管理!$T$3:$T$98,"&gt;="&amp;$H52)+COUNTIFS(工数管理!$AK$3:$AK$98,L$1,工数管理!$U$3:$U$98,"&lt;="&amp;$H52,工数管理!$V$3:$V$98,"&gt;="&amp;$H52)+COUNTIFS(工数管理!$AK$3:$AK$98,L$1,工数管理!$W$3:$W$98,"&lt;="&amp;$H52,工数管理!$X$3:$X$98,"&gt;="&amp;$H52)+COUNTIFS(工数管理!$AK$3:$AK$98,L$1,工数管理!$Y$3:$Y$98,"&lt;="&amp;$H52,工数管理!$Z$3:$Z$98,"&gt;="&amp;$H52)+COUNTIFS(工数管理!$AK$3:$AK$98,L$1,工数管理!$AA$3:$AA$98,"&lt;="&amp;$H52,工数管理!$AB$3:$AB$98,"&gt;="&amp;$H52)+COUNTIFS(工数管理!$AK$3:$AK$98,L$1,工数管理!$AC$3:$AC$98,"&lt;="&amp;$H52,工数管理!$AD$3:$AD$98,"&gt;="&amp;$H52)+COUNTIFS(工数管理!$AK$3:$AK$98,L$1,工数管理!$AE$3:$AE$98,"&lt;="&amp;$H52,工数管理!$AF$3:$AF$98,"&gt;="&amp;$H52)+COUNTIFS(工数管理!$AK$3:$AK$98,L$1,工数管理!$AG$3:$AG$98,"&lt;="&amp;$H52,工数管理!$AH$3:$AH$98,"&gt;="&amp;$H52)+(COUNTIFS(工数管理!$AK$3:$AK$98,L$1,工数管理!$K$3:$K$98,"&lt;="&amp;$H52,工数管理!$L$3:$L$98,"")+COUNTIFS(工数管理!$AK$3:$AK$98,L$1,工数管理!$M$3:$M$98,"&lt;="&amp;$H52,工数管理!$N$3:$N$98,"")+COUNTIFS(工数管理!$AK$3:$AK$98,L$1,工数管理!$O$3:$O$98,"&lt;="&amp;$H52,工数管理!$P$3:$P$98,"")+COUNTIFS(工数管理!$AK$3:$AK$98,L$1,工数管理!$Q$3:$Q$98,"&lt;="&amp;$H52,工数管理!$R$3:$R$98,"")+COUNTIFS(工数管理!$AK$3:$AK$98,L$1,工数管理!$S$3:$S$98,"&lt;="&amp;$H52,工数管理!$T$3:$T$98,"")+COUNTIFS(工数管理!$AK$3:$AK$98,L$1,工数管理!$U$3:$U$98,"&lt;="&amp;$H52,工数管理!$V$3:$V$98,"")+COUNTIFS(工数管理!$AK$3:$AK$98,L$1,工数管理!$W$3:$W$98,"&lt;="&amp;$H52,工数管理!$X$3:$X$98,"")+COUNTIFS(工数管理!$AK$3:$AK$98,L$1,工数管理!$Y$3:$Y$98,"&lt;="&amp;$H52,工数管理!$Z$3:$Z$98,"")+COUNTIFS(工数管理!$AK$3:$AK$98,L$1,工数管理!$AA$3:$AA$98,"&lt;="&amp;$H52,工数管理!$AB$3:$AB$98,"")+COUNTIFS(工数管理!$AK$3:$AK$98,L$1,工数管理!$AC$3:$AC$98,"&lt;="&amp;$H52,工数管理!$AD$3:$AD$98,"")+COUNTIFS(工数管理!$AK$3:$AK$98,L$1,工数管理!$AE$3:$AE$98,"&lt;="&amp;$H52,工数管理!$AF$3:$AF$98,"")+COUNTIFS(工数管理!$AK$3:$AK$98,L$1,工数管理!$AG$3:$AG$98,"&lt;="&amp;$H52,工数管理!$AH$3:$AH$98,""))*($H52&lt;=工数管理!$AI$1))</f>
        <v>1</v>
      </c>
    </row>
    <row r="53" spans="1:12" x14ac:dyDescent="0.15">
      <c r="A53" s="5">
        <v>46754</v>
      </c>
      <c r="B53" s="6" t="s">
        <v>65</v>
      </c>
      <c r="H53" s="41">
        <f t="shared" si="1"/>
        <v>46221</v>
      </c>
      <c r="I53" s="42">
        <f t="shared" si="0"/>
        <v>0</v>
      </c>
      <c r="J53" s="42">
        <f ca="1">IF(J$1="",0,COUNTIFS(工数管理!$AK$3:$AK$98,J$1,工数管理!$K$3:$K$98,"&lt;="&amp;$H53,工数管理!$L$3:$L$98,"&gt;="&amp;$H53)+COUNTIFS(工数管理!$AK$3:$AK$98,J$1,工数管理!$M$3:$M$98,"&lt;="&amp;$H53,工数管理!$N$3:$N$98,"&gt;="&amp;$H53)+COUNTIFS(工数管理!$AK$3:$AK$98,J$1,工数管理!$O$3:$O$98,"&lt;="&amp;$H53,工数管理!$P$3:$P$98,"&gt;="&amp;$H53)+COUNTIFS(工数管理!$AK$3:$AK$98,J$1,工数管理!$Q$3:$Q$98,"&lt;="&amp;$H53,工数管理!$R$3:$R$98,"&gt;="&amp;$H53)+COUNTIFS(工数管理!$AK$3:$AK$98,J$1,工数管理!$S$3:$S$98,"&lt;="&amp;$H53,工数管理!$T$3:$T$98,"&gt;="&amp;$H53)+COUNTIFS(工数管理!$AK$3:$AK$98,J$1,工数管理!$U$3:$U$98,"&lt;="&amp;$H53,工数管理!$V$3:$V$98,"&gt;="&amp;$H53)+COUNTIFS(工数管理!$AK$3:$AK$98,J$1,工数管理!$W$3:$W$98,"&lt;="&amp;$H53,工数管理!$X$3:$X$98,"&gt;="&amp;$H53)+COUNTIFS(工数管理!$AK$3:$AK$98,J$1,工数管理!$Y$3:$Y$98,"&lt;="&amp;$H53,工数管理!$Z$3:$Z$98,"&gt;="&amp;$H53)+COUNTIFS(工数管理!$AK$3:$AK$98,J$1,工数管理!$AA$3:$AA$98,"&lt;="&amp;$H53,工数管理!$AB$3:$AB$98,"&gt;="&amp;$H53)+COUNTIFS(工数管理!$AK$3:$AK$98,J$1,工数管理!$AC$3:$AC$98,"&lt;="&amp;$H53,工数管理!$AD$3:$AD$98,"&gt;="&amp;$H53)+COUNTIFS(工数管理!$AK$3:$AK$98,J$1,工数管理!$AE$3:$AE$98,"&lt;="&amp;$H53,工数管理!$AF$3:$AF$98,"&gt;="&amp;$H53)+COUNTIFS(工数管理!$AK$3:$AK$98,J$1,工数管理!$AG$3:$AG$98,"&lt;="&amp;$H53,工数管理!$AH$3:$AH$98,"&gt;="&amp;$H53)+(COUNTIFS(工数管理!$AK$3:$AK$98,J$1,工数管理!$K$3:$K$98,"&lt;="&amp;$H53,工数管理!$L$3:$L$98,"")+COUNTIFS(工数管理!$AK$3:$AK$98,J$1,工数管理!$M$3:$M$98,"&lt;="&amp;$H53,工数管理!$N$3:$N$98,"")+COUNTIFS(工数管理!$AK$3:$AK$98,J$1,工数管理!$O$3:$O$98,"&lt;="&amp;$H53,工数管理!$P$3:$P$98,"")+COUNTIFS(工数管理!$AK$3:$AK$98,J$1,工数管理!$Q$3:$Q$98,"&lt;="&amp;$H53,工数管理!$R$3:$R$98,"")+COUNTIFS(工数管理!$AK$3:$AK$98,J$1,工数管理!$S$3:$S$98,"&lt;="&amp;$H53,工数管理!$T$3:$T$98,"")+COUNTIFS(工数管理!$AK$3:$AK$98,J$1,工数管理!$U$3:$U$98,"&lt;="&amp;$H53,工数管理!$V$3:$V$98,"")+COUNTIFS(工数管理!$AK$3:$AK$98,J$1,工数管理!$W$3:$W$98,"&lt;="&amp;$H53,工数管理!$X$3:$X$98,"")+COUNTIFS(工数管理!$AK$3:$AK$98,J$1,工数管理!$Y$3:$Y$98,"&lt;="&amp;$H53,工数管理!$Z$3:$Z$98,"")+COUNTIFS(工数管理!$AK$3:$AK$98,J$1,工数管理!$AA$3:$AA$98,"&lt;="&amp;$H53,工数管理!$AB$3:$AB$98,"")+COUNTIFS(工数管理!$AK$3:$AK$98,J$1,工数管理!$AC$3:$AC$98,"&lt;="&amp;$H53,工数管理!$AD$3:$AD$98,"")+COUNTIFS(工数管理!$AK$3:$AK$98,J$1,工数管理!$AE$3:$AE$98,"&lt;="&amp;$H53,工数管理!$AF$3:$AF$98,"")+COUNTIFS(工数管理!$AK$3:$AK$98,J$1,工数管理!$AG$3:$AG$98,"&lt;="&amp;$H53,工数管理!$AH$3:$AH$98,""))*($H53&lt;=工数管理!$AI$1))</f>
        <v>1</v>
      </c>
      <c r="K53" s="42">
        <f ca="1">IF(K$1="",0,COUNTIFS(工数管理!$AK$3:$AK$98,K$1,工数管理!$K$3:$K$98,"&lt;="&amp;$H53,工数管理!$L$3:$L$98,"&gt;="&amp;$H53)+COUNTIFS(工数管理!$AK$3:$AK$98,K$1,工数管理!$M$3:$M$98,"&lt;="&amp;$H53,工数管理!$N$3:$N$98,"&gt;="&amp;$H53)+COUNTIFS(工数管理!$AK$3:$AK$98,K$1,工数管理!$O$3:$O$98,"&lt;="&amp;$H53,工数管理!$P$3:$P$98,"&gt;="&amp;$H53)+COUNTIFS(工数管理!$AK$3:$AK$98,K$1,工数管理!$Q$3:$Q$98,"&lt;="&amp;$H53,工数管理!$R$3:$R$98,"&gt;="&amp;$H53)+COUNTIFS(工数管理!$AK$3:$AK$98,K$1,工数管理!$S$3:$S$98,"&lt;="&amp;$H53,工数管理!$T$3:$T$98,"&gt;="&amp;$H53)+COUNTIFS(工数管理!$AK$3:$AK$98,K$1,工数管理!$U$3:$U$98,"&lt;="&amp;$H53,工数管理!$V$3:$V$98,"&gt;="&amp;$H53)+COUNTIFS(工数管理!$AK$3:$AK$98,K$1,工数管理!$W$3:$W$98,"&lt;="&amp;$H53,工数管理!$X$3:$X$98,"&gt;="&amp;$H53)+COUNTIFS(工数管理!$AK$3:$AK$98,K$1,工数管理!$Y$3:$Y$98,"&lt;="&amp;$H53,工数管理!$Z$3:$Z$98,"&gt;="&amp;$H53)+COUNTIFS(工数管理!$AK$3:$AK$98,K$1,工数管理!$AA$3:$AA$98,"&lt;="&amp;$H53,工数管理!$AB$3:$AB$98,"&gt;="&amp;$H53)+COUNTIFS(工数管理!$AK$3:$AK$98,K$1,工数管理!$AC$3:$AC$98,"&lt;="&amp;$H53,工数管理!$AD$3:$AD$98,"&gt;="&amp;$H53)+COUNTIFS(工数管理!$AK$3:$AK$98,K$1,工数管理!$AE$3:$AE$98,"&lt;="&amp;$H53,工数管理!$AF$3:$AF$98,"&gt;="&amp;$H53)+COUNTIFS(工数管理!$AK$3:$AK$98,K$1,工数管理!$AG$3:$AG$98,"&lt;="&amp;$H53,工数管理!$AH$3:$AH$98,"&gt;="&amp;$H53)+(COUNTIFS(工数管理!$AK$3:$AK$98,K$1,工数管理!$K$3:$K$98,"&lt;="&amp;$H53,工数管理!$L$3:$L$98,"")+COUNTIFS(工数管理!$AK$3:$AK$98,K$1,工数管理!$M$3:$M$98,"&lt;="&amp;$H53,工数管理!$N$3:$N$98,"")+COUNTIFS(工数管理!$AK$3:$AK$98,K$1,工数管理!$O$3:$O$98,"&lt;="&amp;$H53,工数管理!$P$3:$P$98,"")+COUNTIFS(工数管理!$AK$3:$AK$98,K$1,工数管理!$Q$3:$Q$98,"&lt;="&amp;$H53,工数管理!$R$3:$R$98,"")+COUNTIFS(工数管理!$AK$3:$AK$98,K$1,工数管理!$S$3:$S$98,"&lt;="&amp;$H53,工数管理!$T$3:$T$98,"")+COUNTIFS(工数管理!$AK$3:$AK$98,K$1,工数管理!$U$3:$U$98,"&lt;="&amp;$H53,工数管理!$V$3:$V$98,"")+COUNTIFS(工数管理!$AK$3:$AK$98,K$1,工数管理!$W$3:$W$98,"&lt;="&amp;$H53,工数管理!$X$3:$X$98,"")+COUNTIFS(工数管理!$AK$3:$AK$98,K$1,工数管理!$Y$3:$Y$98,"&lt;="&amp;$H53,工数管理!$Z$3:$Z$98,"")+COUNTIFS(工数管理!$AK$3:$AK$98,K$1,工数管理!$AA$3:$AA$98,"&lt;="&amp;$H53,工数管理!$AB$3:$AB$98,"")+COUNTIFS(工数管理!$AK$3:$AK$98,K$1,工数管理!$AC$3:$AC$98,"&lt;="&amp;$H53,工数管理!$AD$3:$AD$98,"")+COUNTIFS(工数管理!$AK$3:$AK$98,K$1,工数管理!$AE$3:$AE$98,"&lt;="&amp;$H53,工数管理!$AF$3:$AF$98,"")+COUNTIFS(工数管理!$AK$3:$AK$98,K$1,工数管理!$AG$3:$AG$98,"&lt;="&amp;$H53,工数管理!$AH$3:$AH$98,""))*($H53&lt;=工数管理!$AI$1))</f>
        <v>1</v>
      </c>
      <c r="L53" s="42">
        <f ca="1">IF(L$1="",0,COUNTIFS(工数管理!$AK$3:$AK$98,L$1,工数管理!$K$3:$K$98,"&lt;="&amp;$H53,工数管理!$L$3:$L$98,"&gt;="&amp;$H53)+COUNTIFS(工数管理!$AK$3:$AK$98,L$1,工数管理!$M$3:$M$98,"&lt;="&amp;$H53,工数管理!$N$3:$N$98,"&gt;="&amp;$H53)+COUNTIFS(工数管理!$AK$3:$AK$98,L$1,工数管理!$O$3:$O$98,"&lt;="&amp;$H53,工数管理!$P$3:$P$98,"&gt;="&amp;$H53)+COUNTIFS(工数管理!$AK$3:$AK$98,L$1,工数管理!$Q$3:$Q$98,"&lt;="&amp;$H53,工数管理!$R$3:$R$98,"&gt;="&amp;$H53)+COUNTIFS(工数管理!$AK$3:$AK$98,L$1,工数管理!$S$3:$S$98,"&lt;="&amp;$H53,工数管理!$T$3:$T$98,"&gt;="&amp;$H53)+COUNTIFS(工数管理!$AK$3:$AK$98,L$1,工数管理!$U$3:$U$98,"&lt;="&amp;$H53,工数管理!$V$3:$V$98,"&gt;="&amp;$H53)+COUNTIFS(工数管理!$AK$3:$AK$98,L$1,工数管理!$W$3:$W$98,"&lt;="&amp;$H53,工数管理!$X$3:$X$98,"&gt;="&amp;$H53)+COUNTIFS(工数管理!$AK$3:$AK$98,L$1,工数管理!$Y$3:$Y$98,"&lt;="&amp;$H53,工数管理!$Z$3:$Z$98,"&gt;="&amp;$H53)+COUNTIFS(工数管理!$AK$3:$AK$98,L$1,工数管理!$AA$3:$AA$98,"&lt;="&amp;$H53,工数管理!$AB$3:$AB$98,"&gt;="&amp;$H53)+COUNTIFS(工数管理!$AK$3:$AK$98,L$1,工数管理!$AC$3:$AC$98,"&lt;="&amp;$H53,工数管理!$AD$3:$AD$98,"&gt;="&amp;$H53)+COUNTIFS(工数管理!$AK$3:$AK$98,L$1,工数管理!$AE$3:$AE$98,"&lt;="&amp;$H53,工数管理!$AF$3:$AF$98,"&gt;="&amp;$H53)+COUNTIFS(工数管理!$AK$3:$AK$98,L$1,工数管理!$AG$3:$AG$98,"&lt;="&amp;$H53,工数管理!$AH$3:$AH$98,"&gt;="&amp;$H53)+(COUNTIFS(工数管理!$AK$3:$AK$98,L$1,工数管理!$K$3:$K$98,"&lt;="&amp;$H53,工数管理!$L$3:$L$98,"")+COUNTIFS(工数管理!$AK$3:$AK$98,L$1,工数管理!$M$3:$M$98,"&lt;="&amp;$H53,工数管理!$N$3:$N$98,"")+COUNTIFS(工数管理!$AK$3:$AK$98,L$1,工数管理!$O$3:$O$98,"&lt;="&amp;$H53,工数管理!$P$3:$P$98,"")+COUNTIFS(工数管理!$AK$3:$AK$98,L$1,工数管理!$Q$3:$Q$98,"&lt;="&amp;$H53,工数管理!$R$3:$R$98,"")+COUNTIFS(工数管理!$AK$3:$AK$98,L$1,工数管理!$S$3:$S$98,"&lt;="&amp;$H53,工数管理!$T$3:$T$98,"")+COUNTIFS(工数管理!$AK$3:$AK$98,L$1,工数管理!$U$3:$U$98,"&lt;="&amp;$H53,工数管理!$V$3:$V$98,"")+COUNTIFS(工数管理!$AK$3:$AK$98,L$1,工数管理!$W$3:$W$98,"&lt;="&amp;$H53,工数管理!$X$3:$X$98,"")+COUNTIFS(工数管理!$AK$3:$AK$98,L$1,工数管理!$Y$3:$Y$98,"&lt;="&amp;$H53,工数管理!$Z$3:$Z$98,"")+COUNTIFS(工数管理!$AK$3:$AK$98,L$1,工数管理!$AA$3:$AA$98,"&lt;="&amp;$H53,工数管理!$AB$3:$AB$98,"")+COUNTIFS(工数管理!$AK$3:$AK$98,L$1,工数管理!$AC$3:$AC$98,"&lt;="&amp;$H53,工数管理!$AD$3:$AD$98,"")+COUNTIFS(工数管理!$AK$3:$AK$98,L$1,工数管理!$AE$3:$AE$98,"&lt;="&amp;$H53,工数管理!$AF$3:$AF$98,"")+COUNTIFS(工数管理!$AK$3:$AK$98,L$1,工数管理!$AG$3:$AG$98,"&lt;="&amp;$H53,工数管理!$AH$3:$AH$98,""))*($H53&lt;=工数管理!$AI$1))</f>
        <v>1</v>
      </c>
    </row>
    <row r="54" spans="1:12" x14ac:dyDescent="0.15">
      <c r="A54" s="5">
        <v>46755</v>
      </c>
      <c r="B54" s="6" t="s">
        <v>65</v>
      </c>
      <c r="H54" s="41">
        <f t="shared" si="1"/>
        <v>46222</v>
      </c>
      <c r="I54" s="42">
        <f t="shared" si="0"/>
        <v>0</v>
      </c>
      <c r="J54" s="42">
        <f ca="1">IF(J$1="",0,COUNTIFS(工数管理!$AK$3:$AK$98,J$1,工数管理!$K$3:$K$98,"&lt;="&amp;$H54,工数管理!$L$3:$L$98,"&gt;="&amp;$H54)+COUNTIFS(工数管理!$AK$3:$AK$98,J$1,工数管理!$M$3:$M$98,"&lt;="&amp;$H54,工数管理!$N$3:$N$98,"&gt;="&amp;$H54)+COUNTIFS(工数管理!$AK$3:$AK$98,J$1,工数管理!$O$3:$O$98,"&lt;="&amp;$H54,工数管理!$P$3:$P$98,"&gt;="&amp;$H54)+COUNTIFS(工数管理!$AK$3:$AK$98,J$1,工数管理!$Q$3:$Q$98,"&lt;="&amp;$H54,工数管理!$R$3:$R$98,"&gt;="&amp;$H54)+COUNTIFS(工数管理!$AK$3:$AK$98,J$1,工数管理!$S$3:$S$98,"&lt;="&amp;$H54,工数管理!$T$3:$T$98,"&gt;="&amp;$H54)+COUNTIFS(工数管理!$AK$3:$AK$98,J$1,工数管理!$U$3:$U$98,"&lt;="&amp;$H54,工数管理!$V$3:$V$98,"&gt;="&amp;$H54)+COUNTIFS(工数管理!$AK$3:$AK$98,J$1,工数管理!$W$3:$W$98,"&lt;="&amp;$H54,工数管理!$X$3:$X$98,"&gt;="&amp;$H54)+COUNTIFS(工数管理!$AK$3:$AK$98,J$1,工数管理!$Y$3:$Y$98,"&lt;="&amp;$H54,工数管理!$Z$3:$Z$98,"&gt;="&amp;$H54)+COUNTIFS(工数管理!$AK$3:$AK$98,J$1,工数管理!$AA$3:$AA$98,"&lt;="&amp;$H54,工数管理!$AB$3:$AB$98,"&gt;="&amp;$H54)+COUNTIFS(工数管理!$AK$3:$AK$98,J$1,工数管理!$AC$3:$AC$98,"&lt;="&amp;$H54,工数管理!$AD$3:$AD$98,"&gt;="&amp;$H54)+COUNTIFS(工数管理!$AK$3:$AK$98,J$1,工数管理!$AE$3:$AE$98,"&lt;="&amp;$H54,工数管理!$AF$3:$AF$98,"&gt;="&amp;$H54)+COUNTIFS(工数管理!$AK$3:$AK$98,J$1,工数管理!$AG$3:$AG$98,"&lt;="&amp;$H54,工数管理!$AH$3:$AH$98,"&gt;="&amp;$H54)+(COUNTIFS(工数管理!$AK$3:$AK$98,J$1,工数管理!$K$3:$K$98,"&lt;="&amp;$H54,工数管理!$L$3:$L$98,"")+COUNTIFS(工数管理!$AK$3:$AK$98,J$1,工数管理!$M$3:$M$98,"&lt;="&amp;$H54,工数管理!$N$3:$N$98,"")+COUNTIFS(工数管理!$AK$3:$AK$98,J$1,工数管理!$O$3:$O$98,"&lt;="&amp;$H54,工数管理!$P$3:$P$98,"")+COUNTIFS(工数管理!$AK$3:$AK$98,J$1,工数管理!$Q$3:$Q$98,"&lt;="&amp;$H54,工数管理!$R$3:$R$98,"")+COUNTIFS(工数管理!$AK$3:$AK$98,J$1,工数管理!$S$3:$S$98,"&lt;="&amp;$H54,工数管理!$T$3:$T$98,"")+COUNTIFS(工数管理!$AK$3:$AK$98,J$1,工数管理!$U$3:$U$98,"&lt;="&amp;$H54,工数管理!$V$3:$V$98,"")+COUNTIFS(工数管理!$AK$3:$AK$98,J$1,工数管理!$W$3:$W$98,"&lt;="&amp;$H54,工数管理!$X$3:$X$98,"")+COUNTIFS(工数管理!$AK$3:$AK$98,J$1,工数管理!$Y$3:$Y$98,"&lt;="&amp;$H54,工数管理!$Z$3:$Z$98,"")+COUNTIFS(工数管理!$AK$3:$AK$98,J$1,工数管理!$AA$3:$AA$98,"&lt;="&amp;$H54,工数管理!$AB$3:$AB$98,"")+COUNTIFS(工数管理!$AK$3:$AK$98,J$1,工数管理!$AC$3:$AC$98,"&lt;="&amp;$H54,工数管理!$AD$3:$AD$98,"")+COUNTIFS(工数管理!$AK$3:$AK$98,J$1,工数管理!$AE$3:$AE$98,"&lt;="&amp;$H54,工数管理!$AF$3:$AF$98,"")+COUNTIFS(工数管理!$AK$3:$AK$98,J$1,工数管理!$AG$3:$AG$98,"&lt;="&amp;$H54,工数管理!$AH$3:$AH$98,""))*($H54&lt;=工数管理!$AI$1))</f>
        <v>1</v>
      </c>
      <c r="K54" s="42">
        <f ca="1">IF(K$1="",0,COUNTIFS(工数管理!$AK$3:$AK$98,K$1,工数管理!$K$3:$K$98,"&lt;="&amp;$H54,工数管理!$L$3:$L$98,"&gt;="&amp;$H54)+COUNTIFS(工数管理!$AK$3:$AK$98,K$1,工数管理!$M$3:$M$98,"&lt;="&amp;$H54,工数管理!$N$3:$N$98,"&gt;="&amp;$H54)+COUNTIFS(工数管理!$AK$3:$AK$98,K$1,工数管理!$O$3:$O$98,"&lt;="&amp;$H54,工数管理!$P$3:$P$98,"&gt;="&amp;$H54)+COUNTIFS(工数管理!$AK$3:$AK$98,K$1,工数管理!$Q$3:$Q$98,"&lt;="&amp;$H54,工数管理!$R$3:$R$98,"&gt;="&amp;$H54)+COUNTIFS(工数管理!$AK$3:$AK$98,K$1,工数管理!$S$3:$S$98,"&lt;="&amp;$H54,工数管理!$T$3:$T$98,"&gt;="&amp;$H54)+COUNTIFS(工数管理!$AK$3:$AK$98,K$1,工数管理!$U$3:$U$98,"&lt;="&amp;$H54,工数管理!$V$3:$V$98,"&gt;="&amp;$H54)+COUNTIFS(工数管理!$AK$3:$AK$98,K$1,工数管理!$W$3:$W$98,"&lt;="&amp;$H54,工数管理!$X$3:$X$98,"&gt;="&amp;$H54)+COUNTIFS(工数管理!$AK$3:$AK$98,K$1,工数管理!$Y$3:$Y$98,"&lt;="&amp;$H54,工数管理!$Z$3:$Z$98,"&gt;="&amp;$H54)+COUNTIFS(工数管理!$AK$3:$AK$98,K$1,工数管理!$AA$3:$AA$98,"&lt;="&amp;$H54,工数管理!$AB$3:$AB$98,"&gt;="&amp;$H54)+COUNTIFS(工数管理!$AK$3:$AK$98,K$1,工数管理!$AC$3:$AC$98,"&lt;="&amp;$H54,工数管理!$AD$3:$AD$98,"&gt;="&amp;$H54)+COUNTIFS(工数管理!$AK$3:$AK$98,K$1,工数管理!$AE$3:$AE$98,"&lt;="&amp;$H54,工数管理!$AF$3:$AF$98,"&gt;="&amp;$H54)+COUNTIFS(工数管理!$AK$3:$AK$98,K$1,工数管理!$AG$3:$AG$98,"&lt;="&amp;$H54,工数管理!$AH$3:$AH$98,"&gt;="&amp;$H54)+(COUNTIFS(工数管理!$AK$3:$AK$98,K$1,工数管理!$K$3:$K$98,"&lt;="&amp;$H54,工数管理!$L$3:$L$98,"")+COUNTIFS(工数管理!$AK$3:$AK$98,K$1,工数管理!$M$3:$M$98,"&lt;="&amp;$H54,工数管理!$N$3:$N$98,"")+COUNTIFS(工数管理!$AK$3:$AK$98,K$1,工数管理!$O$3:$O$98,"&lt;="&amp;$H54,工数管理!$P$3:$P$98,"")+COUNTIFS(工数管理!$AK$3:$AK$98,K$1,工数管理!$Q$3:$Q$98,"&lt;="&amp;$H54,工数管理!$R$3:$R$98,"")+COUNTIFS(工数管理!$AK$3:$AK$98,K$1,工数管理!$S$3:$S$98,"&lt;="&amp;$H54,工数管理!$T$3:$T$98,"")+COUNTIFS(工数管理!$AK$3:$AK$98,K$1,工数管理!$U$3:$U$98,"&lt;="&amp;$H54,工数管理!$V$3:$V$98,"")+COUNTIFS(工数管理!$AK$3:$AK$98,K$1,工数管理!$W$3:$W$98,"&lt;="&amp;$H54,工数管理!$X$3:$X$98,"")+COUNTIFS(工数管理!$AK$3:$AK$98,K$1,工数管理!$Y$3:$Y$98,"&lt;="&amp;$H54,工数管理!$Z$3:$Z$98,"")+COUNTIFS(工数管理!$AK$3:$AK$98,K$1,工数管理!$AA$3:$AA$98,"&lt;="&amp;$H54,工数管理!$AB$3:$AB$98,"")+COUNTIFS(工数管理!$AK$3:$AK$98,K$1,工数管理!$AC$3:$AC$98,"&lt;="&amp;$H54,工数管理!$AD$3:$AD$98,"")+COUNTIFS(工数管理!$AK$3:$AK$98,K$1,工数管理!$AE$3:$AE$98,"&lt;="&amp;$H54,工数管理!$AF$3:$AF$98,"")+COUNTIFS(工数管理!$AK$3:$AK$98,K$1,工数管理!$AG$3:$AG$98,"&lt;="&amp;$H54,工数管理!$AH$3:$AH$98,""))*($H54&lt;=工数管理!$AI$1))</f>
        <v>1</v>
      </c>
      <c r="L54" s="42">
        <f ca="1">IF(L$1="",0,COUNTIFS(工数管理!$AK$3:$AK$98,L$1,工数管理!$K$3:$K$98,"&lt;="&amp;$H54,工数管理!$L$3:$L$98,"&gt;="&amp;$H54)+COUNTIFS(工数管理!$AK$3:$AK$98,L$1,工数管理!$M$3:$M$98,"&lt;="&amp;$H54,工数管理!$N$3:$N$98,"&gt;="&amp;$H54)+COUNTIFS(工数管理!$AK$3:$AK$98,L$1,工数管理!$O$3:$O$98,"&lt;="&amp;$H54,工数管理!$P$3:$P$98,"&gt;="&amp;$H54)+COUNTIFS(工数管理!$AK$3:$AK$98,L$1,工数管理!$Q$3:$Q$98,"&lt;="&amp;$H54,工数管理!$R$3:$R$98,"&gt;="&amp;$H54)+COUNTIFS(工数管理!$AK$3:$AK$98,L$1,工数管理!$S$3:$S$98,"&lt;="&amp;$H54,工数管理!$T$3:$T$98,"&gt;="&amp;$H54)+COUNTIFS(工数管理!$AK$3:$AK$98,L$1,工数管理!$U$3:$U$98,"&lt;="&amp;$H54,工数管理!$V$3:$V$98,"&gt;="&amp;$H54)+COUNTIFS(工数管理!$AK$3:$AK$98,L$1,工数管理!$W$3:$W$98,"&lt;="&amp;$H54,工数管理!$X$3:$X$98,"&gt;="&amp;$H54)+COUNTIFS(工数管理!$AK$3:$AK$98,L$1,工数管理!$Y$3:$Y$98,"&lt;="&amp;$H54,工数管理!$Z$3:$Z$98,"&gt;="&amp;$H54)+COUNTIFS(工数管理!$AK$3:$AK$98,L$1,工数管理!$AA$3:$AA$98,"&lt;="&amp;$H54,工数管理!$AB$3:$AB$98,"&gt;="&amp;$H54)+COUNTIFS(工数管理!$AK$3:$AK$98,L$1,工数管理!$AC$3:$AC$98,"&lt;="&amp;$H54,工数管理!$AD$3:$AD$98,"&gt;="&amp;$H54)+COUNTIFS(工数管理!$AK$3:$AK$98,L$1,工数管理!$AE$3:$AE$98,"&lt;="&amp;$H54,工数管理!$AF$3:$AF$98,"&gt;="&amp;$H54)+COUNTIFS(工数管理!$AK$3:$AK$98,L$1,工数管理!$AG$3:$AG$98,"&lt;="&amp;$H54,工数管理!$AH$3:$AH$98,"&gt;="&amp;$H54)+(COUNTIFS(工数管理!$AK$3:$AK$98,L$1,工数管理!$K$3:$K$98,"&lt;="&amp;$H54,工数管理!$L$3:$L$98,"")+COUNTIFS(工数管理!$AK$3:$AK$98,L$1,工数管理!$M$3:$M$98,"&lt;="&amp;$H54,工数管理!$N$3:$N$98,"")+COUNTIFS(工数管理!$AK$3:$AK$98,L$1,工数管理!$O$3:$O$98,"&lt;="&amp;$H54,工数管理!$P$3:$P$98,"")+COUNTIFS(工数管理!$AK$3:$AK$98,L$1,工数管理!$Q$3:$Q$98,"&lt;="&amp;$H54,工数管理!$R$3:$R$98,"")+COUNTIFS(工数管理!$AK$3:$AK$98,L$1,工数管理!$S$3:$S$98,"&lt;="&amp;$H54,工数管理!$T$3:$T$98,"")+COUNTIFS(工数管理!$AK$3:$AK$98,L$1,工数管理!$U$3:$U$98,"&lt;="&amp;$H54,工数管理!$V$3:$V$98,"")+COUNTIFS(工数管理!$AK$3:$AK$98,L$1,工数管理!$W$3:$W$98,"&lt;="&amp;$H54,工数管理!$X$3:$X$98,"")+COUNTIFS(工数管理!$AK$3:$AK$98,L$1,工数管理!$Y$3:$Y$98,"&lt;="&amp;$H54,工数管理!$Z$3:$Z$98,"")+COUNTIFS(工数管理!$AK$3:$AK$98,L$1,工数管理!$AA$3:$AA$98,"&lt;="&amp;$H54,工数管理!$AB$3:$AB$98,"")+COUNTIFS(工数管理!$AK$3:$AK$98,L$1,工数管理!$AC$3:$AC$98,"&lt;="&amp;$H54,工数管理!$AD$3:$AD$98,"")+COUNTIFS(工数管理!$AK$3:$AK$98,L$1,工数管理!$AE$3:$AE$98,"&lt;="&amp;$H54,工数管理!$AF$3:$AF$98,"")+COUNTIFS(工数管理!$AK$3:$AK$98,L$1,工数管理!$AG$3:$AG$98,"&lt;="&amp;$H54,工数管理!$AH$3:$AH$98,""))*($H54&lt;=工数管理!$AI$1))</f>
        <v>1</v>
      </c>
    </row>
    <row r="55" spans="1:12" x14ac:dyDescent="0.15">
      <c r="A55" s="5">
        <v>46756</v>
      </c>
      <c r="B55" s="6" t="s">
        <v>65</v>
      </c>
      <c r="H55" s="41">
        <f t="shared" si="1"/>
        <v>46223</v>
      </c>
      <c r="I55" s="42">
        <f t="shared" si="0"/>
        <v>0</v>
      </c>
      <c r="J55" s="42">
        <f ca="1">IF(J$1="",0,COUNTIFS(工数管理!$AK$3:$AK$98,J$1,工数管理!$K$3:$K$98,"&lt;="&amp;$H55,工数管理!$L$3:$L$98,"&gt;="&amp;$H55)+COUNTIFS(工数管理!$AK$3:$AK$98,J$1,工数管理!$M$3:$M$98,"&lt;="&amp;$H55,工数管理!$N$3:$N$98,"&gt;="&amp;$H55)+COUNTIFS(工数管理!$AK$3:$AK$98,J$1,工数管理!$O$3:$O$98,"&lt;="&amp;$H55,工数管理!$P$3:$P$98,"&gt;="&amp;$H55)+COUNTIFS(工数管理!$AK$3:$AK$98,J$1,工数管理!$Q$3:$Q$98,"&lt;="&amp;$H55,工数管理!$R$3:$R$98,"&gt;="&amp;$H55)+COUNTIFS(工数管理!$AK$3:$AK$98,J$1,工数管理!$S$3:$S$98,"&lt;="&amp;$H55,工数管理!$T$3:$T$98,"&gt;="&amp;$H55)+COUNTIFS(工数管理!$AK$3:$AK$98,J$1,工数管理!$U$3:$U$98,"&lt;="&amp;$H55,工数管理!$V$3:$V$98,"&gt;="&amp;$H55)+COUNTIFS(工数管理!$AK$3:$AK$98,J$1,工数管理!$W$3:$W$98,"&lt;="&amp;$H55,工数管理!$X$3:$X$98,"&gt;="&amp;$H55)+COUNTIFS(工数管理!$AK$3:$AK$98,J$1,工数管理!$Y$3:$Y$98,"&lt;="&amp;$H55,工数管理!$Z$3:$Z$98,"&gt;="&amp;$H55)+COUNTIFS(工数管理!$AK$3:$AK$98,J$1,工数管理!$AA$3:$AA$98,"&lt;="&amp;$H55,工数管理!$AB$3:$AB$98,"&gt;="&amp;$H55)+COUNTIFS(工数管理!$AK$3:$AK$98,J$1,工数管理!$AC$3:$AC$98,"&lt;="&amp;$H55,工数管理!$AD$3:$AD$98,"&gt;="&amp;$H55)+COUNTIFS(工数管理!$AK$3:$AK$98,J$1,工数管理!$AE$3:$AE$98,"&lt;="&amp;$H55,工数管理!$AF$3:$AF$98,"&gt;="&amp;$H55)+COUNTIFS(工数管理!$AK$3:$AK$98,J$1,工数管理!$AG$3:$AG$98,"&lt;="&amp;$H55,工数管理!$AH$3:$AH$98,"&gt;="&amp;$H55)+(COUNTIFS(工数管理!$AK$3:$AK$98,J$1,工数管理!$K$3:$K$98,"&lt;="&amp;$H55,工数管理!$L$3:$L$98,"")+COUNTIFS(工数管理!$AK$3:$AK$98,J$1,工数管理!$M$3:$M$98,"&lt;="&amp;$H55,工数管理!$N$3:$N$98,"")+COUNTIFS(工数管理!$AK$3:$AK$98,J$1,工数管理!$O$3:$O$98,"&lt;="&amp;$H55,工数管理!$P$3:$P$98,"")+COUNTIFS(工数管理!$AK$3:$AK$98,J$1,工数管理!$Q$3:$Q$98,"&lt;="&amp;$H55,工数管理!$R$3:$R$98,"")+COUNTIFS(工数管理!$AK$3:$AK$98,J$1,工数管理!$S$3:$S$98,"&lt;="&amp;$H55,工数管理!$T$3:$T$98,"")+COUNTIFS(工数管理!$AK$3:$AK$98,J$1,工数管理!$U$3:$U$98,"&lt;="&amp;$H55,工数管理!$V$3:$V$98,"")+COUNTIFS(工数管理!$AK$3:$AK$98,J$1,工数管理!$W$3:$W$98,"&lt;="&amp;$H55,工数管理!$X$3:$X$98,"")+COUNTIFS(工数管理!$AK$3:$AK$98,J$1,工数管理!$Y$3:$Y$98,"&lt;="&amp;$H55,工数管理!$Z$3:$Z$98,"")+COUNTIFS(工数管理!$AK$3:$AK$98,J$1,工数管理!$AA$3:$AA$98,"&lt;="&amp;$H55,工数管理!$AB$3:$AB$98,"")+COUNTIFS(工数管理!$AK$3:$AK$98,J$1,工数管理!$AC$3:$AC$98,"&lt;="&amp;$H55,工数管理!$AD$3:$AD$98,"")+COUNTIFS(工数管理!$AK$3:$AK$98,J$1,工数管理!$AE$3:$AE$98,"&lt;="&amp;$H55,工数管理!$AF$3:$AF$98,"")+COUNTIFS(工数管理!$AK$3:$AK$98,J$1,工数管理!$AG$3:$AG$98,"&lt;="&amp;$H55,工数管理!$AH$3:$AH$98,""))*($H55&lt;=工数管理!$AI$1))</f>
        <v>1</v>
      </c>
      <c r="K55" s="42">
        <f ca="1">IF(K$1="",0,COUNTIFS(工数管理!$AK$3:$AK$98,K$1,工数管理!$K$3:$K$98,"&lt;="&amp;$H55,工数管理!$L$3:$L$98,"&gt;="&amp;$H55)+COUNTIFS(工数管理!$AK$3:$AK$98,K$1,工数管理!$M$3:$M$98,"&lt;="&amp;$H55,工数管理!$N$3:$N$98,"&gt;="&amp;$H55)+COUNTIFS(工数管理!$AK$3:$AK$98,K$1,工数管理!$O$3:$O$98,"&lt;="&amp;$H55,工数管理!$P$3:$P$98,"&gt;="&amp;$H55)+COUNTIFS(工数管理!$AK$3:$AK$98,K$1,工数管理!$Q$3:$Q$98,"&lt;="&amp;$H55,工数管理!$R$3:$R$98,"&gt;="&amp;$H55)+COUNTIFS(工数管理!$AK$3:$AK$98,K$1,工数管理!$S$3:$S$98,"&lt;="&amp;$H55,工数管理!$T$3:$T$98,"&gt;="&amp;$H55)+COUNTIFS(工数管理!$AK$3:$AK$98,K$1,工数管理!$U$3:$U$98,"&lt;="&amp;$H55,工数管理!$V$3:$V$98,"&gt;="&amp;$H55)+COUNTIFS(工数管理!$AK$3:$AK$98,K$1,工数管理!$W$3:$W$98,"&lt;="&amp;$H55,工数管理!$X$3:$X$98,"&gt;="&amp;$H55)+COUNTIFS(工数管理!$AK$3:$AK$98,K$1,工数管理!$Y$3:$Y$98,"&lt;="&amp;$H55,工数管理!$Z$3:$Z$98,"&gt;="&amp;$H55)+COUNTIFS(工数管理!$AK$3:$AK$98,K$1,工数管理!$AA$3:$AA$98,"&lt;="&amp;$H55,工数管理!$AB$3:$AB$98,"&gt;="&amp;$H55)+COUNTIFS(工数管理!$AK$3:$AK$98,K$1,工数管理!$AC$3:$AC$98,"&lt;="&amp;$H55,工数管理!$AD$3:$AD$98,"&gt;="&amp;$H55)+COUNTIFS(工数管理!$AK$3:$AK$98,K$1,工数管理!$AE$3:$AE$98,"&lt;="&amp;$H55,工数管理!$AF$3:$AF$98,"&gt;="&amp;$H55)+COUNTIFS(工数管理!$AK$3:$AK$98,K$1,工数管理!$AG$3:$AG$98,"&lt;="&amp;$H55,工数管理!$AH$3:$AH$98,"&gt;="&amp;$H55)+(COUNTIFS(工数管理!$AK$3:$AK$98,K$1,工数管理!$K$3:$K$98,"&lt;="&amp;$H55,工数管理!$L$3:$L$98,"")+COUNTIFS(工数管理!$AK$3:$AK$98,K$1,工数管理!$M$3:$M$98,"&lt;="&amp;$H55,工数管理!$N$3:$N$98,"")+COUNTIFS(工数管理!$AK$3:$AK$98,K$1,工数管理!$O$3:$O$98,"&lt;="&amp;$H55,工数管理!$P$3:$P$98,"")+COUNTIFS(工数管理!$AK$3:$AK$98,K$1,工数管理!$Q$3:$Q$98,"&lt;="&amp;$H55,工数管理!$R$3:$R$98,"")+COUNTIFS(工数管理!$AK$3:$AK$98,K$1,工数管理!$S$3:$S$98,"&lt;="&amp;$H55,工数管理!$T$3:$T$98,"")+COUNTIFS(工数管理!$AK$3:$AK$98,K$1,工数管理!$U$3:$U$98,"&lt;="&amp;$H55,工数管理!$V$3:$V$98,"")+COUNTIFS(工数管理!$AK$3:$AK$98,K$1,工数管理!$W$3:$W$98,"&lt;="&amp;$H55,工数管理!$X$3:$X$98,"")+COUNTIFS(工数管理!$AK$3:$AK$98,K$1,工数管理!$Y$3:$Y$98,"&lt;="&amp;$H55,工数管理!$Z$3:$Z$98,"")+COUNTIFS(工数管理!$AK$3:$AK$98,K$1,工数管理!$AA$3:$AA$98,"&lt;="&amp;$H55,工数管理!$AB$3:$AB$98,"")+COUNTIFS(工数管理!$AK$3:$AK$98,K$1,工数管理!$AC$3:$AC$98,"&lt;="&amp;$H55,工数管理!$AD$3:$AD$98,"")+COUNTIFS(工数管理!$AK$3:$AK$98,K$1,工数管理!$AE$3:$AE$98,"&lt;="&amp;$H55,工数管理!$AF$3:$AF$98,"")+COUNTIFS(工数管理!$AK$3:$AK$98,K$1,工数管理!$AG$3:$AG$98,"&lt;="&amp;$H55,工数管理!$AH$3:$AH$98,""))*($H55&lt;=工数管理!$AI$1))</f>
        <v>1</v>
      </c>
      <c r="L55" s="42">
        <f ca="1">IF(L$1="",0,COUNTIFS(工数管理!$AK$3:$AK$98,L$1,工数管理!$K$3:$K$98,"&lt;="&amp;$H55,工数管理!$L$3:$L$98,"&gt;="&amp;$H55)+COUNTIFS(工数管理!$AK$3:$AK$98,L$1,工数管理!$M$3:$M$98,"&lt;="&amp;$H55,工数管理!$N$3:$N$98,"&gt;="&amp;$H55)+COUNTIFS(工数管理!$AK$3:$AK$98,L$1,工数管理!$O$3:$O$98,"&lt;="&amp;$H55,工数管理!$P$3:$P$98,"&gt;="&amp;$H55)+COUNTIFS(工数管理!$AK$3:$AK$98,L$1,工数管理!$Q$3:$Q$98,"&lt;="&amp;$H55,工数管理!$R$3:$R$98,"&gt;="&amp;$H55)+COUNTIFS(工数管理!$AK$3:$AK$98,L$1,工数管理!$S$3:$S$98,"&lt;="&amp;$H55,工数管理!$T$3:$T$98,"&gt;="&amp;$H55)+COUNTIFS(工数管理!$AK$3:$AK$98,L$1,工数管理!$U$3:$U$98,"&lt;="&amp;$H55,工数管理!$V$3:$V$98,"&gt;="&amp;$H55)+COUNTIFS(工数管理!$AK$3:$AK$98,L$1,工数管理!$W$3:$W$98,"&lt;="&amp;$H55,工数管理!$X$3:$X$98,"&gt;="&amp;$H55)+COUNTIFS(工数管理!$AK$3:$AK$98,L$1,工数管理!$Y$3:$Y$98,"&lt;="&amp;$H55,工数管理!$Z$3:$Z$98,"&gt;="&amp;$H55)+COUNTIFS(工数管理!$AK$3:$AK$98,L$1,工数管理!$AA$3:$AA$98,"&lt;="&amp;$H55,工数管理!$AB$3:$AB$98,"&gt;="&amp;$H55)+COUNTIFS(工数管理!$AK$3:$AK$98,L$1,工数管理!$AC$3:$AC$98,"&lt;="&amp;$H55,工数管理!$AD$3:$AD$98,"&gt;="&amp;$H55)+COUNTIFS(工数管理!$AK$3:$AK$98,L$1,工数管理!$AE$3:$AE$98,"&lt;="&amp;$H55,工数管理!$AF$3:$AF$98,"&gt;="&amp;$H55)+COUNTIFS(工数管理!$AK$3:$AK$98,L$1,工数管理!$AG$3:$AG$98,"&lt;="&amp;$H55,工数管理!$AH$3:$AH$98,"&gt;="&amp;$H55)+(COUNTIFS(工数管理!$AK$3:$AK$98,L$1,工数管理!$K$3:$K$98,"&lt;="&amp;$H55,工数管理!$L$3:$L$98,"")+COUNTIFS(工数管理!$AK$3:$AK$98,L$1,工数管理!$M$3:$M$98,"&lt;="&amp;$H55,工数管理!$N$3:$N$98,"")+COUNTIFS(工数管理!$AK$3:$AK$98,L$1,工数管理!$O$3:$O$98,"&lt;="&amp;$H55,工数管理!$P$3:$P$98,"")+COUNTIFS(工数管理!$AK$3:$AK$98,L$1,工数管理!$Q$3:$Q$98,"&lt;="&amp;$H55,工数管理!$R$3:$R$98,"")+COUNTIFS(工数管理!$AK$3:$AK$98,L$1,工数管理!$S$3:$S$98,"&lt;="&amp;$H55,工数管理!$T$3:$T$98,"")+COUNTIFS(工数管理!$AK$3:$AK$98,L$1,工数管理!$U$3:$U$98,"&lt;="&amp;$H55,工数管理!$V$3:$V$98,"")+COUNTIFS(工数管理!$AK$3:$AK$98,L$1,工数管理!$W$3:$W$98,"&lt;="&amp;$H55,工数管理!$X$3:$X$98,"")+COUNTIFS(工数管理!$AK$3:$AK$98,L$1,工数管理!$Y$3:$Y$98,"&lt;="&amp;$H55,工数管理!$Z$3:$Z$98,"")+COUNTIFS(工数管理!$AK$3:$AK$98,L$1,工数管理!$AA$3:$AA$98,"&lt;="&amp;$H55,工数管理!$AB$3:$AB$98,"")+COUNTIFS(工数管理!$AK$3:$AK$98,L$1,工数管理!$AC$3:$AC$98,"&lt;="&amp;$H55,工数管理!$AD$3:$AD$98,"")+COUNTIFS(工数管理!$AK$3:$AK$98,L$1,工数管理!$AE$3:$AE$98,"&lt;="&amp;$H55,工数管理!$AF$3:$AF$98,"")+COUNTIFS(工数管理!$AK$3:$AK$98,L$1,工数管理!$AG$3:$AG$98,"&lt;="&amp;$H55,工数管理!$AH$3:$AH$98,""))*($H55&lt;=工数管理!$AI$1))</f>
        <v>1</v>
      </c>
    </row>
    <row r="56" spans="1:12" x14ac:dyDescent="0.15">
      <c r="A56" s="5"/>
      <c r="B56" s="6"/>
      <c r="H56" s="41">
        <f t="shared" si="1"/>
        <v>46224</v>
      </c>
      <c r="I56" s="42">
        <f t="shared" si="0"/>
        <v>1</v>
      </c>
      <c r="J56" s="42">
        <f ca="1">IF(J$1="",0,COUNTIFS(工数管理!$AK$3:$AK$98,J$1,工数管理!$K$3:$K$98,"&lt;="&amp;$H56,工数管理!$L$3:$L$98,"&gt;="&amp;$H56)+COUNTIFS(工数管理!$AK$3:$AK$98,J$1,工数管理!$M$3:$M$98,"&lt;="&amp;$H56,工数管理!$N$3:$N$98,"&gt;="&amp;$H56)+COUNTIFS(工数管理!$AK$3:$AK$98,J$1,工数管理!$O$3:$O$98,"&lt;="&amp;$H56,工数管理!$P$3:$P$98,"&gt;="&amp;$H56)+COUNTIFS(工数管理!$AK$3:$AK$98,J$1,工数管理!$Q$3:$Q$98,"&lt;="&amp;$H56,工数管理!$R$3:$R$98,"&gt;="&amp;$H56)+COUNTIFS(工数管理!$AK$3:$AK$98,J$1,工数管理!$S$3:$S$98,"&lt;="&amp;$H56,工数管理!$T$3:$T$98,"&gt;="&amp;$H56)+COUNTIFS(工数管理!$AK$3:$AK$98,J$1,工数管理!$U$3:$U$98,"&lt;="&amp;$H56,工数管理!$V$3:$V$98,"&gt;="&amp;$H56)+COUNTIFS(工数管理!$AK$3:$AK$98,J$1,工数管理!$W$3:$W$98,"&lt;="&amp;$H56,工数管理!$X$3:$X$98,"&gt;="&amp;$H56)+COUNTIFS(工数管理!$AK$3:$AK$98,J$1,工数管理!$Y$3:$Y$98,"&lt;="&amp;$H56,工数管理!$Z$3:$Z$98,"&gt;="&amp;$H56)+COUNTIFS(工数管理!$AK$3:$AK$98,J$1,工数管理!$AA$3:$AA$98,"&lt;="&amp;$H56,工数管理!$AB$3:$AB$98,"&gt;="&amp;$H56)+COUNTIFS(工数管理!$AK$3:$AK$98,J$1,工数管理!$AC$3:$AC$98,"&lt;="&amp;$H56,工数管理!$AD$3:$AD$98,"&gt;="&amp;$H56)+COUNTIFS(工数管理!$AK$3:$AK$98,J$1,工数管理!$AE$3:$AE$98,"&lt;="&amp;$H56,工数管理!$AF$3:$AF$98,"&gt;="&amp;$H56)+COUNTIFS(工数管理!$AK$3:$AK$98,J$1,工数管理!$AG$3:$AG$98,"&lt;="&amp;$H56,工数管理!$AH$3:$AH$98,"&gt;="&amp;$H56)+(COUNTIFS(工数管理!$AK$3:$AK$98,J$1,工数管理!$K$3:$K$98,"&lt;="&amp;$H56,工数管理!$L$3:$L$98,"")+COUNTIFS(工数管理!$AK$3:$AK$98,J$1,工数管理!$M$3:$M$98,"&lt;="&amp;$H56,工数管理!$N$3:$N$98,"")+COUNTIFS(工数管理!$AK$3:$AK$98,J$1,工数管理!$O$3:$O$98,"&lt;="&amp;$H56,工数管理!$P$3:$P$98,"")+COUNTIFS(工数管理!$AK$3:$AK$98,J$1,工数管理!$Q$3:$Q$98,"&lt;="&amp;$H56,工数管理!$R$3:$R$98,"")+COUNTIFS(工数管理!$AK$3:$AK$98,J$1,工数管理!$S$3:$S$98,"&lt;="&amp;$H56,工数管理!$T$3:$T$98,"")+COUNTIFS(工数管理!$AK$3:$AK$98,J$1,工数管理!$U$3:$U$98,"&lt;="&amp;$H56,工数管理!$V$3:$V$98,"")+COUNTIFS(工数管理!$AK$3:$AK$98,J$1,工数管理!$W$3:$W$98,"&lt;="&amp;$H56,工数管理!$X$3:$X$98,"")+COUNTIFS(工数管理!$AK$3:$AK$98,J$1,工数管理!$Y$3:$Y$98,"&lt;="&amp;$H56,工数管理!$Z$3:$Z$98,"")+COUNTIFS(工数管理!$AK$3:$AK$98,J$1,工数管理!$AA$3:$AA$98,"&lt;="&amp;$H56,工数管理!$AB$3:$AB$98,"")+COUNTIFS(工数管理!$AK$3:$AK$98,J$1,工数管理!$AC$3:$AC$98,"&lt;="&amp;$H56,工数管理!$AD$3:$AD$98,"")+COUNTIFS(工数管理!$AK$3:$AK$98,J$1,工数管理!$AE$3:$AE$98,"&lt;="&amp;$H56,工数管理!$AF$3:$AF$98,"")+COUNTIFS(工数管理!$AK$3:$AK$98,J$1,工数管理!$AG$3:$AG$98,"&lt;="&amp;$H56,工数管理!$AH$3:$AH$98,""))*($H56&lt;=工数管理!$AI$1))</f>
        <v>1</v>
      </c>
      <c r="K56" s="42">
        <f ca="1">IF(K$1="",0,COUNTIFS(工数管理!$AK$3:$AK$98,K$1,工数管理!$K$3:$K$98,"&lt;="&amp;$H56,工数管理!$L$3:$L$98,"&gt;="&amp;$H56)+COUNTIFS(工数管理!$AK$3:$AK$98,K$1,工数管理!$M$3:$M$98,"&lt;="&amp;$H56,工数管理!$N$3:$N$98,"&gt;="&amp;$H56)+COUNTIFS(工数管理!$AK$3:$AK$98,K$1,工数管理!$O$3:$O$98,"&lt;="&amp;$H56,工数管理!$P$3:$P$98,"&gt;="&amp;$H56)+COUNTIFS(工数管理!$AK$3:$AK$98,K$1,工数管理!$Q$3:$Q$98,"&lt;="&amp;$H56,工数管理!$R$3:$R$98,"&gt;="&amp;$H56)+COUNTIFS(工数管理!$AK$3:$AK$98,K$1,工数管理!$S$3:$S$98,"&lt;="&amp;$H56,工数管理!$T$3:$T$98,"&gt;="&amp;$H56)+COUNTIFS(工数管理!$AK$3:$AK$98,K$1,工数管理!$U$3:$U$98,"&lt;="&amp;$H56,工数管理!$V$3:$V$98,"&gt;="&amp;$H56)+COUNTIFS(工数管理!$AK$3:$AK$98,K$1,工数管理!$W$3:$W$98,"&lt;="&amp;$H56,工数管理!$X$3:$X$98,"&gt;="&amp;$H56)+COUNTIFS(工数管理!$AK$3:$AK$98,K$1,工数管理!$Y$3:$Y$98,"&lt;="&amp;$H56,工数管理!$Z$3:$Z$98,"&gt;="&amp;$H56)+COUNTIFS(工数管理!$AK$3:$AK$98,K$1,工数管理!$AA$3:$AA$98,"&lt;="&amp;$H56,工数管理!$AB$3:$AB$98,"&gt;="&amp;$H56)+COUNTIFS(工数管理!$AK$3:$AK$98,K$1,工数管理!$AC$3:$AC$98,"&lt;="&amp;$H56,工数管理!$AD$3:$AD$98,"&gt;="&amp;$H56)+COUNTIFS(工数管理!$AK$3:$AK$98,K$1,工数管理!$AE$3:$AE$98,"&lt;="&amp;$H56,工数管理!$AF$3:$AF$98,"&gt;="&amp;$H56)+COUNTIFS(工数管理!$AK$3:$AK$98,K$1,工数管理!$AG$3:$AG$98,"&lt;="&amp;$H56,工数管理!$AH$3:$AH$98,"&gt;="&amp;$H56)+(COUNTIFS(工数管理!$AK$3:$AK$98,K$1,工数管理!$K$3:$K$98,"&lt;="&amp;$H56,工数管理!$L$3:$L$98,"")+COUNTIFS(工数管理!$AK$3:$AK$98,K$1,工数管理!$M$3:$M$98,"&lt;="&amp;$H56,工数管理!$N$3:$N$98,"")+COUNTIFS(工数管理!$AK$3:$AK$98,K$1,工数管理!$O$3:$O$98,"&lt;="&amp;$H56,工数管理!$P$3:$P$98,"")+COUNTIFS(工数管理!$AK$3:$AK$98,K$1,工数管理!$Q$3:$Q$98,"&lt;="&amp;$H56,工数管理!$R$3:$R$98,"")+COUNTIFS(工数管理!$AK$3:$AK$98,K$1,工数管理!$S$3:$S$98,"&lt;="&amp;$H56,工数管理!$T$3:$T$98,"")+COUNTIFS(工数管理!$AK$3:$AK$98,K$1,工数管理!$U$3:$U$98,"&lt;="&amp;$H56,工数管理!$V$3:$V$98,"")+COUNTIFS(工数管理!$AK$3:$AK$98,K$1,工数管理!$W$3:$W$98,"&lt;="&amp;$H56,工数管理!$X$3:$X$98,"")+COUNTIFS(工数管理!$AK$3:$AK$98,K$1,工数管理!$Y$3:$Y$98,"&lt;="&amp;$H56,工数管理!$Z$3:$Z$98,"")+COUNTIFS(工数管理!$AK$3:$AK$98,K$1,工数管理!$AA$3:$AA$98,"&lt;="&amp;$H56,工数管理!$AB$3:$AB$98,"")+COUNTIFS(工数管理!$AK$3:$AK$98,K$1,工数管理!$AC$3:$AC$98,"&lt;="&amp;$H56,工数管理!$AD$3:$AD$98,"")+COUNTIFS(工数管理!$AK$3:$AK$98,K$1,工数管理!$AE$3:$AE$98,"&lt;="&amp;$H56,工数管理!$AF$3:$AF$98,"")+COUNTIFS(工数管理!$AK$3:$AK$98,K$1,工数管理!$AG$3:$AG$98,"&lt;="&amp;$H56,工数管理!$AH$3:$AH$98,""))*($H56&lt;=工数管理!$AI$1))</f>
        <v>1</v>
      </c>
      <c r="L56" s="42">
        <f ca="1">IF(L$1="",0,COUNTIFS(工数管理!$AK$3:$AK$98,L$1,工数管理!$K$3:$K$98,"&lt;="&amp;$H56,工数管理!$L$3:$L$98,"&gt;="&amp;$H56)+COUNTIFS(工数管理!$AK$3:$AK$98,L$1,工数管理!$M$3:$M$98,"&lt;="&amp;$H56,工数管理!$N$3:$N$98,"&gt;="&amp;$H56)+COUNTIFS(工数管理!$AK$3:$AK$98,L$1,工数管理!$O$3:$O$98,"&lt;="&amp;$H56,工数管理!$P$3:$P$98,"&gt;="&amp;$H56)+COUNTIFS(工数管理!$AK$3:$AK$98,L$1,工数管理!$Q$3:$Q$98,"&lt;="&amp;$H56,工数管理!$R$3:$R$98,"&gt;="&amp;$H56)+COUNTIFS(工数管理!$AK$3:$AK$98,L$1,工数管理!$S$3:$S$98,"&lt;="&amp;$H56,工数管理!$T$3:$T$98,"&gt;="&amp;$H56)+COUNTIFS(工数管理!$AK$3:$AK$98,L$1,工数管理!$U$3:$U$98,"&lt;="&amp;$H56,工数管理!$V$3:$V$98,"&gt;="&amp;$H56)+COUNTIFS(工数管理!$AK$3:$AK$98,L$1,工数管理!$W$3:$W$98,"&lt;="&amp;$H56,工数管理!$X$3:$X$98,"&gt;="&amp;$H56)+COUNTIFS(工数管理!$AK$3:$AK$98,L$1,工数管理!$Y$3:$Y$98,"&lt;="&amp;$H56,工数管理!$Z$3:$Z$98,"&gt;="&amp;$H56)+COUNTIFS(工数管理!$AK$3:$AK$98,L$1,工数管理!$AA$3:$AA$98,"&lt;="&amp;$H56,工数管理!$AB$3:$AB$98,"&gt;="&amp;$H56)+COUNTIFS(工数管理!$AK$3:$AK$98,L$1,工数管理!$AC$3:$AC$98,"&lt;="&amp;$H56,工数管理!$AD$3:$AD$98,"&gt;="&amp;$H56)+COUNTIFS(工数管理!$AK$3:$AK$98,L$1,工数管理!$AE$3:$AE$98,"&lt;="&amp;$H56,工数管理!$AF$3:$AF$98,"&gt;="&amp;$H56)+COUNTIFS(工数管理!$AK$3:$AK$98,L$1,工数管理!$AG$3:$AG$98,"&lt;="&amp;$H56,工数管理!$AH$3:$AH$98,"&gt;="&amp;$H56)+(COUNTIFS(工数管理!$AK$3:$AK$98,L$1,工数管理!$K$3:$K$98,"&lt;="&amp;$H56,工数管理!$L$3:$L$98,"")+COUNTIFS(工数管理!$AK$3:$AK$98,L$1,工数管理!$M$3:$M$98,"&lt;="&amp;$H56,工数管理!$N$3:$N$98,"")+COUNTIFS(工数管理!$AK$3:$AK$98,L$1,工数管理!$O$3:$O$98,"&lt;="&amp;$H56,工数管理!$P$3:$P$98,"")+COUNTIFS(工数管理!$AK$3:$AK$98,L$1,工数管理!$Q$3:$Q$98,"&lt;="&amp;$H56,工数管理!$R$3:$R$98,"")+COUNTIFS(工数管理!$AK$3:$AK$98,L$1,工数管理!$S$3:$S$98,"&lt;="&amp;$H56,工数管理!$T$3:$T$98,"")+COUNTIFS(工数管理!$AK$3:$AK$98,L$1,工数管理!$U$3:$U$98,"&lt;="&amp;$H56,工数管理!$V$3:$V$98,"")+COUNTIFS(工数管理!$AK$3:$AK$98,L$1,工数管理!$W$3:$W$98,"&lt;="&amp;$H56,工数管理!$X$3:$X$98,"")+COUNTIFS(工数管理!$AK$3:$AK$98,L$1,工数管理!$Y$3:$Y$98,"&lt;="&amp;$H56,工数管理!$Z$3:$Z$98,"")+COUNTIFS(工数管理!$AK$3:$AK$98,L$1,工数管理!$AA$3:$AA$98,"&lt;="&amp;$H56,工数管理!$AB$3:$AB$98,"")+COUNTIFS(工数管理!$AK$3:$AK$98,L$1,工数管理!$AC$3:$AC$98,"&lt;="&amp;$H56,工数管理!$AD$3:$AD$98,"")+COUNTIFS(工数管理!$AK$3:$AK$98,L$1,工数管理!$AE$3:$AE$98,"&lt;="&amp;$H56,工数管理!$AF$3:$AF$98,"")+COUNTIFS(工数管理!$AK$3:$AK$98,L$1,工数管理!$AG$3:$AG$98,"&lt;="&amp;$H56,工数管理!$AH$3:$AH$98,""))*($H56&lt;=工数管理!$AI$1))</f>
        <v>1</v>
      </c>
    </row>
    <row r="57" spans="1:12" x14ac:dyDescent="0.15">
      <c r="A57" s="5"/>
      <c r="B57" s="6"/>
      <c r="H57" s="41">
        <f t="shared" si="1"/>
        <v>46225</v>
      </c>
      <c r="I57" s="42">
        <f t="shared" si="0"/>
        <v>1</v>
      </c>
      <c r="J57" s="42">
        <f ca="1">IF(J$1="",0,COUNTIFS(工数管理!$AK$3:$AK$98,J$1,工数管理!$K$3:$K$98,"&lt;="&amp;$H57,工数管理!$L$3:$L$98,"&gt;="&amp;$H57)+COUNTIFS(工数管理!$AK$3:$AK$98,J$1,工数管理!$M$3:$M$98,"&lt;="&amp;$H57,工数管理!$N$3:$N$98,"&gt;="&amp;$H57)+COUNTIFS(工数管理!$AK$3:$AK$98,J$1,工数管理!$O$3:$O$98,"&lt;="&amp;$H57,工数管理!$P$3:$P$98,"&gt;="&amp;$H57)+COUNTIFS(工数管理!$AK$3:$AK$98,J$1,工数管理!$Q$3:$Q$98,"&lt;="&amp;$H57,工数管理!$R$3:$R$98,"&gt;="&amp;$H57)+COUNTIFS(工数管理!$AK$3:$AK$98,J$1,工数管理!$S$3:$S$98,"&lt;="&amp;$H57,工数管理!$T$3:$T$98,"&gt;="&amp;$H57)+COUNTIFS(工数管理!$AK$3:$AK$98,J$1,工数管理!$U$3:$U$98,"&lt;="&amp;$H57,工数管理!$V$3:$V$98,"&gt;="&amp;$H57)+COUNTIFS(工数管理!$AK$3:$AK$98,J$1,工数管理!$W$3:$W$98,"&lt;="&amp;$H57,工数管理!$X$3:$X$98,"&gt;="&amp;$H57)+COUNTIFS(工数管理!$AK$3:$AK$98,J$1,工数管理!$Y$3:$Y$98,"&lt;="&amp;$H57,工数管理!$Z$3:$Z$98,"&gt;="&amp;$H57)+COUNTIFS(工数管理!$AK$3:$AK$98,J$1,工数管理!$AA$3:$AA$98,"&lt;="&amp;$H57,工数管理!$AB$3:$AB$98,"&gt;="&amp;$H57)+COUNTIFS(工数管理!$AK$3:$AK$98,J$1,工数管理!$AC$3:$AC$98,"&lt;="&amp;$H57,工数管理!$AD$3:$AD$98,"&gt;="&amp;$H57)+COUNTIFS(工数管理!$AK$3:$AK$98,J$1,工数管理!$AE$3:$AE$98,"&lt;="&amp;$H57,工数管理!$AF$3:$AF$98,"&gt;="&amp;$H57)+COUNTIFS(工数管理!$AK$3:$AK$98,J$1,工数管理!$AG$3:$AG$98,"&lt;="&amp;$H57,工数管理!$AH$3:$AH$98,"&gt;="&amp;$H57)+(COUNTIFS(工数管理!$AK$3:$AK$98,J$1,工数管理!$K$3:$K$98,"&lt;="&amp;$H57,工数管理!$L$3:$L$98,"")+COUNTIFS(工数管理!$AK$3:$AK$98,J$1,工数管理!$M$3:$M$98,"&lt;="&amp;$H57,工数管理!$N$3:$N$98,"")+COUNTIFS(工数管理!$AK$3:$AK$98,J$1,工数管理!$O$3:$O$98,"&lt;="&amp;$H57,工数管理!$P$3:$P$98,"")+COUNTIFS(工数管理!$AK$3:$AK$98,J$1,工数管理!$Q$3:$Q$98,"&lt;="&amp;$H57,工数管理!$R$3:$R$98,"")+COUNTIFS(工数管理!$AK$3:$AK$98,J$1,工数管理!$S$3:$S$98,"&lt;="&amp;$H57,工数管理!$T$3:$T$98,"")+COUNTIFS(工数管理!$AK$3:$AK$98,J$1,工数管理!$U$3:$U$98,"&lt;="&amp;$H57,工数管理!$V$3:$V$98,"")+COUNTIFS(工数管理!$AK$3:$AK$98,J$1,工数管理!$W$3:$W$98,"&lt;="&amp;$H57,工数管理!$X$3:$X$98,"")+COUNTIFS(工数管理!$AK$3:$AK$98,J$1,工数管理!$Y$3:$Y$98,"&lt;="&amp;$H57,工数管理!$Z$3:$Z$98,"")+COUNTIFS(工数管理!$AK$3:$AK$98,J$1,工数管理!$AA$3:$AA$98,"&lt;="&amp;$H57,工数管理!$AB$3:$AB$98,"")+COUNTIFS(工数管理!$AK$3:$AK$98,J$1,工数管理!$AC$3:$AC$98,"&lt;="&amp;$H57,工数管理!$AD$3:$AD$98,"")+COUNTIFS(工数管理!$AK$3:$AK$98,J$1,工数管理!$AE$3:$AE$98,"&lt;="&amp;$H57,工数管理!$AF$3:$AF$98,"")+COUNTIFS(工数管理!$AK$3:$AK$98,J$1,工数管理!$AG$3:$AG$98,"&lt;="&amp;$H57,工数管理!$AH$3:$AH$98,""))*($H57&lt;=工数管理!$AI$1))</f>
        <v>1</v>
      </c>
      <c r="K57" s="42">
        <f ca="1">IF(K$1="",0,COUNTIFS(工数管理!$AK$3:$AK$98,K$1,工数管理!$K$3:$K$98,"&lt;="&amp;$H57,工数管理!$L$3:$L$98,"&gt;="&amp;$H57)+COUNTIFS(工数管理!$AK$3:$AK$98,K$1,工数管理!$M$3:$M$98,"&lt;="&amp;$H57,工数管理!$N$3:$N$98,"&gt;="&amp;$H57)+COUNTIFS(工数管理!$AK$3:$AK$98,K$1,工数管理!$O$3:$O$98,"&lt;="&amp;$H57,工数管理!$P$3:$P$98,"&gt;="&amp;$H57)+COUNTIFS(工数管理!$AK$3:$AK$98,K$1,工数管理!$Q$3:$Q$98,"&lt;="&amp;$H57,工数管理!$R$3:$R$98,"&gt;="&amp;$H57)+COUNTIFS(工数管理!$AK$3:$AK$98,K$1,工数管理!$S$3:$S$98,"&lt;="&amp;$H57,工数管理!$T$3:$T$98,"&gt;="&amp;$H57)+COUNTIFS(工数管理!$AK$3:$AK$98,K$1,工数管理!$U$3:$U$98,"&lt;="&amp;$H57,工数管理!$V$3:$V$98,"&gt;="&amp;$H57)+COUNTIFS(工数管理!$AK$3:$AK$98,K$1,工数管理!$W$3:$W$98,"&lt;="&amp;$H57,工数管理!$X$3:$X$98,"&gt;="&amp;$H57)+COUNTIFS(工数管理!$AK$3:$AK$98,K$1,工数管理!$Y$3:$Y$98,"&lt;="&amp;$H57,工数管理!$Z$3:$Z$98,"&gt;="&amp;$H57)+COUNTIFS(工数管理!$AK$3:$AK$98,K$1,工数管理!$AA$3:$AA$98,"&lt;="&amp;$H57,工数管理!$AB$3:$AB$98,"&gt;="&amp;$H57)+COUNTIFS(工数管理!$AK$3:$AK$98,K$1,工数管理!$AC$3:$AC$98,"&lt;="&amp;$H57,工数管理!$AD$3:$AD$98,"&gt;="&amp;$H57)+COUNTIFS(工数管理!$AK$3:$AK$98,K$1,工数管理!$AE$3:$AE$98,"&lt;="&amp;$H57,工数管理!$AF$3:$AF$98,"&gt;="&amp;$H57)+COUNTIFS(工数管理!$AK$3:$AK$98,K$1,工数管理!$AG$3:$AG$98,"&lt;="&amp;$H57,工数管理!$AH$3:$AH$98,"&gt;="&amp;$H57)+(COUNTIFS(工数管理!$AK$3:$AK$98,K$1,工数管理!$K$3:$K$98,"&lt;="&amp;$H57,工数管理!$L$3:$L$98,"")+COUNTIFS(工数管理!$AK$3:$AK$98,K$1,工数管理!$M$3:$M$98,"&lt;="&amp;$H57,工数管理!$N$3:$N$98,"")+COUNTIFS(工数管理!$AK$3:$AK$98,K$1,工数管理!$O$3:$O$98,"&lt;="&amp;$H57,工数管理!$P$3:$P$98,"")+COUNTIFS(工数管理!$AK$3:$AK$98,K$1,工数管理!$Q$3:$Q$98,"&lt;="&amp;$H57,工数管理!$R$3:$R$98,"")+COUNTIFS(工数管理!$AK$3:$AK$98,K$1,工数管理!$S$3:$S$98,"&lt;="&amp;$H57,工数管理!$T$3:$T$98,"")+COUNTIFS(工数管理!$AK$3:$AK$98,K$1,工数管理!$U$3:$U$98,"&lt;="&amp;$H57,工数管理!$V$3:$V$98,"")+COUNTIFS(工数管理!$AK$3:$AK$98,K$1,工数管理!$W$3:$W$98,"&lt;="&amp;$H57,工数管理!$X$3:$X$98,"")+COUNTIFS(工数管理!$AK$3:$AK$98,K$1,工数管理!$Y$3:$Y$98,"&lt;="&amp;$H57,工数管理!$Z$3:$Z$98,"")+COUNTIFS(工数管理!$AK$3:$AK$98,K$1,工数管理!$AA$3:$AA$98,"&lt;="&amp;$H57,工数管理!$AB$3:$AB$98,"")+COUNTIFS(工数管理!$AK$3:$AK$98,K$1,工数管理!$AC$3:$AC$98,"&lt;="&amp;$H57,工数管理!$AD$3:$AD$98,"")+COUNTIFS(工数管理!$AK$3:$AK$98,K$1,工数管理!$AE$3:$AE$98,"&lt;="&amp;$H57,工数管理!$AF$3:$AF$98,"")+COUNTIFS(工数管理!$AK$3:$AK$98,K$1,工数管理!$AG$3:$AG$98,"&lt;="&amp;$H57,工数管理!$AH$3:$AH$98,""))*($H57&lt;=工数管理!$AI$1))</f>
        <v>1</v>
      </c>
      <c r="L57" s="42">
        <f ca="1">IF(L$1="",0,COUNTIFS(工数管理!$AK$3:$AK$98,L$1,工数管理!$K$3:$K$98,"&lt;="&amp;$H57,工数管理!$L$3:$L$98,"&gt;="&amp;$H57)+COUNTIFS(工数管理!$AK$3:$AK$98,L$1,工数管理!$M$3:$M$98,"&lt;="&amp;$H57,工数管理!$N$3:$N$98,"&gt;="&amp;$H57)+COUNTIFS(工数管理!$AK$3:$AK$98,L$1,工数管理!$O$3:$O$98,"&lt;="&amp;$H57,工数管理!$P$3:$P$98,"&gt;="&amp;$H57)+COUNTIFS(工数管理!$AK$3:$AK$98,L$1,工数管理!$Q$3:$Q$98,"&lt;="&amp;$H57,工数管理!$R$3:$R$98,"&gt;="&amp;$H57)+COUNTIFS(工数管理!$AK$3:$AK$98,L$1,工数管理!$S$3:$S$98,"&lt;="&amp;$H57,工数管理!$T$3:$T$98,"&gt;="&amp;$H57)+COUNTIFS(工数管理!$AK$3:$AK$98,L$1,工数管理!$U$3:$U$98,"&lt;="&amp;$H57,工数管理!$V$3:$V$98,"&gt;="&amp;$H57)+COUNTIFS(工数管理!$AK$3:$AK$98,L$1,工数管理!$W$3:$W$98,"&lt;="&amp;$H57,工数管理!$X$3:$X$98,"&gt;="&amp;$H57)+COUNTIFS(工数管理!$AK$3:$AK$98,L$1,工数管理!$Y$3:$Y$98,"&lt;="&amp;$H57,工数管理!$Z$3:$Z$98,"&gt;="&amp;$H57)+COUNTIFS(工数管理!$AK$3:$AK$98,L$1,工数管理!$AA$3:$AA$98,"&lt;="&amp;$H57,工数管理!$AB$3:$AB$98,"&gt;="&amp;$H57)+COUNTIFS(工数管理!$AK$3:$AK$98,L$1,工数管理!$AC$3:$AC$98,"&lt;="&amp;$H57,工数管理!$AD$3:$AD$98,"&gt;="&amp;$H57)+COUNTIFS(工数管理!$AK$3:$AK$98,L$1,工数管理!$AE$3:$AE$98,"&lt;="&amp;$H57,工数管理!$AF$3:$AF$98,"&gt;="&amp;$H57)+COUNTIFS(工数管理!$AK$3:$AK$98,L$1,工数管理!$AG$3:$AG$98,"&lt;="&amp;$H57,工数管理!$AH$3:$AH$98,"&gt;="&amp;$H57)+(COUNTIFS(工数管理!$AK$3:$AK$98,L$1,工数管理!$K$3:$K$98,"&lt;="&amp;$H57,工数管理!$L$3:$L$98,"")+COUNTIFS(工数管理!$AK$3:$AK$98,L$1,工数管理!$M$3:$M$98,"&lt;="&amp;$H57,工数管理!$N$3:$N$98,"")+COUNTIFS(工数管理!$AK$3:$AK$98,L$1,工数管理!$O$3:$O$98,"&lt;="&amp;$H57,工数管理!$P$3:$P$98,"")+COUNTIFS(工数管理!$AK$3:$AK$98,L$1,工数管理!$Q$3:$Q$98,"&lt;="&amp;$H57,工数管理!$R$3:$R$98,"")+COUNTIFS(工数管理!$AK$3:$AK$98,L$1,工数管理!$S$3:$S$98,"&lt;="&amp;$H57,工数管理!$T$3:$T$98,"")+COUNTIFS(工数管理!$AK$3:$AK$98,L$1,工数管理!$U$3:$U$98,"&lt;="&amp;$H57,工数管理!$V$3:$V$98,"")+COUNTIFS(工数管理!$AK$3:$AK$98,L$1,工数管理!$W$3:$W$98,"&lt;="&amp;$H57,工数管理!$X$3:$X$98,"")+COUNTIFS(工数管理!$AK$3:$AK$98,L$1,工数管理!$Y$3:$Y$98,"&lt;="&amp;$H57,工数管理!$Z$3:$Z$98,"")+COUNTIFS(工数管理!$AK$3:$AK$98,L$1,工数管理!$AA$3:$AA$98,"&lt;="&amp;$H57,工数管理!$AB$3:$AB$98,"")+COUNTIFS(工数管理!$AK$3:$AK$98,L$1,工数管理!$AC$3:$AC$98,"&lt;="&amp;$H57,工数管理!$AD$3:$AD$98,"")+COUNTIFS(工数管理!$AK$3:$AK$98,L$1,工数管理!$AE$3:$AE$98,"&lt;="&amp;$H57,工数管理!$AF$3:$AF$98,"")+COUNTIFS(工数管理!$AK$3:$AK$98,L$1,工数管理!$AG$3:$AG$98,"&lt;="&amp;$H57,工数管理!$AH$3:$AH$98,""))*($H57&lt;=工数管理!$AI$1))</f>
        <v>1</v>
      </c>
    </row>
    <row r="58" spans="1:12" x14ac:dyDescent="0.15">
      <c r="A58" s="5"/>
      <c r="B58" s="6"/>
      <c r="H58" s="41">
        <f t="shared" si="1"/>
        <v>46226</v>
      </c>
      <c r="I58" s="42">
        <f t="shared" si="0"/>
        <v>1</v>
      </c>
      <c r="J58" s="42">
        <f ca="1">IF(J$1="",0,COUNTIFS(工数管理!$AK$3:$AK$98,J$1,工数管理!$K$3:$K$98,"&lt;="&amp;$H58,工数管理!$L$3:$L$98,"&gt;="&amp;$H58)+COUNTIFS(工数管理!$AK$3:$AK$98,J$1,工数管理!$M$3:$M$98,"&lt;="&amp;$H58,工数管理!$N$3:$N$98,"&gt;="&amp;$H58)+COUNTIFS(工数管理!$AK$3:$AK$98,J$1,工数管理!$O$3:$O$98,"&lt;="&amp;$H58,工数管理!$P$3:$P$98,"&gt;="&amp;$H58)+COUNTIFS(工数管理!$AK$3:$AK$98,J$1,工数管理!$Q$3:$Q$98,"&lt;="&amp;$H58,工数管理!$R$3:$R$98,"&gt;="&amp;$H58)+COUNTIFS(工数管理!$AK$3:$AK$98,J$1,工数管理!$S$3:$S$98,"&lt;="&amp;$H58,工数管理!$T$3:$T$98,"&gt;="&amp;$H58)+COUNTIFS(工数管理!$AK$3:$AK$98,J$1,工数管理!$U$3:$U$98,"&lt;="&amp;$H58,工数管理!$V$3:$V$98,"&gt;="&amp;$H58)+COUNTIFS(工数管理!$AK$3:$AK$98,J$1,工数管理!$W$3:$W$98,"&lt;="&amp;$H58,工数管理!$X$3:$X$98,"&gt;="&amp;$H58)+COUNTIFS(工数管理!$AK$3:$AK$98,J$1,工数管理!$Y$3:$Y$98,"&lt;="&amp;$H58,工数管理!$Z$3:$Z$98,"&gt;="&amp;$H58)+COUNTIFS(工数管理!$AK$3:$AK$98,J$1,工数管理!$AA$3:$AA$98,"&lt;="&amp;$H58,工数管理!$AB$3:$AB$98,"&gt;="&amp;$H58)+COUNTIFS(工数管理!$AK$3:$AK$98,J$1,工数管理!$AC$3:$AC$98,"&lt;="&amp;$H58,工数管理!$AD$3:$AD$98,"&gt;="&amp;$H58)+COUNTIFS(工数管理!$AK$3:$AK$98,J$1,工数管理!$AE$3:$AE$98,"&lt;="&amp;$H58,工数管理!$AF$3:$AF$98,"&gt;="&amp;$H58)+COUNTIFS(工数管理!$AK$3:$AK$98,J$1,工数管理!$AG$3:$AG$98,"&lt;="&amp;$H58,工数管理!$AH$3:$AH$98,"&gt;="&amp;$H58)+(COUNTIFS(工数管理!$AK$3:$AK$98,J$1,工数管理!$K$3:$K$98,"&lt;="&amp;$H58,工数管理!$L$3:$L$98,"")+COUNTIFS(工数管理!$AK$3:$AK$98,J$1,工数管理!$M$3:$M$98,"&lt;="&amp;$H58,工数管理!$N$3:$N$98,"")+COUNTIFS(工数管理!$AK$3:$AK$98,J$1,工数管理!$O$3:$O$98,"&lt;="&amp;$H58,工数管理!$P$3:$P$98,"")+COUNTIFS(工数管理!$AK$3:$AK$98,J$1,工数管理!$Q$3:$Q$98,"&lt;="&amp;$H58,工数管理!$R$3:$R$98,"")+COUNTIFS(工数管理!$AK$3:$AK$98,J$1,工数管理!$S$3:$S$98,"&lt;="&amp;$H58,工数管理!$T$3:$T$98,"")+COUNTIFS(工数管理!$AK$3:$AK$98,J$1,工数管理!$U$3:$U$98,"&lt;="&amp;$H58,工数管理!$V$3:$V$98,"")+COUNTIFS(工数管理!$AK$3:$AK$98,J$1,工数管理!$W$3:$W$98,"&lt;="&amp;$H58,工数管理!$X$3:$X$98,"")+COUNTIFS(工数管理!$AK$3:$AK$98,J$1,工数管理!$Y$3:$Y$98,"&lt;="&amp;$H58,工数管理!$Z$3:$Z$98,"")+COUNTIFS(工数管理!$AK$3:$AK$98,J$1,工数管理!$AA$3:$AA$98,"&lt;="&amp;$H58,工数管理!$AB$3:$AB$98,"")+COUNTIFS(工数管理!$AK$3:$AK$98,J$1,工数管理!$AC$3:$AC$98,"&lt;="&amp;$H58,工数管理!$AD$3:$AD$98,"")+COUNTIFS(工数管理!$AK$3:$AK$98,J$1,工数管理!$AE$3:$AE$98,"&lt;="&amp;$H58,工数管理!$AF$3:$AF$98,"")+COUNTIFS(工数管理!$AK$3:$AK$98,J$1,工数管理!$AG$3:$AG$98,"&lt;="&amp;$H58,工数管理!$AH$3:$AH$98,""))*($H58&lt;=工数管理!$AI$1))</f>
        <v>1</v>
      </c>
      <c r="K58" s="42">
        <f ca="1">IF(K$1="",0,COUNTIFS(工数管理!$AK$3:$AK$98,K$1,工数管理!$K$3:$K$98,"&lt;="&amp;$H58,工数管理!$L$3:$L$98,"&gt;="&amp;$H58)+COUNTIFS(工数管理!$AK$3:$AK$98,K$1,工数管理!$M$3:$M$98,"&lt;="&amp;$H58,工数管理!$N$3:$N$98,"&gt;="&amp;$H58)+COUNTIFS(工数管理!$AK$3:$AK$98,K$1,工数管理!$O$3:$O$98,"&lt;="&amp;$H58,工数管理!$P$3:$P$98,"&gt;="&amp;$H58)+COUNTIFS(工数管理!$AK$3:$AK$98,K$1,工数管理!$Q$3:$Q$98,"&lt;="&amp;$H58,工数管理!$R$3:$R$98,"&gt;="&amp;$H58)+COUNTIFS(工数管理!$AK$3:$AK$98,K$1,工数管理!$S$3:$S$98,"&lt;="&amp;$H58,工数管理!$T$3:$T$98,"&gt;="&amp;$H58)+COUNTIFS(工数管理!$AK$3:$AK$98,K$1,工数管理!$U$3:$U$98,"&lt;="&amp;$H58,工数管理!$V$3:$V$98,"&gt;="&amp;$H58)+COUNTIFS(工数管理!$AK$3:$AK$98,K$1,工数管理!$W$3:$W$98,"&lt;="&amp;$H58,工数管理!$X$3:$X$98,"&gt;="&amp;$H58)+COUNTIFS(工数管理!$AK$3:$AK$98,K$1,工数管理!$Y$3:$Y$98,"&lt;="&amp;$H58,工数管理!$Z$3:$Z$98,"&gt;="&amp;$H58)+COUNTIFS(工数管理!$AK$3:$AK$98,K$1,工数管理!$AA$3:$AA$98,"&lt;="&amp;$H58,工数管理!$AB$3:$AB$98,"&gt;="&amp;$H58)+COUNTIFS(工数管理!$AK$3:$AK$98,K$1,工数管理!$AC$3:$AC$98,"&lt;="&amp;$H58,工数管理!$AD$3:$AD$98,"&gt;="&amp;$H58)+COUNTIFS(工数管理!$AK$3:$AK$98,K$1,工数管理!$AE$3:$AE$98,"&lt;="&amp;$H58,工数管理!$AF$3:$AF$98,"&gt;="&amp;$H58)+COUNTIFS(工数管理!$AK$3:$AK$98,K$1,工数管理!$AG$3:$AG$98,"&lt;="&amp;$H58,工数管理!$AH$3:$AH$98,"&gt;="&amp;$H58)+(COUNTIFS(工数管理!$AK$3:$AK$98,K$1,工数管理!$K$3:$K$98,"&lt;="&amp;$H58,工数管理!$L$3:$L$98,"")+COUNTIFS(工数管理!$AK$3:$AK$98,K$1,工数管理!$M$3:$M$98,"&lt;="&amp;$H58,工数管理!$N$3:$N$98,"")+COUNTIFS(工数管理!$AK$3:$AK$98,K$1,工数管理!$O$3:$O$98,"&lt;="&amp;$H58,工数管理!$P$3:$P$98,"")+COUNTIFS(工数管理!$AK$3:$AK$98,K$1,工数管理!$Q$3:$Q$98,"&lt;="&amp;$H58,工数管理!$R$3:$R$98,"")+COUNTIFS(工数管理!$AK$3:$AK$98,K$1,工数管理!$S$3:$S$98,"&lt;="&amp;$H58,工数管理!$T$3:$T$98,"")+COUNTIFS(工数管理!$AK$3:$AK$98,K$1,工数管理!$U$3:$U$98,"&lt;="&amp;$H58,工数管理!$V$3:$V$98,"")+COUNTIFS(工数管理!$AK$3:$AK$98,K$1,工数管理!$W$3:$W$98,"&lt;="&amp;$H58,工数管理!$X$3:$X$98,"")+COUNTIFS(工数管理!$AK$3:$AK$98,K$1,工数管理!$Y$3:$Y$98,"&lt;="&amp;$H58,工数管理!$Z$3:$Z$98,"")+COUNTIFS(工数管理!$AK$3:$AK$98,K$1,工数管理!$AA$3:$AA$98,"&lt;="&amp;$H58,工数管理!$AB$3:$AB$98,"")+COUNTIFS(工数管理!$AK$3:$AK$98,K$1,工数管理!$AC$3:$AC$98,"&lt;="&amp;$H58,工数管理!$AD$3:$AD$98,"")+COUNTIFS(工数管理!$AK$3:$AK$98,K$1,工数管理!$AE$3:$AE$98,"&lt;="&amp;$H58,工数管理!$AF$3:$AF$98,"")+COUNTIFS(工数管理!$AK$3:$AK$98,K$1,工数管理!$AG$3:$AG$98,"&lt;="&amp;$H58,工数管理!$AH$3:$AH$98,""))*($H58&lt;=工数管理!$AI$1))</f>
        <v>1</v>
      </c>
      <c r="L58" s="42">
        <f ca="1">IF(L$1="",0,COUNTIFS(工数管理!$AK$3:$AK$98,L$1,工数管理!$K$3:$K$98,"&lt;="&amp;$H58,工数管理!$L$3:$L$98,"&gt;="&amp;$H58)+COUNTIFS(工数管理!$AK$3:$AK$98,L$1,工数管理!$M$3:$M$98,"&lt;="&amp;$H58,工数管理!$N$3:$N$98,"&gt;="&amp;$H58)+COUNTIFS(工数管理!$AK$3:$AK$98,L$1,工数管理!$O$3:$O$98,"&lt;="&amp;$H58,工数管理!$P$3:$P$98,"&gt;="&amp;$H58)+COUNTIFS(工数管理!$AK$3:$AK$98,L$1,工数管理!$Q$3:$Q$98,"&lt;="&amp;$H58,工数管理!$R$3:$R$98,"&gt;="&amp;$H58)+COUNTIFS(工数管理!$AK$3:$AK$98,L$1,工数管理!$S$3:$S$98,"&lt;="&amp;$H58,工数管理!$T$3:$T$98,"&gt;="&amp;$H58)+COUNTIFS(工数管理!$AK$3:$AK$98,L$1,工数管理!$U$3:$U$98,"&lt;="&amp;$H58,工数管理!$V$3:$V$98,"&gt;="&amp;$H58)+COUNTIFS(工数管理!$AK$3:$AK$98,L$1,工数管理!$W$3:$W$98,"&lt;="&amp;$H58,工数管理!$X$3:$X$98,"&gt;="&amp;$H58)+COUNTIFS(工数管理!$AK$3:$AK$98,L$1,工数管理!$Y$3:$Y$98,"&lt;="&amp;$H58,工数管理!$Z$3:$Z$98,"&gt;="&amp;$H58)+COUNTIFS(工数管理!$AK$3:$AK$98,L$1,工数管理!$AA$3:$AA$98,"&lt;="&amp;$H58,工数管理!$AB$3:$AB$98,"&gt;="&amp;$H58)+COUNTIFS(工数管理!$AK$3:$AK$98,L$1,工数管理!$AC$3:$AC$98,"&lt;="&amp;$H58,工数管理!$AD$3:$AD$98,"&gt;="&amp;$H58)+COUNTIFS(工数管理!$AK$3:$AK$98,L$1,工数管理!$AE$3:$AE$98,"&lt;="&amp;$H58,工数管理!$AF$3:$AF$98,"&gt;="&amp;$H58)+COUNTIFS(工数管理!$AK$3:$AK$98,L$1,工数管理!$AG$3:$AG$98,"&lt;="&amp;$H58,工数管理!$AH$3:$AH$98,"&gt;="&amp;$H58)+(COUNTIFS(工数管理!$AK$3:$AK$98,L$1,工数管理!$K$3:$K$98,"&lt;="&amp;$H58,工数管理!$L$3:$L$98,"")+COUNTIFS(工数管理!$AK$3:$AK$98,L$1,工数管理!$M$3:$M$98,"&lt;="&amp;$H58,工数管理!$N$3:$N$98,"")+COUNTIFS(工数管理!$AK$3:$AK$98,L$1,工数管理!$O$3:$O$98,"&lt;="&amp;$H58,工数管理!$P$3:$P$98,"")+COUNTIFS(工数管理!$AK$3:$AK$98,L$1,工数管理!$Q$3:$Q$98,"&lt;="&amp;$H58,工数管理!$R$3:$R$98,"")+COUNTIFS(工数管理!$AK$3:$AK$98,L$1,工数管理!$S$3:$S$98,"&lt;="&amp;$H58,工数管理!$T$3:$T$98,"")+COUNTIFS(工数管理!$AK$3:$AK$98,L$1,工数管理!$U$3:$U$98,"&lt;="&amp;$H58,工数管理!$V$3:$V$98,"")+COUNTIFS(工数管理!$AK$3:$AK$98,L$1,工数管理!$W$3:$W$98,"&lt;="&amp;$H58,工数管理!$X$3:$X$98,"")+COUNTIFS(工数管理!$AK$3:$AK$98,L$1,工数管理!$Y$3:$Y$98,"&lt;="&amp;$H58,工数管理!$Z$3:$Z$98,"")+COUNTIFS(工数管理!$AK$3:$AK$98,L$1,工数管理!$AA$3:$AA$98,"&lt;="&amp;$H58,工数管理!$AB$3:$AB$98,"")+COUNTIFS(工数管理!$AK$3:$AK$98,L$1,工数管理!$AC$3:$AC$98,"&lt;="&amp;$H58,工数管理!$AD$3:$AD$98,"")+COUNTIFS(工数管理!$AK$3:$AK$98,L$1,工数管理!$AE$3:$AE$98,"&lt;="&amp;$H58,工数管理!$AF$3:$AF$98,"")+COUNTIFS(工数管理!$AK$3:$AK$98,L$1,工数管理!$AG$3:$AG$98,"&lt;="&amp;$H58,工数管理!$AH$3:$AH$98,""))*($H58&lt;=工数管理!$AI$1))</f>
        <v>1</v>
      </c>
    </row>
    <row r="59" spans="1:12" x14ac:dyDescent="0.15">
      <c r="A59" s="5"/>
      <c r="B59" s="6"/>
      <c r="H59" s="41">
        <f t="shared" si="1"/>
        <v>46227</v>
      </c>
      <c r="I59" s="42">
        <f t="shared" si="0"/>
        <v>1</v>
      </c>
      <c r="J59" s="42">
        <f ca="1">IF(J$1="",0,COUNTIFS(工数管理!$AK$3:$AK$98,J$1,工数管理!$K$3:$K$98,"&lt;="&amp;$H59,工数管理!$L$3:$L$98,"&gt;="&amp;$H59)+COUNTIFS(工数管理!$AK$3:$AK$98,J$1,工数管理!$M$3:$M$98,"&lt;="&amp;$H59,工数管理!$N$3:$N$98,"&gt;="&amp;$H59)+COUNTIFS(工数管理!$AK$3:$AK$98,J$1,工数管理!$O$3:$O$98,"&lt;="&amp;$H59,工数管理!$P$3:$P$98,"&gt;="&amp;$H59)+COUNTIFS(工数管理!$AK$3:$AK$98,J$1,工数管理!$Q$3:$Q$98,"&lt;="&amp;$H59,工数管理!$R$3:$R$98,"&gt;="&amp;$H59)+COUNTIFS(工数管理!$AK$3:$AK$98,J$1,工数管理!$S$3:$S$98,"&lt;="&amp;$H59,工数管理!$T$3:$T$98,"&gt;="&amp;$H59)+COUNTIFS(工数管理!$AK$3:$AK$98,J$1,工数管理!$U$3:$U$98,"&lt;="&amp;$H59,工数管理!$V$3:$V$98,"&gt;="&amp;$H59)+COUNTIFS(工数管理!$AK$3:$AK$98,J$1,工数管理!$W$3:$W$98,"&lt;="&amp;$H59,工数管理!$X$3:$X$98,"&gt;="&amp;$H59)+COUNTIFS(工数管理!$AK$3:$AK$98,J$1,工数管理!$Y$3:$Y$98,"&lt;="&amp;$H59,工数管理!$Z$3:$Z$98,"&gt;="&amp;$H59)+COUNTIFS(工数管理!$AK$3:$AK$98,J$1,工数管理!$AA$3:$AA$98,"&lt;="&amp;$H59,工数管理!$AB$3:$AB$98,"&gt;="&amp;$H59)+COUNTIFS(工数管理!$AK$3:$AK$98,J$1,工数管理!$AC$3:$AC$98,"&lt;="&amp;$H59,工数管理!$AD$3:$AD$98,"&gt;="&amp;$H59)+COUNTIFS(工数管理!$AK$3:$AK$98,J$1,工数管理!$AE$3:$AE$98,"&lt;="&amp;$H59,工数管理!$AF$3:$AF$98,"&gt;="&amp;$H59)+COUNTIFS(工数管理!$AK$3:$AK$98,J$1,工数管理!$AG$3:$AG$98,"&lt;="&amp;$H59,工数管理!$AH$3:$AH$98,"&gt;="&amp;$H59)+(COUNTIFS(工数管理!$AK$3:$AK$98,J$1,工数管理!$K$3:$K$98,"&lt;="&amp;$H59,工数管理!$L$3:$L$98,"")+COUNTIFS(工数管理!$AK$3:$AK$98,J$1,工数管理!$M$3:$M$98,"&lt;="&amp;$H59,工数管理!$N$3:$N$98,"")+COUNTIFS(工数管理!$AK$3:$AK$98,J$1,工数管理!$O$3:$O$98,"&lt;="&amp;$H59,工数管理!$P$3:$P$98,"")+COUNTIFS(工数管理!$AK$3:$AK$98,J$1,工数管理!$Q$3:$Q$98,"&lt;="&amp;$H59,工数管理!$R$3:$R$98,"")+COUNTIFS(工数管理!$AK$3:$AK$98,J$1,工数管理!$S$3:$S$98,"&lt;="&amp;$H59,工数管理!$T$3:$T$98,"")+COUNTIFS(工数管理!$AK$3:$AK$98,J$1,工数管理!$U$3:$U$98,"&lt;="&amp;$H59,工数管理!$V$3:$V$98,"")+COUNTIFS(工数管理!$AK$3:$AK$98,J$1,工数管理!$W$3:$W$98,"&lt;="&amp;$H59,工数管理!$X$3:$X$98,"")+COUNTIFS(工数管理!$AK$3:$AK$98,J$1,工数管理!$Y$3:$Y$98,"&lt;="&amp;$H59,工数管理!$Z$3:$Z$98,"")+COUNTIFS(工数管理!$AK$3:$AK$98,J$1,工数管理!$AA$3:$AA$98,"&lt;="&amp;$H59,工数管理!$AB$3:$AB$98,"")+COUNTIFS(工数管理!$AK$3:$AK$98,J$1,工数管理!$AC$3:$AC$98,"&lt;="&amp;$H59,工数管理!$AD$3:$AD$98,"")+COUNTIFS(工数管理!$AK$3:$AK$98,J$1,工数管理!$AE$3:$AE$98,"&lt;="&amp;$H59,工数管理!$AF$3:$AF$98,"")+COUNTIFS(工数管理!$AK$3:$AK$98,J$1,工数管理!$AG$3:$AG$98,"&lt;="&amp;$H59,工数管理!$AH$3:$AH$98,""))*($H59&lt;=工数管理!$AI$1))</f>
        <v>1</v>
      </c>
      <c r="K59" s="42">
        <f ca="1">IF(K$1="",0,COUNTIFS(工数管理!$AK$3:$AK$98,K$1,工数管理!$K$3:$K$98,"&lt;="&amp;$H59,工数管理!$L$3:$L$98,"&gt;="&amp;$H59)+COUNTIFS(工数管理!$AK$3:$AK$98,K$1,工数管理!$M$3:$M$98,"&lt;="&amp;$H59,工数管理!$N$3:$N$98,"&gt;="&amp;$H59)+COUNTIFS(工数管理!$AK$3:$AK$98,K$1,工数管理!$O$3:$O$98,"&lt;="&amp;$H59,工数管理!$P$3:$P$98,"&gt;="&amp;$H59)+COUNTIFS(工数管理!$AK$3:$AK$98,K$1,工数管理!$Q$3:$Q$98,"&lt;="&amp;$H59,工数管理!$R$3:$R$98,"&gt;="&amp;$H59)+COUNTIFS(工数管理!$AK$3:$AK$98,K$1,工数管理!$S$3:$S$98,"&lt;="&amp;$H59,工数管理!$T$3:$T$98,"&gt;="&amp;$H59)+COUNTIFS(工数管理!$AK$3:$AK$98,K$1,工数管理!$U$3:$U$98,"&lt;="&amp;$H59,工数管理!$V$3:$V$98,"&gt;="&amp;$H59)+COUNTIFS(工数管理!$AK$3:$AK$98,K$1,工数管理!$W$3:$W$98,"&lt;="&amp;$H59,工数管理!$X$3:$X$98,"&gt;="&amp;$H59)+COUNTIFS(工数管理!$AK$3:$AK$98,K$1,工数管理!$Y$3:$Y$98,"&lt;="&amp;$H59,工数管理!$Z$3:$Z$98,"&gt;="&amp;$H59)+COUNTIFS(工数管理!$AK$3:$AK$98,K$1,工数管理!$AA$3:$AA$98,"&lt;="&amp;$H59,工数管理!$AB$3:$AB$98,"&gt;="&amp;$H59)+COUNTIFS(工数管理!$AK$3:$AK$98,K$1,工数管理!$AC$3:$AC$98,"&lt;="&amp;$H59,工数管理!$AD$3:$AD$98,"&gt;="&amp;$H59)+COUNTIFS(工数管理!$AK$3:$AK$98,K$1,工数管理!$AE$3:$AE$98,"&lt;="&amp;$H59,工数管理!$AF$3:$AF$98,"&gt;="&amp;$H59)+COUNTIFS(工数管理!$AK$3:$AK$98,K$1,工数管理!$AG$3:$AG$98,"&lt;="&amp;$H59,工数管理!$AH$3:$AH$98,"&gt;="&amp;$H59)+(COUNTIFS(工数管理!$AK$3:$AK$98,K$1,工数管理!$K$3:$K$98,"&lt;="&amp;$H59,工数管理!$L$3:$L$98,"")+COUNTIFS(工数管理!$AK$3:$AK$98,K$1,工数管理!$M$3:$M$98,"&lt;="&amp;$H59,工数管理!$N$3:$N$98,"")+COUNTIFS(工数管理!$AK$3:$AK$98,K$1,工数管理!$O$3:$O$98,"&lt;="&amp;$H59,工数管理!$P$3:$P$98,"")+COUNTIFS(工数管理!$AK$3:$AK$98,K$1,工数管理!$Q$3:$Q$98,"&lt;="&amp;$H59,工数管理!$R$3:$R$98,"")+COUNTIFS(工数管理!$AK$3:$AK$98,K$1,工数管理!$S$3:$S$98,"&lt;="&amp;$H59,工数管理!$T$3:$T$98,"")+COUNTIFS(工数管理!$AK$3:$AK$98,K$1,工数管理!$U$3:$U$98,"&lt;="&amp;$H59,工数管理!$V$3:$V$98,"")+COUNTIFS(工数管理!$AK$3:$AK$98,K$1,工数管理!$W$3:$W$98,"&lt;="&amp;$H59,工数管理!$X$3:$X$98,"")+COUNTIFS(工数管理!$AK$3:$AK$98,K$1,工数管理!$Y$3:$Y$98,"&lt;="&amp;$H59,工数管理!$Z$3:$Z$98,"")+COUNTIFS(工数管理!$AK$3:$AK$98,K$1,工数管理!$AA$3:$AA$98,"&lt;="&amp;$H59,工数管理!$AB$3:$AB$98,"")+COUNTIFS(工数管理!$AK$3:$AK$98,K$1,工数管理!$AC$3:$AC$98,"&lt;="&amp;$H59,工数管理!$AD$3:$AD$98,"")+COUNTIFS(工数管理!$AK$3:$AK$98,K$1,工数管理!$AE$3:$AE$98,"&lt;="&amp;$H59,工数管理!$AF$3:$AF$98,"")+COUNTIFS(工数管理!$AK$3:$AK$98,K$1,工数管理!$AG$3:$AG$98,"&lt;="&amp;$H59,工数管理!$AH$3:$AH$98,""))*($H59&lt;=工数管理!$AI$1))</f>
        <v>1</v>
      </c>
      <c r="L59" s="42">
        <f ca="1">IF(L$1="",0,COUNTIFS(工数管理!$AK$3:$AK$98,L$1,工数管理!$K$3:$K$98,"&lt;="&amp;$H59,工数管理!$L$3:$L$98,"&gt;="&amp;$H59)+COUNTIFS(工数管理!$AK$3:$AK$98,L$1,工数管理!$M$3:$M$98,"&lt;="&amp;$H59,工数管理!$N$3:$N$98,"&gt;="&amp;$H59)+COUNTIFS(工数管理!$AK$3:$AK$98,L$1,工数管理!$O$3:$O$98,"&lt;="&amp;$H59,工数管理!$P$3:$P$98,"&gt;="&amp;$H59)+COUNTIFS(工数管理!$AK$3:$AK$98,L$1,工数管理!$Q$3:$Q$98,"&lt;="&amp;$H59,工数管理!$R$3:$R$98,"&gt;="&amp;$H59)+COUNTIFS(工数管理!$AK$3:$AK$98,L$1,工数管理!$S$3:$S$98,"&lt;="&amp;$H59,工数管理!$T$3:$T$98,"&gt;="&amp;$H59)+COUNTIFS(工数管理!$AK$3:$AK$98,L$1,工数管理!$U$3:$U$98,"&lt;="&amp;$H59,工数管理!$V$3:$V$98,"&gt;="&amp;$H59)+COUNTIFS(工数管理!$AK$3:$AK$98,L$1,工数管理!$W$3:$W$98,"&lt;="&amp;$H59,工数管理!$X$3:$X$98,"&gt;="&amp;$H59)+COUNTIFS(工数管理!$AK$3:$AK$98,L$1,工数管理!$Y$3:$Y$98,"&lt;="&amp;$H59,工数管理!$Z$3:$Z$98,"&gt;="&amp;$H59)+COUNTIFS(工数管理!$AK$3:$AK$98,L$1,工数管理!$AA$3:$AA$98,"&lt;="&amp;$H59,工数管理!$AB$3:$AB$98,"&gt;="&amp;$H59)+COUNTIFS(工数管理!$AK$3:$AK$98,L$1,工数管理!$AC$3:$AC$98,"&lt;="&amp;$H59,工数管理!$AD$3:$AD$98,"&gt;="&amp;$H59)+COUNTIFS(工数管理!$AK$3:$AK$98,L$1,工数管理!$AE$3:$AE$98,"&lt;="&amp;$H59,工数管理!$AF$3:$AF$98,"&gt;="&amp;$H59)+COUNTIFS(工数管理!$AK$3:$AK$98,L$1,工数管理!$AG$3:$AG$98,"&lt;="&amp;$H59,工数管理!$AH$3:$AH$98,"&gt;="&amp;$H59)+(COUNTIFS(工数管理!$AK$3:$AK$98,L$1,工数管理!$K$3:$K$98,"&lt;="&amp;$H59,工数管理!$L$3:$L$98,"")+COUNTIFS(工数管理!$AK$3:$AK$98,L$1,工数管理!$M$3:$M$98,"&lt;="&amp;$H59,工数管理!$N$3:$N$98,"")+COUNTIFS(工数管理!$AK$3:$AK$98,L$1,工数管理!$O$3:$O$98,"&lt;="&amp;$H59,工数管理!$P$3:$P$98,"")+COUNTIFS(工数管理!$AK$3:$AK$98,L$1,工数管理!$Q$3:$Q$98,"&lt;="&amp;$H59,工数管理!$R$3:$R$98,"")+COUNTIFS(工数管理!$AK$3:$AK$98,L$1,工数管理!$S$3:$S$98,"&lt;="&amp;$H59,工数管理!$T$3:$T$98,"")+COUNTIFS(工数管理!$AK$3:$AK$98,L$1,工数管理!$U$3:$U$98,"&lt;="&amp;$H59,工数管理!$V$3:$V$98,"")+COUNTIFS(工数管理!$AK$3:$AK$98,L$1,工数管理!$W$3:$W$98,"&lt;="&amp;$H59,工数管理!$X$3:$X$98,"")+COUNTIFS(工数管理!$AK$3:$AK$98,L$1,工数管理!$Y$3:$Y$98,"&lt;="&amp;$H59,工数管理!$Z$3:$Z$98,"")+COUNTIFS(工数管理!$AK$3:$AK$98,L$1,工数管理!$AA$3:$AA$98,"&lt;="&amp;$H59,工数管理!$AB$3:$AB$98,"")+COUNTIFS(工数管理!$AK$3:$AK$98,L$1,工数管理!$AC$3:$AC$98,"&lt;="&amp;$H59,工数管理!$AD$3:$AD$98,"")+COUNTIFS(工数管理!$AK$3:$AK$98,L$1,工数管理!$AE$3:$AE$98,"&lt;="&amp;$H59,工数管理!$AF$3:$AF$98,"")+COUNTIFS(工数管理!$AK$3:$AK$98,L$1,工数管理!$AG$3:$AG$98,"&lt;="&amp;$H59,工数管理!$AH$3:$AH$98,""))*($H59&lt;=工数管理!$AI$1))</f>
        <v>1</v>
      </c>
    </row>
    <row r="60" spans="1:12" x14ac:dyDescent="0.15">
      <c r="A60" s="5"/>
      <c r="B60" s="6"/>
      <c r="H60" s="41">
        <f t="shared" si="1"/>
        <v>46228</v>
      </c>
      <c r="I60" s="42">
        <f t="shared" si="0"/>
        <v>0</v>
      </c>
      <c r="J60" s="42">
        <f ca="1">IF(J$1="",0,COUNTIFS(工数管理!$AK$3:$AK$98,J$1,工数管理!$K$3:$K$98,"&lt;="&amp;$H60,工数管理!$L$3:$L$98,"&gt;="&amp;$H60)+COUNTIFS(工数管理!$AK$3:$AK$98,J$1,工数管理!$M$3:$M$98,"&lt;="&amp;$H60,工数管理!$N$3:$N$98,"&gt;="&amp;$H60)+COUNTIFS(工数管理!$AK$3:$AK$98,J$1,工数管理!$O$3:$O$98,"&lt;="&amp;$H60,工数管理!$P$3:$P$98,"&gt;="&amp;$H60)+COUNTIFS(工数管理!$AK$3:$AK$98,J$1,工数管理!$Q$3:$Q$98,"&lt;="&amp;$H60,工数管理!$R$3:$R$98,"&gt;="&amp;$H60)+COUNTIFS(工数管理!$AK$3:$AK$98,J$1,工数管理!$S$3:$S$98,"&lt;="&amp;$H60,工数管理!$T$3:$T$98,"&gt;="&amp;$H60)+COUNTIFS(工数管理!$AK$3:$AK$98,J$1,工数管理!$U$3:$U$98,"&lt;="&amp;$H60,工数管理!$V$3:$V$98,"&gt;="&amp;$H60)+COUNTIFS(工数管理!$AK$3:$AK$98,J$1,工数管理!$W$3:$W$98,"&lt;="&amp;$H60,工数管理!$X$3:$X$98,"&gt;="&amp;$H60)+COUNTIFS(工数管理!$AK$3:$AK$98,J$1,工数管理!$Y$3:$Y$98,"&lt;="&amp;$H60,工数管理!$Z$3:$Z$98,"&gt;="&amp;$H60)+COUNTIFS(工数管理!$AK$3:$AK$98,J$1,工数管理!$AA$3:$AA$98,"&lt;="&amp;$H60,工数管理!$AB$3:$AB$98,"&gt;="&amp;$H60)+COUNTIFS(工数管理!$AK$3:$AK$98,J$1,工数管理!$AC$3:$AC$98,"&lt;="&amp;$H60,工数管理!$AD$3:$AD$98,"&gt;="&amp;$H60)+COUNTIFS(工数管理!$AK$3:$AK$98,J$1,工数管理!$AE$3:$AE$98,"&lt;="&amp;$H60,工数管理!$AF$3:$AF$98,"&gt;="&amp;$H60)+COUNTIFS(工数管理!$AK$3:$AK$98,J$1,工数管理!$AG$3:$AG$98,"&lt;="&amp;$H60,工数管理!$AH$3:$AH$98,"&gt;="&amp;$H60)+(COUNTIFS(工数管理!$AK$3:$AK$98,J$1,工数管理!$K$3:$K$98,"&lt;="&amp;$H60,工数管理!$L$3:$L$98,"")+COUNTIFS(工数管理!$AK$3:$AK$98,J$1,工数管理!$M$3:$M$98,"&lt;="&amp;$H60,工数管理!$N$3:$N$98,"")+COUNTIFS(工数管理!$AK$3:$AK$98,J$1,工数管理!$O$3:$O$98,"&lt;="&amp;$H60,工数管理!$P$3:$P$98,"")+COUNTIFS(工数管理!$AK$3:$AK$98,J$1,工数管理!$Q$3:$Q$98,"&lt;="&amp;$H60,工数管理!$R$3:$R$98,"")+COUNTIFS(工数管理!$AK$3:$AK$98,J$1,工数管理!$S$3:$S$98,"&lt;="&amp;$H60,工数管理!$T$3:$T$98,"")+COUNTIFS(工数管理!$AK$3:$AK$98,J$1,工数管理!$U$3:$U$98,"&lt;="&amp;$H60,工数管理!$V$3:$V$98,"")+COUNTIFS(工数管理!$AK$3:$AK$98,J$1,工数管理!$W$3:$W$98,"&lt;="&amp;$H60,工数管理!$X$3:$X$98,"")+COUNTIFS(工数管理!$AK$3:$AK$98,J$1,工数管理!$Y$3:$Y$98,"&lt;="&amp;$H60,工数管理!$Z$3:$Z$98,"")+COUNTIFS(工数管理!$AK$3:$AK$98,J$1,工数管理!$AA$3:$AA$98,"&lt;="&amp;$H60,工数管理!$AB$3:$AB$98,"")+COUNTIFS(工数管理!$AK$3:$AK$98,J$1,工数管理!$AC$3:$AC$98,"&lt;="&amp;$H60,工数管理!$AD$3:$AD$98,"")+COUNTIFS(工数管理!$AK$3:$AK$98,J$1,工数管理!$AE$3:$AE$98,"&lt;="&amp;$H60,工数管理!$AF$3:$AF$98,"")+COUNTIFS(工数管理!$AK$3:$AK$98,J$1,工数管理!$AG$3:$AG$98,"&lt;="&amp;$H60,工数管理!$AH$3:$AH$98,""))*($H60&lt;=工数管理!$AI$1))</f>
        <v>1</v>
      </c>
      <c r="K60" s="42">
        <f ca="1">IF(K$1="",0,COUNTIFS(工数管理!$AK$3:$AK$98,K$1,工数管理!$K$3:$K$98,"&lt;="&amp;$H60,工数管理!$L$3:$L$98,"&gt;="&amp;$H60)+COUNTIFS(工数管理!$AK$3:$AK$98,K$1,工数管理!$M$3:$M$98,"&lt;="&amp;$H60,工数管理!$N$3:$N$98,"&gt;="&amp;$H60)+COUNTIFS(工数管理!$AK$3:$AK$98,K$1,工数管理!$O$3:$O$98,"&lt;="&amp;$H60,工数管理!$P$3:$P$98,"&gt;="&amp;$H60)+COUNTIFS(工数管理!$AK$3:$AK$98,K$1,工数管理!$Q$3:$Q$98,"&lt;="&amp;$H60,工数管理!$R$3:$R$98,"&gt;="&amp;$H60)+COUNTIFS(工数管理!$AK$3:$AK$98,K$1,工数管理!$S$3:$S$98,"&lt;="&amp;$H60,工数管理!$T$3:$T$98,"&gt;="&amp;$H60)+COUNTIFS(工数管理!$AK$3:$AK$98,K$1,工数管理!$U$3:$U$98,"&lt;="&amp;$H60,工数管理!$V$3:$V$98,"&gt;="&amp;$H60)+COUNTIFS(工数管理!$AK$3:$AK$98,K$1,工数管理!$W$3:$W$98,"&lt;="&amp;$H60,工数管理!$X$3:$X$98,"&gt;="&amp;$H60)+COUNTIFS(工数管理!$AK$3:$AK$98,K$1,工数管理!$Y$3:$Y$98,"&lt;="&amp;$H60,工数管理!$Z$3:$Z$98,"&gt;="&amp;$H60)+COUNTIFS(工数管理!$AK$3:$AK$98,K$1,工数管理!$AA$3:$AA$98,"&lt;="&amp;$H60,工数管理!$AB$3:$AB$98,"&gt;="&amp;$H60)+COUNTIFS(工数管理!$AK$3:$AK$98,K$1,工数管理!$AC$3:$AC$98,"&lt;="&amp;$H60,工数管理!$AD$3:$AD$98,"&gt;="&amp;$H60)+COUNTIFS(工数管理!$AK$3:$AK$98,K$1,工数管理!$AE$3:$AE$98,"&lt;="&amp;$H60,工数管理!$AF$3:$AF$98,"&gt;="&amp;$H60)+COUNTIFS(工数管理!$AK$3:$AK$98,K$1,工数管理!$AG$3:$AG$98,"&lt;="&amp;$H60,工数管理!$AH$3:$AH$98,"&gt;="&amp;$H60)+(COUNTIFS(工数管理!$AK$3:$AK$98,K$1,工数管理!$K$3:$K$98,"&lt;="&amp;$H60,工数管理!$L$3:$L$98,"")+COUNTIFS(工数管理!$AK$3:$AK$98,K$1,工数管理!$M$3:$M$98,"&lt;="&amp;$H60,工数管理!$N$3:$N$98,"")+COUNTIFS(工数管理!$AK$3:$AK$98,K$1,工数管理!$O$3:$O$98,"&lt;="&amp;$H60,工数管理!$P$3:$P$98,"")+COUNTIFS(工数管理!$AK$3:$AK$98,K$1,工数管理!$Q$3:$Q$98,"&lt;="&amp;$H60,工数管理!$R$3:$R$98,"")+COUNTIFS(工数管理!$AK$3:$AK$98,K$1,工数管理!$S$3:$S$98,"&lt;="&amp;$H60,工数管理!$T$3:$T$98,"")+COUNTIFS(工数管理!$AK$3:$AK$98,K$1,工数管理!$U$3:$U$98,"&lt;="&amp;$H60,工数管理!$V$3:$V$98,"")+COUNTIFS(工数管理!$AK$3:$AK$98,K$1,工数管理!$W$3:$W$98,"&lt;="&amp;$H60,工数管理!$X$3:$X$98,"")+COUNTIFS(工数管理!$AK$3:$AK$98,K$1,工数管理!$Y$3:$Y$98,"&lt;="&amp;$H60,工数管理!$Z$3:$Z$98,"")+COUNTIFS(工数管理!$AK$3:$AK$98,K$1,工数管理!$AA$3:$AA$98,"&lt;="&amp;$H60,工数管理!$AB$3:$AB$98,"")+COUNTIFS(工数管理!$AK$3:$AK$98,K$1,工数管理!$AC$3:$AC$98,"&lt;="&amp;$H60,工数管理!$AD$3:$AD$98,"")+COUNTIFS(工数管理!$AK$3:$AK$98,K$1,工数管理!$AE$3:$AE$98,"&lt;="&amp;$H60,工数管理!$AF$3:$AF$98,"")+COUNTIFS(工数管理!$AK$3:$AK$98,K$1,工数管理!$AG$3:$AG$98,"&lt;="&amp;$H60,工数管理!$AH$3:$AH$98,""))*($H60&lt;=工数管理!$AI$1))</f>
        <v>0</v>
      </c>
      <c r="L60" s="42">
        <f ca="1">IF(L$1="",0,COUNTIFS(工数管理!$AK$3:$AK$98,L$1,工数管理!$K$3:$K$98,"&lt;="&amp;$H60,工数管理!$L$3:$L$98,"&gt;="&amp;$H60)+COUNTIFS(工数管理!$AK$3:$AK$98,L$1,工数管理!$M$3:$M$98,"&lt;="&amp;$H60,工数管理!$N$3:$N$98,"&gt;="&amp;$H60)+COUNTIFS(工数管理!$AK$3:$AK$98,L$1,工数管理!$O$3:$O$98,"&lt;="&amp;$H60,工数管理!$P$3:$P$98,"&gt;="&amp;$H60)+COUNTIFS(工数管理!$AK$3:$AK$98,L$1,工数管理!$Q$3:$Q$98,"&lt;="&amp;$H60,工数管理!$R$3:$R$98,"&gt;="&amp;$H60)+COUNTIFS(工数管理!$AK$3:$AK$98,L$1,工数管理!$S$3:$S$98,"&lt;="&amp;$H60,工数管理!$T$3:$T$98,"&gt;="&amp;$H60)+COUNTIFS(工数管理!$AK$3:$AK$98,L$1,工数管理!$U$3:$U$98,"&lt;="&amp;$H60,工数管理!$V$3:$V$98,"&gt;="&amp;$H60)+COUNTIFS(工数管理!$AK$3:$AK$98,L$1,工数管理!$W$3:$W$98,"&lt;="&amp;$H60,工数管理!$X$3:$X$98,"&gt;="&amp;$H60)+COUNTIFS(工数管理!$AK$3:$AK$98,L$1,工数管理!$Y$3:$Y$98,"&lt;="&amp;$H60,工数管理!$Z$3:$Z$98,"&gt;="&amp;$H60)+COUNTIFS(工数管理!$AK$3:$AK$98,L$1,工数管理!$AA$3:$AA$98,"&lt;="&amp;$H60,工数管理!$AB$3:$AB$98,"&gt;="&amp;$H60)+COUNTIFS(工数管理!$AK$3:$AK$98,L$1,工数管理!$AC$3:$AC$98,"&lt;="&amp;$H60,工数管理!$AD$3:$AD$98,"&gt;="&amp;$H60)+COUNTIFS(工数管理!$AK$3:$AK$98,L$1,工数管理!$AE$3:$AE$98,"&lt;="&amp;$H60,工数管理!$AF$3:$AF$98,"&gt;="&amp;$H60)+COUNTIFS(工数管理!$AK$3:$AK$98,L$1,工数管理!$AG$3:$AG$98,"&lt;="&amp;$H60,工数管理!$AH$3:$AH$98,"&gt;="&amp;$H60)+(COUNTIFS(工数管理!$AK$3:$AK$98,L$1,工数管理!$K$3:$K$98,"&lt;="&amp;$H60,工数管理!$L$3:$L$98,"")+COUNTIFS(工数管理!$AK$3:$AK$98,L$1,工数管理!$M$3:$M$98,"&lt;="&amp;$H60,工数管理!$N$3:$N$98,"")+COUNTIFS(工数管理!$AK$3:$AK$98,L$1,工数管理!$O$3:$O$98,"&lt;="&amp;$H60,工数管理!$P$3:$P$98,"")+COUNTIFS(工数管理!$AK$3:$AK$98,L$1,工数管理!$Q$3:$Q$98,"&lt;="&amp;$H60,工数管理!$R$3:$R$98,"")+COUNTIFS(工数管理!$AK$3:$AK$98,L$1,工数管理!$S$3:$S$98,"&lt;="&amp;$H60,工数管理!$T$3:$T$98,"")+COUNTIFS(工数管理!$AK$3:$AK$98,L$1,工数管理!$U$3:$U$98,"&lt;="&amp;$H60,工数管理!$V$3:$V$98,"")+COUNTIFS(工数管理!$AK$3:$AK$98,L$1,工数管理!$W$3:$W$98,"&lt;="&amp;$H60,工数管理!$X$3:$X$98,"")+COUNTIFS(工数管理!$AK$3:$AK$98,L$1,工数管理!$Y$3:$Y$98,"&lt;="&amp;$H60,工数管理!$Z$3:$Z$98,"")+COUNTIFS(工数管理!$AK$3:$AK$98,L$1,工数管理!$AA$3:$AA$98,"&lt;="&amp;$H60,工数管理!$AB$3:$AB$98,"")+COUNTIFS(工数管理!$AK$3:$AK$98,L$1,工数管理!$AC$3:$AC$98,"&lt;="&amp;$H60,工数管理!$AD$3:$AD$98,"")+COUNTIFS(工数管理!$AK$3:$AK$98,L$1,工数管理!$AE$3:$AE$98,"&lt;="&amp;$H60,工数管理!$AF$3:$AF$98,"")+COUNTIFS(工数管理!$AK$3:$AK$98,L$1,工数管理!$AG$3:$AG$98,"&lt;="&amp;$H60,工数管理!$AH$3:$AH$98,""))*($H60&lt;=工数管理!$AI$1))</f>
        <v>0</v>
      </c>
    </row>
    <row r="61" spans="1:12" x14ac:dyDescent="0.15">
      <c r="A61" s="5"/>
      <c r="B61" s="6"/>
      <c r="H61" s="41">
        <f t="shared" si="1"/>
        <v>46229</v>
      </c>
      <c r="I61" s="42">
        <f t="shared" si="0"/>
        <v>0</v>
      </c>
      <c r="J61" s="42">
        <f ca="1">IF(J$1="",0,COUNTIFS(工数管理!$AK$3:$AK$98,J$1,工数管理!$K$3:$K$98,"&lt;="&amp;$H61,工数管理!$L$3:$L$98,"&gt;="&amp;$H61)+COUNTIFS(工数管理!$AK$3:$AK$98,J$1,工数管理!$M$3:$M$98,"&lt;="&amp;$H61,工数管理!$N$3:$N$98,"&gt;="&amp;$H61)+COUNTIFS(工数管理!$AK$3:$AK$98,J$1,工数管理!$O$3:$O$98,"&lt;="&amp;$H61,工数管理!$P$3:$P$98,"&gt;="&amp;$H61)+COUNTIFS(工数管理!$AK$3:$AK$98,J$1,工数管理!$Q$3:$Q$98,"&lt;="&amp;$H61,工数管理!$R$3:$R$98,"&gt;="&amp;$H61)+COUNTIFS(工数管理!$AK$3:$AK$98,J$1,工数管理!$S$3:$S$98,"&lt;="&amp;$H61,工数管理!$T$3:$T$98,"&gt;="&amp;$H61)+COUNTIFS(工数管理!$AK$3:$AK$98,J$1,工数管理!$U$3:$U$98,"&lt;="&amp;$H61,工数管理!$V$3:$V$98,"&gt;="&amp;$H61)+COUNTIFS(工数管理!$AK$3:$AK$98,J$1,工数管理!$W$3:$W$98,"&lt;="&amp;$H61,工数管理!$X$3:$X$98,"&gt;="&amp;$H61)+COUNTIFS(工数管理!$AK$3:$AK$98,J$1,工数管理!$Y$3:$Y$98,"&lt;="&amp;$H61,工数管理!$Z$3:$Z$98,"&gt;="&amp;$H61)+COUNTIFS(工数管理!$AK$3:$AK$98,J$1,工数管理!$AA$3:$AA$98,"&lt;="&amp;$H61,工数管理!$AB$3:$AB$98,"&gt;="&amp;$H61)+COUNTIFS(工数管理!$AK$3:$AK$98,J$1,工数管理!$AC$3:$AC$98,"&lt;="&amp;$H61,工数管理!$AD$3:$AD$98,"&gt;="&amp;$H61)+COUNTIFS(工数管理!$AK$3:$AK$98,J$1,工数管理!$AE$3:$AE$98,"&lt;="&amp;$H61,工数管理!$AF$3:$AF$98,"&gt;="&amp;$H61)+COUNTIFS(工数管理!$AK$3:$AK$98,J$1,工数管理!$AG$3:$AG$98,"&lt;="&amp;$H61,工数管理!$AH$3:$AH$98,"&gt;="&amp;$H61)+(COUNTIFS(工数管理!$AK$3:$AK$98,J$1,工数管理!$K$3:$K$98,"&lt;="&amp;$H61,工数管理!$L$3:$L$98,"")+COUNTIFS(工数管理!$AK$3:$AK$98,J$1,工数管理!$M$3:$M$98,"&lt;="&amp;$H61,工数管理!$N$3:$N$98,"")+COUNTIFS(工数管理!$AK$3:$AK$98,J$1,工数管理!$O$3:$O$98,"&lt;="&amp;$H61,工数管理!$P$3:$P$98,"")+COUNTIFS(工数管理!$AK$3:$AK$98,J$1,工数管理!$Q$3:$Q$98,"&lt;="&amp;$H61,工数管理!$R$3:$R$98,"")+COUNTIFS(工数管理!$AK$3:$AK$98,J$1,工数管理!$S$3:$S$98,"&lt;="&amp;$H61,工数管理!$T$3:$T$98,"")+COUNTIFS(工数管理!$AK$3:$AK$98,J$1,工数管理!$U$3:$U$98,"&lt;="&amp;$H61,工数管理!$V$3:$V$98,"")+COUNTIFS(工数管理!$AK$3:$AK$98,J$1,工数管理!$W$3:$W$98,"&lt;="&amp;$H61,工数管理!$X$3:$X$98,"")+COUNTIFS(工数管理!$AK$3:$AK$98,J$1,工数管理!$Y$3:$Y$98,"&lt;="&amp;$H61,工数管理!$Z$3:$Z$98,"")+COUNTIFS(工数管理!$AK$3:$AK$98,J$1,工数管理!$AA$3:$AA$98,"&lt;="&amp;$H61,工数管理!$AB$3:$AB$98,"")+COUNTIFS(工数管理!$AK$3:$AK$98,J$1,工数管理!$AC$3:$AC$98,"&lt;="&amp;$H61,工数管理!$AD$3:$AD$98,"")+COUNTIFS(工数管理!$AK$3:$AK$98,J$1,工数管理!$AE$3:$AE$98,"&lt;="&amp;$H61,工数管理!$AF$3:$AF$98,"")+COUNTIFS(工数管理!$AK$3:$AK$98,J$1,工数管理!$AG$3:$AG$98,"&lt;="&amp;$H61,工数管理!$AH$3:$AH$98,""))*($H61&lt;=工数管理!$AI$1))</f>
        <v>1</v>
      </c>
      <c r="K61" s="42">
        <f ca="1">IF(K$1="",0,COUNTIFS(工数管理!$AK$3:$AK$98,K$1,工数管理!$K$3:$K$98,"&lt;="&amp;$H61,工数管理!$L$3:$L$98,"&gt;="&amp;$H61)+COUNTIFS(工数管理!$AK$3:$AK$98,K$1,工数管理!$M$3:$M$98,"&lt;="&amp;$H61,工数管理!$N$3:$N$98,"&gt;="&amp;$H61)+COUNTIFS(工数管理!$AK$3:$AK$98,K$1,工数管理!$O$3:$O$98,"&lt;="&amp;$H61,工数管理!$P$3:$P$98,"&gt;="&amp;$H61)+COUNTIFS(工数管理!$AK$3:$AK$98,K$1,工数管理!$Q$3:$Q$98,"&lt;="&amp;$H61,工数管理!$R$3:$R$98,"&gt;="&amp;$H61)+COUNTIFS(工数管理!$AK$3:$AK$98,K$1,工数管理!$S$3:$S$98,"&lt;="&amp;$H61,工数管理!$T$3:$T$98,"&gt;="&amp;$H61)+COUNTIFS(工数管理!$AK$3:$AK$98,K$1,工数管理!$U$3:$U$98,"&lt;="&amp;$H61,工数管理!$V$3:$V$98,"&gt;="&amp;$H61)+COUNTIFS(工数管理!$AK$3:$AK$98,K$1,工数管理!$W$3:$W$98,"&lt;="&amp;$H61,工数管理!$X$3:$X$98,"&gt;="&amp;$H61)+COUNTIFS(工数管理!$AK$3:$AK$98,K$1,工数管理!$Y$3:$Y$98,"&lt;="&amp;$H61,工数管理!$Z$3:$Z$98,"&gt;="&amp;$H61)+COUNTIFS(工数管理!$AK$3:$AK$98,K$1,工数管理!$AA$3:$AA$98,"&lt;="&amp;$H61,工数管理!$AB$3:$AB$98,"&gt;="&amp;$H61)+COUNTIFS(工数管理!$AK$3:$AK$98,K$1,工数管理!$AC$3:$AC$98,"&lt;="&amp;$H61,工数管理!$AD$3:$AD$98,"&gt;="&amp;$H61)+COUNTIFS(工数管理!$AK$3:$AK$98,K$1,工数管理!$AE$3:$AE$98,"&lt;="&amp;$H61,工数管理!$AF$3:$AF$98,"&gt;="&amp;$H61)+COUNTIFS(工数管理!$AK$3:$AK$98,K$1,工数管理!$AG$3:$AG$98,"&lt;="&amp;$H61,工数管理!$AH$3:$AH$98,"&gt;="&amp;$H61)+(COUNTIFS(工数管理!$AK$3:$AK$98,K$1,工数管理!$K$3:$K$98,"&lt;="&amp;$H61,工数管理!$L$3:$L$98,"")+COUNTIFS(工数管理!$AK$3:$AK$98,K$1,工数管理!$M$3:$M$98,"&lt;="&amp;$H61,工数管理!$N$3:$N$98,"")+COUNTIFS(工数管理!$AK$3:$AK$98,K$1,工数管理!$O$3:$O$98,"&lt;="&amp;$H61,工数管理!$P$3:$P$98,"")+COUNTIFS(工数管理!$AK$3:$AK$98,K$1,工数管理!$Q$3:$Q$98,"&lt;="&amp;$H61,工数管理!$R$3:$R$98,"")+COUNTIFS(工数管理!$AK$3:$AK$98,K$1,工数管理!$S$3:$S$98,"&lt;="&amp;$H61,工数管理!$T$3:$T$98,"")+COUNTIFS(工数管理!$AK$3:$AK$98,K$1,工数管理!$U$3:$U$98,"&lt;="&amp;$H61,工数管理!$V$3:$V$98,"")+COUNTIFS(工数管理!$AK$3:$AK$98,K$1,工数管理!$W$3:$W$98,"&lt;="&amp;$H61,工数管理!$X$3:$X$98,"")+COUNTIFS(工数管理!$AK$3:$AK$98,K$1,工数管理!$Y$3:$Y$98,"&lt;="&amp;$H61,工数管理!$Z$3:$Z$98,"")+COUNTIFS(工数管理!$AK$3:$AK$98,K$1,工数管理!$AA$3:$AA$98,"&lt;="&amp;$H61,工数管理!$AB$3:$AB$98,"")+COUNTIFS(工数管理!$AK$3:$AK$98,K$1,工数管理!$AC$3:$AC$98,"&lt;="&amp;$H61,工数管理!$AD$3:$AD$98,"")+COUNTIFS(工数管理!$AK$3:$AK$98,K$1,工数管理!$AE$3:$AE$98,"&lt;="&amp;$H61,工数管理!$AF$3:$AF$98,"")+COUNTIFS(工数管理!$AK$3:$AK$98,K$1,工数管理!$AG$3:$AG$98,"&lt;="&amp;$H61,工数管理!$AH$3:$AH$98,""))*($H61&lt;=工数管理!$AI$1))</f>
        <v>0</v>
      </c>
      <c r="L61" s="42">
        <f ca="1">IF(L$1="",0,COUNTIFS(工数管理!$AK$3:$AK$98,L$1,工数管理!$K$3:$K$98,"&lt;="&amp;$H61,工数管理!$L$3:$L$98,"&gt;="&amp;$H61)+COUNTIFS(工数管理!$AK$3:$AK$98,L$1,工数管理!$M$3:$M$98,"&lt;="&amp;$H61,工数管理!$N$3:$N$98,"&gt;="&amp;$H61)+COUNTIFS(工数管理!$AK$3:$AK$98,L$1,工数管理!$O$3:$O$98,"&lt;="&amp;$H61,工数管理!$P$3:$P$98,"&gt;="&amp;$H61)+COUNTIFS(工数管理!$AK$3:$AK$98,L$1,工数管理!$Q$3:$Q$98,"&lt;="&amp;$H61,工数管理!$R$3:$R$98,"&gt;="&amp;$H61)+COUNTIFS(工数管理!$AK$3:$AK$98,L$1,工数管理!$S$3:$S$98,"&lt;="&amp;$H61,工数管理!$T$3:$T$98,"&gt;="&amp;$H61)+COUNTIFS(工数管理!$AK$3:$AK$98,L$1,工数管理!$U$3:$U$98,"&lt;="&amp;$H61,工数管理!$V$3:$V$98,"&gt;="&amp;$H61)+COUNTIFS(工数管理!$AK$3:$AK$98,L$1,工数管理!$W$3:$W$98,"&lt;="&amp;$H61,工数管理!$X$3:$X$98,"&gt;="&amp;$H61)+COUNTIFS(工数管理!$AK$3:$AK$98,L$1,工数管理!$Y$3:$Y$98,"&lt;="&amp;$H61,工数管理!$Z$3:$Z$98,"&gt;="&amp;$H61)+COUNTIFS(工数管理!$AK$3:$AK$98,L$1,工数管理!$AA$3:$AA$98,"&lt;="&amp;$H61,工数管理!$AB$3:$AB$98,"&gt;="&amp;$H61)+COUNTIFS(工数管理!$AK$3:$AK$98,L$1,工数管理!$AC$3:$AC$98,"&lt;="&amp;$H61,工数管理!$AD$3:$AD$98,"&gt;="&amp;$H61)+COUNTIFS(工数管理!$AK$3:$AK$98,L$1,工数管理!$AE$3:$AE$98,"&lt;="&amp;$H61,工数管理!$AF$3:$AF$98,"&gt;="&amp;$H61)+COUNTIFS(工数管理!$AK$3:$AK$98,L$1,工数管理!$AG$3:$AG$98,"&lt;="&amp;$H61,工数管理!$AH$3:$AH$98,"&gt;="&amp;$H61)+(COUNTIFS(工数管理!$AK$3:$AK$98,L$1,工数管理!$K$3:$K$98,"&lt;="&amp;$H61,工数管理!$L$3:$L$98,"")+COUNTIFS(工数管理!$AK$3:$AK$98,L$1,工数管理!$M$3:$M$98,"&lt;="&amp;$H61,工数管理!$N$3:$N$98,"")+COUNTIFS(工数管理!$AK$3:$AK$98,L$1,工数管理!$O$3:$O$98,"&lt;="&amp;$H61,工数管理!$P$3:$P$98,"")+COUNTIFS(工数管理!$AK$3:$AK$98,L$1,工数管理!$Q$3:$Q$98,"&lt;="&amp;$H61,工数管理!$R$3:$R$98,"")+COUNTIFS(工数管理!$AK$3:$AK$98,L$1,工数管理!$S$3:$S$98,"&lt;="&amp;$H61,工数管理!$T$3:$T$98,"")+COUNTIFS(工数管理!$AK$3:$AK$98,L$1,工数管理!$U$3:$U$98,"&lt;="&amp;$H61,工数管理!$V$3:$V$98,"")+COUNTIFS(工数管理!$AK$3:$AK$98,L$1,工数管理!$W$3:$W$98,"&lt;="&amp;$H61,工数管理!$X$3:$X$98,"")+COUNTIFS(工数管理!$AK$3:$AK$98,L$1,工数管理!$Y$3:$Y$98,"&lt;="&amp;$H61,工数管理!$Z$3:$Z$98,"")+COUNTIFS(工数管理!$AK$3:$AK$98,L$1,工数管理!$AA$3:$AA$98,"&lt;="&amp;$H61,工数管理!$AB$3:$AB$98,"")+COUNTIFS(工数管理!$AK$3:$AK$98,L$1,工数管理!$AC$3:$AC$98,"&lt;="&amp;$H61,工数管理!$AD$3:$AD$98,"")+COUNTIFS(工数管理!$AK$3:$AK$98,L$1,工数管理!$AE$3:$AE$98,"&lt;="&amp;$H61,工数管理!$AF$3:$AF$98,"")+COUNTIFS(工数管理!$AK$3:$AK$98,L$1,工数管理!$AG$3:$AG$98,"&lt;="&amp;$H61,工数管理!$AH$3:$AH$98,""))*($H61&lt;=工数管理!$AI$1))</f>
        <v>0</v>
      </c>
    </row>
    <row r="62" spans="1:12" x14ac:dyDescent="0.15">
      <c r="A62" s="5"/>
      <c r="B62" s="6"/>
      <c r="H62" s="41">
        <f t="shared" si="1"/>
        <v>46230</v>
      </c>
      <c r="I62" s="42">
        <f t="shared" si="0"/>
        <v>1</v>
      </c>
      <c r="J62" s="42">
        <f ca="1">IF(J$1="",0,COUNTIFS(工数管理!$AK$3:$AK$98,J$1,工数管理!$K$3:$K$98,"&lt;="&amp;$H62,工数管理!$L$3:$L$98,"&gt;="&amp;$H62)+COUNTIFS(工数管理!$AK$3:$AK$98,J$1,工数管理!$M$3:$M$98,"&lt;="&amp;$H62,工数管理!$N$3:$N$98,"&gt;="&amp;$H62)+COUNTIFS(工数管理!$AK$3:$AK$98,J$1,工数管理!$O$3:$O$98,"&lt;="&amp;$H62,工数管理!$P$3:$P$98,"&gt;="&amp;$H62)+COUNTIFS(工数管理!$AK$3:$AK$98,J$1,工数管理!$Q$3:$Q$98,"&lt;="&amp;$H62,工数管理!$R$3:$R$98,"&gt;="&amp;$H62)+COUNTIFS(工数管理!$AK$3:$AK$98,J$1,工数管理!$S$3:$S$98,"&lt;="&amp;$H62,工数管理!$T$3:$T$98,"&gt;="&amp;$H62)+COUNTIFS(工数管理!$AK$3:$AK$98,J$1,工数管理!$U$3:$U$98,"&lt;="&amp;$H62,工数管理!$V$3:$V$98,"&gt;="&amp;$H62)+COUNTIFS(工数管理!$AK$3:$AK$98,J$1,工数管理!$W$3:$W$98,"&lt;="&amp;$H62,工数管理!$X$3:$X$98,"&gt;="&amp;$H62)+COUNTIFS(工数管理!$AK$3:$AK$98,J$1,工数管理!$Y$3:$Y$98,"&lt;="&amp;$H62,工数管理!$Z$3:$Z$98,"&gt;="&amp;$H62)+COUNTIFS(工数管理!$AK$3:$AK$98,J$1,工数管理!$AA$3:$AA$98,"&lt;="&amp;$H62,工数管理!$AB$3:$AB$98,"&gt;="&amp;$H62)+COUNTIFS(工数管理!$AK$3:$AK$98,J$1,工数管理!$AC$3:$AC$98,"&lt;="&amp;$H62,工数管理!$AD$3:$AD$98,"&gt;="&amp;$H62)+COUNTIFS(工数管理!$AK$3:$AK$98,J$1,工数管理!$AE$3:$AE$98,"&lt;="&amp;$H62,工数管理!$AF$3:$AF$98,"&gt;="&amp;$H62)+COUNTIFS(工数管理!$AK$3:$AK$98,J$1,工数管理!$AG$3:$AG$98,"&lt;="&amp;$H62,工数管理!$AH$3:$AH$98,"&gt;="&amp;$H62)+(COUNTIFS(工数管理!$AK$3:$AK$98,J$1,工数管理!$K$3:$K$98,"&lt;="&amp;$H62,工数管理!$L$3:$L$98,"")+COUNTIFS(工数管理!$AK$3:$AK$98,J$1,工数管理!$M$3:$M$98,"&lt;="&amp;$H62,工数管理!$N$3:$N$98,"")+COUNTIFS(工数管理!$AK$3:$AK$98,J$1,工数管理!$O$3:$O$98,"&lt;="&amp;$H62,工数管理!$P$3:$P$98,"")+COUNTIFS(工数管理!$AK$3:$AK$98,J$1,工数管理!$Q$3:$Q$98,"&lt;="&amp;$H62,工数管理!$R$3:$R$98,"")+COUNTIFS(工数管理!$AK$3:$AK$98,J$1,工数管理!$S$3:$S$98,"&lt;="&amp;$H62,工数管理!$T$3:$T$98,"")+COUNTIFS(工数管理!$AK$3:$AK$98,J$1,工数管理!$U$3:$U$98,"&lt;="&amp;$H62,工数管理!$V$3:$V$98,"")+COUNTIFS(工数管理!$AK$3:$AK$98,J$1,工数管理!$W$3:$W$98,"&lt;="&amp;$H62,工数管理!$X$3:$X$98,"")+COUNTIFS(工数管理!$AK$3:$AK$98,J$1,工数管理!$Y$3:$Y$98,"&lt;="&amp;$H62,工数管理!$Z$3:$Z$98,"")+COUNTIFS(工数管理!$AK$3:$AK$98,J$1,工数管理!$AA$3:$AA$98,"&lt;="&amp;$H62,工数管理!$AB$3:$AB$98,"")+COUNTIFS(工数管理!$AK$3:$AK$98,J$1,工数管理!$AC$3:$AC$98,"&lt;="&amp;$H62,工数管理!$AD$3:$AD$98,"")+COUNTIFS(工数管理!$AK$3:$AK$98,J$1,工数管理!$AE$3:$AE$98,"&lt;="&amp;$H62,工数管理!$AF$3:$AF$98,"")+COUNTIFS(工数管理!$AK$3:$AK$98,J$1,工数管理!$AG$3:$AG$98,"&lt;="&amp;$H62,工数管理!$AH$3:$AH$98,""))*($H62&lt;=工数管理!$AI$1))</f>
        <v>1</v>
      </c>
      <c r="K62" s="42">
        <f ca="1">IF(K$1="",0,COUNTIFS(工数管理!$AK$3:$AK$98,K$1,工数管理!$K$3:$K$98,"&lt;="&amp;$H62,工数管理!$L$3:$L$98,"&gt;="&amp;$H62)+COUNTIFS(工数管理!$AK$3:$AK$98,K$1,工数管理!$M$3:$M$98,"&lt;="&amp;$H62,工数管理!$N$3:$N$98,"&gt;="&amp;$H62)+COUNTIFS(工数管理!$AK$3:$AK$98,K$1,工数管理!$O$3:$O$98,"&lt;="&amp;$H62,工数管理!$P$3:$P$98,"&gt;="&amp;$H62)+COUNTIFS(工数管理!$AK$3:$AK$98,K$1,工数管理!$Q$3:$Q$98,"&lt;="&amp;$H62,工数管理!$R$3:$R$98,"&gt;="&amp;$H62)+COUNTIFS(工数管理!$AK$3:$AK$98,K$1,工数管理!$S$3:$S$98,"&lt;="&amp;$H62,工数管理!$T$3:$T$98,"&gt;="&amp;$H62)+COUNTIFS(工数管理!$AK$3:$AK$98,K$1,工数管理!$U$3:$U$98,"&lt;="&amp;$H62,工数管理!$V$3:$V$98,"&gt;="&amp;$H62)+COUNTIFS(工数管理!$AK$3:$AK$98,K$1,工数管理!$W$3:$W$98,"&lt;="&amp;$H62,工数管理!$X$3:$X$98,"&gt;="&amp;$H62)+COUNTIFS(工数管理!$AK$3:$AK$98,K$1,工数管理!$Y$3:$Y$98,"&lt;="&amp;$H62,工数管理!$Z$3:$Z$98,"&gt;="&amp;$H62)+COUNTIFS(工数管理!$AK$3:$AK$98,K$1,工数管理!$AA$3:$AA$98,"&lt;="&amp;$H62,工数管理!$AB$3:$AB$98,"&gt;="&amp;$H62)+COUNTIFS(工数管理!$AK$3:$AK$98,K$1,工数管理!$AC$3:$AC$98,"&lt;="&amp;$H62,工数管理!$AD$3:$AD$98,"&gt;="&amp;$H62)+COUNTIFS(工数管理!$AK$3:$AK$98,K$1,工数管理!$AE$3:$AE$98,"&lt;="&amp;$H62,工数管理!$AF$3:$AF$98,"&gt;="&amp;$H62)+COUNTIFS(工数管理!$AK$3:$AK$98,K$1,工数管理!$AG$3:$AG$98,"&lt;="&amp;$H62,工数管理!$AH$3:$AH$98,"&gt;="&amp;$H62)+(COUNTIFS(工数管理!$AK$3:$AK$98,K$1,工数管理!$K$3:$K$98,"&lt;="&amp;$H62,工数管理!$L$3:$L$98,"")+COUNTIFS(工数管理!$AK$3:$AK$98,K$1,工数管理!$M$3:$M$98,"&lt;="&amp;$H62,工数管理!$N$3:$N$98,"")+COUNTIFS(工数管理!$AK$3:$AK$98,K$1,工数管理!$O$3:$O$98,"&lt;="&amp;$H62,工数管理!$P$3:$P$98,"")+COUNTIFS(工数管理!$AK$3:$AK$98,K$1,工数管理!$Q$3:$Q$98,"&lt;="&amp;$H62,工数管理!$R$3:$R$98,"")+COUNTIFS(工数管理!$AK$3:$AK$98,K$1,工数管理!$S$3:$S$98,"&lt;="&amp;$H62,工数管理!$T$3:$T$98,"")+COUNTIFS(工数管理!$AK$3:$AK$98,K$1,工数管理!$U$3:$U$98,"&lt;="&amp;$H62,工数管理!$V$3:$V$98,"")+COUNTIFS(工数管理!$AK$3:$AK$98,K$1,工数管理!$W$3:$W$98,"&lt;="&amp;$H62,工数管理!$X$3:$X$98,"")+COUNTIFS(工数管理!$AK$3:$AK$98,K$1,工数管理!$Y$3:$Y$98,"&lt;="&amp;$H62,工数管理!$Z$3:$Z$98,"")+COUNTIFS(工数管理!$AK$3:$AK$98,K$1,工数管理!$AA$3:$AA$98,"&lt;="&amp;$H62,工数管理!$AB$3:$AB$98,"")+COUNTIFS(工数管理!$AK$3:$AK$98,K$1,工数管理!$AC$3:$AC$98,"&lt;="&amp;$H62,工数管理!$AD$3:$AD$98,"")+COUNTIFS(工数管理!$AK$3:$AK$98,K$1,工数管理!$AE$3:$AE$98,"&lt;="&amp;$H62,工数管理!$AF$3:$AF$98,"")+COUNTIFS(工数管理!$AK$3:$AK$98,K$1,工数管理!$AG$3:$AG$98,"&lt;="&amp;$H62,工数管理!$AH$3:$AH$98,""))*($H62&lt;=工数管理!$AI$1))</f>
        <v>1</v>
      </c>
      <c r="L62" s="42">
        <f ca="1">IF(L$1="",0,COUNTIFS(工数管理!$AK$3:$AK$98,L$1,工数管理!$K$3:$K$98,"&lt;="&amp;$H62,工数管理!$L$3:$L$98,"&gt;="&amp;$H62)+COUNTIFS(工数管理!$AK$3:$AK$98,L$1,工数管理!$M$3:$M$98,"&lt;="&amp;$H62,工数管理!$N$3:$N$98,"&gt;="&amp;$H62)+COUNTIFS(工数管理!$AK$3:$AK$98,L$1,工数管理!$O$3:$O$98,"&lt;="&amp;$H62,工数管理!$P$3:$P$98,"&gt;="&amp;$H62)+COUNTIFS(工数管理!$AK$3:$AK$98,L$1,工数管理!$Q$3:$Q$98,"&lt;="&amp;$H62,工数管理!$R$3:$R$98,"&gt;="&amp;$H62)+COUNTIFS(工数管理!$AK$3:$AK$98,L$1,工数管理!$S$3:$S$98,"&lt;="&amp;$H62,工数管理!$T$3:$T$98,"&gt;="&amp;$H62)+COUNTIFS(工数管理!$AK$3:$AK$98,L$1,工数管理!$U$3:$U$98,"&lt;="&amp;$H62,工数管理!$V$3:$V$98,"&gt;="&amp;$H62)+COUNTIFS(工数管理!$AK$3:$AK$98,L$1,工数管理!$W$3:$W$98,"&lt;="&amp;$H62,工数管理!$X$3:$X$98,"&gt;="&amp;$H62)+COUNTIFS(工数管理!$AK$3:$AK$98,L$1,工数管理!$Y$3:$Y$98,"&lt;="&amp;$H62,工数管理!$Z$3:$Z$98,"&gt;="&amp;$H62)+COUNTIFS(工数管理!$AK$3:$AK$98,L$1,工数管理!$AA$3:$AA$98,"&lt;="&amp;$H62,工数管理!$AB$3:$AB$98,"&gt;="&amp;$H62)+COUNTIFS(工数管理!$AK$3:$AK$98,L$1,工数管理!$AC$3:$AC$98,"&lt;="&amp;$H62,工数管理!$AD$3:$AD$98,"&gt;="&amp;$H62)+COUNTIFS(工数管理!$AK$3:$AK$98,L$1,工数管理!$AE$3:$AE$98,"&lt;="&amp;$H62,工数管理!$AF$3:$AF$98,"&gt;="&amp;$H62)+COUNTIFS(工数管理!$AK$3:$AK$98,L$1,工数管理!$AG$3:$AG$98,"&lt;="&amp;$H62,工数管理!$AH$3:$AH$98,"&gt;="&amp;$H62)+(COUNTIFS(工数管理!$AK$3:$AK$98,L$1,工数管理!$K$3:$K$98,"&lt;="&amp;$H62,工数管理!$L$3:$L$98,"")+COUNTIFS(工数管理!$AK$3:$AK$98,L$1,工数管理!$M$3:$M$98,"&lt;="&amp;$H62,工数管理!$N$3:$N$98,"")+COUNTIFS(工数管理!$AK$3:$AK$98,L$1,工数管理!$O$3:$O$98,"&lt;="&amp;$H62,工数管理!$P$3:$P$98,"")+COUNTIFS(工数管理!$AK$3:$AK$98,L$1,工数管理!$Q$3:$Q$98,"&lt;="&amp;$H62,工数管理!$R$3:$R$98,"")+COUNTIFS(工数管理!$AK$3:$AK$98,L$1,工数管理!$S$3:$S$98,"&lt;="&amp;$H62,工数管理!$T$3:$T$98,"")+COUNTIFS(工数管理!$AK$3:$AK$98,L$1,工数管理!$U$3:$U$98,"&lt;="&amp;$H62,工数管理!$V$3:$V$98,"")+COUNTIFS(工数管理!$AK$3:$AK$98,L$1,工数管理!$W$3:$W$98,"&lt;="&amp;$H62,工数管理!$X$3:$X$98,"")+COUNTIFS(工数管理!$AK$3:$AK$98,L$1,工数管理!$Y$3:$Y$98,"&lt;="&amp;$H62,工数管理!$Z$3:$Z$98,"")+COUNTIFS(工数管理!$AK$3:$AK$98,L$1,工数管理!$AA$3:$AA$98,"&lt;="&amp;$H62,工数管理!$AB$3:$AB$98,"")+COUNTIFS(工数管理!$AK$3:$AK$98,L$1,工数管理!$AC$3:$AC$98,"&lt;="&amp;$H62,工数管理!$AD$3:$AD$98,"")+COUNTIFS(工数管理!$AK$3:$AK$98,L$1,工数管理!$AE$3:$AE$98,"&lt;="&amp;$H62,工数管理!$AF$3:$AF$98,"")+COUNTIFS(工数管理!$AK$3:$AK$98,L$1,工数管理!$AG$3:$AG$98,"&lt;="&amp;$H62,工数管理!$AH$3:$AH$98,""))*($H62&lt;=工数管理!$AI$1))</f>
        <v>1</v>
      </c>
    </row>
    <row r="63" spans="1:12" x14ac:dyDescent="0.15">
      <c r="A63" s="5"/>
      <c r="B63" s="6"/>
      <c r="H63" s="41">
        <f t="shared" si="1"/>
        <v>46231</v>
      </c>
      <c r="I63" s="42">
        <f t="shared" si="0"/>
        <v>1</v>
      </c>
      <c r="J63" s="42">
        <f ca="1">IF(J$1="",0,COUNTIFS(工数管理!$AK$3:$AK$98,J$1,工数管理!$K$3:$K$98,"&lt;="&amp;$H63,工数管理!$L$3:$L$98,"&gt;="&amp;$H63)+COUNTIFS(工数管理!$AK$3:$AK$98,J$1,工数管理!$M$3:$M$98,"&lt;="&amp;$H63,工数管理!$N$3:$N$98,"&gt;="&amp;$H63)+COUNTIFS(工数管理!$AK$3:$AK$98,J$1,工数管理!$O$3:$O$98,"&lt;="&amp;$H63,工数管理!$P$3:$P$98,"&gt;="&amp;$H63)+COUNTIFS(工数管理!$AK$3:$AK$98,J$1,工数管理!$Q$3:$Q$98,"&lt;="&amp;$H63,工数管理!$R$3:$R$98,"&gt;="&amp;$H63)+COUNTIFS(工数管理!$AK$3:$AK$98,J$1,工数管理!$S$3:$S$98,"&lt;="&amp;$H63,工数管理!$T$3:$T$98,"&gt;="&amp;$H63)+COUNTIFS(工数管理!$AK$3:$AK$98,J$1,工数管理!$U$3:$U$98,"&lt;="&amp;$H63,工数管理!$V$3:$V$98,"&gt;="&amp;$H63)+COUNTIFS(工数管理!$AK$3:$AK$98,J$1,工数管理!$W$3:$W$98,"&lt;="&amp;$H63,工数管理!$X$3:$X$98,"&gt;="&amp;$H63)+COUNTIFS(工数管理!$AK$3:$AK$98,J$1,工数管理!$Y$3:$Y$98,"&lt;="&amp;$H63,工数管理!$Z$3:$Z$98,"&gt;="&amp;$H63)+COUNTIFS(工数管理!$AK$3:$AK$98,J$1,工数管理!$AA$3:$AA$98,"&lt;="&amp;$H63,工数管理!$AB$3:$AB$98,"&gt;="&amp;$H63)+COUNTIFS(工数管理!$AK$3:$AK$98,J$1,工数管理!$AC$3:$AC$98,"&lt;="&amp;$H63,工数管理!$AD$3:$AD$98,"&gt;="&amp;$H63)+COUNTIFS(工数管理!$AK$3:$AK$98,J$1,工数管理!$AE$3:$AE$98,"&lt;="&amp;$H63,工数管理!$AF$3:$AF$98,"&gt;="&amp;$H63)+COUNTIFS(工数管理!$AK$3:$AK$98,J$1,工数管理!$AG$3:$AG$98,"&lt;="&amp;$H63,工数管理!$AH$3:$AH$98,"&gt;="&amp;$H63)+(COUNTIFS(工数管理!$AK$3:$AK$98,J$1,工数管理!$K$3:$K$98,"&lt;="&amp;$H63,工数管理!$L$3:$L$98,"")+COUNTIFS(工数管理!$AK$3:$AK$98,J$1,工数管理!$M$3:$M$98,"&lt;="&amp;$H63,工数管理!$N$3:$N$98,"")+COUNTIFS(工数管理!$AK$3:$AK$98,J$1,工数管理!$O$3:$O$98,"&lt;="&amp;$H63,工数管理!$P$3:$P$98,"")+COUNTIFS(工数管理!$AK$3:$AK$98,J$1,工数管理!$Q$3:$Q$98,"&lt;="&amp;$H63,工数管理!$R$3:$R$98,"")+COUNTIFS(工数管理!$AK$3:$AK$98,J$1,工数管理!$S$3:$S$98,"&lt;="&amp;$H63,工数管理!$T$3:$T$98,"")+COUNTIFS(工数管理!$AK$3:$AK$98,J$1,工数管理!$U$3:$U$98,"&lt;="&amp;$H63,工数管理!$V$3:$V$98,"")+COUNTIFS(工数管理!$AK$3:$AK$98,J$1,工数管理!$W$3:$W$98,"&lt;="&amp;$H63,工数管理!$X$3:$X$98,"")+COUNTIFS(工数管理!$AK$3:$AK$98,J$1,工数管理!$Y$3:$Y$98,"&lt;="&amp;$H63,工数管理!$Z$3:$Z$98,"")+COUNTIFS(工数管理!$AK$3:$AK$98,J$1,工数管理!$AA$3:$AA$98,"&lt;="&amp;$H63,工数管理!$AB$3:$AB$98,"")+COUNTIFS(工数管理!$AK$3:$AK$98,J$1,工数管理!$AC$3:$AC$98,"&lt;="&amp;$H63,工数管理!$AD$3:$AD$98,"")+COUNTIFS(工数管理!$AK$3:$AK$98,J$1,工数管理!$AE$3:$AE$98,"&lt;="&amp;$H63,工数管理!$AF$3:$AF$98,"")+COUNTIFS(工数管理!$AK$3:$AK$98,J$1,工数管理!$AG$3:$AG$98,"&lt;="&amp;$H63,工数管理!$AH$3:$AH$98,""))*($H63&lt;=工数管理!$AI$1))</f>
        <v>1</v>
      </c>
      <c r="K63" s="42">
        <f ca="1">IF(K$1="",0,COUNTIFS(工数管理!$AK$3:$AK$98,K$1,工数管理!$K$3:$K$98,"&lt;="&amp;$H63,工数管理!$L$3:$L$98,"&gt;="&amp;$H63)+COUNTIFS(工数管理!$AK$3:$AK$98,K$1,工数管理!$M$3:$M$98,"&lt;="&amp;$H63,工数管理!$N$3:$N$98,"&gt;="&amp;$H63)+COUNTIFS(工数管理!$AK$3:$AK$98,K$1,工数管理!$O$3:$O$98,"&lt;="&amp;$H63,工数管理!$P$3:$P$98,"&gt;="&amp;$H63)+COUNTIFS(工数管理!$AK$3:$AK$98,K$1,工数管理!$Q$3:$Q$98,"&lt;="&amp;$H63,工数管理!$R$3:$R$98,"&gt;="&amp;$H63)+COUNTIFS(工数管理!$AK$3:$AK$98,K$1,工数管理!$S$3:$S$98,"&lt;="&amp;$H63,工数管理!$T$3:$T$98,"&gt;="&amp;$H63)+COUNTIFS(工数管理!$AK$3:$AK$98,K$1,工数管理!$U$3:$U$98,"&lt;="&amp;$H63,工数管理!$V$3:$V$98,"&gt;="&amp;$H63)+COUNTIFS(工数管理!$AK$3:$AK$98,K$1,工数管理!$W$3:$W$98,"&lt;="&amp;$H63,工数管理!$X$3:$X$98,"&gt;="&amp;$H63)+COUNTIFS(工数管理!$AK$3:$AK$98,K$1,工数管理!$Y$3:$Y$98,"&lt;="&amp;$H63,工数管理!$Z$3:$Z$98,"&gt;="&amp;$H63)+COUNTIFS(工数管理!$AK$3:$AK$98,K$1,工数管理!$AA$3:$AA$98,"&lt;="&amp;$H63,工数管理!$AB$3:$AB$98,"&gt;="&amp;$H63)+COUNTIFS(工数管理!$AK$3:$AK$98,K$1,工数管理!$AC$3:$AC$98,"&lt;="&amp;$H63,工数管理!$AD$3:$AD$98,"&gt;="&amp;$H63)+COUNTIFS(工数管理!$AK$3:$AK$98,K$1,工数管理!$AE$3:$AE$98,"&lt;="&amp;$H63,工数管理!$AF$3:$AF$98,"&gt;="&amp;$H63)+COUNTIFS(工数管理!$AK$3:$AK$98,K$1,工数管理!$AG$3:$AG$98,"&lt;="&amp;$H63,工数管理!$AH$3:$AH$98,"&gt;="&amp;$H63)+(COUNTIFS(工数管理!$AK$3:$AK$98,K$1,工数管理!$K$3:$K$98,"&lt;="&amp;$H63,工数管理!$L$3:$L$98,"")+COUNTIFS(工数管理!$AK$3:$AK$98,K$1,工数管理!$M$3:$M$98,"&lt;="&amp;$H63,工数管理!$N$3:$N$98,"")+COUNTIFS(工数管理!$AK$3:$AK$98,K$1,工数管理!$O$3:$O$98,"&lt;="&amp;$H63,工数管理!$P$3:$P$98,"")+COUNTIFS(工数管理!$AK$3:$AK$98,K$1,工数管理!$Q$3:$Q$98,"&lt;="&amp;$H63,工数管理!$R$3:$R$98,"")+COUNTIFS(工数管理!$AK$3:$AK$98,K$1,工数管理!$S$3:$S$98,"&lt;="&amp;$H63,工数管理!$T$3:$T$98,"")+COUNTIFS(工数管理!$AK$3:$AK$98,K$1,工数管理!$U$3:$U$98,"&lt;="&amp;$H63,工数管理!$V$3:$V$98,"")+COUNTIFS(工数管理!$AK$3:$AK$98,K$1,工数管理!$W$3:$W$98,"&lt;="&amp;$H63,工数管理!$X$3:$X$98,"")+COUNTIFS(工数管理!$AK$3:$AK$98,K$1,工数管理!$Y$3:$Y$98,"&lt;="&amp;$H63,工数管理!$Z$3:$Z$98,"")+COUNTIFS(工数管理!$AK$3:$AK$98,K$1,工数管理!$AA$3:$AA$98,"&lt;="&amp;$H63,工数管理!$AB$3:$AB$98,"")+COUNTIFS(工数管理!$AK$3:$AK$98,K$1,工数管理!$AC$3:$AC$98,"&lt;="&amp;$H63,工数管理!$AD$3:$AD$98,"")+COUNTIFS(工数管理!$AK$3:$AK$98,K$1,工数管理!$AE$3:$AE$98,"&lt;="&amp;$H63,工数管理!$AF$3:$AF$98,"")+COUNTIFS(工数管理!$AK$3:$AK$98,K$1,工数管理!$AG$3:$AG$98,"&lt;="&amp;$H63,工数管理!$AH$3:$AH$98,""))*($H63&lt;=工数管理!$AI$1))</f>
        <v>1</v>
      </c>
      <c r="L63" s="42">
        <f ca="1">IF(L$1="",0,COUNTIFS(工数管理!$AK$3:$AK$98,L$1,工数管理!$K$3:$K$98,"&lt;="&amp;$H63,工数管理!$L$3:$L$98,"&gt;="&amp;$H63)+COUNTIFS(工数管理!$AK$3:$AK$98,L$1,工数管理!$M$3:$M$98,"&lt;="&amp;$H63,工数管理!$N$3:$N$98,"&gt;="&amp;$H63)+COUNTIFS(工数管理!$AK$3:$AK$98,L$1,工数管理!$O$3:$O$98,"&lt;="&amp;$H63,工数管理!$P$3:$P$98,"&gt;="&amp;$H63)+COUNTIFS(工数管理!$AK$3:$AK$98,L$1,工数管理!$Q$3:$Q$98,"&lt;="&amp;$H63,工数管理!$R$3:$R$98,"&gt;="&amp;$H63)+COUNTIFS(工数管理!$AK$3:$AK$98,L$1,工数管理!$S$3:$S$98,"&lt;="&amp;$H63,工数管理!$T$3:$T$98,"&gt;="&amp;$H63)+COUNTIFS(工数管理!$AK$3:$AK$98,L$1,工数管理!$U$3:$U$98,"&lt;="&amp;$H63,工数管理!$V$3:$V$98,"&gt;="&amp;$H63)+COUNTIFS(工数管理!$AK$3:$AK$98,L$1,工数管理!$W$3:$W$98,"&lt;="&amp;$H63,工数管理!$X$3:$X$98,"&gt;="&amp;$H63)+COUNTIFS(工数管理!$AK$3:$AK$98,L$1,工数管理!$Y$3:$Y$98,"&lt;="&amp;$H63,工数管理!$Z$3:$Z$98,"&gt;="&amp;$H63)+COUNTIFS(工数管理!$AK$3:$AK$98,L$1,工数管理!$AA$3:$AA$98,"&lt;="&amp;$H63,工数管理!$AB$3:$AB$98,"&gt;="&amp;$H63)+COUNTIFS(工数管理!$AK$3:$AK$98,L$1,工数管理!$AC$3:$AC$98,"&lt;="&amp;$H63,工数管理!$AD$3:$AD$98,"&gt;="&amp;$H63)+COUNTIFS(工数管理!$AK$3:$AK$98,L$1,工数管理!$AE$3:$AE$98,"&lt;="&amp;$H63,工数管理!$AF$3:$AF$98,"&gt;="&amp;$H63)+COUNTIFS(工数管理!$AK$3:$AK$98,L$1,工数管理!$AG$3:$AG$98,"&lt;="&amp;$H63,工数管理!$AH$3:$AH$98,"&gt;="&amp;$H63)+(COUNTIFS(工数管理!$AK$3:$AK$98,L$1,工数管理!$K$3:$K$98,"&lt;="&amp;$H63,工数管理!$L$3:$L$98,"")+COUNTIFS(工数管理!$AK$3:$AK$98,L$1,工数管理!$M$3:$M$98,"&lt;="&amp;$H63,工数管理!$N$3:$N$98,"")+COUNTIFS(工数管理!$AK$3:$AK$98,L$1,工数管理!$O$3:$O$98,"&lt;="&amp;$H63,工数管理!$P$3:$P$98,"")+COUNTIFS(工数管理!$AK$3:$AK$98,L$1,工数管理!$Q$3:$Q$98,"&lt;="&amp;$H63,工数管理!$R$3:$R$98,"")+COUNTIFS(工数管理!$AK$3:$AK$98,L$1,工数管理!$S$3:$S$98,"&lt;="&amp;$H63,工数管理!$T$3:$T$98,"")+COUNTIFS(工数管理!$AK$3:$AK$98,L$1,工数管理!$U$3:$U$98,"&lt;="&amp;$H63,工数管理!$V$3:$V$98,"")+COUNTIFS(工数管理!$AK$3:$AK$98,L$1,工数管理!$W$3:$W$98,"&lt;="&amp;$H63,工数管理!$X$3:$X$98,"")+COUNTIFS(工数管理!$AK$3:$AK$98,L$1,工数管理!$Y$3:$Y$98,"&lt;="&amp;$H63,工数管理!$Z$3:$Z$98,"")+COUNTIFS(工数管理!$AK$3:$AK$98,L$1,工数管理!$AA$3:$AA$98,"&lt;="&amp;$H63,工数管理!$AB$3:$AB$98,"")+COUNTIFS(工数管理!$AK$3:$AK$98,L$1,工数管理!$AC$3:$AC$98,"&lt;="&amp;$H63,工数管理!$AD$3:$AD$98,"")+COUNTIFS(工数管理!$AK$3:$AK$98,L$1,工数管理!$AE$3:$AE$98,"&lt;="&amp;$H63,工数管理!$AF$3:$AF$98,"")+COUNTIFS(工数管理!$AK$3:$AK$98,L$1,工数管理!$AG$3:$AG$98,"&lt;="&amp;$H63,工数管理!$AH$3:$AH$98,""))*($H63&lt;=工数管理!$AI$1))</f>
        <v>1</v>
      </c>
    </row>
    <row r="64" spans="1:12" x14ac:dyDescent="0.15">
      <c r="A64" s="5"/>
      <c r="B64" s="6"/>
      <c r="H64" s="41">
        <f t="shared" si="1"/>
        <v>46232</v>
      </c>
      <c r="I64" s="42">
        <f t="shared" si="0"/>
        <v>1</v>
      </c>
      <c r="J64" s="42">
        <f ca="1">IF(J$1="",0,COUNTIFS(工数管理!$AK$3:$AK$98,J$1,工数管理!$K$3:$K$98,"&lt;="&amp;$H64,工数管理!$L$3:$L$98,"&gt;="&amp;$H64)+COUNTIFS(工数管理!$AK$3:$AK$98,J$1,工数管理!$M$3:$M$98,"&lt;="&amp;$H64,工数管理!$N$3:$N$98,"&gt;="&amp;$H64)+COUNTIFS(工数管理!$AK$3:$AK$98,J$1,工数管理!$O$3:$O$98,"&lt;="&amp;$H64,工数管理!$P$3:$P$98,"&gt;="&amp;$H64)+COUNTIFS(工数管理!$AK$3:$AK$98,J$1,工数管理!$Q$3:$Q$98,"&lt;="&amp;$H64,工数管理!$R$3:$R$98,"&gt;="&amp;$H64)+COUNTIFS(工数管理!$AK$3:$AK$98,J$1,工数管理!$S$3:$S$98,"&lt;="&amp;$H64,工数管理!$T$3:$T$98,"&gt;="&amp;$H64)+COUNTIFS(工数管理!$AK$3:$AK$98,J$1,工数管理!$U$3:$U$98,"&lt;="&amp;$H64,工数管理!$V$3:$V$98,"&gt;="&amp;$H64)+COUNTIFS(工数管理!$AK$3:$AK$98,J$1,工数管理!$W$3:$W$98,"&lt;="&amp;$H64,工数管理!$X$3:$X$98,"&gt;="&amp;$H64)+COUNTIFS(工数管理!$AK$3:$AK$98,J$1,工数管理!$Y$3:$Y$98,"&lt;="&amp;$H64,工数管理!$Z$3:$Z$98,"&gt;="&amp;$H64)+COUNTIFS(工数管理!$AK$3:$AK$98,J$1,工数管理!$AA$3:$AA$98,"&lt;="&amp;$H64,工数管理!$AB$3:$AB$98,"&gt;="&amp;$H64)+COUNTIFS(工数管理!$AK$3:$AK$98,J$1,工数管理!$AC$3:$AC$98,"&lt;="&amp;$H64,工数管理!$AD$3:$AD$98,"&gt;="&amp;$H64)+COUNTIFS(工数管理!$AK$3:$AK$98,J$1,工数管理!$AE$3:$AE$98,"&lt;="&amp;$H64,工数管理!$AF$3:$AF$98,"&gt;="&amp;$H64)+COUNTIFS(工数管理!$AK$3:$AK$98,J$1,工数管理!$AG$3:$AG$98,"&lt;="&amp;$H64,工数管理!$AH$3:$AH$98,"&gt;="&amp;$H64)+(COUNTIFS(工数管理!$AK$3:$AK$98,J$1,工数管理!$K$3:$K$98,"&lt;="&amp;$H64,工数管理!$L$3:$L$98,"")+COUNTIFS(工数管理!$AK$3:$AK$98,J$1,工数管理!$M$3:$M$98,"&lt;="&amp;$H64,工数管理!$N$3:$N$98,"")+COUNTIFS(工数管理!$AK$3:$AK$98,J$1,工数管理!$O$3:$O$98,"&lt;="&amp;$H64,工数管理!$P$3:$P$98,"")+COUNTIFS(工数管理!$AK$3:$AK$98,J$1,工数管理!$Q$3:$Q$98,"&lt;="&amp;$H64,工数管理!$R$3:$R$98,"")+COUNTIFS(工数管理!$AK$3:$AK$98,J$1,工数管理!$S$3:$S$98,"&lt;="&amp;$H64,工数管理!$T$3:$T$98,"")+COUNTIFS(工数管理!$AK$3:$AK$98,J$1,工数管理!$U$3:$U$98,"&lt;="&amp;$H64,工数管理!$V$3:$V$98,"")+COUNTIFS(工数管理!$AK$3:$AK$98,J$1,工数管理!$W$3:$W$98,"&lt;="&amp;$H64,工数管理!$X$3:$X$98,"")+COUNTIFS(工数管理!$AK$3:$AK$98,J$1,工数管理!$Y$3:$Y$98,"&lt;="&amp;$H64,工数管理!$Z$3:$Z$98,"")+COUNTIFS(工数管理!$AK$3:$AK$98,J$1,工数管理!$AA$3:$AA$98,"&lt;="&amp;$H64,工数管理!$AB$3:$AB$98,"")+COUNTIFS(工数管理!$AK$3:$AK$98,J$1,工数管理!$AC$3:$AC$98,"&lt;="&amp;$H64,工数管理!$AD$3:$AD$98,"")+COUNTIFS(工数管理!$AK$3:$AK$98,J$1,工数管理!$AE$3:$AE$98,"&lt;="&amp;$H64,工数管理!$AF$3:$AF$98,"")+COUNTIFS(工数管理!$AK$3:$AK$98,J$1,工数管理!$AG$3:$AG$98,"&lt;="&amp;$H64,工数管理!$AH$3:$AH$98,""))*($H64&lt;=工数管理!$AI$1))</f>
        <v>1</v>
      </c>
      <c r="K64" s="42">
        <f ca="1">IF(K$1="",0,COUNTIFS(工数管理!$AK$3:$AK$98,K$1,工数管理!$K$3:$K$98,"&lt;="&amp;$H64,工数管理!$L$3:$L$98,"&gt;="&amp;$H64)+COUNTIFS(工数管理!$AK$3:$AK$98,K$1,工数管理!$M$3:$M$98,"&lt;="&amp;$H64,工数管理!$N$3:$N$98,"&gt;="&amp;$H64)+COUNTIFS(工数管理!$AK$3:$AK$98,K$1,工数管理!$O$3:$O$98,"&lt;="&amp;$H64,工数管理!$P$3:$P$98,"&gt;="&amp;$H64)+COUNTIFS(工数管理!$AK$3:$AK$98,K$1,工数管理!$Q$3:$Q$98,"&lt;="&amp;$H64,工数管理!$R$3:$R$98,"&gt;="&amp;$H64)+COUNTIFS(工数管理!$AK$3:$AK$98,K$1,工数管理!$S$3:$S$98,"&lt;="&amp;$H64,工数管理!$T$3:$T$98,"&gt;="&amp;$H64)+COUNTIFS(工数管理!$AK$3:$AK$98,K$1,工数管理!$U$3:$U$98,"&lt;="&amp;$H64,工数管理!$V$3:$V$98,"&gt;="&amp;$H64)+COUNTIFS(工数管理!$AK$3:$AK$98,K$1,工数管理!$W$3:$W$98,"&lt;="&amp;$H64,工数管理!$X$3:$X$98,"&gt;="&amp;$H64)+COUNTIFS(工数管理!$AK$3:$AK$98,K$1,工数管理!$Y$3:$Y$98,"&lt;="&amp;$H64,工数管理!$Z$3:$Z$98,"&gt;="&amp;$H64)+COUNTIFS(工数管理!$AK$3:$AK$98,K$1,工数管理!$AA$3:$AA$98,"&lt;="&amp;$H64,工数管理!$AB$3:$AB$98,"&gt;="&amp;$H64)+COUNTIFS(工数管理!$AK$3:$AK$98,K$1,工数管理!$AC$3:$AC$98,"&lt;="&amp;$H64,工数管理!$AD$3:$AD$98,"&gt;="&amp;$H64)+COUNTIFS(工数管理!$AK$3:$AK$98,K$1,工数管理!$AE$3:$AE$98,"&lt;="&amp;$H64,工数管理!$AF$3:$AF$98,"&gt;="&amp;$H64)+COUNTIFS(工数管理!$AK$3:$AK$98,K$1,工数管理!$AG$3:$AG$98,"&lt;="&amp;$H64,工数管理!$AH$3:$AH$98,"&gt;="&amp;$H64)+(COUNTIFS(工数管理!$AK$3:$AK$98,K$1,工数管理!$K$3:$K$98,"&lt;="&amp;$H64,工数管理!$L$3:$L$98,"")+COUNTIFS(工数管理!$AK$3:$AK$98,K$1,工数管理!$M$3:$M$98,"&lt;="&amp;$H64,工数管理!$N$3:$N$98,"")+COUNTIFS(工数管理!$AK$3:$AK$98,K$1,工数管理!$O$3:$O$98,"&lt;="&amp;$H64,工数管理!$P$3:$P$98,"")+COUNTIFS(工数管理!$AK$3:$AK$98,K$1,工数管理!$Q$3:$Q$98,"&lt;="&amp;$H64,工数管理!$R$3:$R$98,"")+COUNTIFS(工数管理!$AK$3:$AK$98,K$1,工数管理!$S$3:$S$98,"&lt;="&amp;$H64,工数管理!$T$3:$T$98,"")+COUNTIFS(工数管理!$AK$3:$AK$98,K$1,工数管理!$U$3:$U$98,"&lt;="&amp;$H64,工数管理!$V$3:$V$98,"")+COUNTIFS(工数管理!$AK$3:$AK$98,K$1,工数管理!$W$3:$W$98,"&lt;="&amp;$H64,工数管理!$X$3:$X$98,"")+COUNTIFS(工数管理!$AK$3:$AK$98,K$1,工数管理!$Y$3:$Y$98,"&lt;="&amp;$H64,工数管理!$Z$3:$Z$98,"")+COUNTIFS(工数管理!$AK$3:$AK$98,K$1,工数管理!$AA$3:$AA$98,"&lt;="&amp;$H64,工数管理!$AB$3:$AB$98,"")+COUNTIFS(工数管理!$AK$3:$AK$98,K$1,工数管理!$AC$3:$AC$98,"&lt;="&amp;$H64,工数管理!$AD$3:$AD$98,"")+COUNTIFS(工数管理!$AK$3:$AK$98,K$1,工数管理!$AE$3:$AE$98,"&lt;="&amp;$H64,工数管理!$AF$3:$AF$98,"")+COUNTIFS(工数管理!$AK$3:$AK$98,K$1,工数管理!$AG$3:$AG$98,"&lt;="&amp;$H64,工数管理!$AH$3:$AH$98,""))*($H64&lt;=工数管理!$AI$1))</f>
        <v>1</v>
      </c>
      <c r="L64" s="42">
        <f ca="1">IF(L$1="",0,COUNTIFS(工数管理!$AK$3:$AK$98,L$1,工数管理!$K$3:$K$98,"&lt;="&amp;$H64,工数管理!$L$3:$L$98,"&gt;="&amp;$H64)+COUNTIFS(工数管理!$AK$3:$AK$98,L$1,工数管理!$M$3:$M$98,"&lt;="&amp;$H64,工数管理!$N$3:$N$98,"&gt;="&amp;$H64)+COUNTIFS(工数管理!$AK$3:$AK$98,L$1,工数管理!$O$3:$O$98,"&lt;="&amp;$H64,工数管理!$P$3:$P$98,"&gt;="&amp;$H64)+COUNTIFS(工数管理!$AK$3:$AK$98,L$1,工数管理!$Q$3:$Q$98,"&lt;="&amp;$H64,工数管理!$R$3:$R$98,"&gt;="&amp;$H64)+COUNTIFS(工数管理!$AK$3:$AK$98,L$1,工数管理!$S$3:$S$98,"&lt;="&amp;$H64,工数管理!$T$3:$T$98,"&gt;="&amp;$H64)+COUNTIFS(工数管理!$AK$3:$AK$98,L$1,工数管理!$U$3:$U$98,"&lt;="&amp;$H64,工数管理!$V$3:$V$98,"&gt;="&amp;$H64)+COUNTIFS(工数管理!$AK$3:$AK$98,L$1,工数管理!$W$3:$W$98,"&lt;="&amp;$H64,工数管理!$X$3:$X$98,"&gt;="&amp;$H64)+COUNTIFS(工数管理!$AK$3:$AK$98,L$1,工数管理!$Y$3:$Y$98,"&lt;="&amp;$H64,工数管理!$Z$3:$Z$98,"&gt;="&amp;$H64)+COUNTIFS(工数管理!$AK$3:$AK$98,L$1,工数管理!$AA$3:$AA$98,"&lt;="&amp;$H64,工数管理!$AB$3:$AB$98,"&gt;="&amp;$H64)+COUNTIFS(工数管理!$AK$3:$AK$98,L$1,工数管理!$AC$3:$AC$98,"&lt;="&amp;$H64,工数管理!$AD$3:$AD$98,"&gt;="&amp;$H64)+COUNTIFS(工数管理!$AK$3:$AK$98,L$1,工数管理!$AE$3:$AE$98,"&lt;="&amp;$H64,工数管理!$AF$3:$AF$98,"&gt;="&amp;$H64)+COUNTIFS(工数管理!$AK$3:$AK$98,L$1,工数管理!$AG$3:$AG$98,"&lt;="&amp;$H64,工数管理!$AH$3:$AH$98,"&gt;="&amp;$H64)+(COUNTIFS(工数管理!$AK$3:$AK$98,L$1,工数管理!$K$3:$K$98,"&lt;="&amp;$H64,工数管理!$L$3:$L$98,"")+COUNTIFS(工数管理!$AK$3:$AK$98,L$1,工数管理!$M$3:$M$98,"&lt;="&amp;$H64,工数管理!$N$3:$N$98,"")+COUNTIFS(工数管理!$AK$3:$AK$98,L$1,工数管理!$O$3:$O$98,"&lt;="&amp;$H64,工数管理!$P$3:$P$98,"")+COUNTIFS(工数管理!$AK$3:$AK$98,L$1,工数管理!$Q$3:$Q$98,"&lt;="&amp;$H64,工数管理!$R$3:$R$98,"")+COUNTIFS(工数管理!$AK$3:$AK$98,L$1,工数管理!$S$3:$S$98,"&lt;="&amp;$H64,工数管理!$T$3:$T$98,"")+COUNTIFS(工数管理!$AK$3:$AK$98,L$1,工数管理!$U$3:$U$98,"&lt;="&amp;$H64,工数管理!$V$3:$V$98,"")+COUNTIFS(工数管理!$AK$3:$AK$98,L$1,工数管理!$W$3:$W$98,"&lt;="&amp;$H64,工数管理!$X$3:$X$98,"")+COUNTIFS(工数管理!$AK$3:$AK$98,L$1,工数管理!$Y$3:$Y$98,"&lt;="&amp;$H64,工数管理!$Z$3:$Z$98,"")+COUNTIFS(工数管理!$AK$3:$AK$98,L$1,工数管理!$AA$3:$AA$98,"&lt;="&amp;$H64,工数管理!$AB$3:$AB$98,"")+COUNTIFS(工数管理!$AK$3:$AK$98,L$1,工数管理!$AC$3:$AC$98,"&lt;="&amp;$H64,工数管理!$AD$3:$AD$98,"")+COUNTIFS(工数管理!$AK$3:$AK$98,L$1,工数管理!$AE$3:$AE$98,"&lt;="&amp;$H64,工数管理!$AF$3:$AF$98,"")+COUNTIFS(工数管理!$AK$3:$AK$98,L$1,工数管理!$AG$3:$AG$98,"&lt;="&amp;$H64,工数管理!$AH$3:$AH$98,""))*($H64&lt;=工数管理!$AI$1))</f>
        <v>1</v>
      </c>
    </row>
    <row r="65" spans="1:12" x14ac:dyDescent="0.15">
      <c r="A65" s="5"/>
      <c r="B65" s="6"/>
      <c r="H65" s="41">
        <f t="shared" si="1"/>
        <v>46233</v>
      </c>
      <c r="I65" s="42">
        <f t="shared" si="0"/>
        <v>1</v>
      </c>
      <c r="J65" s="42">
        <f ca="1">IF(J$1="",0,COUNTIFS(工数管理!$AK$3:$AK$98,J$1,工数管理!$K$3:$K$98,"&lt;="&amp;$H65,工数管理!$L$3:$L$98,"&gt;="&amp;$H65)+COUNTIFS(工数管理!$AK$3:$AK$98,J$1,工数管理!$M$3:$M$98,"&lt;="&amp;$H65,工数管理!$N$3:$N$98,"&gt;="&amp;$H65)+COUNTIFS(工数管理!$AK$3:$AK$98,J$1,工数管理!$O$3:$O$98,"&lt;="&amp;$H65,工数管理!$P$3:$P$98,"&gt;="&amp;$H65)+COUNTIFS(工数管理!$AK$3:$AK$98,J$1,工数管理!$Q$3:$Q$98,"&lt;="&amp;$H65,工数管理!$R$3:$R$98,"&gt;="&amp;$H65)+COUNTIFS(工数管理!$AK$3:$AK$98,J$1,工数管理!$S$3:$S$98,"&lt;="&amp;$H65,工数管理!$T$3:$T$98,"&gt;="&amp;$H65)+COUNTIFS(工数管理!$AK$3:$AK$98,J$1,工数管理!$U$3:$U$98,"&lt;="&amp;$H65,工数管理!$V$3:$V$98,"&gt;="&amp;$H65)+COUNTIFS(工数管理!$AK$3:$AK$98,J$1,工数管理!$W$3:$W$98,"&lt;="&amp;$H65,工数管理!$X$3:$X$98,"&gt;="&amp;$H65)+COUNTIFS(工数管理!$AK$3:$AK$98,J$1,工数管理!$Y$3:$Y$98,"&lt;="&amp;$H65,工数管理!$Z$3:$Z$98,"&gt;="&amp;$H65)+COUNTIFS(工数管理!$AK$3:$AK$98,J$1,工数管理!$AA$3:$AA$98,"&lt;="&amp;$H65,工数管理!$AB$3:$AB$98,"&gt;="&amp;$H65)+COUNTIFS(工数管理!$AK$3:$AK$98,J$1,工数管理!$AC$3:$AC$98,"&lt;="&amp;$H65,工数管理!$AD$3:$AD$98,"&gt;="&amp;$H65)+COUNTIFS(工数管理!$AK$3:$AK$98,J$1,工数管理!$AE$3:$AE$98,"&lt;="&amp;$H65,工数管理!$AF$3:$AF$98,"&gt;="&amp;$H65)+COUNTIFS(工数管理!$AK$3:$AK$98,J$1,工数管理!$AG$3:$AG$98,"&lt;="&amp;$H65,工数管理!$AH$3:$AH$98,"&gt;="&amp;$H65)+(COUNTIFS(工数管理!$AK$3:$AK$98,J$1,工数管理!$K$3:$K$98,"&lt;="&amp;$H65,工数管理!$L$3:$L$98,"")+COUNTIFS(工数管理!$AK$3:$AK$98,J$1,工数管理!$M$3:$M$98,"&lt;="&amp;$H65,工数管理!$N$3:$N$98,"")+COUNTIFS(工数管理!$AK$3:$AK$98,J$1,工数管理!$O$3:$O$98,"&lt;="&amp;$H65,工数管理!$P$3:$P$98,"")+COUNTIFS(工数管理!$AK$3:$AK$98,J$1,工数管理!$Q$3:$Q$98,"&lt;="&amp;$H65,工数管理!$R$3:$R$98,"")+COUNTIFS(工数管理!$AK$3:$AK$98,J$1,工数管理!$S$3:$S$98,"&lt;="&amp;$H65,工数管理!$T$3:$T$98,"")+COUNTIFS(工数管理!$AK$3:$AK$98,J$1,工数管理!$U$3:$U$98,"&lt;="&amp;$H65,工数管理!$V$3:$V$98,"")+COUNTIFS(工数管理!$AK$3:$AK$98,J$1,工数管理!$W$3:$W$98,"&lt;="&amp;$H65,工数管理!$X$3:$X$98,"")+COUNTIFS(工数管理!$AK$3:$AK$98,J$1,工数管理!$Y$3:$Y$98,"&lt;="&amp;$H65,工数管理!$Z$3:$Z$98,"")+COUNTIFS(工数管理!$AK$3:$AK$98,J$1,工数管理!$AA$3:$AA$98,"&lt;="&amp;$H65,工数管理!$AB$3:$AB$98,"")+COUNTIFS(工数管理!$AK$3:$AK$98,J$1,工数管理!$AC$3:$AC$98,"&lt;="&amp;$H65,工数管理!$AD$3:$AD$98,"")+COUNTIFS(工数管理!$AK$3:$AK$98,J$1,工数管理!$AE$3:$AE$98,"&lt;="&amp;$H65,工数管理!$AF$3:$AF$98,"")+COUNTIFS(工数管理!$AK$3:$AK$98,J$1,工数管理!$AG$3:$AG$98,"&lt;="&amp;$H65,工数管理!$AH$3:$AH$98,""))*($H65&lt;=工数管理!$AI$1))</f>
        <v>1</v>
      </c>
      <c r="K65" s="42">
        <f ca="1">IF(K$1="",0,COUNTIFS(工数管理!$AK$3:$AK$98,K$1,工数管理!$K$3:$K$98,"&lt;="&amp;$H65,工数管理!$L$3:$L$98,"&gt;="&amp;$H65)+COUNTIFS(工数管理!$AK$3:$AK$98,K$1,工数管理!$M$3:$M$98,"&lt;="&amp;$H65,工数管理!$N$3:$N$98,"&gt;="&amp;$H65)+COUNTIFS(工数管理!$AK$3:$AK$98,K$1,工数管理!$O$3:$O$98,"&lt;="&amp;$H65,工数管理!$P$3:$P$98,"&gt;="&amp;$H65)+COUNTIFS(工数管理!$AK$3:$AK$98,K$1,工数管理!$Q$3:$Q$98,"&lt;="&amp;$H65,工数管理!$R$3:$R$98,"&gt;="&amp;$H65)+COUNTIFS(工数管理!$AK$3:$AK$98,K$1,工数管理!$S$3:$S$98,"&lt;="&amp;$H65,工数管理!$T$3:$T$98,"&gt;="&amp;$H65)+COUNTIFS(工数管理!$AK$3:$AK$98,K$1,工数管理!$U$3:$U$98,"&lt;="&amp;$H65,工数管理!$V$3:$V$98,"&gt;="&amp;$H65)+COUNTIFS(工数管理!$AK$3:$AK$98,K$1,工数管理!$W$3:$W$98,"&lt;="&amp;$H65,工数管理!$X$3:$X$98,"&gt;="&amp;$H65)+COUNTIFS(工数管理!$AK$3:$AK$98,K$1,工数管理!$Y$3:$Y$98,"&lt;="&amp;$H65,工数管理!$Z$3:$Z$98,"&gt;="&amp;$H65)+COUNTIFS(工数管理!$AK$3:$AK$98,K$1,工数管理!$AA$3:$AA$98,"&lt;="&amp;$H65,工数管理!$AB$3:$AB$98,"&gt;="&amp;$H65)+COUNTIFS(工数管理!$AK$3:$AK$98,K$1,工数管理!$AC$3:$AC$98,"&lt;="&amp;$H65,工数管理!$AD$3:$AD$98,"&gt;="&amp;$H65)+COUNTIFS(工数管理!$AK$3:$AK$98,K$1,工数管理!$AE$3:$AE$98,"&lt;="&amp;$H65,工数管理!$AF$3:$AF$98,"&gt;="&amp;$H65)+COUNTIFS(工数管理!$AK$3:$AK$98,K$1,工数管理!$AG$3:$AG$98,"&lt;="&amp;$H65,工数管理!$AH$3:$AH$98,"&gt;="&amp;$H65)+(COUNTIFS(工数管理!$AK$3:$AK$98,K$1,工数管理!$K$3:$K$98,"&lt;="&amp;$H65,工数管理!$L$3:$L$98,"")+COUNTIFS(工数管理!$AK$3:$AK$98,K$1,工数管理!$M$3:$M$98,"&lt;="&amp;$H65,工数管理!$N$3:$N$98,"")+COUNTIFS(工数管理!$AK$3:$AK$98,K$1,工数管理!$O$3:$O$98,"&lt;="&amp;$H65,工数管理!$P$3:$P$98,"")+COUNTIFS(工数管理!$AK$3:$AK$98,K$1,工数管理!$Q$3:$Q$98,"&lt;="&amp;$H65,工数管理!$R$3:$R$98,"")+COUNTIFS(工数管理!$AK$3:$AK$98,K$1,工数管理!$S$3:$S$98,"&lt;="&amp;$H65,工数管理!$T$3:$T$98,"")+COUNTIFS(工数管理!$AK$3:$AK$98,K$1,工数管理!$U$3:$U$98,"&lt;="&amp;$H65,工数管理!$V$3:$V$98,"")+COUNTIFS(工数管理!$AK$3:$AK$98,K$1,工数管理!$W$3:$W$98,"&lt;="&amp;$H65,工数管理!$X$3:$X$98,"")+COUNTIFS(工数管理!$AK$3:$AK$98,K$1,工数管理!$Y$3:$Y$98,"&lt;="&amp;$H65,工数管理!$Z$3:$Z$98,"")+COUNTIFS(工数管理!$AK$3:$AK$98,K$1,工数管理!$AA$3:$AA$98,"&lt;="&amp;$H65,工数管理!$AB$3:$AB$98,"")+COUNTIFS(工数管理!$AK$3:$AK$98,K$1,工数管理!$AC$3:$AC$98,"&lt;="&amp;$H65,工数管理!$AD$3:$AD$98,"")+COUNTIFS(工数管理!$AK$3:$AK$98,K$1,工数管理!$AE$3:$AE$98,"&lt;="&amp;$H65,工数管理!$AF$3:$AF$98,"")+COUNTIFS(工数管理!$AK$3:$AK$98,K$1,工数管理!$AG$3:$AG$98,"&lt;="&amp;$H65,工数管理!$AH$3:$AH$98,""))*($H65&lt;=工数管理!$AI$1))</f>
        <v>1</v>
      </c>
      <c r="L65" s="42">
        <f ca="1">IF(L$1="",0,COUNTIFS(工数管理!$AK$3:$AK$98,L$1,工数管理!$K$3:$K$98,"&lt;="&amp;$H65,工数管理!$L$3:$L$98,"&gt;="&amp;$H65)+COUNTIFS(工数管理!$AK$3:$AK$98,L$1,工数管理!$M$3:$M$98,"&lt;="&amp;$H65,工数管理!$N$3:$N$98,"&gt;="&amp;$H65)+COUNTIFS(工数管理!$AK$3:$AK$98,L$1,工数管理!$O$3:$O$98,"&lt;="&amp;$H65,工数管理!$P$3:$P$98,"&gt;="&amp;$H65)+COUNTIFS(工数管理!$AK$3:$AK$98,L$1,工数管理!$Q$3:$Q$98,"&lt;="&amp;$H65,工数管理!$R$3:$R$98,"&gt;="&amp;$H65)+COUNTIFS(工数管理!$AK$3:$AK$98,L$1,工数管理!$S$3:$S$98,"&lt;="&amp;$H65,工数管理!$T$3:$T$98,"&gt;="&amp;$H65)+COUNTIFS(工数管理!$AK$3:$AK$98,L$1,工数管理!$U$3:$U$98,"&lt;="&amp;$H65,工数管理!$V$3:$V$98,"&gt;="&amp;$H65)+COUNTIFS(工数管理!$AK$3:$AK$98,L$1,工数管理!$W$3:$W$98,"&lt;="&amp;$H65,工数管理!$X$3:$X$98,"&gt;="&amp;$H65)+COUNTIFS(工数管理!$AK$3:$AK$98,L$1,工数管理!$Y$3:$Y$98,"&lt;="&amp;$H65,工数管理!$Z$3:$Z$98,"&gt;="&amp;$H65)+COUNTIFS(工数管理!$AK$3:$AK$98,L$1,工数管理!$AA$3:$AA$98,"&lt;="&amp;$H65,工数管理!$AB$3:$AB$98,"&gt;="&amp;$H65)+COUNTIFS(工数管理!$AK$3:$AK$98,L$1,工数管理!$AC$3:$AC$98,"&lt;="&amp;$H65,工数管理!$AD$3:$AD$98,"&gt;="&amp;$H65)+COUNTIFS(工数管理!$AK$3:$AK$98,L$1,工数管理!$AE$3:$AE$98,"&lt;="&amp;$H65,工数管理!$AF$3:$AF$98,"&gt;="&amp;$H65)+COUNTIFS(工数管理!$AK$3:$AK$98,L$1,工数管理!$AG$3:$AG$98,"&lt;="&amp;$H65,工数管理!$AH$3:$AH$98,"&gt;="&amp;$H65)+(COUNTIFS(工数管理!$AK$3:$AK$98,L$1,工数管理!$K$3:$K$98,"&lt;="&amp;$H65,工数管理!$L$3:$L$98,"")+COUNTIFS(工数管理!$AK$3:$AK$98,L$1,工数管理!$M$3:$M$98,"&lt;="&amp;$H65,工数管理!$N$3:$N$98,"")+COUNTIFS(工数管理!$AK$3:$AK$98,L$1,工数管理!$O$3:$O$98,"&lt;="&amp;$H65,工数管理!$P$3:$P$98,"")+COUNTIFS(工数管理!$AK$3:$AK$98,L$1,工数管理!$Q$3:$Q$98,"&lt;="&amp;$H65,工数管理!$R$3:$R$98,"")+COUNTIFS(工数管理!$AK$3:$AK$98,L$1,工数管理!$S$3:$S$98,"&lt;="&amp;$H65,工数管理!$T$3:$T$98,"")+COUNTIFS(工数管理!$AK$3:$AK$98,L$1,工数管理!$U$3:$U$98,"&lt;="&amp;$H65,工数管理!$V$3:$V$98,"")+COUNTIFS(工数管理!$AK$3:$AK$98,L$1,工数管理!$W$3:$W$98,"&lt;="&amp;$H65,工数管理!$X$3:$X$98,"")+COUNTIFS(工数管理!$AK$3:$AK$98,L$1,工数管理!$Y$3:$Y$98,"&lt;="&amp;$H65,工数管理!$Z$3:$Z$98,"")+COUNTIFS(工数管理!$AK$3:$AK$98,L$1,工数管理!$AA$3:$AA$98,"&lt;="&amp;$H65,工数管理!$AB$3:$AB$98,"")+COUNTIFS(工数管理!$AK$3:$AK$98,L$1,工数管理!$AC$3:$AC$98,"&lt;="&amp;$H65,工数管理!$AD$3:$AD$98,"")+COUNTIFS(工数管理!$AK$3:$AK$98,L$1,工数管理!$AE$3:$AE$98,"&lt;="&amp;$H65,工数管理!$AF$3:$AF$98,"")+COUNTIFS(工数管理!$AK$3:$AK$98,L$1,工数管理!$AG$3:$AG$98,"&lt;="&amp;$H65,工数管理!$AH$3:$AH$98,""))*($H65&lt;=工数管理!$AI$1))</f>
        <v>1</v>
      </c>
    </row>
    <row r="66" spans="1:12" x14ac:dyDescent="0.15">
      <c r="A66" s="5"/>
      <c r="B66" s="6"/>
      <c r="H66" s="41">
        <f t="shared" si="1"/>
        <v>46234</v>
      </c>
      <c r="I66" s="42">
        <f t="shared" si="0"/>
        <v>1</v>
      </c>
      <c r="J66" s="42">
        <f ca="1">IF(J$1="",0,COUNTIFS(工数管理!$AK$3:$AK$98,J$1,工数管理!$K$3:$K$98,"&lt;="&amp;$H66,工数管理!$L$3:$L$98,"&gt;="&amp;$H66)+COUNTIFS(工数管理!$AK$3:$AK$98,J$1,工数管理!$M$3:$M$98,"&lt;="&amp;$H66,工数管理!$N$3:$N$98,"&gt;="&amp;$H66)+COUNTIFS(工数管理!$AK$3:$AK$98,J$1,工数管理!$O$3:$O$98,"&lt;="&amp;$H66,工数管理!$P$3:$P$98,"&gt;="&amp;$H66)+COUNTIFS(工数管理!$AK$3:$AK$98,J$1,工数管理!$Q$3:$Q$98,"&lt;="&amp;$H66,工数管理!$R$3:$R$98,"&gt;="&amp;$H66)+COUNTIFS(工数管理!$AK$3:$AK$98,J$1,工数管理!$S$3:$S$98,"&lt;="&amp;$H66,工数管理!$T$3:$T$98,"&gt;="&amp;$H66)+COUNTIFS(工数管理!$AK$3:$AK$98,J$1,工数管理!$U$3:$U$98,"&lt;="&amp;$H66,工数管理!$V$3:$V$98,"&gt;="&amp;$H66)+COUNTIFS(工数管理!$AK$3:$AK$98,J$1,工数管理!$W$3:$W$98,"&lt;="&amp;$H66,工数管理!$X$3:$X$98,"&gt;="&amp;$H66)+COUNTIFS(工数管理!$AK$3:$AK$98,J$1,工数管理!$Y$3:$Y$98,"&lt;="&amp;$H66,工数管理!$Z$3:$Z$98,"&gt;="&amp;$H66)+COUNTIFS(工数管理!$AK$3:$AK$98,J$1,工数管理!$AA$3:$AA$98,"&lt;="&amp;$H66,工数管理!$AB$3:$AB$98,"&gt;="&amp;$H66)+COUNTIFS(工数管理!$AK$3:$AK$98,J$1,工数管理!$AC$3:$AC$98,"&lt;="&amp;$H66,工数管理!$AD$3:$AD$98,"&gt;="&amp;$H66)+COUNTIFS(工数管理!$AK$3:$AK$98,J$1,工数管理!$AE$3:$AE$98,"&lt;="&amp;$H66,工数管理!$AF$3:$AF$98,"&gt;="&amp;$H66)+COUNTIFS(工数管理!$AK$3:$AK$98,J$1,工数管理!$AG$3:$AG$98,"&lt;="&amp;$H66,工数管理!$AH$3:$AH$98,"&gt;="&amp;$H66)+(COUNTIFS(工数管理!$AK$3:$AK$98,J$1,工数管理!$K$3:$K$98,"&lt;="&amp;$H66,工数管理!$L$3:$L$98,"")+COUNTIFS(工数管理!$AK$3:$AK$98,J$1,工数管理!$M$3:$M$98,"&lt;="&amp;$H66,工数管理!$N$3:$N$98,"")+COUNTIFS(工数管理!$AK$3:$AK$98,J$1,工数管理!$O$3:$O$98,"&lt;="&amp;$H66,工数管理!$P$3:$P$98,"")+COUNTIFS(工数管理!$AK$3:$AK$98,J$1,工数管理!$Q$3:$Q$98,"&lt;="&amp;$H66,工数管理!$R$3:$R$98,"")+COUNTIFS(工数管理!$AK$3:$AK$98,J$1,工数管理!$S$3:$S$98,"&lt;="&amp;$H66,工数管理!$T$3:$T$98,"")+COUNTIFS(工数管理!$AK$3:$AK$98,J$1,工数管理!$U$3:$U$98,"&lt;="&amp;$H66,工数管理!$V$3:$V$98,"")+COUNTIFS(工数管理!$AK$3:$AK$98,J$1,工数管理!$W$3:$W$98,"&lt;="&amp;$H66,工数管理!$X$3:$X$98,"")+COUNTIFS(工数管理!$AK$3:$AK$98,J$1,工数管理!$Y$3:$Y$98,"&lt;="&amp;$H66,工数管理!$Z$3:$Z$98,"")+COUNTIFS(工数管理!$AK$3:$AK$98,J$1,工数管理!$AA$3:$AA$98,"&lt;="&amp;$H66,工数管理!$AB$3:$AB$98,"")+COUNTIFS(工数管理!$AK$3:$AK$98,J$1,工数管理!$AC$3:$AC$98,"&lt;="&amp;$H66,工数管理!$AD$3:$AD$98,"")+COUNTIFS(工数管理!$AK$3:$AK$98,J$1,工数管理!$AE$3:$AE$98,"&lt;="&amp;$H66,工数管理!$AF$3:$AF$98,"")+COUNTIFS(工数管理!$AK$3:$AK$98,J$1,工数管理!$AG$3:$AG$98,"&lt;="&amp;$H66,工数管理!$AH$3:$AH$98,""))*($H66&lt;=工数管理!$AI$1))</f>
        <v>1</v>
      </c>
      <c r="K66" s="42">
        <f ca="1">IF(K$1="",0,COUNTIFS(工数管理!$AK$3:$AK$98,K$1,工数管理!$K$3:$K$98,"&lt;="&amp;$H66,工数管理!$L$3:$L$98,"&gt;="&amp;$H66)+COUNTIFS(工数管理!$AK$3:$AK$98,K$1,工数管理!$M$3:$M$98,"&lt;="&amp;$H66,工数管理!$N$3:$N$98,"&gt;="&amp;$H66)+COUNTIFS(工数管理!$AK$3:$AK$98,K$1,工数管理!$O$3:$O$98,"&lt;="&amp;$H66,工数管理!$P$3:$P$98,"&gt;="&amp;$H66)+COUNTIFS(工数管理!$AK$3:$AK$98,K$1,工数管理!$Q$3:$Q$98,"&lt;="&amp;$H66,工数管理!$R$3:$R$98,"&gt;="&amp;$H66)+COUNTIFS(工数管理!$AK$3:$AK$98,K$1,工数管理!$S$3:$S$98,"&lt;="&amp;$H66,工数管理!$T$3:$T$98,"&gt;="&amp;$H66)+COUNTIFS(工数管理!$AK$3:$AK$98,K$1,工数管理!$U$3:$U$98,"&lt;="&amp;$H66,工数管理!$V$3:$V$98,"&gt;="&amp;$H66)+COUNTIFS(工数管理!$AK$3:$AK$98,K$1,工数管理!$W$3:$W$98,"&lt;="&amp;$H66,工数管理!$X$3:$X$98,"&gt;="&amp;$H66)+COUNTIFS(工数管理!$AK$3:$AK$98,K$1,工数管理!$Y$3:$Y$98,"&lt;="&amp;$H66,工数管理!$Z$3:$Z$98,"&gt;="&amp;$H66)+COUNTIFS(工数管理!$AK$3:$AK$98,K$1,工数管理!$AA$3:$AA$98,"&lt;="&amp;$H66,工数管理!$AB$3:$AB$98,"&gt;="&amp;$H66)+COUNTIFS(工数管理!$AK$3:$AK$98,K$1,工数管理!$AC$3:$AC$98,"&lt;="&amp;$H66,工数管理!$AD$3:$AD$98,"&gt;="&amp;$H66)+COUNTIFS(工数管理!$AK$3:$AK$98,K$1,工数管理!$AE$3:$AE$98,"&lt;="&amp;$H66,工数管理!$AF$3:$AF$98,"&gt;="&amp;$H66)+COUNTIFS(工数管理!$AK$3:$AK$98,K$1,工数管理!$AG$3:$AG$98,"&lt;="&amp;$H66,工数管理!$AH$3:$AH$98,"&gt;="&amp;$H66)+(COUNTIFS(工数管理!$AK$3:$AK$98,K$1,工数管理!$K$3:$K$98,"&lt;="&amp;$H66,工数管理!$L$3:$L$98,"")+COUNTIFS(工数管理!$AK$3:$AK$98,K$1,工数管理!$M$3:$M$98,"&lt;="&amp;$H66,工数管理!$N$3:$N$98,"")+COUNTIFS(工数管理!$AK$3:$AK$98,K$1,工数管理!$O$3:$O$98,"&lt;="&amp;$H66,工数管理!$P$3:$P$98,"")+COUNTIFS(工数管理!$AK$3:$AK$98,K$1,工数管理!$Q$3:$Q$98,"&lt;="&amp;$H66,工数管理!$R$3:$R$98,"")+COUNTIFS(工数管理!$AK$3:$AK$98,K$1,工数管理!$S$3:$S$98,"&lt;="&amp;$H66,工数管理!$T$3:$T$98,"")+COUNTIFS(工数管理!$AK$3:$AK$98,K$1,工数管理!$U$3:$U$98,"&lt;="&amp;$H66,工数管理!$V$3:$V$98,"")+COUNTIFS(工数管理!$AK$3:$AK$98,K$1,工数管理!$W$3:$W$98,"&lt;="&amp;$H66,工数管理!$X$3:$X$98,"")+COUNTIFS(工数管理!$AK$3:$AK$98,K$1,工数管理!$Y$3:$Y$98,"&lt;="&amp;$H66,工数管理!$Z$3:$Z$98,"")+COUNTIFS(工数管理!$AK$3:$AK$98,K$1,工数管理!$AA$3:$AA$98,"&lt;="&amp;$H66,工数管理!$AB$3:$AB$98,"")+COUNTIFS(工数管理!$AK$3:$AK$98,K$1,工数管理!$AC$3:$AC$98,"&lt;="&amp;$H66,工数管理!$AD$3:$AD$98,"")+COUNTIFS(工数管理!$AK$3:$AK$98,K$1,工数管理!$AE$3:$AE$98,"&lt;="&amp;$H66,工数管理!$AF$3:$AF$98,"")+COUNTIFS(工数管理!$AK$3:$AK$98,K$1,工数管理!$AG$3:$AG$98,"&lt;="&amp;$H66,工数管理!$AH$3:$AH$98,""))*($H66&lt;=工数管理!$AI$1))</f>
        <v>1</v>
      </c>
      <c r="L66" s="42">
        <f ca="1">IF(L$1="",0,COUNTIFS(工数管理!$AK$3:$AK$98,L$1,工数管理!$K$3:$K$98,"&lt;="&amp;$H66,工数管理!$L$3:$L$98,"&gt;="&amp;$H66)+COUNTIFS(工数管理!$AK$3:$AK$98,L$1,工数管理!$M$3:$M$98,"&lt;="&amp;$H66,工数管理!$N$3:$N$98,"&gt;="&amp;$H66)+COUNTIFS(工数管理!$AK$3:$AK$98,L$1,工数管理!$O$3:$O$98,"&lt;="&amp;$H66,工数管理!$P$3:$P$98,"&gt;="&amp;$H66)+COUNTIFS(工数管理!$AK$3:$AK$98,L$1,工数管理!$Q$3:$Q$98,"&lt;="&amp;$H66,工数管理!$R$3:$R$98,"&gt;="&amp;$H66)+COUNTIFS(工数管理!$AK$3:$AK$98,L$1,工数管理!$S$3:$S$98,"&lt;="&amp;$H66,工数管理!$T$3:$T$98,"&gt;="&amp;$H66)+COUNTIFS(工数管理!$AK$3:$AK$98,L$1,工数管理!$U$3:$U$98,"&lt;="&amp;$H66,工数管理!$V$3:$V$98,"&gt;="&amp;$H66)+COUNTIFS(工数管理!$AK$3:$AK$98,L$1,工数管理!$W$3:$W$98,"&lt;="&amp;$H66,工数管理!$X$3:$X$98,"&gt;="&amp;$H66)+COUNTIFS(工数管理!$AK$3:$AK$98,L$1,工数管理!$Y$3:$Y$98,"&lt;="&amp;$H66,工数管理!$Z$3:$Z$98,"&gt;="&amp;$H66)+COUNTIFS(工数管理!$AK$3:$AK$98,L$1,工数管理!$AA$3:$AA$98,"&lt;="&amp;$H66,工数管理!$AB$3:$AB$98,"&gt;="&amp;$H66)+COUNTIFS(工数管理!$AK$3:$AK$98,L$1,工数管理!$AC$3:$AC$98,"&lt;="&amp;$H66,工数管理!$AD$3:$AD$98,"&gt;="&amp;$H66)+COUNTIFS(工数管理!$AK$3:$AK$98,L$1,工数管理!$AE$3:$AE$98,"&lt;="&amp;$H66,工数管理!$AF$3:$AF$98,"&gt;="&amp;$H66)+COUNTIFS(工数管理!$AK$3:$AK$98,L$1,工数管理!$AG$3:$AG$98,"&lt;="&amp;$H66,工数管理!$AH$3:$AH$98,"&gt;="&amp;$H66)+(COUNTIFS(工数管理!$AK$3:$AK$98,L$1,工数管理!$K$3:$K$98,"&lt;="&amp;$H66,工数管理!$L$3:$L$98,"")+COUNTIFS(工数管理!$AK$3:$AK$98,L$1,工数管理!$M$3:$M$98,"&lt;="&amp;$H66,工数管理!$N$3:$N$98,"")+COUNTIFS(工数管理!$AK$3:$AK$98,L$1,工数管理!$O$3:$O$98,"&lt;="&amp;$H66,工数管理!$P$3:$P$98,"")+COUNTIFS(工数管理!$AK$3:$AK$98,L$1,工数管理!$Q$3:$Q$98,"&lt;="&amp;$H66,工数管理!$R$3:$R$98,"")+COUNTIFS(工数管理!$AK$3:$AK$98,L$1,工数管理!$S$3:$S$98,"&lt;="&amp;$H66,工数管理!$T$3:$T$98,"")+COUNTIFS(工数管理!$AK$3:$AK$98,L$1,工数管理!$U$3:$U$98,"&lt;="&amp;$H66,工数管理!$V$3:$V$98,"")+COUNTIFS(工数管理!$AK$3:$AK$98,L$1,工数管理!$W$3:$W$98,"&lt;="&amp;$H66,工数管理!$X$3:$X$98,"")+COUNTIFS(工数管理!$AK$3:$AK$98,L$1,工数管理!$Y$3:$Y$98,"&lt;="&amp;$H66,工数管理!$Z$3:$Z$98,"")+COUNTIFS(工数管理!$AK$3:$AK$98,L$1,工数管理!$AA$3:$AA$98,"&lt;="&amp;$H66,工数管理!$AB$3:$AB$98,"")+COUNTIFS(工数管理!$AK$3:$AK$98,L$1,工数管理!$AC$3:$AC$98,"&lt;="&amp;$H66,工数管理!$AD$3:$AD$98,"")+COUNTIFS(工数管理!$AK$3:$AK$98,L$1,工数管理!$AE$3:$AE$98,"&lt;="&amp;$H66,工数管理!$AF$3:$AF$98,"")+COUNTIFS(工数管理!$AK$3:$AK$98,L$1,工数管理!$AG$3:$AG$98,"&lt;="&amp;$H66,工数管理!$AH$3:$AH$98,""))*($H66&lt;=工数管理!$AI$1))</f>
        <v>1</v>
      </c>
    </row>
    <row r="67" spans="1:12" x14ac:dyDescent="0.15">
      <c r="A67" s="5"/>
      <c r="B67" s="6"/>
      <c r="H67" s="41">
        <f t="shared" si="1"/>
        <v>46235</v>
      </c>
      <c r="I67" s="42">
        <f t="shared" si="0"/>
        <v>0</v>
      </c>
      <c r="J67" s="42">
        <f ca="1">IF(J$1="",0,COUNTIFS(工数管理!$AK$3:$AK$98,J$1,工数管理!$K$3:$K$98,"&lt;="&amp;$H67,工数管理!$L$3:$L$98,"&gt;="&amp;$H67)+COUNTIFS(工数管理!$AK$3:$AK$98,J$1,工数管理!$M$3:$M$98,"&lt;="&amp;$H67,工数管理!$N$3:$N$98,"&gt;="&amp;$H67)+COUNTIFS(工数管理!$AK$3:$AK$98,J$1,工数管理!$O$3:$O$98,"&lt;="&amp;$H67,工数管理!$P$3:$P$98,"&gt;="&amp;$H67)+COUNTIFS(工数管理!$AK$3:$AK$98,J$1,工数管理!$Q$3:$Q$98,"&lt;="&amp;$H67,工数管理!$R$3:$R$98,"&gt;="&amp;$H67)+COUNTIFS(工数管理!$AK$3:$AK$98,J$1,工数管理!$S$3:$S$98,"&lt;="&amp;$H67,工数管理!$T$3:$T$98,"&gt;="&amp;$H67)+COUNTIFS(工数管理!$AK$3:$AK$98,J$1,工数管理!$U$3:$U$98,"&lt;="&amp;$H67,工数管理!$V$3:$V$98,"&gt;="&amp;$H67)+COUNTIFS(工数管理!$AK$3:$AK$98,J$1,工数管理!$W$3:$W$98,"&lt;="&amp;$H67,工数管理!$X$3:$X$98,"&gt;="&amp;$H67)+COUNTIFS(工数管理!$AK$3:$AK$98,J$1,工数管理!$Y$3:$Y$98,"&lt;="&amp;$H67,工数管理!$Z$3:$Z$98,"&gt;="&amp;$H67)+COUNTIFS(工数管理!$AK$3:$AK$98,J$1,工数管理!$AA$3:$AA$98,"&lt;="&amp;$H67,工数管理!$AB$3:$AB$98,"&gt;="&amp;$H67)+COUNTIFS(工数管理!$AK$3:$AK$98,J$1,工数管理!$AC$3:$AC$98,"&lt;="&amp;$H67,工数管理!$AD$3:$AD$98,"&gt;="&amp;$H67)+COUNTIFS(工数管理!$AK$3:$AK$98,J$1,工数管理!$AE$3:$AE$98,"&lt;="&amp;$H67,工数管理!$AF$3:$AF$98,"&gt;="&amp;$H67)+COUNTIFS(工数管理!$AK$3:$AK$98,J$1,工数管理!$AG$3:$AG$98,"&lt;="&amp;$H67,工数管理!$AH$3:$AH$98,"&gt;="&amp;$H67)+(COUNTIFS(工数管理!$AK$3:$AK$98,J$1,工数管理!$K$3:$K$98,"&lt;="&amp;$H67,工数管理!$L$3:$L$98,"")+COUNTIFS(工数管理!$AK$3:$AK$98,J$1,工数管理!$M$3:$M$98,"&lt;="&amp;$H67,工数管理!$N$3:$N$98,"")+COUNTIFS(工数管理!$AK$3:$AK$98,J$1,工数管理!$O$3:$O$98,"&lt;="&amp;$H67,工数管理!$P$3:$P$98,"")+COUNTIFS(工数管理!$AK$3:$AK$98,J$1,工数管理!$Q$3:$Q$98,"&lt;="&amp;$H67,工数管理!$R$3:$R$98,"")+COUNTIFS(工数管理!$AK$3:$AK$98,J$1,工数管理!$S$3:$S$98,"&lt;="&amp;$H67,工数管理!$T$3:$T$98,"")+COUNTIFS(工数管理!$AK$3:$AK$98,J$1,工数管理!$U$3:$U$98,"&lt;="&amp;$H67,工数管理!$V$3:$V$98,"")+COUNTIFS(工数管理!$AK$3:$AK$98,J$1,工数管理!$W$3:$W$98,"&lt;="&amp;$H67,工数管理!$X$3:$X$98,"")+COUNTIFS(工数管理!$AK$3:$AK$98,J$1,工数管理!$Y$3:$Y$98,"&lt;="&amp;$H67,工数管理!$Z$3:$Z$98,"")+COUNTIFS(工数管理!$AK$3:$AK$98,J$1,工数管理!$AA$3:$AA$98,"&lt;="&amp;$H67,工数管理!$AB$3:$AB$98,"")+COUNTIFS(工数管理!$AK$3:$AK$98,J$1,工数管理!$AC$3:$AC$98,"&lt;="&amp;$H67,工数管理!$AD$3:$AD$98,"")+COUNTIFS(工数管理!$AK$3:$AK$98,J$1,工数管理!$AE$3:$AE$98,"&lt;="&amp;$H67,工数管理!$AF$3:$AF$98,"")+COUNTIFS(工数管理!$AK$3:$AK$98,J$1,工数管理!$AG$3:$AG$98,"&lt;="&amp;$H67,工数管理!$AH$3:$AH$98,""))*($H67&lt;=工数管理!$AI$1))</f>
        <v>1</v>
      </c>
      <c r="K67" s="42">
        <f ca="1">IF(K$1="",0,COUNTIFS(工数管理!$AK$3:$AK$98,K$1,工数管理!$K$3:$K$98,"&lt;="&amp;$H67,工数管理!$L$3:$L$98,"&gt;="&amp;$H67)+COUNTIFS(工数管理!$AK$3:$AK$98,K$1,工数管理!$M$3:$M$98,"&lt;="&amp;$H67,工数管理!$N$3:$N$98,"&gt;="&amp;$H67)+COUNTIFS(工数管理!$AK$3:$AK$98,K$1,工数管理!$O$3:$O$98,"&lt;="&amp;$H67,工数管理!$P$3:$P$98,"&gt;="&amp;$H67)+COUNTIFS(工数管理!$AK$3:$AK$98,K$1,工数管理!$Q$3:$Q$98,"&lt;="&amp;$H67,工数管理!$R$3:$R$98,"&gt;="&amp;$H67)+COUNTIFS(工数管理!$AK$3:$AK$98,K$1,工数管理!$S$3:$S$98,"&lt;="&amp;$H67,工数管理!$T$3:$T$98,"&gt;="&amp;$H67)+COUNTIFS(工数管理!$AK$3:$AK$98,K$1,工数管理!$U$3:$U$98,"&lt;="&amp;$H67,工数管理!$V$3:$V$98,"&gt;="&amp;$H67)+COUNTIFS(工数管理!$AK$3:$AK$98,K$1,工数管理!$W$3:$W$98,"&lt;="&amp;$H67,工数管理!$X$3:$X$98,"&gt;="&amp;$H67)+COUNTIFS(工数管理!$AK$3:$AK$98,K$1,工数管理!$Y$3:$Y$98,"&lt;="&amp;$H67,工数管理!$Z$3:$Z$98,"&gt;="&amp;$H67)+COUNTIFS(工数管理!$AK$3:$AK$98,K$1,工数管理!$AA$3:$AA$98,"&lt;="&amp;$H67,工数管理!$AB$3:$AB$98,"&gt;="&amp;$H67)+COUNTIFS(工数管理!$AK$3:$AK$98,K$1,工数管理!$AC$3:$AC$98,"&lt;="&amp;$H67,工数管理!$AD$3:$AD$98,"&gt;="&amp;$H67)+COUNTIFS(工数管理!$AK$3:$AK$98,K$1,工数管理!$AE$3:$AE$98,"&lt;="&amp;$H67,工数管理!$AF$3:$AF$98,"&gt;="&amp;$H67)+COUNTIFS(工数管理!$AK$3:$AK$98,K$1,工数管理!$AG$3:$AG$98,"&lt;="&amp;$H67,工数管理!$AH$3:$AH$98,"&gt;="&amp;$H67)+(COUNTIFS(工数管理!$AK$3:$AK$98,K$1,工数管理!$K$3:$K$98,"&lt;="&amp;$H67,工数管理!$L$3:$L$98,"")+COUNTIFS(工数管理!$AK$3:$AK$98,K$1,工数管理!$M$3:$M$98,"&lt;="&amp;$H67,工数管理!$N$3:$N$98,"")+COUNTIFS(工数管理!$AK$3:$AK$98,K$1,工数管理!$O$3:$O$98,"&lt;="&amp;$H67,工数管理!$P$3:$P$98,"")+COUNTIFS(工数管理!$AK$3:$AK$98,K$1,工数管理!$Q$3:$Q$98,"&lt;="&amp;$H67,工数管理!$R$3:$R$98,"")+COUNTIFS(工数管理!$AK$3:$AK$98,K$1,工数管理!$S$3:$S$98,"&lt;="&amp;$H67,工数管理!$T$3:$T$98,"")+COUNTIFS(工数管理!$AK$3:$AK$98,K$1,工数管理!$U$3:$U$98,"&lt;="&amp;$H67,工数管理!$V$3:$V$98,"")+COUNTIFS(工数管理!$AK$3:$AK$98,K$1,工数管理!$W$3:$W$98,"&lt;="&amp;$H67,工数管理!$X$3:$X$98,"")+COUNTIFS(工数管理!$AK$3:$AK$98,K$1,工数管理!$Y$3:$Y$98,"&lt;="&amp;$H67,工数管理!$Z$3:$Z$98,"")+COUNTIFS(工数管理!$AK$3:$AK$98,K$1,工数管理!$AA$3:$AA$98,"&lt;="&amp;$H67,工数管理!$AB$3:$AB$98,"")+COUNTIFS(工数管理!$AK$3:$AK$98,K$1,工数管理!$AC$3:$AC$98,"&lt;="&amp;$H67,工数管理!$AD$3:$AD$98,"")+COUNTIFS(工数管理!$AK$3:$AK$98,K$1,工数管理!$AE$3:$AE$98,"&lt;="&amp;$H67,工数管理!$AF$3:$AF$98,"")+COUNTIFS(工数管理!$AK$3:$AK$98,K$1,工数管理!$AG$3:$AG$98,"&lt;="&amp;$H67,工数管理!$AH$3:$AH$98,""))*($H67&lt;=工数管理!$AI$1))</f>
        <v>0</v>
      </c>
      <c r="L67" s="42">
        <f ca="1">IF(L$1="",0,COUNTIFS(工数管理!$AK$3:$AK$98,L$1,工数管理!$K$3:$K$98,"&lt;="&amp;$H67,工数管理!$L$3:$L$98,"&gt;="&amp;$H67)+COUNTIFS(工数管理!$AK$3:$AK$98,L$1,工数管理!$M$3:$M$98,"&lt;="&amp;$H67,工数管理!$N$3:$N$98,"&gt;="&amp;$H67)+COUNTIFS(工数管理!$AK$3:$AK$98,L$1,工数管理!$O$3:$O$98,"&lt;="&amp;$H67,工数管理!$P$3:$P$98,"&gt;="&amp;$H67)+COUNTIFS(工数管理!$AK$3:$AK$98,L$1,工数管理!$Q$3:$Q$98,"&lt;="&amp;$H67,工数管理!$R$3:$R$98,"&gt;="&amp;$H67)+COUNTIFS(工数管理!$AK$3:$AK$98,L$1,工数管理!$S$3:$S$98,"&lt;="&amp;$H67,工数管理!$T$3:$T$98,"&gt;="&amp;$H67)+COUNTIFS(工数管理!$AK$3:$AK$98,L$1,工数管理!$U$3:$U$98,"&lt;="&amp;$H67,工数管理!$V$3:$V$98,"&gt;="&amp;$H67)+COUNTIFS(工数管理!$AK$3:$AK$98,L$1,工数管理!$W$3:$W$98,"&lt;="&amp;$H67,工数管理!$X$3:$X$98,"&gt;="&amp;$H67)+COUNTIFS(工数管理!$AK$3:$AK$98,L$1,工数管理!$Y$3:$Y$98,"&lt;="&amp;$H67,工数管理!$Z$3:$Z$98,"&gt;="&amp;$H67)+COUNTIFS(工数管理!$AK$3:$AK$98,L$1,工数管理!$AA$3:$AA$98,"&lt;="&amp;$H67,工数管理!$AB$3:$AB$98,"&gt;="&amp;$H67)+COUNTIFS(工数管理!$AK$3:$AK$98,L$1,工数管理!$AC$3:$AC$98,"&lt;="&amp;$H67,工数管理!$AD$3:$AD$98,"&gt;="&amp;$H67)+COUNTIFS(工数管理!$AK$3:$AK$98,L$1,工数管理!$AE$3:$AE$98,"&lt;="&amp;$H67,工数管理!$AF$3:$AF$98,"&gt;="&amp;$H67)+COUNTIFS(工数管理!$AK$3:$AK$98,L$1,工数管理!$AG$3:$AG$98,"&lt;="&amp;$H67,工数管理!$AH$3:$AH$98,"&gt;="&amp;$H67)+(COUNTIFS(工数管理!$AK$3:$AK$98,L$1,工数管理!$K$3:$K$98,"&lt;="&amp;$H67,工数管理!$L$3:$L$98,"")+COUNTIFS(工数管理!$AK$3:$AK$98,L$1,工数管理!$M$3:$M$98,"&lt;="&amp;$H67,工数管理!$N$3:$N$98,"")+COUNTIFS(工数管理!$AK$3:$AK$98,L$1,工数管理!$O$3:$O$98,"&lt;="&amp;$H67,工数管理!$P$3:$P$98,"")+COUNTIFS(工数管理!$AK$3:$AK$98,L$1,工数管理!$Q$3:$Q$98,"&lt;="&amp;$H67,工数管理!$R$3:$R$98,"")+COUNTIFS(工数管理!$AK$3:$AK$98,L$1,工数管理!$S$3:$S$98,"&lt;="&amp;$H67,工数管理!$T$3:$T$98,"")+COUNTIFS(工数管理!$AK$3:$AK$98,L$1,工数管理!$U$3:$U$98,"&lt;="&amp;$H67,工数管理!$V$3:$V$98,"")+COUNTIFS(工数管理!$AK$3:$AK$98,L$1,工数管理!$W$3:$W$98,"&lt;="&amp;$H67,工数管理!$X$3:$X$98,"")+COUNTIFS(工数管理!$AK$3:$AK$98,L$1,工数管理!$Y$3:$Y$98,"&lt;="&amp;$H67,工数管理!$Z$3:$Z$98,"")+COUNTIFS(工数管理!$AK$3:$AK$98,L$1,工数管理!$AA$3:$AA$98,"&lt;="&amp;$H67,工数管理!$AB$3:$AB$98,"")+COUNTIFS(工数管理!$AK$3:$AK$98,L$1,工数管理!$AC$3:$AC$98,"&lt;="&amp;$H67,工数管理!$AD$3:$AD$98,"")+COUNTIFS(工数管理!$AK$3:$AK$98,L$1,工数管理!$AE$3:$AE$98,"&lt;="&amp;$H67,工数管理!$AF$3:$AF$98,"")+COUNTIFS(工数管理!$AK$3:$AK$98,L$1,工数管理!$AG$3:$AG$98,"&lt;="&amp;$H67,工数管理!$AH$3:$AH$98,""))*($H67&lt;=工数管理!$AI$1))</f>
        <v>0</v>
      </c>
    </row>
    <row r="68" spans="1:12" x14ac:dyDescent="0.15">
      <c r="A68" s="5"/>
      <c r="B68" s="6"/>
      <c r="H68" s="41">
        <f t="shared" si="1"/>
        <v>46236</v>
      </c>
      <c r="I68" s="42">
        <f t="shared" si="0"/>
        <v>0</v>
      </c>
      <c r="J68" s="42">
        <f ca="1">IF(J$1="",0,COUNTIFS(工数管理!$AK$3:$AK$98,J$1,工数管理!$K$3:$K$98,"&lt;="&amp;$H68,工数管理!$L$3:$L$98,"&gt;="&amp;$H68)+COUNTIFS(工数管理!$AK$3:$AK$98,J$1,工数管理!$M$3:$M$98,"&lt;="&amp;$H68,工数管理!$N$3:$N$98,"&gt;="&amp;$H68)+COUNTIFS(工数管理!$AK$3:$AK$98,J$1,工数管理!$O$3:$O$98,"&lt;="&amp;$H68,工数管理!$P$3:$P$98,"&gt;="&amp;$H68)+COUNTIFS(工数管理!$AK$3:$AK$98,J$1,工数管理!$Q$3:$Q$98,"&lt;="&amp;$H68,工数管理!$R$3:$R$98,"&gt;="&amp;$H68)+COUNTIFS(工数管理!$AK$3:$AK$98,J$1,工数管理!$S$3:$S$98,"&lt;="&amp;$H68,工数管理!$T$3:$T$98,"&gt;="&amp;$H68)+COUNTIFS(工数管理!$AK$3:$AK$98,J$1,工数管理!$U$3:$U$98,"&lt;="&amp;$H68,工数管理!$V$3:$V$98,"&gt;="&amp;$H68)+COUNTIFS(工数管理!$AK$3:$AK$98,J$1,工数管理!$W$3:$W$98,"&lt;="&amp;$H68,工数管理!$X$3:$X$98,"&gt;="&amp;$H68)+COUNTIFS(工数管理!$AK$3:$AK$98,J$1,工数管理!$Y$3:$Y$98,"&lt;="&amp;$H68,工数管理!$Z$3:$Z$98,"&gt;="&amp;$H68)+COUNTIFS(工数管理!$AK$3:$AK$98,J$1,工数管理!$AA$3:$AA$98,"&lt;="&amp;$H68,工数管理!$AB$3:$AB$98,"&gt;="&amp;$H68)+COUNTIFS(工数管理!$AK$3:$AK$98,J$1,工数管理!$AC$3:$AC$98,"&lt;="&amp;$H68,工数管理!$AD$3:$AD$98,"&gt;="&amp;$H68)+COUNTIFS(工数管理!$AK$3:$AK$98,J$1,工数管理!$AE$3:$AE$98,"&lt;="&amp;$H68,工数管理!$AF$3:$AF$98,"&gt;="&amp;$H68)+COUNTIFS(工数管理!$AK$3:$AK$98,J$1,工数管理!$AG$3:$AG$98,"&lt;="&amp;$H68,工数管理!$AH$3:$AH$98,"&gt;="&amp;$H68)+(COUNTIFS(工数管理!$AK$3:$AK$98,J$1,工数管理!$K$3:$K$98,"&lt;="&amp;$H68,工数管理!$L$3:$L$98,"")+COUNTIFS(工数管理!$AK$3:$AK$98,J$1,工数管理!$M$3:$M$98,"&lt;="&amp;$H68,工数管理!$N$3:$N$98,"")+COUNTIFS(工数管理!$AK$3:$AK$98,J$1,工数管理!$O$3:$O$98,"&lt;="&amp;$H68,工数管理!$P$3:$P$98,"")+COUNTIFS(工数管理!$AK$3:$AK$98,J$1,工数管理!$Q$3:$Q$98,"&lt;="&amp;$H68,工数管理!$R$3:$R$98,"")+COUNTIFS(工数管理!$AK$3:$AK$98,J$1,工数管理!$S$3:$S$98,"&lt;="&amp;$H68,工数管理!$T$3:$T$98,"")+COUNTIFS(工数管理!$AK$3:$AK$98,J$1,工数管理!$U$3:$U$98,"&lt;="&amp;$H68,工数管理!$V$3:$V$98,"")+COUNTIFS(工数管理!$AK$3:$AK$98,J$1,工数管理!$W$3:$W$98,"&lt;="&amp;$H68,工数管理!$X$3:$X$98,"")+COUNTIFS(工数管理!$AK$3:$AK$98,J$1,工数管理!$Y$3:$Y$98,"&lt;="&amp;$H68,工数管理!$Z$3:$Z$98,"")+COUNTIFS(工数管理!$AK$3:$AK$98,J$1,工数管理!$AA$3:$AA$98,"&lt;="&amp;$H68,工数管理!$AB$3:$AB$98,"")+COUNTIFS(工数管理!$AK$3:$AK$98,J$1,工数管理!$AC$3:$AC$98,"&lt;="&amp;$H68,工数管理!$AD$3:$AD$98,"")+COUNTIFS(工数管理!$AK$3:$AK$98,J$1,工数管理!$AE$3:$AE$98,"&lt;="&amp;$H68,工数管理!$AF$3:$AF$98,"")+COUNTIFS(工数管理!$AK$3:$AK$98,J$1,工数管理!$AG$3:$AG$98,"&lt;="&amp;$H68,工数管理!$AH$3:$AH$98,""))*($H68&lt;=工数管理!$AI$1))</f>
        <v>1</v>
      </c>
      <c r="K68" s="42">
        <f ca="1">IF(K$1="",0,COUNTIFS(工数管理!$AK$3:$AK$98,K$1,工数管理!$K$3:$K$98,"&lt;="&amp;$H68,工数管理!$L$3:$L$98,"&gt;="&amp;$H68)+COUNTIFS(工数管理!$AK$3:$AK$98,K$1,工数管理!$M$3:$M$98,"&lt;="&amp;$H68,工数管理!$N$3:$N$98,"&gt;="&amp;$H68)+COUNTIFS(工数管理!$AK$3:$AK$98,K$1,工数管理!$O$3:$O$98,"&lt;="&amp;$H68,工数管理!$P$3:$P$98,"&gt;="&amp;$H68)+COUNTIFS(工数管理!$AK$3:$AK$98,K$1,工数管理!$Q$3:$Q$98,"&lt;="&amp;$H68,工数管理!$R$3:$R$98,"&gt;="&amp;$H68)+COUNTIFS(工数管理!$AK$3:$AK$98,K$1,工数管理!$S$3:$S$98,"&lt;="&amp;$H68,工数管理!$T$3:$T$98,"&gt;="&amp;$H68)+COUNTIFS(工数管理!$AK$3:$AK$98,K$1,工数管理!$U$3:$U$98,"&lt;="&amp;$H68,工数管理!$V$3:$V$98,"&gt;="&amp;$H68)+COUNTIFS(工数管理!$AK$3:$AK$98,K$1,工数管理!$W$3:$W$98,"&lt;="&amp;$H68,工数管理!$X$3:$X$98,"&gt;="&amp;$H68)+COUNTIFS(工数管理!$AK$3:$AK$98,K$1,工数管理!$Y$3:$Y$98,"&lt;="&amp;$H68,工数管理!$Z$3:$Z$98,"&gt;="&amp;$H68)+COUNTIFS(工数管理!$AK$3:$AK$98,K$1,工数管理!$AA$3:$AA$98,"&lt;="&amp;$H68,工数管理!$AB$3:$AB$98,"&gt;="&amp;$H68)+COUNTIFS(工数管理!$AK$3:$AK$98,K$1,工数管理!$AC$3:$AC$98,"&lt;="&amp;$H68,工数管理!$AD$3:$AD$98,"&gt;="&amp;$H68)+COUNTIFS(工数管理!$AK$3:$AK$98,K$1,工数管理!$AE$3:$AE$98,"&lt;="&amp;$H68,工数管理!$AF$3:$AF$98,"&gt;="&amp;$H68)+COUNTIFS(工数管理!$AK$3:$AK$98,K$1,工数管理!$AG$3:$AG$98,"&lt;="&amp;$H68,工数管理!$AH$3:$AH$98,"&gt;="&amp;$H68)+(COUNTIFS(工数管理!$AK$3:$AK$98,K$1,工数管理!$K$3:$K$98,"&lt;="&amp;$H68,工数管理!$L$3:$L$98,"")+COUNTIFS(工数管理!$AK$3:$AK$98,K$1,工数管理!$M$3:$M$98,"&lt;="&amp;$H68,工数管理!$N$3:$N$98,"")+COUNTIFS(工数管理!$AK$3:$AK$98,K$1,工数管理!$O$3:$O$98,"&lt;="&amp;$H68,工数管理!$P$3:$P$98,"")+COUNTIFS(工数管理!$AK$3:$AK$98,K$1,工数管理!$Q$3:$Q$98,"&lt;="&amp;$H68,工数管理!$R$3:$R$98,"")+COUNTIFS(工数管理!$AK$3:$AK$98,K$1,工数管理!$S$3:$S$98,"&lt;="&amp;$H68,工数管理!$T$3:$T$98,"")+COUNTIFS(工数管理!$AK$3:$AK$98,K$1,工数管理!$U$3:$U$98,"&lt;="&amp;$H68,工数管理!$V$3:$V$98,"")+COUNTIFS(工数管理!$AK$3:$AK$98,K$1,工数管理!$W$3:$W$98,"&lt;="&amp;$H68,工数管理!$X$3:$X$98,"")+COUNTIFS(工数管理!$AK$3:$AK$98,K$1,工数管理!$Y$3:$Y$98,"&lt;="&amp;$H68,工数管理!$Z$3:$Z$98,"")+COUNTIFS(工数管理!$AK$3:$AK$98,K$1,工数管理!$AA$3:$AA$98,"&lt;="&amp;$H68,工数管理!$AB$3:$AB$98,"")+COUNTIFS(工数管理!$AK$3:$AK$98,K$1,工数管理!$AC$3:$AC$98,"&lt;="&amp;$H68,工数管理!$AD$3:$AD$98,"")+COUNTIFS(工数管理!$AK$3:$AK$98,K$1,工数管理!$AE$3:$AE$98,"&lt;="&amp;$H68,工数管理!$AF$3:$AF$98,"")+COUNTIFS(工数管理!$AK$3:$AK$98,K$1,工数管理!$AG$3:$AG$98,"&lt;="&amp;$H68,工数管理!$AH$3:$AH$98,""))*($H68&lt;=工数管理!$AI$1))</f>
        <v>0</v>
      </c>
      <c r="L68" s="42">
        <f ca="1">IF(L$1="",0,COUNTIFS(工数管理!$AK$3:$AK$98,L$1,工数管理!$K$3:$K$98,"&lt;="&amp;$H68,工数管理!$L$3:$L$98,"&gt;="&amp;$H68)+COUNTIFS(工数管理!$AK$3:$AK$98,L$1,工数管理!$M$3:$M$98,"&lt;="&amp;$H68,工数管理!$N$3:$N$98,"&gt;="&amp;$H68)+COUNTIFS(工数管理!$AK$3:$AK$98,L$1,工数管理!$O$3:$O$98,"&lt;="&amp;$H68,工数管理!$P$3:$P$98,"&gt;="&amp;$H68)+COUNTIFS(工数管理!$AK$3:$AK$98,L$1,工数管理!$Q$3:$Q$98,"&lt;="&amp;$H68,工数管理!$R$3:$R$98,"&gt;="&amp;$H68)+COUNTIFS(工数管理!$AK$3:$AK$98,L$1,工数管理!$S$3:$S$98,"&lt;="&amp;$H68,工数管理!$T$3:$T$98,"&gt;="&amp;$H68)+COUNTIFS(工数管理!$AK$3:$AK$98,L$1,工数管理!$U$3:$U$98,"&lt;="&amp;$H68,工数管理!$V$3:$V$98,"&gt;="&amp;$H68)+COUNTIFS(工数管理!$AK$3:$AK$98,L$1,工数管理!$W$3:$W$98,"&lt;="&amp;$H68,工数管理!$X$3:$X$98,"&gt;="&amp;$H68)+COUNTIFS(工数管理!$AK$3:$AK$98,L$1,工数管理!$Y$3:$Y$98,"&lt;="&amp;$H68,工数管理!$Z$3:$Z$98,"&gt;="&amp;$H68)+COUNTIFS(工数管理!$AK$3:$AK$98,L$1,工数管理!$AA$3:$AA$98,"&lt;="&amp;$H68,工数管理!$AB$3:$AB$98,"&gt;="&amp;$H68)+COUNTIFS(工数管理!$AK$3:$AK$98,L$1,工数管理!$AC$3:$AC$98,"&lt;="&amp;$H68,工数管理!$AD$3:$AD$98,"&gt;="&amp;$H68)+COUNTIFS(工数管理!$AK$3:$AK$98,L$1,工数管理!$AE$3:$AE$98,"&lt;="&amp;$H68,工数管理!$AF$3:$AF$98,"&gt;="&amp;$H68)+COUNTIFS(工数管理!$AK$3:$AK$98,L$1,工数管理!$AG$3:$AG$98,"&lt;="&amp;$H68,工数管理!$AH$3:$AH$98,"&gt;="&amp;$H68)+(COUNTIFS(工数管理!$AK$3:$AK$98,L$1,工数管理!$K$3:$K$98,"&lt;="&amp;$H68,工数管理!$L$3:$L$98,"")+COUNTIFS(工数管理!$AK$3:$AK$98,L$1,工数管理!$M$3:$M$98,"&lt;="&amp;$H68,工数管理!$N$3:$N$98,"")+COUNTIFS(工数管理!$AK$3:$AK$98,L$1,工数管理!$O$3:$O$98,"&lt;="&amp;$H68,工数管理!$P$3:$P$98,"")+COUNTIFS(工数管理!$AK$3:$AK$98,L$1,工数管理!$Q$3:$Q$98,"&lt;="&amp;$H68,工数管理!$R$3:$R$98,"")+COUNTIFS(工数管理!$AK$3:$AK$98,L$1,工数管理!$S$3:$S$98,"&lt;="&amp;$H68,工数管理!$T$3:$T$98,"")+COUNTIFS(工数管理!$AK$3:$AK$98,L$1,工数管理!$U$3:$U$98,"&lt;="&amp;$H68,工数管理!$V$3:$V$98,"")+COUNTIFS(工数管理!$AK$3:$AK$98,L$1,工数管理!$W$3:$W$98,"&lt;="&amp;$H68,工数管理!$X$3:$X$98,"")+COUNTIFS(工数管理!$AK$3:$AK$98,L$1,工数管理!$Y$3:$Y$98,"&lt;="&amp;$H68,工数管理!$Z$3:$Z$98,"")+COUNTIFS(工数管理!$AK$3:$AK$98,L$1,工数管理!$AA$3:$AA$98,"&lt;="&amp;$H68,工数管理!$AB$3:$AB$98,"")+COUNTIFS(工数管理!$AK$3:$AK$98,L$1,工数管理!$AC$3:$AC$98,"&lt;="&amp;$H68,工数管理!$AD$3:$AD$98,"")+COUNTIFS(工数管理!$AK$3:$AK$98,L$1,工数管理!$AE$3:$AE$98,"&lt;="&amp;$H68,工数管理!$AF$3:$AF$98,"")+COUNTIFS(工数管理!$AK$3:$AK$98,L$1,工数管理!$AG$3:$AG$98,"&lt;="&amp;$H68,工数管理!$AH$3:$AH$98,""))*($H68&lt;=工数管理!$AI$1))</f>
        <v>0</v>
      </c>
    </row>
    <row r="69" spans="1:12" x14ac:dyDescent="0.15">
      <c r="A69" s="5"/>
      <c r="B69" s="6"/>
      <c r="H69" s="41">
        <f t="shared" si="1"/>
        <v>46237</v>
      </c>
      <c r="I69" s="42">
        <f t="shared" si="0"/>
        <v>1</v>
      </c>
      <c r="J69" s="42">
        <f ca="1">IF(J$1="",0,COUNTIFS(工数管理!$AK$3:$AK$98,J$1,工数管理!$K$3:$K$98,"&lt;="&amp;$H69,工数管理!$L$3:$L$98,"&gt;="&amp;$H69)+COUNTIFS(工数管理!$AK$3:$AK$98,J$1,工数管理!$M$3:$M$98,"&lt;="&amp;$H69,工数管理!$N$3:$N$98,"&gt;="&amp;$H69)+COUNTIFS(工数管理!$AK$3:$AK$98,J$1,工数管理!$O$3:$O$98,"&lt;="&amp;$H69,工数管理!$P$3:$P$98,"&gt;="&amp;$H69)+COUNTIFS(工数管理!$AK$3:$AK$98,J$1,工数管理!$Q$3:$Q$98,"&lt;="&amp;$H69,工数管理!$R$3:$R$98,"&gt;="&amp;$H69)+COUNTIFS(工数管理!$AK$3:$AK$98,J$1,工数管理!$S$3:$S$98,"&lt;="&amp;$H69,工数管理!$T$3:$T$98,"&gt;="&amp;$H69)+COUNTIFS(工数管理!$AK$3:$AK$98,J$1,工数管理!$U$3:$U$98,"&lt;="&amp;$H69,工数管理!$V$3:$V$98,"&gt;="&amp;$H69)+COUNTIFS(工数管理!$AK$3:$AK$98,J$1,工数管理!$W$3:$W$98,"&lt;="&amp;$H69,工数管理!$X$3:$X$98,"&gt;="&amp;$H69)+COUNTIFS(工数管理!$AK$3:$AK$98,J$1,工数管理!$Y$3:$Y$98,"&lt;="&amp;$H69,工数管理!$Z$3:$Z$98,"&gt;="&amp;$H69)+COUNTIFS(工数管理!$AK$3:$AK$98,J$1,工数管理!$AA$3:$AA$98,"&lt;="&amp;$H69,工数管理!$AB$3:$AB$98,"&gt;="&amp;$H69)+COUNTIFS(工数管理!$AK$3:$AK$98,J$1,工数管理!$AC$3:$AC$98,"&lt;="&amp;$H69,工数管理!$AD$3:$AD$98,"&gt;="&amp;$H69)+COUNTIFS(工数管理!$AK$3:$AK$98,J$1,工数管理!$AE$3:$AE$98,"&lt;="&amp;$H69,工数管理!$AF$3:$AF$98,"&gt;="&amp;$H69)+COUNTIFS(工数管理!$AK$3:$AK$98,J$1,工数管理!$AG$3:$AG$98,"&lt;="&amp;$H69,工数管理!$AH$3:$AH$98,"&gt;="&amp;$H69)+(COUNTIFS(工数管理!$AK$3:$AK$98,J$1,工数管理!$K$3:$K$98,"&lt;="&amp;$H69,工数管理!$L$3:$L$98,"")+COUNTIFS(工数管理!$AK$3:$AK$98,J$1,工数管理!$M$3:$M$98,"&lt;="&amp;$H69,工数管理!$N$3:$N$98,"")+COUNTIFS(工数管理!$AK$3:$AK$98,J$1,工数管理!$O$3:$O$98,"&lt;="&amp;$H69,工数管理!$P$3:$P$98,"")+COUNTIFS(工数管理!$AK$3:$AK$98,J$1,工数管理!$Q$3:$Q$98,"&lt;="&amp;$H69,工数管理!$R$3:$R$98,"")+COUNTIFS(工数管理!$AK$3:$AK$98,J$1,工数管理!$S$3:$S$98,"&lt;="&amp;$H69,工数管理!$T$3:$T$98,"")+COUNTIFS(工数管理!$AK$3:$AK$98,J$1,工数管理!$U$3:$U$98,"&lt;="&amp;$H69,工数管理!$V$3:$V$98,"")+COUNTIFS(工数管理!$AK$3:$AK$98,J$1,工数管理!$W$3:$W$98,"&lt;="&amp;$H69,工数管理!$X$3:$X$98,"")+COUNTIFS(工数管理!$AK$3:$AK$98,J$1,工数管理!$Y$3:$Y$98,"&lt;="&amp;$H69,工数管理!$Z$3:$Z$98,"")+COUNTIFS(工数管理!$AK$3:$AK$98,J$1,工数管理!$AA$3:$AA$98,"&lt;="&amp;$H69,工数管理!$AB$3:$AB$98,"")+COUNTIFS(工数管理!$AK$3:$AK$98,J$1,工数管理!$AC$3:$AC$98,"&lt;="&amp;$H69,工数管理!$AD$3:$AD$98,"")+COUNTIFS(工数管理!$AK$3:$AK$98,J$1,工数管理!$AE$3:$AE$98,"&lt;="&amp;$H69,工数管理!$AF$3:$AF$98,"")+COUNTIFS(工数管理!$AK$3:$AK$98,J$1,工数管理!$AG$3:$AG$98,"&lt;="&amp;$H69,工数管理!$AH$3:$AH$98,""))*($H69&lt;=工数管理!$AI$1))</f>
        <v>1</v>
      </c>
      <c r="K69" s="42">
        <f ca="1">IF(K$1="",0,COUNTIFS(工数管理!$AK$3:$AK$98,K$1,工数管理!$K$3:$K$98,"&lt;="&amp;$H69,工数管理!$L$3:$L$98,"&gt;="&amp;$H69)+COUNTIFS(工数管理!$AK$3:$AK$98,K$1,工数管理!$M$3:$M$98,"&lt;="&amp;$H69,工数管理!$N$3:$N$98,"&gt;="&amp;$H69)+COUNTIFS(工数管理!$AK$3:$AK$98,K$1,工数管理!$O$3:$O$98,"&lt;="&amp;$H69,工数管理!$P$3:$P$98,"&gt;="&amp;$H69)+COUNTIFS(工数管理!$AK$3:$AK$98,K$1,工数管理!$Q$3:$Q$98,"&lt;="&amp;$H69,工数管理!$R$3:$R$98,"&gt;="&amp;$H69)+COUNTIFS(工数管理!$AK$3:$AK$98,K$1,工数管理!$S$3:$S$98,"&lt;="&amp;$H69,工数管理!$T$3:$T$98,"&gt;="&amp;$H69)+COUNTIFS(工数管理!$AK$3:$AK$98,K$1,工数管理!$U$3:$U$98,"&lt;="&amp;$H69,工数管理!$V$3:$V$98,"&gt;="&amp;$H69)+COUNTIFS(工数管理!$AK$3:$AK$98,K$1,工数管理!$W$3:$W$98,"&lt;="&amp;$H69,工数管理!$X$3:$X$98,"&gt;="&amp;$H69)+COUNTIFS(工数管理!$AK$3:$AK$98,K$1,工数管理!$Y$3:$Y$98,"&lt;="&amp;$H69,工数管理!$Z$3:$Z$98,"&gt;="&amp;$H69)+COUNTIFS(工数管理!$AK$3:$AK$98,K$1,工数管理!$AA$3:$AA$98,"&lt;="&amp;$H69,工数管理!$AB$3:$AB$98,"&gt;="&amp;$H69)+COUNTIFS(工数管理!$AK$3:$AK$98,K$1,工数管理!$AC$3:$AC$98,"&lt;="&amp;$H69,工数管理!$AD$3:$AD$98,"&gt;="&amp;$H69)+COUNTIFS(工数管理!$AK$3:$AK$98,K$1,工数管理!$AE$3:$AE$98,"&lt;="&amp;$H69,工数管理!$AF$3:$AF$98,"&gt;="&amp;$H69)+COUNTIFS(工数管理!$AK$3:$AK$98,K$1,工数管理!$AG$3:$AG$98,"&lt;="&amp;$H69,工数管理!$AH$3:$AH$98,"&gt;="&amp;$H69)+(COUNTIFS(工数管理!$AK$3:$AK$98,K$1,工数管理!$K$3:$K$98,"&lt;="&amp;$H69,工数管理!$L$3:$L$98,"")+COUNTIFS(工数管理!$AK$3:$AK$98,K$1,工数管理!$M$3:$M$98,"&lt;="&amp;$H69,工数管理!$N$3:$N$98,"")+COUNTIFS(工数管理!$AK$3:$AK$98,K$1,工数管理!$O$3:$O$98,"&lt;="&amp;$H69,工数管理!$P$3:$P$98,"")+COUNTIFS(工数管理!$AK$3:$AK$98,K$1,工数管理!$Q$3:$Q$98,"&lt;="&amp;$H69,工数管理!$R$3:$R$98,"")+COUNTIFS(工数管理!$AK$3:$AK$98,K$1,工数管理!$S$3:$S$98,"&lt;="&amp;$H69,工数管理!$T$3:$T$98,"")+COUNTIFS(工数管理!$AK$3:$AK$98,K$1,工数管理!$U$3:$U$98,"&lt;="&amp;$H69,工数管理!$V$3:$V$98,"")+COUNTIFS(工数管理!$AK$3:$AK$98,K$1,工数管理!$W$3:$W$98,"&lt;="&amp;$H69,工数管理!$X$3:$X$98,"")+COUNTIFS(工数管理!$AK$3:$AK$98,K$1,工数管理!$Y$3:$Y$98,"&lt;="&amp;$H69,工数管理!$Z$3:$Z$98,"")+COUNTIFS(工数管理!$AK$3:$AK$98,K$1,工数管理!$AA$3:$AA$98,"&lt;="&amp;$H69,工数管理!$AB$3:$AB$98,"")+COUNTIFS(工数管理!$AK$3:$AK$98,K$1,工数管理!$AC$3:$AC$98,"&lt;="&amp;$H69,工数管理!$AD$3:$AD$98,"")+COUNTIFS(工数管理!$AK$3:$AK$98,K$1,工数管理!$AE$3:$AE$98,"&lt;="&amp;$H69,工数管理!$AF$3:$AF$98,"")+COUNTIFS(工数管理!$AK$3:$AK$98,K$1,工数管理!$AG$3:$AG$98,"&lt;="&amp;$H69,工数管理!$AH$3:$AH$98,""))*($H69&lt;=工数管理!$AI$1))</f>
        <v>1</v>
      </c>
      <c r="L69" s="42">
        <f ca="1">IF(L$1="",0,COUNTIFS(工数管理!$AK$3:$AK$98,L$1,工数管理!$K$3:$K$98,"&lt;="&amp;$H69,工数管理!$L$3:$L$98,"&gt;="&amp;$H69)+COUNTIFS(工数管理!$AK$3:$AK$98,L$1,工数管理!$M$3:$M$98,"&lt;="&amp;$H69,工数管理!$N$3:$N$98,"&gt;="&amp;$H69)+COUNTIFS(工数管理!$AK$3:$AK$98,L$1,工数管理!$O$3:$O$98,"&lt;="&amp;$H69,工数管理!$P$3:$P$98,"&gt;="&amp;$H69)+COUNTIFS(工数管理!$AK$3:$AK$98,L$1,工数管理!$Q$3:$Q$98,"&lt;="&amp;$H69,工数管理!$R$3:$R$98,"&gt;="&amp;$H69)+COUNTIFS(工数管理!$AK$3:$AK$98,L$1,工数管理!$S$3:$S$98,"&lt;="&amp;$H69,工数管理!$T$3:$T$98,"&gt;="&amp;$H69)+COUNTIFS(工数管理!$AK$3:$AK$98,L$1,工数管理!$U$3:$U$98,"&lt;="&amp;$H69,工数管理!$V$3:$V$98,"&gt;="&amp;$H69)+COUNTIFS(工数管理!$AK$3:$AK$98,L$1,工数管理!$W$3:$W$98,"&lt;="&amp;$H69,工数管理!$X$3:$X$98,"&gt;="&amp;$H69)+COUNTIFS(工数管理!$AK$3:$AK$98,L$1,工数管理!$Y$3:$Y$98,"&lt;="&amp;$H69,工数管理!$Z$3:$Z$98,"&gt;="&amp;$H69)+COUNTIFS(工数管理!$AK$3:$AK$98,L$1,工数管理!$AA$3:$AA$98,"&lt;="&amp;$H69,工数管理!$AB$3:$AB$98,"&gt;="&amp;$H69)+COUNTIFS(工数管理!$AK$3:$AK$98,L$1,工数管理!$AC$3:$AC$98,"&lt;="&amp;$H69,工数管理!$AD$3:$AD$98,"&gt;="&amp;$H69)+COUNTIFS(工数管理!$AK$3:$AK$98,L$1,工数管理!$AE$3:$AE$98,"&lt;="&amp;$H69,工数管理!$AF$3:$AF$98,"&gt;="&amp;$H69)+COUNTIFS(工数管理!$AK$3:$AK$98,L$1,工数管理!$AG$3:$AG$98,"&lt;="&amp;$H69,工数管理!$AH$3:$AH$98,"&gt;="&amp;$H69)+(COUNTIFS(工数管理!$AK$3:$AK$98,L$1,工数管理!$K$3:$K$98,"&lt;="&amp;$H69,工数管理!$L$3:$L$98,"")+COUNTIFS(工数管理!$AK$3:$AK$98,L$1,工数管理!$M$3:$M$98,"&lt;="&amp;$H69,工数管理!$N$3:$N$98,"")+COUNTIFS(工数管理!$AK$3:$AK$98,L$1,工数管理!$O$3:$O$98,"&lt;="&amp;$H69,工数管理!$P$3:$P$98,"")+COUNTIFS(工数管理!$AK$3:$AK$98,L$1,工数管理!$Q$3:$Q$98,"&lt;="&amp;$H69,工数管理!$R$3:$R$98,"")+COUNTIFS(工数管理!$AK$3:$AK$98,L$1,工数管理!$S$3:$S$98,"&lt;="&amp;$H69,工数管理!$T$3:$T$98,"")+COUNTIFS(工数管理!$AK$3:$AK$98,L$1,工数管理!$U$3:$U$98,"&lt;="&amp;$H69,工数管理!$V$3:$V$98,"")+COUNTIFS(工数管理!$AK$3:$AK$98,L$1,工数管理!$W$3:$W$98,"&lt;="&amp;$H69,工数管理!$X$3:$X$98,"")+COUNTIFS(工数管理!$AK$3:$AK$98,L$1,工数管理!$Y$3:$Y$98,"&lt;="&amp;$H69,工数管理!$Z$3:$Z$98,"")+COUNTIFS(工数管理!$AK$3:$AK$98,L$1,工数管理!$AA$3:$AA$98,"&lt;="&amp;$H69,工数管理!$AB$3:$AB$98,"")+COUNTIFS(工数管理!$AK$3:$AK$98,L$1,工数管理!$AC$3:$AC$98,"&lt;="&amp;$H69,工数管理!$AD$3:$AD$98,"")+COUNTIFS(工数管理!$AK$3:$AK$98,L$1,工数管理!$AE$3:$AE$98,"&lt;="&amp;$H69,工数管理!$AF$3:$AF$98,"")+COUNTIFS(工数管理!$AK$3:$AK$98,L$1,工数管理!$AG$3:$AG$98,"&lt;="&amp;$H69,工数管理!$AH$3:$AH$98,""))*($H69&lt;=工数管理!$AI$1))</f>
        <v>1</v>
      </c>
    </row>
    <row r="70" spans="1:12" x14ac:dyDescent="0.15">
      <c r="A70" s="5"/>
      <c r="B70" s="6"/>
      <c r="H70" s="41">
        <f t="shared" si="1"/>
        <v>46238</v>
      </c>
      <c r="I70" s="42">
        <f t="shared" ref="I70:I133" si="2">IF(NETWORKDAYS(H70,H70,$A$2:$A$200)=1,1,0)</f>
        <v>1</v>
      </c>
      <c r="J70" s="42">
        <f ca="1">IF(J$1="",0,COUNTIFS(工数管理!$AK$3:$AK$98,J$1,工数管理!$K$3:$K$98,"&lt;="&amp;$H70,工数管理!$L$3:$L$98,"&gt;="&amp;$H70)+COUNTIFS(工数管理!$AK$3:$AK$98,J$1,工数管理!$M$3:$M$98,"&lt;="&amp;$H70,工数管理!$N$3:$N$98,"&gt;="&amp;$H70)+COUNTIFS(工数管理!$AK$3:$AK$98,J$1,工数管理!$O$3:$O$98,"&lt;="&amp;$H70,工数管理!$P$3:$P$98,"&gt;="&amp;$H70)+COUNTIFS(工数管理!$AK$3:$AK$98,J$1,工数管理!$Q$3:$Q$98,"&lt;="&amp;$H70,工数管理!$R$3:$R$98,"&gt;="&amp;$H70)+COUNTIFS(工数管理!$AK$3:$AK$98,J$1,工数管理!$S$3:$S$98,"&lt;="&amp;$H70,工数管理!$T$3:$T$98,"&gt;="&amp;$H70)+COUNTIFS(工数管理!$AK$3:$AK$98,J$1,工数管理!$U$3:$U$98,"&lt;="&amp;$H70,工数管理!$V$3:$V$98,"&gt;="&amp;$H70)+COUNTIFS(工数管理!$AK$3:$AK$98,J$1,工数管理!$W$3:$W$98,"&lt;="&amp;$H70,工数管理!$X$3:$X$98,"&gt;="&amp;$H70)+COUNTIFS(工数管理!$AK$3:$AK$98,J$1,工数管理!$Y$3:$Y$98,"&lt;="&amp;$H70,工数管理!$Z$3:$Z$98,"&gt;="&amp;$H70)+COUNTIFS(工数管理!$AK$3:$AK$98,J$1,工数管理!$AA$3:$AA$98,"&lt;="&amp;$H70,工数管理!$AB$3:$AB$98,"&gt;="&amp;$H70)+COUNTIFS(工数管理!$AK$3:$AK$98,J$1,工数管理!$AC$3:$AC$98,"&lt;="&amp;$H70,工数管理!$AD$3:$AD$98,"&gt;="&amp;$H70)+COUNTIFS(工数管理!$AK$3:$AK$98,J$1,工数管理!$AE$3:$AE$98,"&lt;="&amp;$H70,工数管理!$AF$3:$AF$98,"&gt;="&amp;$H70)+COUNTIFS(工数管理!$AK$3:$AK$98,J$1,工数管理!$AG$3:$AG$98,"&lt;="&amp;$H70,工数管理!$AH$3:$AH$98,"&gt;="&amp;$H70)+(COUNTIFS(工数管理!$AK$3:$AK$98,J$1,工数管理!$K$3:$K$98,"&lt;="&amp;$H70,工数管理!$L$3:$L$98,"")+COUNTIFS(工数管理!$AK$3:$AK$98,J$1,工数管理!$M$3:$M$98,"&lt;="&amp;$H70,工数管理!$N$3:$N$98,"")+COUNTIFS(工数管理!$AK$3:$AK$98,J$1,工数管理!$O$3:$O$98,"&lt;="&amp;$H70,工数管理!$P$3:$P$98,"")+COUNTIFS(工数管理!$AK$3:$AK$98,J$1,工数管理!$Q$3:$Q$98,"&lt;="&amp;$H70,工数管理!$R$3:$R$98,"")+COUNTIFS(工数管理!$AK$3:$AK$98,J$1,工数管理!$S$3:$S$98,"&lt;="&amp;$H70,工数管理!$T$3:$T$98,"")+COUNTIFS(工数管理!$AK$3:$AK$98,J$1,工数管理!$U$3:$U$98,"&lt;="&amp;$H70,工数管理!$V$3:$V$98,"")+COUNTIFS(工数管理!$AK$3:$AK$98,J$1,工数管理!$W$3:$W$98,"&lt;="&amp;$H70,工数管理!$X$3:$X$98,"")+COUNTIFS(工数管理!$AK$3:$AK$98,J$1,工数管理!$Y$3:$Y$98,"&lt;="&amp;$H70,工数管理!$Z$3:$Z$98,"")+COUNTIFS(工数管理!$AK$3:$AK$98,J$1,工数管理!$AA$3:$AA$98,"&lt;="&amp;$H70,工数管理!$AB$3:$AB$98,"")+COUNTIFS(工数管理!$AK$3:$AK$98,J$1,工数管理!$AC$3:$AC$98,"&lt;="&amp;$H70,工数管理!$AD$3:$AD$98,"")+COUNTIFS(工数管理!$AK$3:$AK$98,J$1,工数管理!$AE$3:$AE$98,"&lt;="&amp;$H70,工数管理!$AF$3:$AF$98,"")+COUNTIFS(工数管理!$AK$3:$AK$98,J$1,工数管理!$AG$3:$AG$98,"&lt;="&amp;$H70,工数管理!$AH$3:$AH$98,""))*($H70&lt;=工数管理!$AI$1))</f>
        <v>1</v>
      </c>
      <c r="K70" s="42">
        <f ca="1">IF(K$1="",0,COUNTIFS(工数管理!$AK$3:$AK$98,K$1,工数管理!$K$3:$K$98,"&lt;="&amp;$H70,工数管理!$L$3:$L$98,"&gt;="&amp;$H70)+COUNTIFS(工数管理!$AK$3:$AK$98,K$1,工数管理!$M$3:$M$98,"&lt;="&amp;$H70,工数管理!$N$3:$N$98,"&gt;="&amp;$H70)+COUNTIFS(工数管理!$AK$3:$AK$98,K$1,工数管理!$O$3:$O$98,"&lt;="&amp;$H70,工数管理!$P$3:$P$98,"&gt;="&amp;$H70)+COUNTIFS(工数管理!$AK$3:$AK$98,K$1,工数管理!$Q$3:$Q$98,"&lt;="&amp;$H70,工数管理!$R$3:$R$98,"&gt;="&amp;$H70)+COUNTIFS(工数管理!$AK$3:$AK$98,K$1,工数管理!$S$3:$S$98,"&lt;="&amp;$H70,工数管理!$T$3:$T$98,"&gt;="&amp;$H70)+COUNTIFS(工数管理!$AK$3:$AK$98,K$1,工数管理!$U$3:$U$98,"&lt;="&amp;$H70,工数管理!$V$3:$V$98,"&gt;="&amp;$H70)+COUNTIFS(工数管理!$AK$3:$AK$98,K$1,工数管理!$W$3:$W$98,"&lt;="&amp;$H70,工数管理!$X$3:$X$98,"&gt;="&amp;$H70)+COUNTIFS(工数管理!$AK$3:$AK$98,K$1,工数管理!$Y$3:$Y$98,"&lt;="&amp;$H70,工数管理!$Z$3:$Z$98,"&gt;="&amp;$H70)+COUNTIFS(工数管理!$AK$3:$AK$98,K$1,工数管理!$AA$3:$AA$98,"&lt;="&amp;$H70,工数管理!$AB$3:$AB$98,"&gt;="&amp;$H70)+COUNTIFS(工数管理!$AK$3:$AK$98,K$1,工数管理!$AC$3:$AC$98,"&lt;="&amp;$H70,工数管理!$AD$3:$AD$98,"&gt;="&amp;$H70)+COUNTIFS(工数管理!$AK$3:$AK$98,K$1,工数管理!$AE$3:$AE$98,"&lt;="&amp;$H70,工数管理!$AF$3:$AF$98,"&gt;="&amp;$H70)+COUNTIFS(工数管理!$AK$3:$AK$98,K$1,工数管理!$AG$3:$AG$98,"&lt;="&amp;$H70,工数管理!$AH$3:$AH$98,"&gt;="&amp;$H70)+(COUNTIFS(工数管理!$AK$3:$AK$98,K$1,工数管理!$K$3:$K$98,"&lt;="&amp;$H70,工数管理!$L$3:$L$98,"")+COUNTIFS(工数管理!$AK$3:$AK$98,K$1,工数管理!$M$3:$M$98,"&lt;="&amp;$H70,工数管理!$N$3:$N$98,"")+COUNTIFS(工数管理!$AK$3:$AK$98,K$1,工数管理!$O$3:$O$98,"&lt;="&amp;$H70,工数管理!$P$3:$P$98,"")+COUNTIFS(工数管理!$AK$3:$AK$98,K$1,工数管理!$Q$3:$Q$98,"&lt;="&amp;$H70,工数管理!$R$3:$R$98,"")+COUNTIFS(工数管理!$AK$3:$AK$98,K$1,工数管理!$S$3:$S$98,"&lt;="&amp;$H70,工数管理!$T$3:$T$98,"")+COUNTIFS(工数管理!$AK$3:$AK$98,K$1,工数管理!$U$3:$U$98,"&lt;="&amp;$H70,工数管理!$V$3:$V$98,"")+COUNTIFS(工数管理!$AK$3:$AK$98,K$1,工数管理!$W$3:$W$98,"&lt;="&amp;$H70,工数管理!$X$3:$X$98,"")+COUNTIFS(工数管理!$AK$3:$AK$98,K$1,工数管理!$Y$3:$Y$98,"&lt;="&amp;$H70,工数管理!$Z$3:$Z$98,"")+COUNTIFS(工数管理!$AK$3:$AK$98,K$1,工数管理!$AA$3:$AA$98,"&lt;="&amp;$H70,工数管理!$AB$3:$AB$98,"")+COUNTIFS(工数管理!$AK$3:$AK$98,K$1,工数管理!$AC$3:$AC$98,"&lt;="&amp;$H70,工数管理!$AD$3:$AD$98,"")+COUNTIFS(工数管理!$AK$3:$AK$98,K$1,工数管理!$AE$3:$AE$98,"&lt;="&amp;$H70,工数管理!$AF$3:$AF$98,"")+COUNTIFS(工数管理!$AK$3:$AK$98,K$1,工数管理!$AG$3:$AG$98,"&lt;="&amp;$H70,工数管理!$AH$3:$AH$98,""))*($H70&lt;=工数管理!$AI$1))</f>
        <v>1</v>
      </c>
      <c r="L70" s="42">
        <f ca="1">IF(L$1="",0,COUNTIFS(工数管理!$AK$3:$AK$98,L$1,工数管理!$K$3:$K$98,"&lt;="&amp;$H70,工数管理!$L$3:$L$98,"&gt;="&amp;$H70)+COUNTIFS(工数管理!$AK$3:$AK$98,L$1,工数管理!$M$3:$M$98,"&lt;="&amp;$H70,工数管理!$N$3:$N$98,"&gt;="&amp;$H70)+COUNTIFS(工数管理!$AK$3:$AK$98,L$1,工数管理!$O$3:$O$98,"&lt;="&amp;$H70,工数管理!$P$3:$P$98,"&gt;="&amp;$H70)+COUNTIFS(工数管理!$AK$3:$AK$98,L$1,工数管理!$Q$3:$Q$98,"&lt;="&amp;$H70,工数管理!$R$3:$R$98,"&gt;="&amp;$H70)+COUNTIFS(工数管理!$AK$3:$AK$98,L$1,工数管理!$S$3:$S$98,"&lt;="&amp;$H70,工数管理!$T$3:$T$98,"&gt;="&amp;$H70)+COUNTIFS(工数管理!$AK$3:$AK$98,L$1,工数管理!$U$3:$U$98,"&lt;="&amp;$H70,工数管理!$V$3:$V$98,"&gt;="&amp;$H70)+COUNTIFS(工数管理!$AK$3:$AK$98,L$1,工数管理!$W$3:$W$98,"&lt;="&amp;$H70,工数管理!$X$3:$X$98,"&gt;="&amp;$H70)+COUNTIFS(工数管理!$AK$3:$AK$98,L$1,工数管理!$Y$3:$Y$98,"&lt;="&amp;$H70,工数管理!$Z$3:$Z$98,"&gt;="&amp;$H70)+COUNTIFS(工数管理!$AK$3:$AK$98,L$1,工数管理!$AA$3:$AA$98,"&lt;="&amp;$H70,工数管理!$AB$3:$AB$98,"&gt;="&amp;$H70)+COUNTIFS(工数管理!$AK$3:$AK$98,L$1,工数管理!$AC$3:$AC$98,"&lt;="&amp;$H70,工数管理!$AD$3:$AD$98,"&gt;="&amp;$H70)+COUNTIFS(工数管理!$AK$3:$AK$98,L$1,工数管理!$AE$3:$AE$98,"&lt;="&amp;$H70,工数管理!$AF$3:$AF$98,"&gt;="&amp;$H70)+COUNTIFS(工数管理!$AK$3:$AK$98,L$1,工数管理!$AG$3:$AG$98,"&lt;="&amp;$H70,工数管理!$AH$3:$AH$98,"&gt;="&amp;$H70)+(COUNTIFS(工数管理!$AK$3:$AK$98,L$1,工数管理!$K$3:$K$98,"&lt;="&amp;$H70,工数管理!$L$3:$L$98,"")+COUNTIFS(工数管理!$AK$3:$AK$98,L$1,工数管理!$M$3:$M$98,"&lt;="&amp;$H70,工数管理!$N$3:$N$98,"")+COUNTIFS(工数管理!$AK$3:$AK$98,L$1,工数管理!$O$3:$O$98,"&lt;="&amp;$H70,工数管理!$P$3:$P$98,"")+COUNTIFS(工数管理!$AK$3:$AK$98,L$1,工数管理!$Q$3:$Q$98,"&lt;="&amp;$H70,工数管理!$R$3:$R$98,"")+COUNTIFS(工数管理!$AK$3:$AK$98,L$1,工数管理!$S$3:$S$98,"&lt;="&amp;$H70,工数管理!$T$3:$T$98,"")+COUNTIFS(工数管理!$AK$3:$AK$98,L$1,工数管理!$U$3:$U$98,"&lt;="&amp;$H70,工数管理!$V$3:$V$98,"")+COUNTIFS(工数管理!$AK$3:$AK$98,L$1,工数管理!$W$3:$W$98,"&lt;="&amp;$H70,工数管理!$X$3:$X$98,"")+COUNTIFS(工数管理!$AK$3:$AK$98,L$1,工数管理!$Y$3:$Y$98,"&lt;="&amp;$H70,工数管理!$Z$3:$Z$98,"")+COUNTIFS(工数管理!$AK$3:$AK$98,L$1,工数管理!$AA$3:$AA$98,"&lt;="&amp;$H70,工数管理!$AB$3:$AB$98,"")+COUNTIFS(工数管理!$AK$3:$AK$98,L$1,工数管理!$AC$3:$AC$98,"&lt;="&amp;$H70,工数管理!$AD$3:$AD$98,"")+COUNTIFS(工数管理!$AK$3:$AK$98,L$1,工数管理!$AE$3:$AE$98,"&lt;="&amp;$H70,工数管理!$AF$3:$AF$98,"")+COUNTIFS(工数管理!$AK$3:$AK$98,L$1,工数管理!$AG$3:$AG$98,"&lt;="&amp;$H70,工数管理!$AH$3:$AH$98,""))*($H70&lt;=工数管理!$AI$1))</f>
        <v>1</v>
      </c>
    </row>
    <row r="71" spans="1:12" x14ac:dyDescent="0.15">
      <c r="A71" s="5"/>
      <c r="B71" s="6"/>
      <c r="H71" s="41">
        <f t="shared" ref="H71:H134" si="3">H70+1</f>
        <v>46239</v>
      </c>
      <c r="I71" s="42">
        <f t="shared" si="2"/>
        <v>1</v>
      </c>
      <c r="J71" s="42">
        <f ca="1">IF(J$1="",0,COUNTIFS(工数管理!$AK$3:$AK$98,J$1,工数管理!$K$3:$K$98,"&lt;="&amp;$H71,工数管理!$L$3:$L$98,"&gt;="&amp;$H71)+COUNTIFS(工数管理!$AK$3:$AK$98,J$1,工数管理!$M$3:$M$98,"&lt;="&amp;$H71,工数管理!$N$3:$N$98,"&gt;="&amp;$H71)+COUNTIFS(工数管理!$AK$3:$AK$98,J$1,工数管理!$O$3:$O$98,"&lt;="&amp;$H71,工数管理!$P$3:$P$98,"&gt;="&amp;$H71)+COUNTIFS(工数管理!$AK$3:$AK$98,J$1,工数管理!$Q$3:$Q$98,"&lt;="&amp;$H71,工数管理!$R$3:$R$98,"&gt;="&amp;$H71)+COUNTIFS(工数管理!$AK$3:$AK$98,J$1,工数管理!$S$3:$S$98,"&lt;="&amp;$H71,工数管理!$T$3:$T$98,"&gt;="&amp;$H71)+COUNTIFS(工数管理!$AK$3:$AK$98,J$1,工数管理!$U$3:$U$98,"&lt;="&amp;$H71,工数管理!$V$3:$V$98,"&gt;="&amp;$H71)+COUNTIFS(工数管理!$AK$3:$AK$98,J$1,工数管理!$W$3:$W$98,"&lt;="&amp;$H71,工数管理!$X$3:$X$98,"&gt;="&amp;$H71)+COUNTIFS(工数管理!$AK$3:$AK$98,J$1,工数管理!$Y$3:$Y$98,"&lt;="&amp;$H71,工数管理!$Z$3:$Z$98,"&gt;="&amp;$H71)+COUNTIFS(工数管理!$AK$3:$AK$98,J$1,工数管理!$AA$3:$AA$98,"&lt;="&amp;$H71,工数管理!$AB$3:$AB$98,"&gt;="&amp;$H71)+COUNTIFS(工数管理!$AK$3:$AK$98,J$1,工数管理!$AC$3:$AC$98,"&lt;="&amp;$H71,工数管理!$AD$3:$AD$98,"&gt;="&amp;$H71)+COUNTIFS(工数管理!$AK$3:$AK$98,J$1,工数管理!$AE$3:$AE$98,"&lt;="&amp;$H71,工数管理!$AF$3:$AF$98,"&gt;="&amp;$H71)+COUNTIFS(工数管理!$AK$3:$AK$98,J$1,工数管理!$AG$3:$AG$98,"&lt;="&amp;$H71,工数管理!$AH$3:$AH$98,"&gt;="&amp;$H71)+(COUNTIFS(工数管理!$AK$3:$AK$98,J$1,工数管理!$K$3:$K$98,"&lt;="&amp;$H71,工数管理!$L$3:$L$98,"")+COUNTIFS(工数管理!$AK$3:$AK$98,J$1,工数管理!$M$3:$M$98,"&lt;="&amp;$H71,工数管理!$N$3:$N$98,"")+COUNTIFS(工数管理!$AK$3:$AK$98,J$1,工数管理!$O$3:$O$98,"&lt;="&amp;$H71,工数管理!$P$3:$P$98,"")+COUNTIFS(工数管理!$AK$3:$AK$98,J$1,工数管理!$Q$3:$Q$98,"&lt;="&amp;$H71,工数管理!$R$3:$R$98,"")+COUNTIFS(工数管理!$AK$3:$AK$98,J$1,工数管理!$S$3:$S$98,"&lt;="&amp;$H71,工数管理!$T$3:$T$98,"")+COUNTIFS(工数管理!$AK$3:$AK$98,J$1,工数管理!$U$3:$U$98,"&lt;="&amp;$H71,工数管理!$V$3:$V$98,"")+COUNTIFS(工数管理!$AK$3:$AK$98,J$1,工数管理!$W$3:$W$98,"&lt;="&amp;$H71,工数管理!$X$3:$X$98,"")+COUNTIFS(工数管理!$AK$3:$AK$98,J$1,工数管理!$Y$3:$Y$98,"&lt;="&amp;$H71,工数管理!$Z$3:$Z$98,"")+COUNTIFS(工数管理!$AK$3:$AK$98,J$1,工数管理!$AA$3:$AA$98,"&lt;="&amp;$H71,工数管理!$AB$3:$AB$98,"")+COUNTIFS(工数管理!$AK$3:$AK$98,J$1,工数管理!$AC$3:$AC$98,"&lt;="&amp;$H71,工数管理!$AD$3:$AD$98,"")+COUNTIFS(工数管理!$AK$3:$AK$98,J$1,工数管理!$AE$3:$AE$98,"&lt;="&amp;$H71,工数管理!$AF$3:$AF$98,"")+COUNTIFS(工数管理!$AK$3:$AK$98,J$1,工数管理!$AG$3:$AG$98,"&lt;="&amp;$H71,工数管理!$AH$3:$AH$98,""))*($H71&lt;=工数管理!$AI$1))</f>
        <v>0</v>
      </c>
      <c r="K71" s="42">
        <f ca="1">IF(K$1="",0,COUNTIFS(工数管理!$AK$3:$AK$98,K$1,工数管理!$K$3:$K$98,"&lt;="&amp;$H71,工数管理!$L$3:$L$98,"&gt;="&amp;$H71)+COUNTIFS(工数管理!$AK$3:$AK$98,K$1,工数管理!$M$3:$M$98,"&lt;="&amp;$H71,工数管理!$N$3:$N$98,"&gt;="&amp;$H71)+COUNTIFS(工数管理!$AK$3:$AK$98,K$1,工数管理!$O$3:$O$98,"&lt;="&amp;$H71,工数管理!$P$3:$P$98,"&gt;="&amp;$H71)+COUNTIFS(工数管理!$AK$3:$AK$98,K$1,工数管理!$Q$3:$Q$98,"&lt;="&amp;$H71,工数管理!$R$3:$R$98,"&gt;="&amp;$H71)+COUNTIFS(工数管理!$AK$3:$AK$98,K$1,工数管理!$S$3:$S$98,"&lt;="&amp;$H71,工数管理!$T$3:$T$98,"&gt;="&amp;$H71)+COUNTIFS(工数管理!$AK$3:$AK$98,K$1,工数管理!$U$3:$U$98,"&lt;="&amp;$H71,工数管理!$V$3:$V$98,"&gt;="&amp;$H71)+COUNTIFS(工数管理!$AK$3:$AK$98,K$1,工数管理!$W$3:$W$98,"&lt;="&amp;$H71,工数管理!$X$3:$X$98,"&gt;="&amp;$H71)+COUNTIFS(工数管理!$AK$3:$AK$98,K$1,工数管理!$Y$3:$Y$98,"&lt;="&amp;$H71,工数管理!$Z$3:$Z$98,"&gt;="&amp;$H71)+COUNTIFS(工数管理!$AK$3:$AK$98,K$1,工数管理!$AA$3:$AA$98,"&lt;="&amp;$H71,工数管理!$AB$3:$AB$98,"&gt;="&amp;$H71)+COUNTIFS(工数管理!$AK$3:$AK$98,K$1,工数管理!$AC$3:$AC$98,"&lt;="&amp;$H71,工数管理!$AD$3:$AD$98,"&gt;="&amp;$H71)+COUNTIFS(工数管理!$AK$3:$AK$98,K$1,工数管理!$AE$3:$AE$98,"&lt;="&amp;$H71,工数管理!$AF$3:$AF$98,"&gt;="&amp;$H71)+COUNTIFS(工数管理!$AK$3:$AK$98,K$1,工数管理!$AG$3:$AG$98,"&lt;="&amp;$H71,工数管理!$AH$3:$AH$98,"&gt;="&amp;$H71)+(COUNTIFS(工数管理!$AK$3:$AK$98,K$1,工数管理!$K$3:$K$98,"&lt;="&amp;$H71,工数管理!$L$3:$L$98,"")+COUNTIFS(工数管理!$AK$3:$AK$98,K$1,工数管理!$M$3:$M$98,"&lt;="&amp;$H71,工数管理!$N$3:$N$98,"")+COUNTIFS(工数管理!$AK$3:$AK$98,K$1,工数管理!$O$3:$O$98,"&lt;="&amp;$H71,工数管理!$P$3:$P$98,"")+COUNTIFS(工数管理!$AK$3:$AK$98,K$1,工数管理!$Q$3:$Q$98,"&lt;="&amp;$H71,工数管理!$R$3:$R$98,"")+COUNTIFS(工数管理!$AK$3:$AK$98,K$1,工数管理!$S$3:$S$98,"&lt;="&amp;$H71,工数管理!$T$3:$T$98,"")+COUNTIFS(工数管理!$AK$3:$AK$98,K$1,工数管理!$U$3:$U$98,"&lt;="&amp;$H71,工数管理!$V$3:$V$98,"")+COUNTIFS(工数管理!$AK$3:$AK$98,K$1,工数管理!$W$3:$W$98,"&lt;="&amp;$H71,工数管理!$X$3:$X$98,"")+COUNTIFS(工数管理!$AK$3:$AK$98,K$1,工数管理!$Y$3:$Y$98,"&lt;="&amp;$H71,工数管理!$Z$3:$Z$98,"")+COUNTIFS(工数管理!$AK$3:$AK$98,K$1,工数管理!$AA$3:$AA$98,"&lt;="&amp;$H71,工数管理!$AB$3:$AB$98,"")+COUNTIFS(工数管理!$AK$3:$AK$98,K$1,工数管理!$AC$3:$AC$98,"&lt;="&amp;$H71,工数管理!$AD$3:$AD$98,"")+COUNTIFS(工数管理!$AK$3:$AK$98,K$1,工数管理!$AE$3:$AE$98,"&lt;="&amp;$H71,工数管理!$AF$3:$AF$98,"")+COUNTIFS(工数管理!$AK$3:$AK$98,K$1,工数管理!$AG$3:$AG$98,"&lt;="&amp;$H71,工数管理!$AH$3:$AH$98,""))*($H71&lt;=工数管理!$AI$1))</f>
        <v>1</v>
      </c>
      <c r="L71" s="42">
        <f ca="1">IF(L$1="",0,COUNTIFS(工数管理!$AK$3:$AK$98,L$1,工数管理!$K$3:$K$98,"&lt;="&amp;$H71,工数管理!$L$3:$L$98,"&gt;="&amp;$H71)+COUNTIFS(工数管理!$AK$3:$AK$98,L$1,工数管理!$M$3:$M$98,"&lt;="&amp;$H71,工数管理!$N$3:$N$98,"&gt;="&amp;$H71)+COUNTIFS(工数管理!$AK$3:$AK$98,L$1,工数管理!$O$3:$O$98,"&lt;="&amp;$H71,工数管理!$P$3:$P$98,"&gt;="&amp;$H71)+COUNTIFS(工数管理!$AK$3:$AK$98,L$1,工数管理!$Q$3:$Q$98,"&lt;="&amp;$H71,工数管理!$R$3:$R$98,"&gt;="&amp;$H71)+COUNTIFS(工数管理!$AK$3:$AK$98,L$1,工数管理!$S$3:$S$98,"&lt;="&amp;$H71,工数管理!$T$3:$T$98,"&gt;="&amp;$H71)+COUNTIFS(工数管理!$AK$3:$AK$98,L$1,工数管理!$U$3:$U$98,"&lt;="&amp;$H71,工数管理!$V$3:$V$98,"&gt;="&amp;$H71)+COUNTIFS(工数管理!$AK$3:$AK$98,L$1,工数管理!$W$3:$W$98,"&lt;="&amp;$H71,工数管理!$X$3:$X$98,"&gt;="&amp;$H71)+COUNTIFS(工数管理!$AK$3:$AK$98,L$1,工数管理!$Y$3:$Y$98,"&lt;="&amp;$H71,工数管理!$Z$3:$Z$98,"&gt;="&amp;$H71)+COUNTIFS(工数管理!$AK$3:$AK$98,L$1,工数管理!$AA$3:$AA$98,"&lt;="&amp;$H71,工数管理!$AB$3:$AB$98,"&gt;="&amp;$H71)+COUNTIFS(工数管理!$AK$3:$AK$98,L$1,工数管理!$AC$3:$AC$98,"&lt;="&amp;$H71,工数管理!$AD$3:$AD$98,"&gt;="&amp;$H71)+COUNTIFS(工数管理!$AK$3:$AK$98,L$1,工数管理!$AE$3:$AE$98,"&lt;="&amp;$H71,工数管理!$AF$3:$AF$98,"&gt;="&amp;$H71)+COUNTIFS(工数管理!$AK$3:$AK$98,L$1,工数管理!$AG$3:$AG$98,"&lt;="&amp;$H71,工数管理!$AH$3:$AH$98,"&gt;="&amp;$H71)+(COUNTIFS(工数管理!$AK$3:$AK$98,L$1,工数管理!$K$3:$K$98,"&lt;="&amp;$H71,工数管理!$L$3:$L$98,"")+COUNTIFS(工数管理!$AK$3:$AK$98,L$1,工数管理!$M$3:$M$98,"&lt;="&amp;$H71,工数管理!$N$3:$N$98,"")+COUNTIFS(工数管理!$AK$3:$AK$98,L$1,工数管理!$O$3:$O$98,"&lt;="&amp;$H71,工数管理!$P$3:$P$98,"")+COUNTIFS(工数管理!$AK$3:$AK$98,L$1,工数管理!$Q$3:$Q$98,"&lt;="&amp;$H71,工数管理!$R$3:$R$98,"")+COUNTIFS(工数管理!$AK$3:$AK$98,L$1,工数管理!$S$3:$S$98,"&lt;="&amp;$H71,工数管理!$T$3:$T$98,"")+COUNTIFS(工数管理!$AK$3:$AK$98,L$1,工数管理!$U$3:$U$98,"&lt;="&amp;$H71,工数管理!$V$3:$V$98,"")+COUNTIFS(工数管理!$AK$3:$AK$98,L$1,工数管理!$W$3:$W$98,"&lt;="&amp;$H71,工数管理!$X$3:$X$98,"")+COUNTIFS(工数管理!$AK$3:$AK$98,L$1,工数管理!$Y$3:$Y$98,"&lt;="&amp;$H71,工数管理!$Z$3:$Z$98,"")+COUNTIFS(工数管理!$AK$3:$AK$98,L$1,工数管理!$AA$3:$AA$98,"&lt;="&amp;$H71,工数管理!$AB$3:$AB$98,"")+COUNTIFS(工数管理!$AK$3:$AK$98,L$1,工数管理!$AC$3:$AC$98,"&lt;="&amp;$H71,工数管理!$AD$3:$AD$98,"")+COUNTIFS(工数管理!$AK$3:$AK$98,L$1,工数管理!$AE$3:$AE$98,"&lt;="&amp;$H71,工数管理!$AF$3:$AF$98,"")+COUNTIFS(工数管理!$AK$3:$AK$98,L$1,工数管理!$AG$3:$AG$98,"&lt;="&amp;$H71,工数管理!$AH$3:$AH$98,""))*($H71&lt;=工数管理!$AI$1))</f>
        <v>1</v>
      </c>
    </row>
    <row r="72" spans="1:12" x14ac:dyDescent="0.15">
      <c r="A72" s="5"/>
      <c r="B72" s="6"/>
      <c r="H72" s="41">
        <f t="shared" si="3"/>
        <v>46240</v>
      </c>
      <c r="I72" s="42">
        <f t="shared" si="2"/>
        <v>1</v>
      </c>
      <c r="J72" s="42">
        <f ca="1">IF(J$1="",0,COUNTIFS(工数管理!$AK$3:$AK$98,J$1,工数管理!$K$3:$K$98,"&lt;="&amp;$H72,工数管理!$L$3:$L$98,"&gt;="&amp;$H72)+COUNTIFS(工数管理!$AK$3:$AK$98,J$1,工数管理!$M$3:$M$98,"&lt;="&amp;$H72,工数管理!$N$3:$N$98,"&gt;="&amp;$H72)+COUNTIFS(工数管理!$AK$3:$AK$98,J$1,工数管理!$O$3:$O$98,"&lt;="&amp;$H72,工数管理!$P$3:$P$98,"&gt;="&amp;$H72)+COUNTIFS(工数管理!$AK$3:$AK$98,J$1,工数管理!$Q$3:$Q$98,"&lt;="&amp;$H72,工数管理!$R$3:$R$98,"&gt;="&amp;$H72)+COUNTIFS(工数管理!$AK$3:$AK$98,J$1,工数管理!$S$3:$S$98,"&lt;="&amp;$H72,工数管理!$T$3:$T$98,"&gt;="&amp;$H72)+COUNTIFS(工数管理!$AK$3:$AK$98,J$1,工数管理!$U$3:$U$98,"&lt;="&amp;$H72,工数管理!$V$3:$V$98,"&gt;="&amp;$H72)+COUNTIFS(工数管理!$AK$3:$AK$98,J$1,工数管理!$W$3:$W$98,"&lt;="&amp;$H72,工数管理!$X$3:$X$98,"&gt;="&amp;$H72)+COUNTIFS(工数管理!$AK$3:$AK$98,J$1,工数管理!$Y$3:$Y$98,"&lt;="&amp;$H72,工数管理!$Z$3:$Z$98,"&gt;="&amp;$H72)+COUNTIFS(工数管理!$AK$3:$AK$98,J$1,工数管理!$AA$3:$AA$98,"&lt;="&amp;$H72,工数管理!$AB$3:$AB$98,"&gt;="&amp;$H72)+COUNTIFS(工数管理!$AK$3:$AK$98,J$1,工数管理!$AC$3:$AC$98,"&lt;="&amp;$H72,工数管理!$AD$3:$AD$98,"&gt;="&amp;$H72)+COUNTIFS(工数管理!$AK$3:$AK$98,J$1,工数管理!$AE$3:$AE$98,"&lt;="&amp;$H72,工数管理!$AF$3:$AF$98,"&gt;="&amp;$H72)+COUNTIFS(工数管理!$AK$3:$AK$98,J$1,工数管理!$AG$3:$AG$98,"&lt;="&amp;$H72,工数管理!$AH$3:$AH$98,"&gt;="&amp;$H72)+(COUNTIFS(工数管理!$AK$3:$AK$98,J$1,工数管理!$K$3:$K$98,"&lt;="&amp;$H72,工数管理!$L$3:$L$98,"")+COUNTIFS(工数管理!$AK$3:$AK$98,J$1,工数管理!$M$3:$M$98,"&lt;="&amp;$H72,工数管理!$N$3:$N$98,"")+COUNTIFS(工数管理!$AK$3:$AK$98,J$1,工数管理!$O$3:$O$98,"&lt;="&amp;$H72,工数管理!$P$3:$P$98,"")+COUNTIFS(工数管理!$AK$3:$AK$98,J$1,工数管理!$Q$3:$Q$98,"&lt;="&amp;$H72,工数管理!$R$3:$R$98,"")+COUNTIFS(工数管理!$AK$3:$AK$98,J$1,工数管理!$S$3:$S$98,"&lt;="&amp;$H72,工数管理!$T$3:$T$98,"")+COUNTIFS(工数管理!$AK$3:$AK$98,J$1,工数管理!$U$3:$U$98,"&lt;="&amp;$H72,工数管理!$V$3:$V$98,"")+COUNTIFS(工数管理!$AK$3:$AK$98,J$1,工数管理!$W$3:$W$98,"&lt;="&amp;$H72,工数管理!$X$3:$X$98,"")+COUNTIFS(工数管理!$AK$3:$AK$98,J$1,工数管理!$Y$3:$Y$98,"&lt;="&amp;$H72,工数管理!$Z$3:$Z$98,"")+COUNTIFS(工数管理!$AK$3:$AK$98,J$1,工数管理!$AA$3:$AA$98,"&lt;="&amp;$H72,工数管理!$AB$3:$AB$98,"")+COUNTIFS(工数管理!$AK$3:$AK$98,J$1,工数管理!$AC$3:$AC$98,"&lt;="&amp;$H72,工数管理!$AD$3:$AD$98,"")+COUNTIFS(工数管理!$AK$3:$AK$98,J$1,工数管理!$AE$3:$AE$98,"&lt;="&amp;$H72,工数管理!$AF$3:$AF$98,"")+COUNTIFS(工数管理!$AK$3:$AK$98,J$1,工数管理!$AG$3:$AG$98,"&lt;="&amp;$H72,工数管理!$AH$3:$AH$98,""))*($H72&lt;=工数管理!$AI$1))</f>
        <v>0</v>
      </c>
      <c r="K72" s="42">
        <f ca="1">IF(K$1="",0,COUNTIFS(工数管理!$AK$3:$AK$98,K$1,工数管理!$K$3:$K$98,"&lt;="&amp;$H72,工数管理!$L$3:$L$98,"&gt;="&amp;$H72)+COUNTIFS(工数管理!$AK$3:$AK$98,K$1,工数管理!$M$3:$M$98,"&lt;="&amp;$H72,工数管理!$N$3:$N$98,"&gt;="&amp;$H72)+COUNTIFS(工数管理!$AK$3:$AK$98,K$1,工数管理!$O$3:$O$98,"&lt;="&amp;$H72,工数管理!$P$3:$P$98,"&gt;="&amp;$H72)+COUNTIFS(工数管理!$AK$3:$AK$98,K$1,工数管理!$Q$3:$Q$98,"&lt;="&amp;$H72,工数管理!$R$3:$R$98,"&gt;="&amp;$H72)+COUNTIFS(工数管理!$AK$3:$AK$98,K$1,工数管理!$S$3:$S$98,"&lt;="&amp;$H72,工数管理!$T$3:$T$98,"&gt;="&amp;$H72)+COUNTIFS(工数管理!$AK$3:$AK$98,K$1,工数管理!$U$3:$U$98,"&lt;="&amp;$H72,工数管理!$V$3:$V$98,"&gt;="&amp;$H72)+COUNTIFS(工数管理!$AK$3:$AK$98,K$1,工数管理!$W$3:$W$98,"&lt;="&amp;$H72,工数管理!$X$3:$X$98,"&gt;="&amp;$H72)+COUNTIFS(工数管理!$AK$3:$AK$98,K$1,工数管理!$Y$3:$Y$98,"&lt;="&amp;$H72,工数管理!$Z$3:$Z$98,"&gt;="&amp;$H72)+COUNTIFS(工数管理!$AK$3:$AK$98,K$1,工数管理!$AA$3:$AA$98,"&lt;="&amp;$H72,工数管理!$AB$3:$AB$98,"&gt;="&amp;$H72)+COUNTIFS(工数管理!$AK$3:$AK$98,K$1,工数管理!$AC$3:$AC$98,"&lt;="&amp;$H72,工数管理!$AD$3:$AD$98,"&gt;="&amp;$H72)+COUNTIFS(工数管理!$AK$3:$AK$98,K$1,工数管理!$AE$3:$AE$98,"&lt;="&amp;$H72,工数管理!$AF$3:$AF$98,"&gt;="&amp;$H72)+COUNTIFS(工数管理!$AK$3:$AK$98,K$1,工数管理!$AG$3:$AG$98,"&lt;="&amp;$H72,工数管理!$AH$3:$AH$98,"&gt;="&amp;$H72)+(COUNTIFS(工数管理!$AK$3:$AK$98,K$1,工数管理!$K$3:$K$98,"&lt;="&amp;$H72,工数管理!$L$3:$L$98,"")+COUNTIFS(工数管理!$AK$3:$AK$98,K$1,工数管理!$M$3:$M$98,"&lt;="&amp;$H72,工数管理!$N$3:$N$98,"")+COUNTIFS(工数管理!$AK$3:$AK$98,K$1,工数管理!$O$3:$O$98,"&lt;="&amp;$H72,工数管理!$P$3:$P$98,"")+COUNTIFS(工数管理!$AK$3:$AK$98,K$1,工数管理!$Q$3:$Q$98,"&lt;="&amp;$H72,工数管理!$R$3:$R$98,"")+COUNTIFS(工数管理!$AK$3:$AK$98,K$1,工数管理!$S$3:$S$98,"&lt;="&amp;$H72,工数管理!$T$3:$T$98,"")+COUNTIFS(工数管理!$AK$3:$AK$98,K$1,工数管理!$U$3:$U$98,"&lt;="&amp;$H72,工数管理!$V$3:$V$98,"")+COUNTIFS(工数管理!$AK$3:$AK$98,K$1,工数管理!$W$3:$W$98,"&lt;="&amp;$H72,工数管理!$X$3:$X$98,"")+COUNTIFS(工数管理!$AK$3:$AK$98,K$1,工数管理!$Y$3:$Y$98,"&lt;="&amp;$H72,工数管理!$Z$3:$Z$98,"")+COUNTIFS(工数管理!$AK$3:$AK$98,K$1,工数管理!$AA$3:$AA$98,"&lt;="&amp;$H72,工数管理!$AB$3:$AB$98,"")+COUNTIFS(工数管理!$AK$3:$AK$98,K$1,工数管理!$AC$3:$AC$98,"&lt;="&amp;$H72,工数管理!$AD$3:$AD$98,"")+COUNTIFS(工数管理!$AK$3:$AK$98,K$1,工数管理!$AE$3:$AE$98,"&lt;="&amp;$H72,工数管理!$AF$3:$AF$98,"")+COUNTIFS(工数管理!$AK$3:$AK$98,K$1,工数管理!$AG$3:$AG$98,"&lt;="&amp;$H72,工数管理!$AH$3:$AH$98,""))*($H72&lt;=工数管理!$AI$1))</f>
        <v>1</v>
      </c>
      <c r="L72" s="42">
        <f ca="1">IF(L$1="",0,COUNTIFS(工数管理!$AK$3:$AK$98,L$1,工数管理!$K$3:$K$98,"&lt;="&amp;$H72,工数管理!$L$3:$L$98,"&gt;="&amp;$H72)+COUNTIFS(工数管理!$AK$3:$AK$98,L$1,工数管理!$M$3:$M$98,"&lt;="&amp;$H72,工数管理!$N$3:$N$98,"&gt;="&amp;$H72)+COUNTIFS(工数管理!$AK$3:$AK$98,L$1,工数管理!$O$3:$O$98,"&lt;="&amp;$H72,工数管理!$P$3:$P$98,"&gt;="&amp;$H72)+COUNTIFS(工数管理!$AK$3:$AK$98,L$1,工数管理!$Q$3:$Q$98,"&lt;="&amp;$H72,工数管理!$R$3:$R$98,"&gt;="&amp;$H72)+COUNTIFS(工数管理!$AK$3:$AK$98,L$1,工数管理!$S$3:$S$98,"&lt;="&amp;$H72,工数管理!$T$3:$T$98,"&gt;="&amp;$H72)+COUNTIFS(工数管理!$AK$3:$AK$98,L$1,工数管理!$U$3:$U$98,"&lt;="&amp;$H72,工数管理!$V$3:$V$98,"&gt;="&amp;$H72)+COUNTIFS(工数管理!$AK$3:$AK$98,L$1,工数管理!$W$3:$W$98,"&lt;="&amp;$H72,工数管理!$X$3:$X$98,"&gt;="&amp;$H72)+COUNTIFS(工数管理!$AK$3:$AK$98,L$1,工数管理!$Y$3:$Y$98,"&lt;="&amp;$H72,工数管理!$Z$3:$Z$98,"&gt;="&amp;$H72)+COUNTIFS(工数管理!$AK$3:$AK$98,L$1,工数管理!$AA$3:$AA$98,"&lt;="&amp;$H72,工数管理!$AB$3:$AB$98,"&gt;="&amp;$H72)+COUNTIFS(工数管理!$AK$3:$AK$98,L$1,工数管理!$AC$3:$AC$98,"&lt;="&amp;$H72,工数管理!$AD$3:$AD$98,"&gt;="&amp;$H72)+COUNTIFS(工数管理!$AK$3:$AK$98,L$1,工数管理!$AE$3:$AE$98,"&lt;="&amp;$H72,工数管理!$AF$3:$AF$98,"&gt;="&amp;$H72)+COUNTIFS(工数管理!$AK$3:$AK$98,L$1,工数管理!$AG$3:$AG$98,"&lt;="&amp;$H72,工数管理!$AH$3:$AH$98,"&gt;="&amp;$H72)+(COUNTIFS(工数管理!$AK$3:$AK$98,L$1,工数管理!$K$3:$K$98,"&lt;="&amp;$H72,工数管理!$L$3:$L$98,"")+COUNTIFS(工数管理!$AK$3:$AK$98,L$1,工数管理!$M$3:$M$98,"&lt;="&amp;$H72,工数管理!$N$3:$N$98,"")+COUNTIFS(工数管理!$AK$3:$AK$98,L$1,工数管理!$O$3:$O$98,"&lt;="&amp;$H72,工数管理!$P$3:$P$98,"")+COUNTIFS(工数管理!$AK$3:$AK$98,L$1,工数管理!$Q$3:$Q$98,"&lt;="&amp;$H72,工数管理!$R$3:$R$98,"")+COUNTIFS(工数管理!$AK$3:$AK$98,L$1,工数管理!$S$3:$S$98,"&lt;="&amp;$H72,工数管理!$T$3:$T$98,"")+COUNTIFS(工数管理!$AK$3:$AK$98,L$1,工数管理!$U$3:$U$98,"&lt;="&amp;$H72,工数管理!$V$3:$V$98,"")+COUNTIFS(工数管理!$AK$3:$AK$98,L$1,工数管理!$W$3:$W$98,"&lt;="&amp;$H72,工数管理!$X$3:$X$98,"")+COUNTIFS(工数管理!$AK$3:$AK$98,L$1,工数管理!$Y$3:$Y$98,"&lt;="&amp;$H72,工数管理!$Z$3:$Z$98,"")+COUNTIFS(工数管理!$AK$3:$AK$98,L$1,工数管理!$AA$3:$AA$98,"&lt;="&amp;$H72,工数管理!$AB$3:$AB$98,"")+COUNTIFS(工数管理!$AK$3:$AK$98,L$1,工数管理!$AC$3:$AC$98,"&lt;="&amp;$H72,工数管理!$AD$3:$AD$98,"")+COUNTIFS(工数管理!$AK$3:$AK$98,L$1,工数管理!$AE$3:$AE$98,"&lt;="&amp;$H72,工数管理!$AF$3:$AF$98,"")+COUNTIFS(工数管理!$AK$3:$AK$98,L$1,工数管理!$AG$3:$AG$98,"&lt;="&amp;$H72,工数管理!$AH$3:$AH$98,""))*($H72&lt;=工数管理!$AI$1))</f>
        <v>1</v>
      </c>
    </row>
    <row r="73" spans="1:12" x14ac:dyDescent="0.15">
      <c r="A73" s="5"/>
      <c r="B73" s="6"/>
      <c r="H73" s="41">
        <f t="shared" si="3"/>
        <v>46241</v>
      </c>
      <c r="I73" s="42">
        <f t="shared" si="2"/>
        <v>1</v>
      </c>
      <c r="J73" s="42">
        <f ca="1">IF(J$1="",0,COUNTIFS(工数管理!$AK$3:$AK$98,J$1,工数管理!$K$3:$K$98,"&lt;="&amp;$H73,工数管理!$L$3:$L$98,"&gt;="&amp;$H73)+COUNTIFS(工数管理!$AK$3:$AK$98,J$1,工数管理!$M$3:$M$98,"&lt;="&amp;$H73,工数管理!$N$3:$N$98,"&gt;="&amp;$H73)+COUNTIFS(工数管理!$AK$3:$AK$98,J$1,工数管理!$O$3:$O$98,"&lt;="&amp;$H73,工数管理!$P$3:$P$98,"&gt;="&amp;$H73)+COUNTIFS(工数管理!$AK$3:$AK$98,J$1,工数管理!$Q$3:$Q$98,"&lt;="&amp;$H73,工数管理!$R$3:$R$98,"&gt;="&amp;$H73)+COUNTIFS(工数管理!$AK$3:$AK$98,J$1,工数管理!$S$3:$S$98,"&lt;="&amp;$H73,工数管理!$T$3:$T$98,"&gt;="&amp;$H73)+COUNTIFS(工数管理!$AK$3:$AK$98,J$1,工数管理!$U$3:$U$98,"&lt;="&amp;$H73,工数管理!$V$3:$V$98,"&gt;="&amp;$H73)+COUNTIFS(工数管理!$AK$3:$AK$98,J$1,工数管理!$W$3:$W$98,"&lt;="&amp;$H73,工数管理!$X$3:$X$98,"&gt;="&amp;$H73)+COUNTIFS(工数管理!$AK$3:$AK$98,J$1,工数管理!$Y$3:$Y$98,"&lt;="&amp;$H73,工数管理!$Z$3:$Z$98,"&gt;="&amp;$H73)+COUNTIFS(工数管理!$AK$3:$AK$98,J$1,工数管理!$AA$3:$AA$98,"&lt;="&amp;$H73,工数管理!$AB$3:$AB$98,"&gt;="&amp;$H73)+COUNTIFS(工数管理!$AK$3:$AK$98,J$1,工数管理!$AC$3:$AC$98,"&lt;="&amp;$H73,工数管理!$AD$3:$AD$98,"&gt;="&amp;$H73)+COUNTIFS(工数管理!$AK$3:$AK$98,J$1,工数管理!$AE$3:$AE$98,"&lt;="&amp;$H73,工数管理!$AF$3:$AF$98,"&gt;="&amp;$H73)+COUNTIFS(工数管理!$AK$3:$AK$98,J$1,工数管理!$AG$3:$AG$98,"&lt;="&amp;$H73,工数管理!$AH$3:$AH$98,"&gt;="&amp;$H73)+(COUNTIFS(工数管理!$AK$3:$AK$98,J$1,工数管理!$K$3:$K$98,"&lt;="&amp;$H73,工数管理!$L$3:$L$98,"")+COUNTIFS(工数管理!$AK$3:$AK$98,J$1,工数管理!$M$3:$M$98,"&lt;="&amp;$H73,工数管理!$N$3:$N$98,"")+COUNTIFS(工数管理!$AK$3:$AK$98,J$1,工数管理!$O$3:$O$98,"&lt;="&amp;$H73,工数管理!$P$3:$P$98,"")+COUNTIFS(工数管理!$AK$3:$AK$98,J$1,工数管理!$Q$3:$Q$98,"&lt;="&amp;$H73,工数管理!$R$3:$R$98,"")+COUNTIFS(工数管理!$AK$3:$AK$98,J$1,工数管理!$S$3:$S$98,"&lt;="&amp;$H73,工数管理!$T$3:$T$98,"")+COUNTIFS(工数管理!$AK$3:$AK$98,J$1,工数管理!$U$3:$U$98,"&lt;="&amp;$H73,工数管理!$V$3:$V$98,"")+COUNTIFS(工数管理!$AK$3:$AK$98,J$1,工数管理!$W$3:$W$98,"&lt;="&amp;$H73,工数管理!$X$3:$X$98,"")+COUNTIFS(工数管理!$AK$3:$AK$98,J$1,工数管理!$Y$3:$Y$98,"&lt;="&amp;$H73,工数管理!$Z$3:$Z$98,"")+COUNTIFS(工数管理!$AK$3:$AK$98,J$1,工数管理!$AA$3:$AA$98,"&lt;="&amp;$H73,工数管理!$AB$3:$AB$98,"")+COUNTIFS(工数管理!$AK$3:$AK$98,J$1,工数管理!$AC$3:$AC$98,"&lt;="&amp;$H73,工数管理!$AD$3:$AD$98,"")+COUNTIFS(工数管理!$AK$3:$AK$98,J$1,工数管理!$AE$3:$AE$98,"&lt;="&amp;$H73,工数管理!$AF$3:$AF$98,"")+COUNTIFS(工数管理!$AK$3:$AK$98,J$1,工数管理!$AG$3:$AG$98,"&lt;="&amp;$H73,工数管理!$AH$3:$AH$98,""))*($H73&lt;=工数管理!$AI$1))</f>
        <v>0</v>
      </c>
      <c r="K73" s="42">
        <f ca="1">IF(K$1="",0,COUNTIFS(工数管理!$AK$3:$AK$98,K$1,工数管理!$K$3:$K$98,"&lt;="&amp;$H73,工数管理!$L$3:$L$98,"&gt;="&amp;$H73)+COUNTIFS(工数管理!$AK$3:$AK$98,K$1,工数管理!$M$3:$M$98,"&lt;="&amp;$H73,工数管理!$N$3:$N$98,"&gt;="&amp;$H73)+COUNTIFS(工数管理!$AK$3:$AK$98,K$1,工数管理!$O$3:$O$98,"&lt;="&amp;$H73,工数管理!$P$3:$P$98,"&gt;="&amp;$H73)+COUNTIFS(工数管理!$AK$3:$AK$98,K$1,工数管理!$Q$3:$Q$98,"&lt;="&amp;$H73,工数管理!$R$3:$R$98,"&gt;="&amp;$H73)+COUNTIFS(工数管理!$AK$3:$AK$98,K$1,工数管理!$S$3:$S$98,"&lt;="&amp;$H73,工数管理!$T$3:$T$98,"&gt;="&amp;$H73)+COUNTIFS(工数管理!$AK$3:$AK$98,K$1,工数管理!$U$3:$U$98,"&lt;="&amp;$H73,工数管理!$V$3:$V$98,"&gt;="&amp;$H73)+COUNTIFS(工数管理!$AK$3:$AK$98,K$1,工数管理!$W$3:$W$98,"&lt;="&amp;$H73,工数管理!$X$3:$X$98,"&gt;="&amp;$H73)+COUNTIFS(工数管理!$AK$3:$AK$98,K$1,工数管理!$Y$3:$Y$98,"&lt;="&amp;$H73,工数管理!$Z$3:$Z$98,"&gt;="&amp;$H73)+COUNTIFS(工数管理!$AK$3:$AK$98,K$1,工数管理!$AA$3:$AA$98,"&lt;="&amp;$H73,工数管理!$AB$3:$AB$98,"&gt;="&amp;$H73)+COUNTIFS(工数管理!$AK$3:$AK$98,K$1,工数管理!$AC$3:$AC$98,"&lt;="&amp;$H73,工数管理!$AD$3:$AD$98,"&gt;="&amp;$H73)+COUNTIFS(工数管理!$AK$3:$AK$98,K$1,工数管理!$AE$3:$AE$98,"&lt;="&amp;$H73,工数管理!$AF$3:$AF$98,"&gt;="&amp;$H73)+COUNTIFS(工数管理!$AK$3:$AK$98,K$1,工数管理!$AG$3:$AG$98,"&lt;="&amp;$H73,工数管理!$AH$3:$AH$98,"&gt;="&amp;$H73)+(COUNTIFS(工数管理!$AK$3:$AK$98,K$1,工数管理!$K$3:$K$98,"&lt;="&amp;$H73,工数管理!$L$3:$L$98,"")+COUNTIFS(工数管理!$AK$3:$AK$98,K$1,工数管理!$M$3:$M$98,"&lt;="&amp;$H73,工数管理!$N$3:$N$98,"")+COUNTIFS(工数管理!$AK$3:$AK$98,K$1,工数管理!$O$3:$O$98,"&lt;="&amp;$H73,工数管理!$P$3:$P$98,"")+COUNTIFS(工数管理!$AK$3:$AK$98,K$1,工数管理!$Q$3:$Q$98,"&lt;="&amp;$H73,工数管理!$R$3:$R$98,"")+COUNTIFS(工数管理!$AK$3:$AK$98,K$1,工数管理!$S$3:$S$98,"&lt;="&amp;$H73,工数管理!$T$3:$T$98,"")+COUNTIFS(工数管理!$AK$3:$AK$98,K$1,工数管理!$U$3:$U$98,"&lt;="&amp;$H73,工数管理!$V$3:$V$98,"")+COUNTIFS(工数管理!$AK$3:$AK$98,K$1,工数管理!$W$3:$W$98,"&lt;="&amp;$H73,工数管理!$X$3:$X$98,"")+COUNTIFS(工数管理!$AK$3:$AK$98,K$1,工数管理!$Y$3:$Y$98,"&lt;="&amp;$H73,工数管理!$Z$3:$Z$98,"")+COUNTIFS(工数管理!$AK$3:$AK$98,K$1,工数管理!$AA$3:$AA$98,"&lt;="&amp;$H73,工数管理!$AB$3:$AB$98,"")+COUNTIFS(工数管理!$AK$3:$AK$98,K$1,工数管理!$AC$3:$AC$98,"&lt;="&amp;$H73,工数管理!$AD$3:$AD$98,"")+COUNTIFS(工数管理!$AK$3:$AK$98,K$1,工数管理!$AE$3:$AE$98,"&lt;="&amp;$H73,工数管理!$AF$3:$AF$98,"")+COUNTIFS(工数管理!$AK$3:$AK$98,K$1,工数管理!$AG$3:$AG$98,"&lt;="&amp;$H73,工数管理!$AH$3:$AH$98,""))*($H73&lt;=工数管理!$AI$1))</f>
        <v>1</v>
      </c>
      <c r="L73" s="42">
        <f ca="1">IF(L$1="",0,COUNTIFS(工数管理!$AK$3:$AK$98,L$1,工数管理!$K$3:$K$98,"&lt;="&amp;$H73,工数管理!$L$3:$L$98,"&gt;="&amp;$H73)+COUNTIFS(工数管理!$AK$3:$AK$98,L$1,工数管理!$M$3:$M$98,"&lt;="&amp;$H73,工数管理!$N$3:$N$98,"&gt;="&amp;$H73)+COUNTIFS(工数管理!$AK$3:$AK$98,L$1,工数管理!$O$3:$O$98,"&lt;="&amp;$H73,工数管理!$P$3:$P$98,"&gt;="&amp;$H73)+COUNTIFS(工数管理!$AK$3:$AK$98,L$1,工数管理!$Q$3:$Q$98,"&lt;="&amp;$H73,工数管理!$R$3:$R$98,"&gt;="&amp;$H73)+COUNTIFS(工数管理!$AK$3:$AK$98,L$1,工数管理!$S$3:$S$98,"&lt;="&amp;$H73,工数管理!$T$3:$T$98,"&gt;="&amp;$H73)+COUNTIFS(工数管理!$AK$3:$AK$98,L$1,工数管理!$U$3:$U$98,"&lt;="&amp;$H73,工数管理!$V$3:$V$98,"&gt;="&amp;$H73)+COUNTIFS(工数管理!$AK$3:$AK$98,L$1,工数管理!$W$3:$W$98,"&lt;="&amp;$H73,工数管理!$X$3:$X$98,"&gt;="&amp;$H73)+COUNTIFS(工数管理!$AK$3:$AK$98,L$1,工数管理!$Y$3:$Y$98,"&lt;="&amp;$H73,工数管理!$Z$3:$Z$98,"&gt;="&amp;$H73)+COUNTIFS(工数管理!$AK$3:$AK$98,L$1,工数管理!$AA$3:$AA$98,"&lt;="&amp;$H73,工数管理!$AB$3:$AB$98,"&gt;="&amp;$H73)+COUNTIFS(工数管理!$AK$3:$AK$98,L$1,工数管理!$AC$3:$AC$98,"&lt;="&amp;$H73,工数管理!$AD$3:$AD$98,"&gt;="&amp;$H73)+COUNTIFS(工数管理!$AK$3:$AK$98,L$1,工数管理!$AE$3:$AE$98,"&lt;="&amp;$H73,工数管理!$AF$3:$AF$98,"&gt;="&amp;$H73)+COUNTIFS(工数管理!$AK$3:$AK$98,L$1,工数管理!$AG$3:$AG$98,"&lt;="&amp;$H73,工数管理!$AH$3:$AH$98,"&gt;="&amp;$H73)+(COUNTIFS(工数管理!$AK$3:$AK$98,L$1,工数管理!$K$3:$K$98,"&lt;="&amp;$H73,工数管理!$L$3:$L$98,"")+COUNTIFS(工数管理!$AK$3:$AK$98,L$1,工数管理!$M$3:$M$98,"&lt;="&amp;$H73,工数管理!$N$3:$N$98,"")+COUNTIFS(工数管理!$AK$3:$AK$98,L$1,工数管理!$O$3:$O$98,"&lt;="&amp;$H73,工数管理!$P$3:$P$98,"")+COUNTIFS(工数管理!$AK$3:$AK$98,L$1,工数管理!$Q$3:$Q$98,"&lt;="&amp;$H73,工数管理!$R$3:$R$98,"")+COUNTIFS(工数管理!$AK$3:$AK$98,L$1,工数管理!$S$3:$S$98,"&lt;="&amp;$H73,工数管理!$T$3:$T$98,"")+COUNTIFS(工数管理!$AK$3:$AK$98,L$1,工数管理!$U$3:$U$98,"&lt;="&amp;$H73,工数管理!$V$3:$V$98,"")+COUNTIFS(工数管理!$AK$3:$AK$98,L$1,工数管理!$W$3:$W$98,"&lt;="&amp;$H73,工数管理!$X$3:$X$98,"")+COUNTIFS(工数管理!$AK$3:$AK$98,L$1,工数管理!$Y$3:$Y$98,"&lt;="&amp;$H73,工数管理!$Z$3:$Z$98,"")+COUNTIFS(工数管理!$AK$3:$AK$98,L$1,工数管理!$AA$3:$AA$98,"&lt;="&amp;$H73,工数管理!$AB$3:$AB$98,"")+COUNTIFS(工数管理!$AK$3:$AK$98,L$1,工数管理!$AC$3:$AC$98,"&lt;="&amp;$H73,工数管理!$AD$3:$AD$98,"")+COUNTIFS(工数管理!$AK$3:$AK$98,L$1,工数管理!$AE$3:$AE$98,"&lt;="&amp;$H73,工数管理!$AF$3:$AF$98,"")+COUNTIFS(工数管理!$AK$3:$AK$98,L$1,工数管理!$AG$3:$AG$98,"&lt;="&amp;$H73,工数管理!$AH$3:$AH$98,""))*($H73&lt;=工数管理!$AI$1))</f>
        <v>1</v>
      </c>
    </row>
    <row r="74" spans="1:12" x14ac:dyDescent="0.15">
      <c r="A74" s="5"/>
      <c r="B74" s="6"/>
      <c r="H74" s="41">
        <f t="shared" si="3"/>
        <v>46242</v>
      </c>
      <c r="I74" s="42">
        <f t="shared" si="2"/>
        <v>0</v>
      </c>
      <c r="J74" s="42">
        <f ca="1">IF(J$1="",0,COUNTIFS(工数管理!$AK$3:$AK$98,J$1,工数管理!$K$3:$K$98,"&lt;="&amp;$H74,工数管理!$L$3:$L$98,"&gt;="&amp;$H74)+COUNTIFS(工数管理!$AK$3:$AK$98,J$1,工数管理!$M$3:$M$98,"&lt;="&amp;$H74,工数管理!$N$3:$N$98,"&gt;="&amp;$H74)+COUNTIFS(工数管理!$AK$3:$AK$98,J$1,工数管理!$O$3:$O$98,"&lt;="&amp;$H74,工数管理!$P$3:$P$98,"&gt;="&amp;$H74)+COUNTIFS(工数管理!$AK$3:$AK$98,J$1,工数管理!$Q$3:$Q$98,"&lt;="&amp;$H74,工数管理!$R$3:$R$98,"&gt;="&amp;$H74)+COUNTIFS(工数管理!$AK$3:$AK$98,J$1,工数管理!$S$3:$S$98,"&lt;="&amp;$H74,工数管理!$T$3:$T$98,"&gt;="&amp;$H74)+COUNTIFS(工数管理!$AK$3:$AK$98,J$1,工数管理!$U$3:$U$98,"&lt;="&amp;$H74,工数管理!$V$3:$V$98,"&gt;="&amp;$H74)+COUNTIFS(工数管理!$AK$3:$AK$98,J$1,工数管理!$W$3:$W$98,"&lt;="&amp;$H74,工数管理!$X$3:$X$98,"&gt;="&amp;$H74)+COUNTIFS(工数管理!$AK$3:$AK$98,J$1,工数管理!$Y$3:$Y$98,"&lt;="&amp;$H74,工数管理!$Z$3:$Z$98,"&gt;="&amp;$H74)+COUNTIFS(工数管理!$AK$3:$AK$98,J$1,工数管理!$AA$3:$AA$98,"&lt;="&amp;$H74,工数管理!$AB$3:$AB$98,"&gt;="&amp;$H74)+COUNTIFS(工数管理!$AK$3:$AK$98,J$1,工数管理!$AC$3:$AC$98,"&lt;="&amp;$H74,工数管理!$AD$3:$AD$98,"&gt;="&amp;$H74)+COUNTIFS(工数管理!$AK$3:$AK$98,J$1,工数管理!$AE$3:$AE$98,"&lt;="&amp;$H74,工数管理!$AF$3:$AF$98,"&gt;="&amp;$H74)+COUNTIFS(工数管理!$AK$3:$AK$98,J$1,工数管理!$AG$3:$AG$98,"&lt;="&amp;$H74,工数管理!$AH$3:$AH$98,"&gt;="&amp;$H74)+(COUNTIFS(工数管理!$AK$3:$AK$98,J$1,工数管理!$K$3:$K$98,"&lt;="&amp;$H74,工数管理!$L$3:$L$98,"")+COUNTIFS(工数管理!$AK$3:$AK$98,J$1,工数管理!$M$3:$M$98,"&lt;="&amp;$H74,工数管理!$N$3:$N$98,"")+COUNTIFS(工数管理!$AK$3:$AK$98,J$1,工数管理!$O$3:$O$98,"&lt;="&amp;$H74,工数管理!$P$3:$P$98,"")+COUNTIFS(工数管理!$AK$3:$AK$98,J$1,工数管理!$Q$3:$Q$98,"&lt;="&amp;$H74,工数管理!$R$3:$R$98,"")+COUNTIFS(工数管理!$AK$3:$AK$98,J$1,工数管理!$S$3:$S$98,"&lt;="&amp;$H74,工数管理!$T$3:$T$98,"")+COUNTIFS(工数管理!$AK$3:$AK$98,J$1,工数管理!$U$3:$U$98,"&lt;="&amp;$H74,工数管理!$V$3:$V$98,"")+COUNTIFS(工数管理!$AK$3:$AK$98,J$1,工数管理!$W$3:$W$98,"&lt;="&amp;$H74,工数管理!$X$3:$X$98,"")+COUNTIFS(工数管理!$AK$3:$AK$98,J$1,工数管理!$Y$3:$Y$98,"&lt;="&amp;$H74,工数管理!$Z$3:$Z$98,"")+COUNTIFS(工数管理!$AK$3:$AK$98,J$1,工数管理!$AA$3:$AA$98,"&lt;="&amp;$H74,工数管理!$AB$3:$AB$98,"")+COUNTIFS(工数管理!$AK$3:$AK$98,J$1,工数管理!$AC$3:$AC$98,"&lt;="&amp;$H74,工数管理!$AD$3:$AD$98,"")+COUNTIFS(工数管理!$AK$3:$AK$98,J$1,工数管理!$AE$3:$AE$98,"&lt;="&amp;$H74,工数管理!$AF$3:$AF$98,"")+COUNTIFS(工数管理!$AK$3:$AK$98,J$1,工数管理!$AG$3:$AG$98,"&lt;="&amp;$H74,工数管理!$AH$3:$AH$98,""))*($H74&lt;=工数管理!$AI$1))</f>
        <v>0</v>
      </c>
      <c r="K74" s="42">
        <f ca="1">IF(K$1="",0,COUNTIFS(工数管理!$AK$3:$AK$98,K$1,工数管理!$K$3:$K$98,"&lt;="&amp;$H74,工数管理!$L$3:$L$98,"&gt;="&amp;$H74)+COUNTIFS(工数管理!$AK$3:$AK$98,K$1,工数管理!$M$3:$M$98,"&lt;="&amp;$H74,工数管理!$N$3:$N$98,"&gt;="&amp;$H74)+COUNTIFS(工数管理!$AK$3:$AK$98,K$1,工数管理!$O$3:$O$98,"&lt;="&amp;$H74,工数管理!$P$3:$P$98,"&gt;="&amp;$H74)+COUNTIFS(工数管理!$AK$3:$AK$98,K$1,工数管理!$Q$3:$Q$98,"&lt;="&amp;$H74,工数管理!$R$3:$R$98,"&gt;="&amp;$H74)+COUNTIFS(工数管理!$AK$3:$AK$98,K$1,工数管理!$S$3:$S$98,"&lt;="&amp;$H74,工数管理!$T$3:$T$98,"&gt;="&amp;$H74)+COUNTIFS(工数管理!$AK$3:$AK$98,K$1,工数管理!$U$3:$U$98,"&lt;="&amp;$H74,工数管理!$V$3:$V$98,"&gt;="&amp;$H74)+COUNTIFS(工数管理!$AK$3:$AK$98,K$1,工数管理!$W$3:$W$98,"&lt;="&amp;$H74,工数管理!$X$3:$X$98,"&gt;="&amp;$H74)+COUNTIFS(工数管理!$AK$3:$AK$98,K$1,工数管理!$Y$3:$Y$98,"&lt;="&amp;$H74,工数管理!$Z$3:$Z$98,"&gt;="&amp;$H74)+COUNTIFS(工数管理!$AK$3:$AK$98,K$1,工数管理!$AA$3:$AA$98,"&lt;="&amp;$H74,工数管理!$AB$3:$AB$98,"&gt;="&amp;$H74)+COUNTIFS(工数管理!$AK$3:$AK$98,K$1,工数管理!$AC$3:$AC$98,"&lt;="&amp;$H74,工数管理!$AD$3:$AD$98,"&gt;="&amp;$H74)+COUNTIFS(工数管理!$AK$3:$AK$98,K$1,工数管理!$AE$3:$AE$98,"&lt;="&amp;$H74,工数管理!$AF$3:$AF$98,"&gt;="&amp;$H74)+COUNTIFS(工数管理!$AK$3:$AK$98,K$1,工数管理!$AG$3:$AG$98,"&lt;="&amp;$H74,工数管理!$AH$3:$AH$98,"&gt;="&amp;$H74)+(COUNTIFS(工数管理!$AK$3:$AK$98,K$1,工数管理!$K$3:$K$98,"&lt;="&amp;$H74,工数管理!$L$3:$L$98,"")+COUNTIFS(工数管理!$AK$3:$AK$98,K$1,工数管理!$M$3:$M$98,"&lt;="&amp;$H74,工数管理!$N$3:$N$98,"")+COUNTIFS(工数管理!$AK$3:$AK$98,K$1,工数管理!$O$3:$O$98,"&lt;="&amp;$H74,工数管理!$P$3:$P$98,"")+COUNTIFS(工数管理!$AK$3:$AK$98,K$1,工数管理!$Q$3:$Q$98,"&lt;="&amp;$H74,工数管理!$R$3:$R$98,"")+COUNTIFS(工数管理!$AK$3:$AK$98,K$1,工数管理!$S$3:$S$98,"&lt;="&amp;$H74,工数管理!$T$3:$T$98,"")+COUNTIFS(工数管理!$AK$3:$AK$98,K$1,工数管理!$U$3:$U$98,"&lt;="&amp;$H74,工数管理!$V$3:$V$98,"")+COUNTIFS(工数管理!$AK$3:$AK$98,K$1,工数管理!$W$3:$W$98,"&lt;="&amp;$H74,工数管理!$X$3:$X$98,"")+COUNTIFS(工数管理!$AK$3:$AK$98,K$1,工数管理!$Y$3:$Y$98,"&lt;="&amp;$H74,工数管理!$Z$3:$Z$98,"")+COUNTIFS(工数管理!$AK$3:$AK$98,K$1,工数管理!$AA$3:$AA$98,"&lt;="&amp;$H74,工数管理!$AB$3:$AB$98,"")+COUNTIFS(工数管理!$AK$3:$AK$98,K$1,工数管理!$AC$3:$AC$98,"&lt;="&amp;$H74,工数管理!$AD$3:$AD$98,"")+COUNTIFS(工数管理!$AK$3:$AK$98,K$1,工数管理!$AE$3:$AE$98,"&lt;="&amp;$H74,工数管理!$AF$3:$AF$98,"")+COUNTIFS(工数管理!$AK$3:$AK$98,K$1,工数管理!$AG$3:$AG$98,"&lt;="&amp;$H74,工数管理!$AH$3:$AH$98,""))*($H74&lt;=工数管理!$AI$1))</f>
        <v>1</v>
      </c>
      <c r="L74" s="42">
        <f ca="1">IF(L$1="",0,COUNTIFS(工数管理!$AK$3:$AK$98,L$1,工数管理!$K$3:$K$98,"&lt;="&amp;$H74,工数管理!$L$3:$L$98,"&gt;="&amp;$H74)+COUNTIFS(工数管理!$AK$3:$AK$98,L$1,工数管理!$M$3:$M$98,"&lt;="&amp;$H74,工数管理!$N$3:$N$98,"&gt;="&amp;$H74)+COUNTIFS(工数管理!$AK$3:$AK$98,L$1,工数管理!$O$3:$O$98,"&lt;="&amp;$H74,工数管理!$P$3:$P$98,"&gt;="&amp;$H74)+COUNTIFS(工数管理!$AK$3:$AK$98,L$1,工数管理!$Q$3:$Q$98,"&lt;="&amp;$H74,工数管理!$R$3:$R$98,"&gt;="&amp;$H74)+COUNTIFS(工数管理!$AK$3:$AK$98,L$1,工数管理!$S$3:$S$98,"&lt;="&amp;$H74,工数管理!$T$3:$T$98,"&gt;="&amp;$H74)+COUNTIFS(工数管理!$AK$3:$AK$98,L$1,工数管理!$U$3:$U$98,"&lt;="&amp;$H74,工数管理!$V$3:$V$98,"&gt;="&amp;$H74)+COUNTIFS(工数管理!$AK$3:$AK$98,L$1,工数管理!$W$3:$W$98,"&lt;="&amp;$H74,工数管理!$X$3:$X$98,"&gt;="&amp;$H74)+COUNTIFS(工数管理!$AK$3:$AK$98,L$1,工数管理!$Y$3:$Y$98,"&lt;="&amp;$H74,工数管理!$Z$3:$Z$98,"&gt;="&amp;$H74)+COUNTIFS(工数管理!$AK$3:$AK$98,L$1,工数管理!$AA$3:$AA$98,"&lt;="&amp;$H74,工数管理!$AB$3:$AB$98,"&gt;="&amp;$H74)+COUNTIFS(工数管理!$AK$3:$AK$98,L$1,工数管理!$AC$3:$AC$98,"&lt;="&amp;$H74,工数管理!$AD$3:$AD$98,"&gt;="&amp;$H74)+COUNTIFS(工数管理!$AK$3:$AK$98,L$1,工数管理!$AE$3:$AE$98,"&lt;="&amp;$H74,工数管理!$AF$3:$AF$98,"&gt;="&amp;$H74)+COUNTIFS(工数管理!$AK$3:$AK$98,L$1,工数管理!$AG$3:$AG$98,"&lt;="&amp;$H74,工数管理!$AH$3:$AH$98,"&gt;="&amp;$H74)+(COUNTIFS(工数管理!$AK$3:$AK$98,L$1,工数管理!$K$3:$K$98,"&lt;="&amp;$H74,工数管理!$L$3:$L$98,"")+COUNTIFS(工数管理!$AK$3:$AK$98,L$1,工数管理!$M$3:$M$98,"&lt;="&amp;$H74,工数管理!$N$3:$N$98,"")+COUNTIFS(工数管理!$AK$3:$AK$98,L$1,工数管理!$O$3:$O$98,"&lt;="&amp;$H74,工数管理!$P$3:$P$98,"")+COUNTIFS(工数管理!$AK$3:$AK$98,L$1,工数管理!$Q$3:$Q$98,"&lt;="&amp;$H74,工数管理!$R$3:$R$98,"")+COUNTIFS(工数管理!$AK$3:$AK$98,L$1,工数管理!$S$3:$S$98,"&lt;="&amp;$H74,工数管理!$T$3:$T$98,"")+COUNTIFS(工数管理!$AK$3:$AK$98,L$1,工数管理!$U$3:$U$98,"&lt;="&amp;$H74,工数管理!$V$3:$V$98,"")+COUNTIFS(工数管理!$AK$3:$AK$98,L$1,工数管理!$W$3:$W$98,"&lt;="&amp;$H74,工数管理!$X$3:$X$98,"")+COUNTIFS(工数管理!$AK$3:$AK$98,L$1,工数管理!$Y$3:$Y$98,"&lt;="&amp;$H74,工数管理!$Z$3:$Z$98,"")+COUNTIFS(工数管理!$AK$3:$AK$98,L$1,工数管理!$AA$3:$AA$98,"&lt;="&amp;$H74,工数管理!$AB$3:$AB$98,"")+COUNTIFS(工数管理!$AK$3:$AK$98,L$1,工数管理!$AC$3:$AC$98,"&lt;="&amp;$H74,工数管理!$AD$3:$AD$98,"")+COUNTIFS(工数管理!$AK$3:$AK$98,L$1,工数管理!$AE$3:$AE$98,"&lt;="&amp;$H74,工数管理!$AF$3:$AF$98,"")+COUNTIFS(工数管理!$AK$3:$AK$98,L$1,工数管理!$AG$3:$AG$98,"&lt;="&amp;$H74,工数管理!$AH$3:$AH$98,""))*($H74&lt;=工数管理!$AI$1))</f>
        <v>1</v>
      </c>
    </row>
    <row r="75" spans="1:12" x14ac:dyDescent="0.15">
      <c r="A75" s="5"/>
      <c r="B75" s="6"/>
      <c r="H75" s="41">
        <f t="shared" si="3"/>
        <v>46243</v>
      </c>
      <c r="I75" s="42">
        <f t="shared" si="2"/>
        <v>0</v>
      </c>
      <c r="J75" s="42">
        <f ca="1">IF(J$1="",0,COUNTIFS(工数管理!$AK$3:$AK$98,J$1,工数管理!$K$3:$K$98,"&lt;="&amp;$H75,工数管理!$L$3:$L$98,"&gt;="&amp;$H75)+COUNTIFS(工数管理!$AK$3:$AK$98,J$1,工数管理!$M$3:$M$98,"&lt;="&amp;$H75,工数管理!$N$3:$N$98,"&gt;="&amp;$H75)+COUNTIFS(工数管理!$AK$3:$AK$98,J$1,工数管理!$O$3:$O$98,"&lt;="&amp;$H75,工数管理!$P$3:$P$98,"&gt;="&amp;$H75)+COUNTIFS(工数管理!$AK$3:$AK$98,J$1,工数管理!$Q$3:$Q$98,"&lt;="&amp;$H75,工数管理!$R$3:$R$98,"&gt;="&amp;$H75)+COUNTIFS(工数管理!$AK$3:$AK$98,J$1,工数管理!$S$3:$S$98,"&lt;="&amp;$H75,工数管理!$T$3:$T$98,"&gt;="&amp;$H75)+COUNTIFS(工数管理!$AK$3:$AK$98,J$1,工数管理!$U$3:$U$98,"&lt;="&amp;$H75,工数管理!$V$3:$V$98,"&gt;="&amp;$H75)+COUNTIFS(工数管理!$AK$3:$AK$98,J$1,工数管理!$W$3:$W$98,"&lt;="&amp;$H75,工数管理!$X$3:$X$98,"&gt;="&amp;$H75)+COUNTIFS(工数管理!$AK$3:$AK$98,J$1,工数管理!$Y$3:$Y$98,"&lt;="&amp;$H75,工数管理!$Z$3:$Z$98,"&gt;="&amp;$H75)+COUNTIFS(工数管理!$AK$3:$AK$98,J$1,工数管理!$AA$3:$AA$98,"&lt;="&amp;$H75,工数管理!$AB$3:$AB$98,"&gt;="&amp;$H75)+COUNTIFS(工数管理!$AK$3:$AK$98,J$1,工数管理!$AC$3:$AC$98,"&lt;="&amp;$H75,工数管理!$AD$3:$AD$98,"&gt;="&amp;$H75)+COUNTIFS(工数管理!$AK$3:$AK$98,J$1,工数管理!$AE$3:$AE$98,"&lt;="&amp;$H75,工数管理!$AF$3:$AF$98,"&gt;="&amp;$H75)+COUNTIFS(工数管理!$AK$3:$AK$98,J$1,工数管理!$AG$3:$AG$98,"&lt;="&amp;$H75,工数管理!$AH$3:$AH$98,"&gt;="&amp;$H75)+(COUNTIFS(工数管理!$AK$3:$AK$98,J$1,工数管理!$K$3:$K$98,"&lt;="&amp;$H75,工数管理!$L$3:$L$98,"")+COUNTIFS(工数管理!$AK$3:$AK$98,J$1,工数管理!$M$3:$M$98,"&lt;="&amp;$H75,工数管理!$N$3:$N$98,"")+COUNTIFS(工数管理!$AK$3:$AK$98,J$1,工数管理!$O$3:$O$98,"&lt;="&amp;$H75,工数管理!$P$3:$P$98,"")+COUNTIFS(工数管理!$AK$3:$AK$98,J$1,工数管理!$Q$3:$Q$98,"&lt;="&amp;$H75,工数管理!$R$3:$R$98,"")+COUNTIFS(工数管理!$AK$3:$AK$98,J$1,工数管理!$S$3:$S$98,"&lt;="&amp;$H75,工数管理!$T$3:$T$98,"")+COUNTIFS(工数管理!$AK$3:$AK$98,J$1,工数管理!$U$3:$U$98,"&lt;="&amp;$H75,工数管理!$V$3:$V$98,"")+COUNTIFS(工数管理!$AK$3:$AK$98,J$1,工数管理!$W$3:$W$98,"&lt;="&amp;$H75,工数管理!$X$3:$X$98,"")+COUNTIFS(工数管理!$AK$3:$AK$98,J$1,工数管理!$Y$3:$Y$98,"&lt;="&amp;$H75,工数管理!$Z$3:$Z$98,"")+COUNTIFS(工数管理!$AK$3:$AK$98,J$1,工数管理!$AA$3:$AA$98,"&lt;="&amp;$H75,工数管理!$AB$3:$AB$98,"")+COUNTIFS(工数管理!$AK$3:$AK$98,J$1,工数管理!$AC$3:$AC$98,"&lt;="&amp;$H75,工数管理!$AD$3:$AD$98,"")+COUNTIFS(工数管理!$AK$3:$AK$98,J$1,工数管理!$AE$3:$AE$98,"&lt;="&amp;$H75,工数管理!$AF$3:$AF$98,"")+COUNTIFS(工数管理!$AK$3:$AK$98,J$1,工数管理!$AG$3:$AG$98,"&lt;="&amp;$H75,工数管理!$AH$3:$AH$98,""))*($H75&lt;=工数管理!$AI$1))</f>
        <v>0</v>
      </c>
      <c r="K75" s="42">
        <f ca="1">IF(K$1="",0,COUNTIFS(工数管理!$AK$3:$AK$98,K$1,工数管理!$K$3:$K$98,"&lt;="&amp;$H75,工数管理!$L$3:$L$98,"&gt;="&amp;$H75)+COUNTIFS(工数管理!$AK$3:$AK$98,K$1,工数管理!$M$3:$M$98,"&lt;="&amp;$H75,工数管理!$N$3:$N$98,"&gt;="&amp;$H75)+COUNTIFS(工数管理!$AK$3:$AK$98,K$1,工数管理!$O$3:$O$98,"&lt;="&amp;$H75,工数管理!$P$3:$P$98,"&gt;="&amp;$H75)+COUNTIFS(工数管理!$AK$3:$AK$98,K$1,工数管理!$Q$3:$Q$98,"&lt;="&amp;$H75,工数管理!$R$3:$R$98,"&gt;="&amp;$H75)+COUNTIFS(工数管理!$AK$3:$AK$98,K$1,工数管理!$S$3:$S$98,"&lt;="&amp;$H75,工数管理!$T$3:$T$98,"&gt;="&amp;$H75)+COUNTIFS(工数管理!$AK$3:$AK$98,K$1,工数管理!$U$3:$U$98,"&lt;="&amp;$H75,工数管理!$V$3:$V$98,"&gt;="&amp;$H75)+COUNTIFS(工数管理!$AK$3:$AK$98,K$1,工数管理!$W$3:$W$98,"&lt;="&amp;$H75,工数管理!$X$3:$X$98,"&gt;="&amp;$H75)+COUNTIFS(工数管理!$AK$3:$AK$98,K$1,工数管理!$Y$3:$Y$98,"&lt;="&amp;$H75,工数管理!$Z$3:$Z$98,"&gt;="&amp;$H75)+COUNTIFS(工数管理!$AK$3:$AK$98,K$1,工数管理!$AA$3:$AA$98,"&lt;="&amp;$H75,工数管理!$AB$3:$AB$98,"&gt;="&amp;$H75)+COUNTIFS(工数管理!$AK$3:$AK$98,K$1,工数管理!$AC$3:$AC$98,"&lt;="&amp;$H75,工数管理!$AD$3:$AD$98,"&gt;="&amp;$H75)+COUNTIFS(工数管理!$AK$3:$AK$98,K$1,工数管理!$AE$3:$AE$98,"&lt;="&amp;$H75,工数管理!$AF$3:$AF$98,"&gt;="&amp;$H75)+COUNTIFS(工数管理!$AK$3:$AK$98,K$1,工数管理!$AG$3:$AG$98,"&lt;="&amp;$H75,工数管理!$AH$3:$AH$98,"&gt;="&amp;$H75)+(COUNTIFS(工数管理!$AK$3:$AK$98,K$1,工数管理!$K$3:$K$98,"&lt;="&amp;$H75,工数管理!$L$3:$L$98,"")+COUNTIFS(工数管理!$AK$3:$AK$98,K$1,工数管理!$M$3:$M$98,"&lt;="&amp;$H75,工数管理!$N$3:$N$98,"")+COUNTIFS(工数管理!$AK$3:$AK$98,K$1,工数管理!$O$3:$O$98,"&lt;="&amp;$H75,工数管理!$P$3:$P$98,"")+COUNTIFS(工数管理!$AK$3:$AK$98,K$1,工数管理!$Q$3:$Q$98,"&lt;="&amp;$H75,工数管理!$R$3:$R$98,"")+COUNTIFS(工数管理!$AK$3:$AK$98,K$1,工数管理!$S$3:$S$98,"&lt;="&amp;$H75,工数管理!$T$3:$T$98,"")+COUNTIFS(工数管理!$AK$3:$AK$98,K$1,工数管理!$U$3:$U$98,"&lt;="&amp;$H75,工数管理!$V$3:$V$98,"")+COUNTIFS(工数管理!$AK$3:$AK$98,K$1,工数管理!$W$3:$W$98,"&lt;="&amp;$H75,工数管理!$X$3:$X$98,"")+COUNTIFS(工数管理!$AK$3:$AK$98,K$1,工数管理!$Y$3:$Y$98,"&lt;="&amp;$H75,工数管理!$Z$3:$Z$98,"")+COUNTIFS(工数管理!$AK$3:$AK$98,K$1,工数管理!$AA$3:$AA$98,"&lt;="&amp;$H75,工数管理!$AB$3:$AB$98,"")+COUNTIFS(工数管理!$AK$3:$AK$98,K$1,工数管理!$AC$3:$AC$98,"&lt;="&amp;$H75,工数管理!$AD$3:$AD$98,"")+COUNTIFS(工数管理!$AK$3:$AK$98,K$1,工数管理!$AE$3:$AE$98,"&lt;="&amp;$H75,工数管理!$AF$3:$AF$98,"")+COUNTIFS(工数管理!$AK$3:$AK$98,K$1,工数管理!$AG$3:$AG$98,"&lt;="&amp;$H75,工数管理!$AH$3:$AH$98,""))*($H75&lt;=工数管理!$AI$1))</f>
        <v>1</v>
      </c>
      <c r="L75" s="42">
        <f ca="1">IF(L$1="",0,COUNTIFS(工数管理!$AK$3:$AK$98,L$1,工数管理!$K$3:$K$98,"&lt;="&amp;$H75,工数管理!$L$3:$L$98,"&gt;="&amp;$H75)+COUNTIFS(工数管理!$AK$3:$AK$98,L$1,工数管理!$M$3:$M$98,"&lt;="&amp;$H75,工数管理!$N$3:$N$98,"&gt;="&amp;$H75)+COUNTIFS(工数管理!$AK$3:$AK$98,L$1,工数管理!$O$3:$O$98,"&lt;="&amp;$H75,工数管理!$P$3:$P$98,"&gt;="&amp;$H75)+COUNTIFS(工数管理!$AK$3:$AK$98,L$1,工数管理!$Q$3:$Q$98,"&lt;="&amp;$H75,工数管理!$R$3:$R$98,"&gt;="&amp;$H75)+COUNTIFS(工数管理!$AK$3:$AK$98,L$1,工数管理!$S$3:$S$98,"&lt;="&amp;$H75,工数管理!$T$3:$T$98,"&gt;="&amp;$H75)+COUNTIFS(工数管理!$AK$3:$AK$98,L$1,工数管理!$U$3:$U$98,"&lt;="&amp;$H75,工数管理!$V$3:$V$98,"&gt;="&amp;$H75)+COUNTIFS(工数管理!$AK$3:$AK$98,L$1,工数管理!$W$3:$W$98,"&lt;="&amp;$H75,工数管理!$X$3:$X$98,"&gt;="&amp;$H75)+COUNTIFS(工数管理!$AK$3:$AK$98,L$1,工数管理!$Y$3:$Y$98,"&lt;="&amp;$H75,工数管理!$Z$3:$Z$98,"&gt;="&amp;$H75)+COUNTIFS(工数管理!$AK$3:$AK$98,L$1,工数管理!$AA$3:$AA$98,"&lt;="&amp;$H75,工数管理!$AB$3:$AB$98,"&gt;="&amp;$H75)+COUNTIFS(工数管理!$AK$3:$AK$98,L$1,工数管理!$AC$3:$AC$98,"&lt;="&amp;$H75,工数管理!$AD$3:$AD$98,"&gt;="&amp;$H75)+COUNTIFS(工数管理!$AK$3:$AK$98,L$1,工数管理!$AE$3:$AE$98,"&lt;="&amp;$H75,工数管理!$AF$3:$AF$98,"&gt;="&amp;$H75)+COUNTIFS(工数管理!$AK$3:$AK$98,L$1,工数管理!$AG$3:$AG$98,"&lt;="&amp;$H75,工数管理!$AH$3:$AH$98,"&gt;="&amp;$H75)+(COUNTIFS(工数管理!$AK$3:$AK$98,L$1,工数管理!$K$3:$K$98,"&lt;="&amp;$H75,工数管理!$L$3:$L$98,"")+COUNTIFS(工数管理!$AK$3:$AK$98,L$1,工数管理!$M$3:$M$98,"&lt;="&amp;$H75,工数管理!$N$3:$N$98,"")+COUNTIFS(工数管理!$AK$3:$AK$98,L$1,工数管理!$O$3:$O$98,"&lt;="&amp;$H75,工数管理!$P$3:$P$98,"")+COUNTIFS(工数管理!$AK$3:$AK$98,L$1,工数管理!$Q$3:$Q$98,"&lt;="&amp;$H75,工数管理!$R$3:$R$98,"")+COUNTIFS(工数管理!$AK$3:$AK$98,L$1,工数管理!$S$3:$S$98,"&lt;="&amp;$H75,工数管理!$T$3:$T$98,"")+COUNTIFS(工数管理!$AK$3:$AK$98,L$1,工数管理!$U$3:$U$98,"&lt;="&amp;$H75,工数管理!$V$3:$V$98,"")+COUNTIFS(工数管理!$AK$3:$AK$98,L$1,工数管理!$W$3:$W$98,"&lt;="&amp;$H75,工数管理!$X$3:$X$98,"")+COUNTIFS(工数管理!$AK$3:$AK$98,L$1,工数管理!$Y$3:$Y$98,"&lt;="&amp;$H75,工数管理!$Z$3:$Z$98,"")+COUNTIFS(工数管理!$AK$3:$AK$98,L$1,工数管理!$AA$3:$AA$98,"&lt;="&amp;$H75,工数管理!$AB$3:$AB$98,"")+COUNTIFS(工数管理!$AK$3:$AK$98,L$1,工数管理!$AC$3:$AC$98,"&lt;="&amp;$H75,工数管理!$AD$3:$AD$98,"")+COUNTIFS(工数管理!$AK$3:$AK$98,L$1,工数管理!$AE$3:$AE$98,"&lt;="&amp;$H75,工数管理!$AF$3:$AF$98,"")+COUNTIFS(工数管理!$AK$3:$AK$98,L$1,工数管理!$AG$3:$AG$98,"&lt;="&amp;$H75,工数管理!$AH$3:$AH$98,""))*($H75&lt;=工数管理!$AI$1))</f>
        <v>1</v>
      </c>
    </row>
    <row r="76" spans="1:12" x14ac:dyDescent="0.15">
      <c r="A76" s="5"/>
      <c r="B76" s="6"/>
      <c r="H76" s="41">
        <f t="shared" si="3"/>
        <v>46244</v>
      </c>
      <c r="I76" s="42">
        <f t="shared" si="2"/>
        <v>1</v>
      </c>
      <c r="J76" s="42">
        <f ca="1">IF(J$1="",0,COUNTIFS(工数管理!$AK$3:$AK$98,J$1,工数管理!$K$3:$K$98,"&lt;="&amp;$H76,工数管理!$L$3:$L$98,"&gt;="&amp;$H76)+COUNTIFS(工数管理!$AK$3:$AK$98,J$1,工数管理!$M$3:$M$98,"&lt;="&amp;$H76,工数管理!$N$3:$N$98,"&gt;="&amp;$H76)+COUNTIFS(工数管理!$AK$3:$AK$98,J$1,工数管理!$O$3:$O$98,"&lt;="&amp;$H76,工数管理!$P$3:$P$98,"&gt;="&amp;$H76)+COUNTIFS(工数管理!$AK$3:$AK$98,J$1,工数管理!$Q$3:$Q$98,"&lt;="&amp;$H76,工数管理!$R$3:$R$98,"&gt;="&amp;$H76)+COUNTIFS(工数管理!$AK$3:$AK$98,J$1,工数管理!$S$3:$S$98,"&lt;="&amp;$H76,工数管理!$T$3:$T$98,"&gt;="&amp;$H76)+COUNTIFS(工数管理!$AK$3:$AK$98,J$1,工数管理!$U$3:$U$98,"&lt;="&amp;$H76,工数管理!$V$3:$V$98,"&gt;="&amp;$H76)+COUNTIFS(工数管理!$AK$3:$AK$98,J$1,工数管理!$W$3:$W$98,"&lt;="&amp;$H76,工数管理!$X$3:$X$98,"&gt;="&amp;$H76)+COUNTIFS(工数管理!$AK$3:$AK$98,J$1,工数管理!$Y$3:$Y$98,"&lt;="&amp;$H76,工数管理!$Z$3:$Z$98,"&gt;="&amp;$H76)+COUNTIFS(工数管理!$AK$3:$AK$98,J$1,工数管理!$AA$3:$AA$98,"&lt;="&amp;$H76,工数管理!$AB$3:$AB$98,"&gt;="&amp;$H76)+COUNTIFS(工数管理!$AK$3:$AK$98,J$1,工数管理!$AC$3:$AC$98,"&lt;="&amp;$H76,工数管理!$AD$3:$AD$98,"&gt;="&amp;$H76)+COUNTIFS(工数管理!$AK$3:$AK$98,J$1,工数管理!$AE$3:$AE$98,"&lt;="&amp;$H76,工数管理!$AF$3:$AF$98,"&gt;="&amp;$H76)+COUNTIFS(工数管理!$AK$3:$AK$98,J$1,工数管理!$AG$3:$AG$98,"&lt;="&amp;$H76,工数管理!$AH$3:$AH$98,"&gt;="&amp;$H76)+(COUNTIFS(工数管理!$AK$3:$AK$98,J$1,工数管理!$K$3:$K$98,"&lt;="&amp;$H76,工数管理!$L$3:$L$98,"")+COUNTIFS(工数管理!$AK$3:$AK$98,J$1,工数管理!$M$3:$M$98,"&lt;="&amp;$H76,工数管理!$N$3:$N$98,"")+COUNTIFS(工数管理!$AK$3:$AK$98,J$1,工数管理!$O$3:$O$98,"&lt;="&amp;$H76,工数管理!$P$3:$P$98,"")+COUNTIFS(工数管理!$AK$3:$AK$98,J$1,工数管理!$Q$3:$Q$98,"&lt;="&amp;$H76,工数管理!$R$3:$R$98,"")+COUNTIFS(工数管理!$AK$3:$AK$98,J$1,工数管理!$S$3:$S$98,"&lt;="&amp;$H76,工数管理!$T$3:$T$98,"")+COUNTIFS(工数管理!$AK$3:$AK$98,J$1,工数管理!$U$3:$U$98,"&lt;="&amp;$H76,工数管理!$V$3:$V$98,"")+COUNTIFS(工数管理!$AK$3:$AK$98,J$1,工数管理!$W$3:$W$98,"&lt;="&amp;$H76,工数管理!$X$3:$X$98,"")+COUNTIFS(工数管理!$AK$3:$AK$98,J$1,工数管理!$Y$3:$Y$98,"&lt;="&amp;$H76,工数管理!$Z$3:$Z$98,"")+COUNTIFS(工数管理!$AK$3:$AK$98,J$1,工数管理!$AA$3:$AA$98,"&lt;="&amp;$H76,工数管理!$AB$3:$AB$98,"")+COUNTIFS(工数管理!$AK$3:$AK$98,J$1,工数管理!$AC$3:$AC$98,"&lt;="&amp;$H76,工数管理!$AD$3:$AD$98,"")+COUNTIFS(工数管理!$AK$3:$AK$98,J$1,工数管理!$AE$3:$AE$98,"&lt;="&amp;$H76,工数管理!$AF$3:$AF$98,"")+COUNTIFS(工数管理!$AK$3:$AK$98,J$1,工数管理!$AG$3:$AG$98,"&lt;="&amp;$H76,工数管理!$AH$3:$AH$98,""))*($H76&lt;=工数管理!$AI$1))</f>
        <v>0</v>
      </c>
      <c r="K76" s="42">
        <f ca="1">IF(K$1="",0,COUNTIFS(工数管理!$AK$3:$AK$98,K$1,工数管理!$K$3:$K$98,"&lt;="&amp;$H76,工数管理!$L$3:$L$98,"&gt;="&amp;$H76)+COUNTIFS(工数管理!$AK$3:$AK$98,K$1,工数管理!$M$3:$M$98,"&lt;="&amp;$H76,工数管理!$N$3:$N$98,"&gt;="&amp;$H76)+COUNTIFS(工数管理!$AK$3:$AK$98,K$1,工数管理!$O$3:$O$98,"&lt;="&amp;$H76,工数管理!$P$3:$P$98,"&gt;="&amp;$H76)+COUNTIFS(工数管理!$AK$3:$AK$98,K$1,工数管理!$Q$3:$Q$98,"&lt;="&amp;$H76,工数管理!$R$3:$R$98,"&gt;="&amp;$H76)+COUNTIFS(工数管理!$AK$3:$AK$98,K$1,工数管理!$S$3:$S$98,"&lt;="&amp;$H76,工数管理!$T$3:$T$98,"&gt;="&amp;$H76)+COUNTIFS(工数管理!$AK$3:$AK$98,K$1,工数管理!$U$3:$U$98,"&lt;="&amp;$H76,工数管理!$V$3:$V$98,"&gt;="&amp;$H76)+COUNTIFS(工数管理!$AK$3:$AK$98,K$1,工数管理!$W$3:$W$98,"&lt;="&amp;$H76,工数管理!$X$3:$X$98,"&gt;="&amp;$H76)+COUNTIFS(工数管理!$AK$3:$AK$98,K$1,工数管理!$Y$3:$Y$98,"&lt;="&amp;$H76,工数管理!$Z$3:$Z$98,"&gt;="&amp;$H76)+COUNTIFS(工数管理!$AK$3:$AK$98,K$1,工数管理!$AA$3:$AA$98,"&lt;="&amp;$H76,工数管理!$AB$3:$AB$98,"&gt;="&amp;$H76)+COUNTIFS(工数管理!$AK$3:$AK$98,K$1,工数管理!$AC$3:$AC$98,"&lt;="&amp;$H76,工数管理!$AD$3:$AD$98,"&gt;="&amp;$H76)+COUNTIFS(工数管理!$AK$3:$AK$98,K$1,工数管理!$AE$3:$AE$98,"&lt;="&amp;$H76,工数管理!$AF$3:$AF$98,"&gt;="&amp;$H76)+COUNTIFS(工数管理!$AK$3:$AK$98,K$1,工数管理!$AG$3:$AG$98,"&lt;="&amp;$H76,工数管理!$AH$3:$AH$98,"&gt;="&amp;$H76)+(COUNTIFS(工数管理!$AK$3:$AK$98,K$1,工数管理!$K$3:$K$98,"&lt;="&amp;$H76,工数管理!$L$3:$L$98,"")+COUNTIFS(工数管理!$AK$3:$AK$98,K$1,工数管理!$M$3:$M$98,"&lt;="&amp;$H76,工数管理!$N$3:$N$98,"")+COUNTIFS(工数管理!$AK$3:$AK$98,K$1,工数管理!$O$3:$O$98,"&lt;="&amp;$H76,工数管理!$P$3:$P$98,"")+COUNTIFS(工数管理!$AK$3:$AK$98,K$1,工数管理!$Q$3:$Q$98,"&lt;="&amp;$H76,工数管理!$R$3:$R$98,"")+COUNTIFS(工数管理!$AK$3:$AK$98,K$1,工数管理!$S$3:$S$98,"&lt;="&amp;$H76,工数管理!$T$3:$T$98,"")+COUNTIFS(工数管理!$AK$3:$AK$98,K$1,工数管理!$U$3:$U$98,"&lt;="&amp;$H76,工数管理!$V$3:$V$98,"")+COUNTIFS(工数管理!$AK$3:$AK$98,K$1,工数管理!$W$3:$W$98,"&lt;="&amp;$H76,工数管理!$X$3:$X$98,"")+COUNTIFS(工数管理!$AK$3:$AK$98,K$1,工数管理!$Y$3:$Y$98,"&lt;="&amp;$H76,工数管理!$Z$3:$Z$98,"")+COUNTIFS(工数管理!$AK$3:$AK$98,K$1,工数管理!$AA$3:$AA$98,"&lt;="&amp;$H76,工数管理!$AB$3:$AB$98,"")+COUNTIFS(工数管理!$AK$3:$AK$98,K$1,工数管理!$AC$3:$AC$98,"&lt;="&amp;$H76,工数管理!$AD$3:$AD$98,"")+COUNTIFS(工数管理!$AK$3:$AK$98,K$1,工数管理!$AE$3:$AE$98,"&lt;="&amp;$H76,工数管理!$AF$3:$AF$98,"")+COUNTIFS(工数管理!$AK$3:$AK$98,K$1,工数管理!$AG$3:$AG$98,"&lt;="&amp;$H76,工数管理!$AH$3:$AH$98,""))*($H76&lt;=工数管理!$AI$1))</f>
        <v>1</v>
      </c>
      <c r="L76" s="42">
        <f ca="1">IF(L$1="",0,COUNTIFS(工数管理!$AK$3:$AK$98,L$1,工数管理!$K$3:$K$98,"&lt;="&amp;$H76,工数管理!$L$3:$L$98,"&gt;="&amp;$H76)+COUNTIFS(工数管理!$AK$3:$AK$98,L$1,工数管理!$M$3:$M$98,"&lt;="&amp;$H76,工数管理!$N$3:$N$98,"&gt;="&amp;$H76)+COUNTIFS(工数管理!$AK$3:$AK$98,L$1,工数管理!$O$3:$O$98,"&lt;="&amp;$H76,工数管理!$P$3:$P$98,"&gt;="&amp;$H76)+COUNTIFS(工数管理!$AK$3:$AK$98,L$1,工数管理!$Q$3:$Q$98,"&lt;="&amp;$H76,工数管理!$R$3:$R$98,"&gt;="&amp;$H76)+COUNTIFS(工数管理!$AK$3:$AK$98,L$1,工数管理!$S$3:$S$98,"&lt;="&amp;$H76,工数管理!$T$3:$T$98,"&gt;="&amp;$H76)+COUNTIFS(工数管理!$AK$3:$AK$98,L$1,工数管理!$U$3:$U$98,"&lt;="&amp;$H76,工数管理!$V$3:$V$98,"&gt;="&amp;$H76)+COUNTIFS(工数管理!$AK$3:$AK$98,L$1,工数管理!$W$3:$W$98,"&lt;="&amp;$H76,工数管理!$X$3:$X$98,"&gt;="&amp;$H76)+COUNTIFS(工数管理!$AK$3:$AK$98,L$1,工数管理!$Y$3:$Y$98,"&lt;="&amp;$H76,工数管理!$Z$3:$Z$98,"&gt;="&amp;$H76)+COUNTIFS(工数管理!$AK$3:$AK$98,L$1,工数管理!$AA$3:$AA$98,"&lt;="&amp;$H76,工数管理!$AB$3:$AB$98,"&gt;="&amp;$H76)+COUNTIFS(工数管理!$AK$3:$AK$98,L$1,工数管理!$AC$3:$AC$98,"&lt;="&amp;$H76,工数管理!$AD$3:$AD$98,"&gt;="&amp;$H76)+COUNTIFS(工数管理!$AK$3:$AK$98,L$1,工数管理!$AE$3:$AE$98,"&lt;="&amp;$H76,工数管理!$AF$3:$AF$98,"&gt;="&amp;$H76)+COUNTIFS(工数管理!$AK$3:$AK$98,L$1,工数管理!$AG$3:$AG$98,"&lt;="&amp;$H76,工数管理!$AH$3:$AH$98,"&gt;="&amp;$H76)+(COUNTIFS(工数管理!$AK$3:$AK$98,L$1,工数管理!$K$3:$K$98,"&lt;="&amp;$H76,工数管理!$L$3:$L$98,"")+COUNTIFS(工数管理!$AK$3:$AK$98,L$1,工数管理!$M$3:$M$98,"&lt;="&amp;$H76,工数管理!$N$3:$N$98,"")+COUNTIFS(工数管理!$AK$3:$AK$98,L$1,工数管理!$O$3:$O$98,"&lt;="&amp;$H76,工数管理!$P$3:$P$98,"")+COUNTIFS(工数管理!$AK$3:$AK$98,L$1,工数管理!$Q$3:$Q$98,"&lt;="&amp;$H76,工数管理!$R$3:$R$98,"")+COUNTIFS(工数管理!$AK$3:$AK$98,L$1,工数管理!$S$3:$S$98,"&lt;="&amp;$H76,工数管理!$T$3:$T$98,"")+COUNTIFS(工数管理!$AK$3:$AK$98,L$1,工数管理!$U$3:$U$98,"&lt;="&amp;$H76,工数管理!$V$3:$V$98,"")+COUNTIFS(工数管理!$AK$3:$AK$98,L$1,工数管理!$W$3:$W$98,"&lt;="&amp;$H76,工数管理!$X$3:$X$98,"")+COUNTIFS(工数管理!$AK$3:$AK$98,L$1,工数管理!$Y$3:$Y$98,"&lt;="&amp;$H76,工数管理!$Z$3:$Z$98,"")+COUNTIFS(工数管理!$AK$3:$AK$98,L$1,工数管理!$AA$3:$AA$98,"&lt;="&amp;$H76,工数管理!$AB$3:$AB$98,"")+COUNTIFS(工数管理!$AK$3:$AK$98,L$1,工数管理!$AC$3:$AC$98,"&lt;="&amp;$H76,工数管理!$AD$3:$AD$98,"")+COUNTIFS(工数管理!$AK$3:$AK$98,L$1,工数管理!$AE$3:$AE$98,"&lt;="&amp;$H76,工数管理!$AF$3:$AF$98,"")+COUNTIFS(工数管理!$AK$3:$AK$98,L$1,工数管理!$AG$3:$AG$98,"&lt;="&amp;$H76,工数管理!$AH$3:$AH$98,""))*($H76&lt;=工数管理!$AI$1))</f>
        <v>1</v>
      </c>
    </row>
    <row r="77" spans="1:12" x14ac:dyDescent="0.15">
      <c r="A77" s="5"/>
      <c r="B77" s="6"/>
      <c r="H77" s="41">
        <f t="shared" si="3"/>
        <v>46245</v>
      </c>
      <c r="I77" s="42">
        <f t="shared" si="2"/>
        <v>0</v>
      </c>
      <c r="J77" s="42">
        <f ca="1">IF(J$1="",0,COUNTIFS(工数管理!$AK$3:$AK$98,J$1,工数管理!$K$3:$K$98,"&lt;="&amp;$H77,工数管理!$L$3:$L$98,"&gt;="&amp;$H77)+COUNTIFS(工数管理!$AK$3:$AK$98,J$1,工数管理!$M$3:$M$98,"&lt;="&amp;$H77,工数管理!$N$3:$N$98,"&gt;="&amp;$H77)+COUNTIFS(工数管理!$AK$3:$AK$98,J$1,工数管理!$O$3:$O$98,"&lt;="&amp;$H77,工数管理!$P$3:$P$98,"&gt;="&amp;$H77)+COUNTIFS(工数管理!$AK$3:$AK$98,J$1,工数管理!$Q$3:$Q$98,"&lt;="&amp;$H77,工数管理!$R$3:$R$98,"&gt;="&amp;$H77)+COUNTIFS(工数管理!$AK$3:$AK$98,J$1,工数管理!$S$3:$S$98,"&lt;="&amp;$H77,工数管理!$T$3:$T$98,"&gt;="&amp;$H77)+COUNTIFS(工数管理!$AK$3:$AK$98,J$1,工数管理!$U$3:$U$98,"&lt;="&amp;$H77,工数管理!$V$3:$V$98,"&gt;="&amp;$H77)+COUNTIFS(工数管理!$AK$3:$AK$98,J$1,工数管理!$W$3:$W$98,"&lt;="&amp;$H77,工数管理!$X$3:$X$98,"&gt;="&amp;$H77)+COUNTIFS(工数管理!$AK$3:$AK$98,J$1,工数管理!$Y$3:$Y$98,"&lt;="&amp;$H77,工数管理!$Z$3:$Z$98,"&gt;="&amp;$H77)+COUNTIFS(工数管理!$AK$3:$AK$98,J$1,工数管理!$AA$3:$AA$98,"&lt;="&amp;$H77,工数管理!$AB$3:$AB$98,"&gt;="&amp;$H77)+COUNTIFS(工数管理!$AK$3:$AK$98,J$1,工数管理!$AC$3:$AC$98,"&lt;="&amp;$H77,工数管理!$AD$3:$AD$98,"&gt;="&amp;$H77)+COUNTIFS(工数管理!$AK$3:$AK$98,J$1,工数管理!$AE$3:$AE$98,"&lt;="&amp;$H77,工数管理!$AF$3:$AF$98,"&gt;="&amp;$H77)+COUNTIFS(工数管理!$AK$3:$AK$98,J$1,工数管理!$AG$3:$AG$98,"&lt;="&amp;$H77,工数管理!$AH$3:$AH$98,"&gt;="&amp;$H77)+(COUNTIFS(工数管理!$AK$3:$AK$98,J$1,工数管理!$K$3:$K$98,"&lt;="&amp;$H77,工数管理!$L$3:$L$98,"")+COUNTIFS(工数管理!$AK$3:$AK$98,J$1,工数管理!$M$3:$M$98,"&lt;="&amp;$H77,工数管理!$N$3:$N$98,"")+COUNTIFS(工数管理!$AK$3:$AK$98,J$1,工数管理!$O$3:$O$98,"&lt;="&amp;$H77,工数管理!$P$3:$P$98,"")+COUNTIFS(工数管理!$AK$3:$AK$98,J$1,工数管理!$Q$3:$Q$98,"&lt;="&amp;$H77,工数管理!$R$3:$R$98,"")+COUNTIFS(工数管理!$AK$3:$AK$98,J$1,工数管理!$S$3:$S$98,"&lt;="&amp;$H77,工数管理!$T$3:$T$98,"")+COUNTIFS(工数管理!$AK$3:$AK$98,J$1,工数管理!$U$3:$U$98,"&lt;="&amp;$H77,工数管理!$V$3:$V$98,"")+COUNTIFS(工数管理!$AK$3:$AK$98,J$1,工数管理!$W$3:$W$98,"&lt;="&amp;$H77,工数管理!$X$3:$X$98,"")+COUNTIFS(工数管理!$AK$3:$AK$98,J$1,工数管理!$Y$3:$Y$98,"&lt;="&amp;$H77,工数管理!$Z$3:$Z$98,"")+COUNTIFS(工数管理!$AK$3:$AK$98,J$1,工数管理!$AA$3:$AA$98,"&lt;="&amp;$H77,工数管理!$AB$3:$AB$98,"")+COUNTIFS(工数管理!$AK$3:$AK$98,J$1,工数管理!$AC$3:$AC$98,"&lt;="&amp;$H77,工数管理!$AD$3:$AD$98,"")+COUNTIFS(工数管理!$AK$3:$AK$98,J$1,工数管理!$AE$3:$AE$98,"&lt;="&amp;$H77,工数管理!$AF$3:$AF$98,"")+COUNTIFS(工数管理!$AK$3:$AK$98,J$1,工数管理!$AG$3:$AG$98,"&lt;="&amp;$H77,工数管理!$AH$3:$AH$98,""))*($H77&lt;=工数管理!$AI$1))</f>
        <v>0</v>
      </c>
      <c r="K77" s="42">
        <f ca="1">IF(K$1="",0,COUNTIFS(工数管理!$AK$3:$AK$98,K$1,工数管理!$K$3:$K$98,"&lt;="&amp;$H77,工数管理!$L$3:$L$98,"&gt;="&amp;$H77)+COUNTIFS(工数管理!$AK$3:$AK$98,K$1,工数管理!$M$3:$M$98,"&lt;="&amp;$H77,工数管理!$N$3:$N$98,"&gt;="&amp;$H77)+COUNTIFS(工数管理!$AK$3:$AK$98,K$1,工数管理!$O$3:$O$98,"&lt;="&amp;$H77,工数管理!$P$3:$P$98,"&gt;="&amp;$H77)+COUNTIFS(工数管理!$AK$3:$AK$98,K$1,工数管理!$Q$3:$Q$98,"&lt;="&amp;$H77,工数管理!$R$3:$R$98,"&gt;="&amp;$H77)+COUNTIFS(工数管理!$AK$3:$AK$98,K$1,工数管理!$S$3:$S$98,"&lt;="&amp;$H77,工数管理!$T$3:$T$98,"&gt;="&amp;$H77)+COUNTIFS(工数管理!$AK$3:$AK$98,K$1,工数管理!$U$3:$U$98,"&lt;="&amp;$H77,工数管理!$V$3:$V$98,"&gt;="&amp;$H77)+COUNTIFS(工数管理!$AK$3:$AK$98,K$1,工数管理!$W$3:$W$98,"&lt;="&amp;$H77,工数管理!$X$3:$X$98,"&gt;="&amp;$H77)+COUNTIFS(工数管理!$AK$3:$AK$98,K$1,工数管理!$Y$3:$Y$98,"&lt;="&amp;$H77,工数管理!$Z$3:$Z$98,"&gt;="&amp;$H77)+COUNTIFS(工数管理!$AK$3:$AK$98,K$1,工数管理!$AA$3:$AA$98,"&lt;="&amp;$H77,工数管理!$AB$3:$AB$98,"&gt;="&amp;$H77)+COUNTIFS(工数管理!$AK$3:$AK$98,K$1,工数管理!$AC$3:$AC$98,"&lt;="&amp;$H77,工数管理!$AD$3:$AD$98,"&gt;="&amp;$H77)+COUNTIFS(工数管理!$AK$3:$AK$98,K$1,工数管理!$AE$3:$AE$98,"&lt;="&amp;$H77,工数管理!$AF$3:$AF$98,"&gt;="&amp;$H77)+COUNTIFS(工数管理!$AK$3:$AK$98,K$1,工数管理!$AG$3:$AG$98,"&lt;="&amp;$H77,工数管理!$AH$3:$AH$98,"&gt;="&amp;$H77)+(COUNTIFS(工数管理!$AK$3:$AK$98,K$1,工数管理!$K$3:$K$98,"&lt;="&amp;$H77,工数管理!$L$3:$L$98,"")+COUNTIFS(工数管理!$AK$3:$AK$98,K$1,工数管理!$M$3:$M$98,"&lt;="&amp;$H77,工数管理!$N$3:$N$98,"")+COUNTIFS(工数管理!$AK$3:$AK$98,K$1,工数管理!$O$3:$O$98,"&lt;="&amp;$H77,工数管理!$P$3:$P$98,"")+COUNTIFS(工数管理!$AK$3:$AK$98,K$1,工数管理!$Q$3:$Q$98,"&lt;="&amp;$H77,工数管理!$R$3:$R$98,"")+COUNTIFS(工数管理!$AK$3:$AK$98,K$1,工数管理!$S$3:$S$98,"&lt;="&amp;$H77,工数管理!$T$3:$T$98,"")+COUNTIFS(工数管理!$AK$3:$AK$98,K$1,工数管理!$U$3:$U$98,"&lt;="&amp;$H77,工数管理!$V$3:$V$98,"")+COUNTIFS(工数管理!$AK$3:$AK$98,K$1,工数管理!$W$3:$W$98,"&lt;="&amp;$H77,工数管理!$X$3:$X$98,"")+COUNTIFS(工数管理!$AK$3:$AK$98,K$1,工数管理!$Y$3:$Y$98,"&lt;="&amp;$H77,工数管理!$Z$3:$Z$98,"")+COUNTIFS(工数管理!$AK$3:$AK$98,K$1,工数管理!$AA$3:$AA$98,"&lt;="&amp;$H77,工数管理!$AB$3:$AB$98,"")+COUNTIFS(工数管理!$AK$3:$AK$98,K$1,工数管理!$AC$3:$AC$98,"&lt;="&amp;$H77,工数管理!$AD$3:$AD$98,"")+COUNTIFS(工数管理!$AK$3:$AK$98,K$1,工数管理!$AE$3:$AE$98,"&lt;="&amp;$H77,工数管理!$AF$3:$AF$98,"")+COUNTIFS(工数管理!$AK$3:$AK$98,K$1,工数管理!$AG$3:$AG$98,"&lt;="&amp;$H77,工数管理!$AH$3:$AH$98,""))*($H77&lt;=工数管理!$AI$1))</f>
        <v>1</v>
      </c>
      <c r="L77" s="42">
        <f ca="1">IF(L$1="",0,COUNTIFS(工数管理!$AK$3:$AK$98,L$1,工数管理!$K$3:$K$98,"&lt;="&amp;$H77,工数管理!$L$3:$L$98,"&gt;="&amp;$H77)+COUNTIFS(工数管理!$AK$3:$AK$98,L$1,工数管理!$M$3:$M$98,"&lt;="&amp;$H77,工数管理!$N$3:$N$98,"&gt;="&amp;$H77)+COUNTIFS(工数管理!$AK$3:$AK$98,L$1,工数管理!$O$3:$O$98,"&lt;="&amp;$H77,工数管理!$P$3:$P$98,"&gt;="&amp;$H77)+COUNTIFS(工数管理!$AK$3:$AK$98,L$1,工数管理!$Q$3:$Q$98,"&lt;="&amp;$H77,工数管理!$R$3:$R$98,"&gt;="&amp;$H77)+COUNTIFS(工数管理!$AK$3:$AK$98,L$1,工数管理!$S$3:$S$98,"&lt;="&amp;$H77,工数管理!$T$3:$T$98,"&gt;="&amp;$H77)+COUNTIFS(工数管理!$AK$3:$AK$98,L$1,工数管理!$U$3:$U$98,"&lt;="&amp;$H77,工数管理!$V$3:$V$98,"&gt;="&amp;$H77)+COUNTIFS(工数管理!$AK$3:$AK$98,L$1,工数管理!$W$3:$W$98,"&lt;="&amp;$H77,工数管理!$X$3:$X$98,"&gt;="&amp;$H77)+COUNTIFS(工数管理!$AK$3:$AK$98,L$1,工数管理!$Y$3:$Y$98,"&lt;="&amp;$H77,工数管理!$Z$3:$Z$98,"&gt;="&amp;$H77)+COUNTIFS(工数管理!$AK$3:$AK$98,L$1,工数管理!$AA$3:$AA$98,"&lt;="&amp;$H77,工数管理!$AB$3:$AB$98,"&gt;="&amp;$H77)+COUNTIFS(工数管理!$AK$3:$AK$98,L$1,工数管理!$AC$3:$AC$98,"&lt;="&amp;$H77,工数管理!$AD$3:$AD$98,"&gt;="&amp;$H77)+COUNTIFS(工数管理!$AK$3:$AK$98,L$1,工数管理!$AE$3:$AE$98,"&lt;="&amp;$H77,工数管理!$AF$3:$AF$98,"&gt;="&amp;$H77)+COUNTIFS(工数管理!$AK$3:$AK$98,L$1,工数管理!$AG$3:$AG$98,"&lt;="&amp;$H77,工数管理!$AH$3:$AH$98,"&gt;="&amp;$H77)+(COUNTIFS(工数管理!$AK$3:$AK$98,L$1,工数管理!$K$3:$K$98,"&lt;="&amp;$H77,工数管理!$L$3:$L$98,"")+COUNTIFS(工数管理!$AK$3:$AK$98,L$1,工数管理!$M$3:$M$98,"&lt;="&amp;$H77,工数管理!$N$3:$N$98,"")+COUNTIFS(工数管理!$AK$3:$AK$98,L$1,工数管理!$O$3:$O$98,"&lt;="&amp;$H77,工数管理!$P$3:$P$98,"")+COUNTIFS(工数管理!$AK$3:$AK$98,L$1,工数管理!$Q$3:$Q$98,"&lt;="&amp;$H77,工数管理!$R$3:$R$98,"")+COUNTIFS(工数管理!$AK$3:$AK$98,L$1,工数管理!$S$3:$S$98,"&lt;="&amp;$H77,工数管理!$T$3:$T$98,"")+COUNTIFS(工数管理!$AK$3:$AK$98,L$1,工数管理!$U$3:$U$98,"&lt;="&amp;$H77,工数管理!$V$3:$V$98,"")+COUNTIFS(工数管理!$AK$3:$AK$98,L$1,工数管理!$W$3:$W$98,"&lt;="&amp;$H77,工数管理!$X$3:$X$98,"")+COUNTIFS(工数管理!$AK$3:$AK$98,L$1,工数管理!$Y$3:$Y$98,"&lt;="&amp;$H77,工数管理!$Z$3:$Z$98,"")+COUNTIFS(工数管理!$AK$3:$AK$98,L$1,工数管理!$AA$3:$AA$98,"&lt;="&amp;$H77,工数管理!$AB$3:$AB$98,"")+COUNTIFS(工数管理!$AK$3:$AK$98,L$1,工数管理!$AC$3:$AC$98,"&lt;="&amp;$H77,工数管理!$AD$3:$AD$98,"")+COUNTIFS(工数管理!$AK$3:$AK$98,L$1,工数管理!$AE$3:$AE$98,"&lt;="&amp;$H77,工数管理!$AF$3:$AF$98,"")+COUNTIFS(工数管理!$AK$3:$AK$98,L$1,工数管理!$AG$3:$AG$98,"&lt;="&amp;$H77,工数管理!$AH$3:$AH$98,""))*($H77&lt;=工数管理!$AI$1))</f>
        <v>1</v>
      </c>
    </row>
    <row r="78" spans="1:12" x14ac:dyDescent="0.15">
      <c r="A78" s="5"/>
      <c r="B78" s="6"/>
      <c r="H78" s="41">
        <f t="shared" si="3"/>
        <v>46246</v>
      </c>
      <c r="I78" s="42">
        <f t="shared" si="2"/>
        <v>0</v>
      </c>
      <c r="J78" s="42">
        <f ca="1">IF(J$1="",0,COUNTIFS(工数管理!$AK$3:$AK$98,J$1,工数管理!$K$3:$K$98,"&lt;="&amp;$H78,工数管理!$L$3:$L$98,"&gt;="&amp;$H78)+COUNTIFS(工数管理!$AK$3:$AK$98,J$1,工数管理!$M$3:$M$98,"&lt;="&amp;$H78,工数管理!$N$3:$N$98,"&gt;="&amp;$H78)+COUNTIFS(工数管理!$AK$3:$AK$98,J$1,工数管理!$O$3:$O$98,"&lt;="&amp;$H78,工数管理!$P$3:$P$98,"&gt;="&amp;$H78)+COUNTIFS(工数管理!$AK$3:$AK$98,J$1,工数管理!$Q$3:$Q$98,"&lt;="&amp;$H78,工数管理!$R$3:$R$98,"&gt;="&amp;$H78)+COUNTIFS(工数管理!$AK$3:$AK$98,J$1,工数管理!$S$3:$S$98,"&lt;="&amp;$H78,工数管理!$T$3:$T$98,"&gt;="&amp;$H78)+COUNTIFS(工数管理!$AK$3:$AK$98,J$1,工数管理!$U$3:$U$98,"&lt;="&amp;$H78,工数管理!$V$3:$V$98,"&gt;="&amp;$H78)+COUNTIFS(工数管理!$AK$3:$AK$98,J$1,工数管理!$W$3:$W$98,"&lt;="&amp;$H78,工数管理!$X$3:$X$98,"&gt;="&amp;$H78)+COUNTIFS(工数管理!$AK$3:$AK$98,J$1,工数管理!$Y$3:$Y$98,"&lt;="&amp;$H78,工数管理!$Z$3:$Z$98,"&gt;="&amp;$H78)+COUNTIFS(工数管理!$AK$3:$AK$98,J$1,工数管理!$AA$3:$AA$98,"&lt;="&amp;$H78,工数管理!$AB$3:$AB$98,"&gt;="&amp;$H78)+COUNTIFS(工数管理!$AK$3:$AK$98,J$1,工数管理!$AC$3:$AC$98,"&lt;="&amp;$H78,工数管理!$AD$3:$AD$98,"&gt;="&amp;$H78)+COUNTIFS(工数管理!$AK$3:$AK$98,J$1,工数管理!$AE$3:$AE$98,"&lt;="&amp;$H78,工数管理!$AF$3:$AF$98,"&gt;="&amp;$H78)+COUNTIFS(工数管理!$AK$3:$AK$98,J$1,工数管理!$AG$3:$AG$98,"&lt;="&amp;$H78,工数管理!$AH$3:$AH$98,"&gt;="&amp;$H78)+(COUNTIFS(工数管理!$AK$3:$AK$98,J$1,工数管理!$K$3:$K$98,"&lt;="&amp;$H78,工数管理!$L$3:$L$98,"")+COUNTIFS(工数管理!$AK$3:$AK$98,J$1,工数管理!$M$3:$M$98,"&lt;="&amp;$H78,工数管理!$N$3:$N$98,"")+COUNTIFS(工数管理!$AK$3:$AK$98,J$1,工数管理!$O$3:$O$98,"&lt;="&amp;$H78,工数管理!$P$3:$P$98,"")+COUNTIFS(工数管理!$AK$3:$AK$98,J$1,工数管理!$Q$3:$Q$98,"&lt;="&amp;$H78,工数管理!$R$3:$R$98,"")+COUNTIFS(工数管理!$AK$3:$AK$98,J$1,工数管理!$S$3:$S$98,"&lt;="&amp;$H78,工数管理!$T$3:$T$98,"")+COUNTIFS(工数管理!$AK$3:$AK$98,J$1,工数管理!$U$3:$U$98,"&lt;="&amp;$H78,工数管理!$V$3:$V$98,"")+COUNTIFS(工数管理!$AK$3:$AK$98,J$1,工数管理!$W$3:$W$98,"&lt;="&amp;$H78,工数管理!$X$3:$X$98,"")+COUNTIFS(工数管理!$AK$3:$AK$98,J$1,工数管理!$Y$3:$Y$98,"&lt;="&amp;$H78,工数管理!$Z$3:$Z$98,"")+COUNTIFS(工数管理!$AK$3:$AK$98,J$1,工数管理!$AA$3:$AA$98,"&lt;="&amp;$H78,工数管理!$AB$3:$AB$98,"")+COUNTIFS(工数管理!$AK$3:$AK$98,J$1,工数管理!$AC$3:$AC$98,"&lt;="&amp;$H78,工数管理!$AD$3:$AD$98,"")+COUNTIFS(工数管理!$AK$3:$AK$98,J$1,工数管理!$AE$3:$AE$98,"&lt;="&amp;$H78,工数管理!$AF$3:$AF$98,"")+COUNTIFS(工数管理!$AK$3:$AK$98,J$1,工数管理!$AG$3:$AG$98,"&lt;="&amp;$H78,工数管理!$AH$3:$AH$98,""))*($H78&lt;=工数管理!$AI$1))</f>
        <v>0</v>
      </c>
      <c r="K78" s="42">
        <f ca="1">IF(K$1="",0,COUNTIFS(工数管理!$AK$3:$AK$98,K$1,工数管理!$K$3:$K$98,"&lt;="&amp;$H78,工数管理!$L$3:$L$98,"&gt;="&amp;$H78)+COUNTIFS(工数管理!$AK$3:$AK$98,K$1,工数管理!$M$3:$M$98,"&lt;="&amp;$H78,工数管理!$N$3:$N$98,"&gt;="&amp;$H78)+COUNTIFS(工数管理!$AK$3:$AK$98,K$1,工数管理!$O$3:$O$98,"&lt;="&amp;$H78,工数管理!$P$3:$P$98,"&gt;="&amp;$H78)+COUNTIFS(工数管理!$AK$3:$AK$98,K$1,工数管理!$Q$3:$Q$98,"&lt;="&amp;$H78,工数管理!$R$3:$R$98,"&gt;="&amp;$H78)+COUNTIFS(工数管理!$AK$3:$AK$98,K$1,工数管理!$S$3:$S$98,"&lt;="&amp;$H78,工数管理!$T$3:$T$98,"&gt;="&amp;$H78)+COUNTIFS(工数管理!$AK$3:$AK$98,K$1,工数管理!$U$3:$U$98,"&lt;="&amp;$H78,工数管理!$V$3:$V$98,"&gt;="&amp;$H78)+COUNTIFS(工数管理!$AK$3:$AK$98,K$1,工数管理!$W$3:$W$98,"&lt;="&amp;$H78,工数管理!$X$3:$X$98,"&gt;="&amp;$H78)+COUNTIFS(工数管理!$AK$3:$AK$98,K$1,工数管理!$Y$3:$Y$98,"&lt;="&amp;$H78,工数管理!$Z$3:$Z$98,"&gt;="&amp;$H78)+COUNTIFS(工数管理!$AK$3:$AK$98,K$1,工数管理!$AA$3:$AA$98,"&lt;="&amp;$H78,工数管理!$AB$3:$AB$98,"&gt;="&amp;$H78)+COUNTIFS(工数管理!$AK$3:$AK$98,K$1,工数管理!$AC$3:$AC$98,"&lt;="&amp;$H78,工数管理!$AD$3:$AD$98,"&gt;="&amp;$H78)+COUNTIFS(工数管理!$AK$3:$AK$98,K$1,工数管理!$AE$3:$AE$98,"&lt;="&amp;$H78,工数管理!$AF$3:$AF$98,"&gt;="&amp;$H78)+COUNTIFS(工数管理!$AK$3:$AK$98,K$1,工数管理!$AG$3:$AG$98,"&lt;="&amp;$H78,工数管理!$AH$3:$AH$98,"&gt;="&amp;$H78)+(COUNTIFS(工数管理!$AK$3:$AK$98,K$1,工数管理!$K$3:$K$98,"&lt;="&amp;$H78,工数管理!$L$3:$L$98,"")+COUNTIFS(工数管理!$AK$3:$AK$98,K$1,工数管理!$M$3:$M$98,"&lt;="&amp;$H78,工数管理!$N$3:$N$98,"")+COUNTIFS(工数管理!$AK$3:$AK$98,K$1,工数管理!$O$3:$O$98,"&lt;="&amp;$H78,工数管理!$P$3:$P$98,"")+COUNTIFS(工数管理!$AK$3:$AK$98,K$1,工数管理!$Q$3:$Q$98,"&lt;="&amp;$H78,工数管理!$R$3:$R$98,"")+COUNTIFS(工数管理!$AK$3:$AK$98,K$1,工数管理!$S$3:$S$98,"&lt;="&amp;$H78,工数管理!$T$3:$T$98,"")+COUNTIFS(工数管理!$AK$3:$AK$98,K$1,工数管理!$U$3:$U$98,"&lt;="&amp;$H78,工数管理!$V$3:$V$98,"")+COUNTIFS(工数管理!$AK$3:$AK$98,K$1,工数管理!$W$3:$W$98,"&lt;="&amp;$H78,工数管理!$X$3:$X$98,"")+COUNTIFS(工数管理!$AK$3:$AK$98,K$1,工数管理!$Y$3:$Y$98,"&lt;="&amp;$H78,工数管理!$Z$3:$Z$98,"")+COUNTIFS(工数管理!$AK$3:$AK$98,K$1,工数管理!$AA$3:$AA$98,"&lt;="&amp;$H78,工数管理!$AB$3:$AB$98,"")+COUNTIFS(工数管理!$AK$3:$AK$98,K$1,工数管理!$AC$3:$AC$98,"&lt;="&amp;$H78,工数管理!$AD$3:$AD$98,"")+COUNTIFS(工数管理!$AK$3:$AK$98,K$1,工数管理!$AE$3:$AE$98,"&lt;="&amp;$H78,工数管理!$AF$3:$AF$98,"")+COUNTIFS(工数管理!$AK$3:$AK$98,K$1,工数管理!$AG$3:$AG$98,"&lt;="&amp;$H78,工数管理!$AH$3:$AH$98,""))*($H78&lt;=工数管理!$AI$1))</f>
        <v>1</v>
      </c>
      <c r="L78" s="42">
        <f ca="1">IF(L$1="",0,COUNTIFS(工数管理!$AK$3:$AK$98,L$1,工数管理!$K$3:$K$98,"&lt;="&amp;$H78,工数管理!$L$3:$L$98,"&gt;="&amp;$H78)+COUNTIFS(工数管理!$AK$3:$AK$98,L$1,工数管理!$M$3:$M$98,"&lt;="&amp;$H78,工数管理!$N$3:$N$98,"&gt;="&amp;$H78)+COUNTIFS(工数管理!$AK$3:$AK$98,L$1,工数管理!$O$3:$O$98,"&lt;="&amp;$H78,工数管理!$P$3:$P$98,"&gt;="&amp;$H78)+COUNTIFS(工数管理!$AK$3:$AK$98,L$1,工数管理!$Q$3:$Q$98,"&lt;="&amp;$H78,工数管理!$R$3:$R$98,"&gt;="&amp;$H78)+COUNTIFS(工数管理!$AK$3:$AK$98,L$1,工数管理!$S$3:$S$98,"&lt;="&amp;$H78,工数管理!$T$3:$T$98,"&gt;="&amp;$H78)+COUNTIFS(工数管理!$AK$3:$AK$98,L$1,工数管理!$U$3:$U$98,"&lt;="&amp;$H78,工数管理!$V$3:$V$98,"&gt;="&amp;$H78)+COUNTIFS(工数管理!$AK$3:$AK$98,L$1,工数管理!$W$3:$W$98,"&lt;="&amp;$H78,工数管理!$X$3:$X$98,"&gt;="&amp;$H78)+COUNTIFS(工数管理!$AK$3:$AK$98,L$1,工数管理!$Y$3:$Y$98,"&lt;="&amp;$H78,工数管理!$Z$3:$Z$98,"&gt;="&amp;$H78)+COUNTIFS(工数管理!$AK$3:$AK$98,L$1,工数管理!$AA$3:$AA$98,"&lt;="&amp;$H78,工数管理!$AB$3:$AB$98,"&gt;="&amp;$H78)+COUNTIFS(工数管理!$AK$3:$AK$98,L$1,工数管理!$AC$3:$AC$98,"&lt;="&amp;$H78,工数管理!$AD$3:$AD$98,"&gt;="&amp;$H78)+COUNTIFS(工数管理!$AK$3:$AK$98,L$1,工数管理!$AE$3:$AE$98,"&lt;="&amp;$H78,工数管理!$AF$3:$AF$98,"&gt;="&amp;$H78)+COUNTIFS(工数管理!$AK$3:$AK$98,L$1,工数管理!$AG$3:$AG$98,"&lt;="&amp;$H78,工数管理!$AH$3:$AH$98,"&gt;="&amp;$H78)+(COUNTIFS(工数管理!$AK$3:$AK$98,L$1,工数管理!$K$3:$K$98,"&lt;="&amp;$H78,工数管理!$L$3:$L$98,"")+COUNTIFS(工数管理!$AK$3:$AK$98,L$1,工数管理!$M$3:$M$98,"&lt;="&amp;$H78,工数管理!$N$3:$N$98,"")+COUNTIFS(工数管理!$AK$3:$AK$98,L$1,工数管理!$O$3:$O$98,"&lt;="&amp;$H78,工数管理!$P$3:$P$98,"")+COUNTIFS(工数管理!$AK$3:$AK$98,L$1,工数管理!$Q$3:$Q$98,"&lt;="&amp;$H78,工数管理!$R$3:$R$98,"")+COUNTIFS(工数管理!$AK$3:$AK$98,L$1,工数管理!$S$3:$S$98,"&lt;="&amp;$H78,工数管理!$T$3:$T$98,"")+COUNTIFS(工数管理!$AK$3:$AK$98,L$1,工数管理!$U$3:$U$98,"&lt;="&amp;$H78,工数管理!$V$3:$V$98,"")+COUNTIFS(工数管理!$AK$3:$AK$98,L$1,工数管理!$W$3:$W$98,"&lt;="&amp;$H78,工数管理!$X$3:$X$98,"")+COUNTIFS(工数管理!$AK$3:$AK$98,L$1,工数管理!$Y$3:$Y$98,"&lt;="&amp;$H78,工数管理!$Z$3:$Z$98,"")+COUNTIFS(工数管理!$AK$3:$AK$98,L$1,工数管理!$AA$3:$AA$98,"&lt;="&amp;$H78,工数管理!$AB$3:$AB$98,"")+COUNTIFS(工数管理!$AK$3:$AK$98,L$1,工数管理!$AC$3:$AC$98,"&lt;="&amp;$H78,工数管理!$AD$3:$AD$98,"")+COUNTIFS(工数管理!$AK$3:$AK$98,L$1,工数管理!$AE$3:$AE$98,"&lt;="&amp;$H78,工数管理!$AF$3:$AF$98,"")+COUNTIFS(工数管理!$AK$3:$AK$98,L$1,工数管理!$AG$3:$AG$98,"&lt;="&amp;$H78,工数管理!$AH$3:$AH$98,""))*($H78&lt;=工数管理!$AI$1))</f>
        <v>1</v>
      </c>
    </row>
    <row r="79" spans="1:12" x14ac:dyDescent="0.15">
      <c r="A79" s="5"/>
      <c r="B79" s="6"/>
      <c r="H79" s="41">
        <f t="shared" si="3"/>
        <v>46247</v>
      </c>
      <c r="I79" s="42">
        <f t="shared" si="2"/>
        <v>0</v>
      </c>
      <c r="J79" s="42">
        <f ca="1">IF(J$1="",0,COUNTIFS(工数管理!$AK$3:$AK$98,J$1,工数管理!$K$3:$K$98,"&lt;="&amp;$H79,工数管理!$L$3:$L$98,"&gt;="&amp;$H79)+COUNTIFS(工数管理!$AK$3:$AK$98,J$1,工数管理!$M$3:$M$98,"&lt;="&amp;$H79,工数管理!$N$3:$N$98,"&gt;="&amp;$H79)+COUNTIFS(工数管理!$AK$3:$AK$98,J$1,工数管理!$O$3:$O$98,"&lt;="&amp;$H79,工数管理!$P$3:$P$98,"&gt;="&amp;$H79)+COUNTIFS(工数管理!$AK$3:$AK$98,J$1,工数管理!$Q$3:$Q$98,"&lt;="&amp;$H79,工数管理!$R$3:$R$98,"&gt;="&amp;$H79)+COUNTIFS(工数管理!$AK$3:$AK$98,J$1,工数管理!$S$3:$S$98,"&lt;="&amp;$H79,工数管理!$T$3:$T$98,"&gt;="&amp;$H79)+COUNTIFS(工数管理!$AK$3:$AK$98,J$1,工数管理!$U$3:$U$98,"&lt;="&amp;$H79,工数管理!$V$3:$V$98,"&gt;="&amp;$H79)+COUNTIFS(工数管理!$AK$3:$AK$98,J$1,工数管理!$W$3:$W$98,"&lt;="&amp;$H79,工数管理!$X$3:$X$98,"&gt;="&amp;$H79)+COUNTIFS(工数管理!$AK$3:$AK$98,J$1,工数管理!$Y$3:$Y$98,"&lt;="&amp;$H79,工数管理!$Z$3:$Z$98,"&gt;="&amp;$H79)+COUNTIFS(工数管理!$AK$3:$AK$98,J$1,工数管理!$AA$3:$AA$98,"&lt;="&amp;$H79,工数管理!$AB$3:$AB$98,"&gt;="&amp;$H79)+COUNTIFS(工数管理!$AK$3:$AK$98,J$1,工数管理!$AC$3:$AC$98,"&lt;="&amp;$H79,工数管理!$AD$3:$AD$98,"&gt;="&amp;$H79)+COUNTIFS(工数管理!$AK$3:$AK$98,J$1,工数管理!$AE$3:$AE$98,"&lt;="&amp;$H79,工数管理!$AF$3:$AF$98,"&gt;="&amp;$H79)+COUNTIFS(工数管理!$AK$3:$AK$98,J$1,工数管理!$AG$3:$AG$98,"&lt;="&amp;$H79,工数管理!$AH$3:$AH$98,"&gt;="&amp;$H79)+(COUNTIFS(工数管理!$AK$3:$AK$98,J$1,工数管理!$K$3:$K$98,"&lt;="&amp;$H79,工数管理!$L$3:$L$98,"")+COUNTIFS(工数管理!$AK$3:$AK$98,J$1,工数管理!$M$3:$M$98,"&lt;="&amp;$H79,工数管理!$N$3:$N$98,"")+COUNTIFS(工数管理!$AK$3:$AK$98,J$1,工数管理!$O$3:$O$98,"&lt;="&amp;$H79,工数管理!$P$3:$P$98,"")+COUNTIFS(工数管理!$AK$3:$AK$98,J$1,工数管理!$Q$3:$Q$98,"&lt;="&amp;$H79,工数管理!$R$3:$R$98,"")+COUNTIFS(工数管理!$AK$3:$AK$98,J$1,工数管理!$S$3:$S$98,"&lt;="&amp;$H79,工数管理!$T$3:$T$98,"")+COUNTIFS(工数管理!$AK$3:$AK$98,J$1,工数管理!$U$3:$U$98,"&lt;="&amp;$H79,工数管理!$V$3:$V$98,"")+COUNTIFS(工数管理!$AK$3:$AK$98,J$1,工数管理!$W$3:$W$98,"&lt;="&amp;$H79,工数管理!$X$3:$X$98,"")+COUNTIFS(工数管理!$AK$3:$AK$98,J$1,工数管理!$Y$3:$Y$98,"&lt;="&amp;$H79,工数管理!$Z$3:$Z$98,"")+COUNTIFS(工数管理!$AK$3:$AK$98,J$1,工数管理!$AA$3:$AA$98,"&lt;="&amp;$H79,工数管理!$AB$3:$AB$98,"")+COUNTIFS(工数管理!$AK$3:$AK$98,J$1,工数管理!$AC$3:$AC$98,"&lt;="&amp;$H79,工数管理!$AD$3:$AD$98,"")+COUNTIFS(工数管理!$AK$3:$AK$98,J$1,工数管理!$AE$3:$AE$98,"&lt;="&amp;$H79,工数管理!$AF$3:$AF$98,"")+COUNTIFS(工数管理!$AK$3:$AK$98,J$1,工数管理!$AG$3:$AG$98,"&lt;="&amp;$H79,工数管理!$AH$3:$AH$98,""))*($H79&lt;=工数管理!$AI$1))</f>
        <v>0</v>
      </c>
      <c r="K79" s="42">
        <f ca="1">IF(K$1="",0,COUNTIFS(工数管理!$AK$3:$AK$98,K$1,工数管理!$K$3:$K$98,"&lt;="&amp;$H79,工数管理!$L$3:$L$98,"&gt;="&amp;$H79)+COUNTIFS(工数管理!$AK$3:$AK$98,K$1,工数管理!$M$3:$M$98,"&lt;="&amp;$H79,工数管理!$N$3:$N$98,"&gt;="&amp;$H79)+COUNTIFS(工数管理!$AK$3:$AK$98,K$1,工数管理!$O$3:$O$98,"&lt;="&amp;$H79,工数管理!$P$3:$P$98,"&gt;="&amp;$H79)+COUNTIFS(工数管理!$AK$3:$AK$98,K$1,工数管理!$Q$3:$Q$98,"&lt;="&amp;$H79,工数管理!$R$3:$R$98,"&gt;="&amp;$H79)+COUNTIFS(工数管理!$AK$3:$AK$98,K$1,工数管理!$S$3:$S$98,"&lt;="&amp;$H79,工数管理!$T$3:$T$98,"&gt;="&amp;$H79)+COUNTIFS(工数管理!$AK$3:$AK$98,K$1,工数管理!$U$3:$U$98,"&lt;="&amp;$H79,工数管理!$V$3:$V$98,"&gt;="&amp;$H79)+COUNTIFS(工数管理!$AK$3:$AK$98,K$1,工数管理!$W$3:$W$98,"&lt;="&amp;$H79,工数管理!$X$3:$X$98,"&gt;="&amp;$H79)+COUNTIFS(工数管理!$AK$3:$AK$98,K$1,工数管理!$Y$3:$Y$98,"&lt;="&amp;$H79,工数管理!$Z$3:$Z$98,"&gt;="&amp;$H79)+COUNTIFS(工数管理!$AK$3:$AK$98,K$1,工数管理!$AA$3:$AA$98,"&lt;="&amp;$H79,工数管理!$AB$3:$AB$98,"&gt;="&amp;$H79)+COUNTIFS(工数管理!$AK$3:$AK$98,K$1,工数管理!$AC$3:$AC$98,"&lt;="&amp;$H79,工数管理!$AD$3:$AD$98,"&gt;="&amp;$H79)+COUNTIFS(工数管理!$AK$3:$AK$98,K$1,工数管理!$AE$3:$AE$98,"&lt;="&amp;$H79,工数管理!$AF$3:$AF$98,"&gt;="&amp;$H79)+COUNTIFS(工数管理!$AK$3:$AK$98,K$1,工数管理!$AG$3:$AG$98,"&lt;="&amp;$H79,工数管理!$AH$3:$AH$98,"&gt;="&amp;$H79)+(COUNTIFS(工数管理!$AK$3:$AK$98,K$1,工数管理!$K$3:$K$98,"&lt;="&amp;$H79,工数管理!$L$3:$L$98,"")+COUNTIFS(工数管理!$AK$3:$AK$98,K$1,工数管理!$M$3:$M$98,"&lt;="&amp;$H79,工数管理!$N$3:$N$98,"")+COUNTIFS(工数管理!$AK$3:$AK$98,K$1,工数管理!$O$3:$O$98,"&lt;="&amp;$H79,工数管理!$P$3:$P$98,"")+COUNTIFS(工数管理!$AK$3:$AK$98,K$1,工数管理!$Q$3:$Q$98,"&lt;="&amp;$H79,工数管理!$R$3:$R$98,"")+COUNTIFS(工数管理!$AK$3:$AK$98,K$1,工数管理!$S$3:$S$98,"&lt;="&amp;$H79,工数管理!$T$3:$T$98,"")+COUNTIFS(工数管理!$AK$3:$AK$98,K$1,工数管理!$U$3:$U$98,"&lt;="&amp;$H79,工数管理!$V$3:$V$98,"")+COUNTIFS(工数管理!$AK$3:$AK$98,K$1,工数管理!$W$3:$W$98,"&lt;="&amp;$H79,工数管理!$X$3:$X$98,"")+COUNTIFS(工数管理!$AK$3:$AK$98,K$1,工数管理!$Y$3:$Y$98,"&lt;="&amp;$H79,工数管理!$Z$3:$Z$98,"")+COUNTIFS(工数管理!$AK$3:$AK$98,K$1,工数管理!$AA$3:$AA$98,"&lt;="&amp;$H79,工数管理!$AB$3:$AB$98,"")+COUNTIFS(工数管理!$AK$3:$AK$98,K$1,工数管理!$AC$3:$AC$98,"&lt;="&amp;$H79,工数管理!$AD$3:$AD$98,"")+COUNTIFS(工数管理!$AK$3:$AK$98,K$1,工数管理!$AE$3:$AE$98,"&lt;="&amp;$H79,工数管理!$AF$3:$AF$98,"")+COUNTIFS(工数管理!$AK$3:$AK$98,K$1,工数管理!$AG$3:$AG$98,"&lt;="&amp;$H79,工数管理!$AH$3:$AH$98,""))*($H79&lt;=工数管理!$AI$1))</f>
        <v>1</v>
      </c>
      <c r="L79" s="42">
        <f ca="1">IF(L$1="",0,COUNTIFS(工数管理!$AK$3:$AK$98,L$1,工数管理!$K$3:$K$98,"&lt;="&amp;$H79,工数管理!$L$3:$L$98,"&gt;="&amp;$H79)+COUNTIFS(工数管理!$AK$3:$AK$98,L$1,工数管理!$M$3:$M$98,"&lt;="&amp;$H79,工数管理!$N$3:$N$98,"&gt;="&amp;$H79)+COUNTIFS(工数管理!$AK$3:$AK$98,L$1,工数管理!$O$3:$O$98,"&lt;="&amp;$H79,工数管理!$P$3:$P$98,"&gt;="&amp;$H79)+COUNTIFS(工数管理!$AK$3:$AK$98,L$1,工数管理!$Q$3:$Q$98,"&lt;="&amp;$H79,工数管理!$R$3:$R$98,"&gt;="&amp;$H79)+COUNTIFS(工数管理!$AK$3:$AK$98,L$1,工数管理!$S$3:$S$98,"&lt;="&amp;$H79,工数管理!$T$3:$T$98,"&gt;="&amp;$H79)+COUNTIFS(工数管理!$AK$3:$AK$98,L$1,工数管理!$U$3:$U$98,"&lt;="&amp;$H79,工数管理!$V$3:$V$98,"&gt;="&amp;$H79)+COUNTIFS(工数管理!$AK$3:$AK$98,L$1,工数管理!$W$3:$W$98,"&lt;="&amp;$H79,工数管理!$X$3:$X$98,"&gt;="&amp;$H79)+COUNTIFS(工数管理!$AK$3:$AK$98,L$1,工数管理!$Y$3:$Y$98,"&lt;="&amp;$H79,工数管理!$Z$3:$Z$98,"&gt;="&amp;$H79)+COUNTIFS(工数管理!$AK$3:$AK$98,L$1,工数管理!$AA$3:$AA$98,"&lt;="&amp;$H79,工数管理!$AB$3:$AB$98,"&gt;="&amp;$H79)+COUNTIFS(工数管理!$AK$3:$AK$98,L$1,工数管理!$AC$3:$AC$98,"&lt;="&amp;$H79,工数管理!$AD$3:$AD$98,"&gt;="&amp;$H79)+COUNTIFS(工数管理!$AK$3:$AK$98,L$1,工数管理!$AE$3:$AE$98,"&lt;="&amp;$H79,工数管理!$AF$3:$AF$98,"&gt;="&amp;$H79)+COUNTIFS(工数管理!$AK$3:$AK$98,L$1,工数管理!$AG$3:$AG$98,"&lt;="&amp;$H79,工数管理!$AH$3:$AH$98,"&gt;="&amp;$H79)+(COUNTIFS(工数管理!$AK$3:$AK$98,L$1,工数管理!$K$3:$K$98,"&lt;="&amp;$H79,工数管理!$L$3:$L$98,"")+COUNTIFS(工数管理!$AK$3:$AK$98,L$1,工数管理!$M$3:$M$98,"&lt;="&amp;$H79,工数管理!$N$3:$N$98,"")+COUNTIFS(工数管理!$AK$3:$AK$98,L$1,工数管理!$O$3:$O$98,"&lt;="&amp;$H79,工数管理!$P$3:$P$98,"")+COUNTIFS(工数管理!$AK$3:$AK$98,L$1,工数管理!$Q$3:$Q$98,"&lt;="&amp;$H79,工数管理!$R$3:$R$98,"")+COUNTIFS(工数管理!$AK$3:$AK$98,L$1,工数管理!$S$3:$S$98,"&lt;="&amp;$H79,工数管理!$T$3:$T$98,"")+COUNTIFS(工数管理!$AK$3:$AK$98,L$1,工数管理!$U$3:$U$98,"&lt;="&amp;$H79,工数管理!$V$3:$V$98,"")+COUNTIFS(工数管理!$AK$3:$AK$98,L$1,工数管理!$W$3:$W$98,"&lt;="&amp;$H79,工数管理!$X$3:$X$98,"")+COUNTIFS(工数管理!$AK$3:$AK$98,L$1,工数管理!$Y$3:$Y$98,"&lt;="&amp;$H79,工数管理!$Z$3:$Z$98,"")+COUNTIFS(工数管理!$AK$3:$AK$98,L$1,工数管理!$AA$3:$AA$98,"&lt;="&amp;$H79,工数管理!$AB$3:$AB$98,"")+COUNTIFS(工数管理!$AK$3:$AK$98,L$1,工数管理!$AC$3:$AC$98,"&lt;="&amp;$H79,工数管理!$AD$3:$AD$98,"")+COUNTIFS(工数管理!$AK$3:$AK$98,L$1,工数管理!$AE$3:$AE$98,"&lt;="&amp;$H79,工数管理!$AF$3:$AF$98,"")+COUNTIFS(工数管理!$AK$3:$AK$98,L$1,工数管理!$AG$3:$AG$98,"&lt;="&amp;$H79,工数管理!$AH$3:$AH$98,""))*($H79&lt;=工数管理!$AI$1))</f>
        <v>1</v>
      </c>
    </row>
    <row r="80" spans="1:12" x14ac:dyDescent="0.15">
      <c r="A80" s="5"/>
      <c r="B80" s="6"/>
      <c r="H80" s="41">
        <f t="shared" si="3"/>
        <v>46248</v>
      </c>
      <c r="I80" s="42">
        <f t="shared" si="2"/>
        <v>0</v>
      </c>
      <c r="J80" s="42">
        <f ca="1">IF(J$1="",0,COUNTIFS(工数管理!$AK$3:$AK$98,J$1,工数管理!$K$3:$K$98,"&lt;="&amp;$H80,工数管理!$L$3:$L$98,"&gt;="&amp;$H80)+COUNTIFS(工数管理!$AK$3:$AK$98,J$1,工数管理!$M$3:$M$98,"&lt;="&amp;$H80,工数管理!$N$3:$N$98,"&gt;="&amp;$H80)+COUNTIFS(工数管理!$AK$3:$AK$98,J$1,工数管理!$O$3:$O$98,"&lt;="&amp;$H80,工数管理!$P$3:$P$98,"&gt;="&amp;$H80)+COUNTIFS(工数管理!$AK$3:$AK$98,J$1,工数管理!$Q$3:$Q$98,"&lt;="&amp;$H80,工数管理!$R$3:$R$98,"&gt;="&amp;$H80)+COUNTIFS(工数管理!$AK$3:$AK$98,J$1,工数管理!$S$3:$S$98,"&lt;="&amp;$H80,工数管理!$T$3:$T$98,"&gt;="&amp;$H80)+COUNTIFS(工数管理!$AK$3:$AK$98,J$1,工数管理!$U$3:$U$98,"&lt;="&amp;$H80,工数管理!$V$3:$V$98,"&gt;="&amp;$H80)+COUNTIFS(工数管理!$AK$3:$AK$98,J$1,工数管理!$W$3:$W$98,"&lt;="&amp;$H80,工数管理!$X$3:$X$98,"&gt;="&amp;$H80)+COUNTIFS(工数管理!$AK$3:$AK$98,J$1,工数管理!$Y$3:$Y$98,"&lt;="&amp;$H80,工数管理!$Z$3:$Z$98,"&gt;="&amp;$H80)+COUNTIFS(工数管理!$AK$3:$AK$98,J$1,工数管理!$AA$3:$AA$98,"&lt;="&amp;$H80,工数管理!$AB$3:$AB$98,"&gt;="&amp;$H80)+COUNTIFS(工数管理!$AK$3:$AK$98,J$1,工数管理!$AC$3:$AC$98,"&lt;="&amp;$H80,工数管理!$AD$3:$AD$98,"&gt;="&amp;$H80)+COUNTIFS(工数管理!$AK$3:$AK$98,J$1,工数管理!$AE$3:$AE$98,"&lt;="&amp;$H80,工数管理!$AF$3:$AF$98,"&gt;="&amp;$H80)+COUNTIFS(工数管理!$AK$3:$AK$98,J$1,工数管理!$AG$3:$AG$98,"&lt;="&amp;$H80,工数管理!$AH$3:$AH$98,"&gt;="&amp;$H80)+(COUNTIFS(工数管理!$AK$3:$AK$98,J$1,工数管理!$K$3:$K$98,"&lt;="&amp;$H80,工数管理!$L$3:$L$98,"")+COUNTIFS(工数管理!$AK$3:$AK$98,J$1,工数管理!$M$3:$M$98,"&lt;="&amp;$H80,工数管理!$N$3:$N$98,"")+COUNTIFS(工数管理!$AK$3:$AK$98,J$1,工数管理!$O$3:$O$98,"&lt;="&amp;$H80,工数管理!$P$3:$P$98,"")+COUNTIFS(工数管理!$AK$3:$AK$98,J$1,工数管理!$Q$3:$Q$98,"&lt;="&amp;$H80,工数管理!$R$3:$R$98,"")+COUNTIFS(工数管理!$AK$3:$AK$98,J$1,工数管理!$S$3:$S$98,"&lt;="&amp;$H80,工数管理!$T$3:$T$98,"")+COUNTIFS(工数管理!$AK$3:$AK$98,J$1,工数管理!$U$3:$U$98,"&lt;="&amp;$H80,工数管理!$V$3:$V$98,"")+COUNTIFS(工数管理!$AK$3:$AK$98,J$1,工数管理!$W$3:$W$98,"&lt;="&amp;$H80,工数管理!$X$3:$X$98,"")+COUNTIFS(工数管理!$AK$3:$AK$98,J$1,工数管理!$Y$3:$Y$98,"&lt;="&amp;$H80,工数管理!$Z$3:$Z$98,"")+COUNTIFS(工数管理!$AK$3:$AK$98,J$1,工数管理!$AA$3:$AA$98,"&lt;="&amp;$H80,工数管理!$AB$3:$AB$98,"")+COUNTIFS(工数管理!$AK$3:$AK$98,J$1,工数管理!$AC$3:$AC$98,"&lt;="&amp;$H80,工数管理!$AD$3:$AD$98,"")+COUNTIFS(工数管理!$AK$3:$AK$98,J$1,工数管理!$AE$3:$AE$98,"&lt;="&amp;$H80,工数管理!$AF$3:$AF$98,"")+COUNTIFS(工数管理!$AK$3:$AK$98,J$1,工数管理!$AG$3:$AG$98,"&lt;="&amp;$H80,工数管理!$AH$3:$AH$98,""))*($H80&lt;=工数管理!$AI$1))</f>
        <v>0</v>
      </c>
      <c r="K80" s="42">
        <f ca="1">IF(K$1="",0,COUNTIFS(工数管理!$AK$3:$AK$98,K$1,工数管理!$K$3:$K$98,"&lt;="&amp;$H80,工数管理!$L$3:$L$98,"&gt;="&amp;$H80)+COUNTIFS(工数管理!$AK$3:$AK$98,K$1,工数管理!$M$3:$M$98,"&lt;="&amp;$H80,工数管理!$N$3:$N$98,"&gt;="&amp;$H80)+COUNTIFS(工数管理!$AK$3:$AK$98,K$1,工数管理!$O$3:$O$98,"&lt;="&amp;$H80,工数管理!$P$3:$P$98,"&gt;="&amp;$H80)+COUNTIFS(工数管理!$AK$3:$AK$98,K$1,工数管理!$Q$3:$Q$98,"&lt;="&amp;$H80,工数管理!$R$3:$R$98,"&gt;="&amp;$H80)+COUNTIFS(工数管理!$AK$3:$AK$98,K$1,工数管理!$S$3:$S$98,"&lt;="&amp;$H80,工数管理!$T$3:$T$98,"&gt;="&amp;$H80)+COUNTIFS(工数管理!$AK$3:$AK$98,K$1,工数管理!$U$3:$U$98,"&lt;="&amp;$H80,工数管理!$V$3:$V$98,"&gt;="&amp;$H80)+COUNTIFS(工数管理!$AK$3:$AK$98,K$1,工数管理!$W$3:$W$98,"&lt;="&amp;$H80,工数管理!$X$3:$X$98,"&gt;="&amp;$H80)+COUNTIFS(工数管理!$AK$3:$AK$98,K$1,工数管理!$Y$3:$Y$98,"&lt;="&amp;$H80,工数管理!$Z$3:$Z$98,"&gt;="&amp;$H80)+COUNTIFS(工数管理!$AK$3:$AK$98,K$1,工数管理!$AA$3:$AA$98,"&lt;="&amp;$H80,工数管理!$AB$3:$AB$98,"&gt;="&amp;$H80)+COUNTIFS(工数管理!$AK$3:$AK$98,K$1,工数管理!$AC$3:$AC$98,"&lt;="&amp;$H80,工数管理!$AD$3:$AD$98,"&gt;="&amp;$H80)+COUNTIFS(工数管理!$AK$3:$AK$98,K$1,工数管理!$AE$3:$AE$98,"&lt;="&amp;$H80,工数管理!$AF$3:$AF$98,"&gt;="&amp;$H80)+COUNTIFS(工数管理!$AK$3:$AK$98,K$1,工数管理!$AG$3:$AG$98,"&lt;="&amp;$H80,工数管理!$AH$3:$AH$98,"&gt;="&amp;$H80)+(COUNTIFS(工数管理!$AK$3:$AK$98,K$1,工数管理!$K$3:$K$98,"&lt;="&amp;$H80,工数管理!$L$3:$L$98,"")+COUNTIFS(工数管理!$AK$3:$AK$98,K$1,工数管理!$M$3:$M$98,"&lt;="&amp;$H80,工数管理!$N$3:$N$98,"")+COUNTIFS(工数管理!$AK$3:$AK$98,K$1,工数管理!$O$3:$O$98,"&lt;="&amp;$H80,工数管理!$P$3:$P$98,"")+COUNTIFS(工数管理!$AK$3:$AK$98,K$1,工数管理!$Q$3:$Q$98,"&lt;="&amp;$H80,工数管理!$R$3:$R$98,"")+COUNTIFS(工数管理!$AK$3:$AK$98,K$1,工数管理!$S$3:$S$98,"&lt;="&amp;$H80,工数管理!$T$3:$T$98,"")+COUNTIFS(工数管理!$AK$3:$AK$98,K$1,工数管理!$U$3:$U$98,"&lt;="&amp;$H80,工数管理!$V$3:$V$98,"")+COUNTIFS(工数管理!$AK$3:$AK$98,K$1,工数管理!$W$3:$W$98,"&lt;="&amp;$H80,工数管理!$X$3:$X$98,"")+COUNTIFS(工数管理!$AK$3:$AK$98,K$1,工数管理!$Y$3:$Y$98,"&lt;="&amp;$H80,工数管理!$Z$3:$Z$98,"")+COUNTIFS(工数管理!$AK$3:$AK$98,K$1,工数管理!$AA$3:$AA$98,"&lt;="&amp;$H80,工数管理!$AB$3:$AB$98,"")+COUNTIFS(工数管理!$AK$3:$AK$98,K$1,工数管理!$AC$3:$AC$98,"&lt;="&amp;$H80,工数管理!$AD$3:$AD$98,"")+COUNTIFS(工数管理!$AK$3:$AK$98,K$1,工数管理!$AE$3:$AE$98,"&lt;="&amp;$H80,工数管理!$AF$3:$AF$98,"")+COUNTIFS(工数管理!$AK$3:$AK$98,K$1,工数管理!$AG$3:$AG$98,"&lt;="&amp;$H80,工数管理!$AH$3:$AH$98,""))*($H80&lt;=工数管理!$AI$1))</f>
        <v>1</v>
      </c>
      <c r="L80" s="42">
        <f ca="1">IF(L$1="",0,COUNTIFS(工数管理!$AK$3:$AK$98,L$1,工数管理!$K$3:$K$98,"&lt;="&amp;$H80,工数管理!$L$3:$L$98,"&gt;="&amp;$H80)+COUNTIFS(工数管理!$AK$3:$AK$98,L$1,工数管理!$M$3:$M$98,"&lt;="&amp;$H80,工数管理!$N$3:$N$98,"&gt;="&amp;$H80)+COUNTIFS(工数管理!$AK$3:$AK$98,L$1,工数管理!$O$3:$O$98,"&lt;="&amp;$H80,工数管理!$P$3:$P$98,"&gt;="&amp;$H80)+COUNTIFS(工数管理!$AK$3:$AK$98,L$1,工数管理!$Q$3:$Q$98,"&lt;="&amp;$H80,工数管理!$R$3:$R$98,"&gt;="&amp;$H80)+COUNTIFS(工数管理!$AK$3:$AK$98,L$1,工数管理!$S$3:$S$98,"&lt;="&amp;$H80,工数管理!$T$3:$T$98,"&gt;="&amp;$H80)+COUNTIFS(工数管理!$AK$3:$AK$98,L$1,工数管理!$U$3:$U$98,"&lt;="&amp;$H80,工数管理!$V$3:$V$98,"&gt;="&amp;$H80)+COUNTIFS(工数管理!$AK$3:$AK$98,L$1,工数管理!$W$3:$W$98,"&lt;="&amp;$H80,工数管理!$X$3:$X$98,"&gt;="&amp;$H80)+COUNTIFS(工数管理!$AK$3:$AK$98,L$1,工数管理!$Y$3:$Y$98,"&lt;="&amp;$H80,工数管理!$Z$3:$Z$98,"&gt;="&amp;$H80)+COUNTIFS(工数管理!$AK$3:$AK$98,L$1,工数管理!$AA$3:$AA$98,"&lt;="&amp;$H80,工数管理!$AB$3:$AB$98,"&gt;="&amp;$H80)+COUNTIFS(工数管理!$AK$3:$AK$98,L$1,工数管理!$AC$3:$AC$98,"&lt;="&amp;$H80,工数管理!$AD$3:$AD$98,"&gt;="&amp;$H80)+COUNTIFS(工数管理!$AK$3:$AK$98,L$1,工数管理!$AE$3:$AE$98,"&lt;="&amp;$H80,工数管理!$AF$3:$AF$98,"&gt;="&amp;$H80)+COUNTIFS(工数管理!$AK$3:$AK$98,L$1,工数管理!$AG$3:$AG$98,"&lt;="&amp;$H80,工数管理!$AH$3:$AH$98,"&gt;="&amp;$H80)+(COUNTIFS(工数管理!$AK$3:$AK$98,L$1,工数管理!$K$3:$K$98,"&lt;="&amp;$H80,工数管理!$L$3:$L$98,"")+COUNTIFS(工数管理!$AK$3:$AK$98,L$1,工数管理!$M$3:$M$98,"&lt;="&amp;$H80,工数管理!$N$3:$N$98,"")+COUNTIFS(工数管理!$AK$3:$AK$98,L$1,工数管理!$O$3:$O$98,"&lt;="&amp;$H80,工数管理!$P$3:$P$98,"")+COUNTIFS(工数管理!$AK$3:$AK$98,L$1,工数管理!$Q$3:$Q$98,"&lt;="&amp;$H80,工数管理!$R$3:$R$98,"")+COUNTIFS(工数管理!$AK$3:$AK$98,L$1,工数管理!$S$3:$S$98,"&lt;="&amp;$H80,工数管理!$T$3:$T$98,"")+COUNTIFS(工数管理!$AK$3:$AK$98,L$1,工数管理!$U$3:$U$98,"&lt;="&amp;$H80,工数管理!$V$3:$V$98,"")+COUNTIFS(工数管理!$AK$3:$AK$98,L$1,工数管理!$W$3:$W$98,"&lt;="&amp;$H80,工数管理!$X$3:$X$98,"")+COUNTIFS(工数管理!$AK$3:$AK$98,L$1,工数管理!$Y$3:$Y$98,"&lt;="&amp;$H80,工数管理!$Z$3:$Z$98,"")+COUNTIFS(工数管理!$AK$3:$AK$98,L$1,工数管理!$AA$3:$AA$98,"&lt;="&amp;$H80,工数管理!$AB$3:$AB$98,"")+COUNTIFS(工数管理!$AK$3:$AK$98,L$1,工数管理!$AC$3:$AC$98,"&lt;="&amp;$H80,工数管理!$AD$3:$AD$98,"")+COUNTIFS(工数管理!$AK$3:$AK$98,L$1,工数管理!$AE$3:$AE$98,"&lt;="&amp;$H80,工数管理!$AF$3:$AF$98,"")+COUNTIFS(工数管理!$AK$3:$AK$98,L$1,工数管理!$AG$3:$AG$98,"&lt;="&amp;$H80,工数管理!$AH$3:$AH$98,""))*($H80&lt;=工数管理!$AI$1))</f>
        <v>1</v>
      </c>
    </row>
    <row r="81" spans="1:12" x14ac:dyDescent="0.15">
      <c r="A81" s="5"/>
      <c r="B81" s="6"/>
      <c r="H81" s="41">
        <f t="shared" si="3"/>
        <v>46249</v>
      </c>
      <c r="I81" s="42">
        <f t="shared" si="2"/>
        <v>0</v>
      </c>
      <c r="J81" s="42">
        <f ca="1">IF(J$1="",0,COUNTIFS(工数管理!$AK$3:$AK$98,J$1,工数管理!$K$3:$K$98,"&lt;="&amp;$H81,工数管理!$L$3:$L$98,"&gt;="&amp;$H81)+COUNTIFS(工数管理!$AK$3:$AK$98,J$1,工数管理!$M$3:$M$98,"&lt;="&amp;$H81,工数管理!$N$3:$N$98,"&gt;="&amp;$H81)+COUNTIFS(工数管理!$AK$3:$AK$98,J$1,工数管理!$O$3:$O$98,"&lt;="&amp;$H81,工数管理!$P$3:$P$98,"&gt;="&amp;$H81)+COUNTIFS(工数管理!$AK$3:$AK$98,J$1,工数管理!$Q$3:$Q$98,"&lt;="&amp;$H81,工数管理!$R$3:$R$98,"&gt;="&amp;$H81)+COUNTIFS(工数管理!$AK$3:$AK$98,J$1,工数管理!$S$3:$S$98,"&lt;="&amp;$H81,工数管理!$T$3:$T$98,"&gt;="&amp;$H81)+COUNTIFS(工数管理!$AK$3:$AK$98,J$1,工数管理!$U$3:$U$98,"&lt;="&amp;$H81,工数管理!$V$3:$V$98,"&gt;="&amp;$H81)+COUNTIFS(工数管理!$AK$3:$AK$98,J$1,工数管理!$W$3:$W$98,"&lt;="&amp;$H81,工数管理!$X$3:$X$98,"&gt;="&amp;$H81)+COUNTIFS(工数管理!$AK$3:$AK$98,J$1,工数管理!$Y$3:$Y$98,"&lt;="&amp;$H81,工数管理!$Z$3:$Z$98,"&gt;="&amp;$H81)+COUNTIFS(工数管理!$AK$3:$AK$98,J$1,工数管理!$AA$3:$AA$98,"&lt;="&amp;$H81,工数管理!$AB$3:$AB$98,"&gt;="&amp;$H81)+COUNTIFS(工数管理!$AK$3:$AK$98,J$1,工数管理!$AC$3:$AC$98,"&lt;="&amp;$H81,工数管理!$AD$3:$AD$98,"&gt;="&amp;$H81)+COUNTIFS(工数管理!$AK$3:$AK$98,J$1,工数管理!$AE$3:$AE$98,"&lt;="&amp;$H81,工数管理!$AF$3:$AF$98,"&gt;="&amp;$H81)+COUNTIFS(工数管理!$AK$3:$AK$98,J$1,工数管理!$AG$3:$AG$98,"&lt;="&amp;$H81,工数管理!$AH$3:$AH$98,"&gt;="&amp;$H81)+(COUNTIFS(工数管理!$AK$3:$AK$98,J$1,工数管理!$K$3:$K$98,"&lt;="&amp;$H81,工数管理!$L$3:$L$98,"")+COUNTIFS(工数管理!$AK$3:$AK$98,J$1,工数管理!$M$3:$M$98,"&lt;="&amp;$H81,工数管理!$N$3:$N$98,"")+COUNTIFS(工数管理!$AK$3:$AK$98,J$1,工数管理!$O$3:$O$98,"&lt;="&amp;$H81,工数管理!$P$3:$P$98,"")+COUNTIFS(工数管理!$AK$3:$AK$98,J$1,工数管理!$Q$3:$Q$98,"&lt;="&amp;$H81,工数管理!$R$3:$R$98,"")+COUNTIFS(工数管理!$AK$3:$AK$98,J$1,工数管理!$S$3:$S$98,"&lt;="&amp;$H81,工数管理!$T$3:$T$98,"")+COUNTIFS(工数管理!$AK$3:$AK$98,J$1,工数管理!$U$3:$U$98,"&lt;="&amp;$H81,工数管理!$V$3:$V$98,"")+COUNTIFS(工数管理!$AK$3:$AK$98,J$1,工数管理!$W$3:$W$98,"&lt;="&amp;$H81,工数管理!$X$3:$X$98,"")+COUNTIFS(工数管理!$AK$3:$AK$98,J$1,工数管理!$Y$3:$Y$98,"&lt;="&amp;$H81,工数管理!$Z$3:$Z$98,"")+COUNTIFS(工数管理!$AK$3:$AK$98,J$1,工数管理!$AA$3:$AA$98,"&lt;="&amp;$H81,工数管理!$AB$3:$AB$98,"")+COUNTIFS(工数管理!$AK$3:$AK$98,J$1,工数管理!$AC$3:$AC$98,"&lt;="&amp;$H81,工数管理!$AD$3:$AD$98,"")+COUNTIFS(工数管理!$AK$3:$AK$98,J$1,工数管理!$AE$3:$AE$98,"&lt;="&amp;$H81,工数管理!$AF$3:$AF$98,"")+COUNTIFS(工数管理!$AK$3:$AK$98,J$1,工数管理!$AG$3:$AG$98,"&lt;="&amp;$H81,工数管理!$AH$3:$AH$98,""))*($H81&lt;=工数管理!$AI$1))</f>
        <v>0</v>
      </c>
      <c r="K81" s="42">
        <f ca="1">IF(K$1="",0,COUNTIFS(工数管理!$AK$3:$AK$98,K$1,工数管理!$K$3:$K$98,"&lt;="&amp;$H81,工数管理!$L$3:$L$98,"&gt;="&amp;$H81)+COUNTIFS(工数管理!$AK$3:$AK$98,K$1,工数管理!$M$3:$M$98,"&lt;="&amp;$H81,工数管理!$N$3:$N$98,"&gt;="&amp;$H81)+COUNTIFS(工数管理!$AK$3:$AK$98,K$1,工数管理!$O$3:$O$98,"&lt;="&amp;$H81,工数管理!$P$3:$P$98,"&gt;="&amp;$H81)+COUNTIFS(工数管理!$AK$3:$AK$98,K$1,工数管理!$Q$3:$Q$98,"&lt;="&amp;$H81,工数管理!$R$3:$R$98,"&gt;="&amp;$H81)+COUNTIFS(工数管理!$AK$3:$AK$98,K$1,工数管理!$S$3:$S$98,"&lt;="&amp;$H81,工数管理!$T$3:$T$98,"&gt;="&amp;$H81)+COUNTIFS(工数管理!$AK$3:$AK$98,K$1,工数管理!$U$3:$U$98,"&lt;="&amp;$H81,工数管理!$V$3:$V$98,"&gt;="&amp;$H81)+COUNTIFS(工数管理!$AK$3:$AK$98,K$1,工数管理!$W$3:$W$98,"&lt;="&amp;$H81,工数管理!$X$3:$X$98,"&gt;="&amp;$H81)+COUNTIFS(工数管理!$AK$3:$AK$98,K$1,工数管理!$Y$3:$Y$98,"&lt;="&amp;$H81,工数管理!$Z$3:$Z$98,"&gt;="&amp;$H81)+COUNTIFS(工数管理!$AK$3:$AK$98,K$1,工数管理!$AA$3:$AA$98,"&lt;="&amp;$H81,工数管理!$AB$3:$AB$98,"&gt;="&amp;$H81)+COUNTIFS(工数管理!$AK$3:$AK$98,K$1,工数管理!$AC$3:$AC$98,"&lt;="&amp;$H81,工数管理!$AD$3:$AD$98,"&gt;="&amp;$H81)+COUNTIFS(工数管理!$AK$3:$AK$98,K$1,工数管理!$AE$3:$AE$98,"&lt;="&amp;$H81,工数管理!$AF$3:$AF$98,"&gt;="&amp;$H81)+COUNTIFS(工数管理!$AK$3:$AK$98,K$1,工数管理!$AG$3:$AG$98,"&lt;="&amp;$H81,工数管理!$AH$3:$AH$98,"&gt;="&amp;$H81)+(COUNTIFS(工数管理!$AK$3:$AK$98,K$1,工数管理!$K$3:$K$98,"&lt;="&amp;$H81,工数管理!$L$3:$L$98,"")+COUNTIFS(工数管理!$AK$3:$AK$98,K$1,工数管理!$M$3:$M$98,"&lt;="&amp;$H81,工数管理!$N$3:$N$98,"")+COUNTIFS(工数管理!$AK$3:$AK$98,K$1,工数管理!$O$3:$O$98,"&lt;="&amp;$H81,工数管理!$P$3:$P$98,"")+COUNTIFS(工数管理!$AK$3:$AK$98,K$1,工数管理!$Q$3:$Q$98,"&lt;="&amp;$H81,工数管理!$R$3:$R$98,"")+COUNTIFS(工数管理!$AK$3:$AK$98,K$1,工数管理!$S$3:$S$98,"&lt;="&amp;$H81,工数管理!$T$3:$T$98,"")+COUNTIFS(工数管理!$AK$3:$AK$98,K$1,工数管理!$U$3:$U$98,"&lt;="&amp;$H81,工数管理!$V$3:$V$98,"")+COUNTIFS(工数管理!$AK$3:$AK$98,K$1,工数管理!$W$3:$W$98,"&lt;="&amp;$H81,工数管理!$X$3:$X$98,"")+COUNTIFS(工数管理!$AK$3:$AK$98,K$1,工数管理!$Y$3:$Y$98,"&lt;="&amp;$H81,工数管理!$Z$3:$Z$98,"")+COUNTIFS(工数管理!$AK$3:$AK$98,K$1,工数管理!$AA$3:$AA$98,"&lt;="&amp;$H81,工数管理!$AB$3:$AB$98,"")+COUNTIFS(工数管理!$AK$3:$AK$98,K$1,工数管理!$AC$3:$AC$98,"&lt;="&amp;$H81,工数管理!$AD$3:$AD$98,"")+COUNTIFS(工数管理!$AK$3:$AK$98,K$1,工数管理!$AE$3:$AE$98,"&lt;="&amp;$H81,工数管理!$AF$3:$AF$98,"")+COUNTIFS(工数管理!$AK$3:$AK$98,K$1,工数管理!$AG$3:$AG$98,"&lt;="&amp;$H81,工数管理!$AH$3:$AH$98,""))*($H81&lt;=工数管理!$AI$1))</f>
        <v>1</v>
      </c>
      <c r="L81" s="42">
        <f ca="1">IF(L$1="",0,COUNTIFS(工数管理!$AK$3:$AK$98,L$1,工数管理!$K$3:$K$98,"&lt;="&amp;$H81,工数管理!$L$3:$L$98,"&gt;="&amp;$H81)+COUNTIFS(工数管理!$AK$3:$AK$98,L$1,工数管理!$M$3:$M$98,"&lt;="&amp;$H81,工数管理!$N$3:$N$98,"&gt;="&amp;$H81)+COUNTIFS(工数管理!$AK$3:$AK$98,L$1,工数管理!$O$3:$O$98,"&lt;="&amp;$H81,工数管理!$P$3:$P$98,"&gt;="&amp;$H81)+COUNTIFS(工数管理!$AK$3:$AK$98,L$1,工数管理!$Q$3:$Q$98,"&lt;="&amp;$H81,工数管理!$R$3:$R$98,"&gt;="&amp;$H81)+COUNTIFS(工数管理!$AK$3:$AK$98,L$1,工数管理!$S$3:$S$98,"&lt;="&amp;$H81,工数管理!$T$3:$T$98,"&gt;="&amp;$H81)+COUNTIFS(工数管理!$AK$3:$AK$98,L$1,工数管理!$U$3:$U$98,"&lt;="&amp;$H81,工数管理!$V$3:$V$98,"&gt;="&amp;$H81)+COUNTIFS(工数管理!$AK$3:$AK$98,L$1,工数管理!$W$3:$W$98,"&lt;="&amp;$H81,工数管理!$X$3:$X$98,"&gt;="&amp;$H81)+COUNTIFS(工数管理!$AK$3:$AK$98,L$1,工数管理!$Y$3:$Y$98,"&lt;="&amp;$H81,工数管理!$Z$3:$Z$98,"&gt;="&amp;$H81)+COUNTIFS(工数管理!$AK$3:$AK$98,L$1,工数管理!$AA$3:$AA$98,"&lt;="&amp;$H81,工数管理!$AB$3:$AB$98,"&gt;="&amp;$H81)+COUNTIFS(工数管理!$AK$3:$AK$98,L$1,工数管理!$AC$3:$AC$98,"&lt;="&amp;$H81,工数管理!$AD$3:$AD$98,"&gt;="&amp;$H81)+COUNTIFS(工数管理!$AK$3:$AK$98,L$1,工数管理!$AE$3:$AE$98,"&lt;="&amp;$H81,工数管理!$AF$3:$AF$98,"&gt;="&amp;$H81)+COUNTIFS(工数管理!$AK$3:$AK$98,L$1,工数管理!$AG$3:$AG$98,"&lt;="&amp;$H81,工数管理!$AH$3:$AH$98,"&gt;="&amp;$H81)+(COUNTIFS(工数管理!$AK$3:$AK$98,L$1,工数管理!$K$3:$K$98,"&lt;="&amp;$H81,工数管理!$L$3:$L$98,"")+COUNTIFS(工数管理!$AK$3:$AK$98,L$1,工数管理!$M$3:$M$98,"&lt;="&amp;$H81,工数管理!$N$3:$N$98,"")+COUNTIFS(工数管理!$AK$3:$AK$98,L$1,工数管理!$O$3:$O$98,"&lt;="&amp;$H81,工数管理!$P$3:$P$98,"")+COUNTIFS(工数管理!$AK$3:$AK$98,L$1,工数管理!$Q$3:$Q$98,"&lt;="&amp;$H81,工数管理!$R$3:$R$98,"")+COUNTIFS(工数管理!$AK$3:$AK$98,L$1,工数管理!$S$3:$S$98,"&lt;="&amp;$H81,工数管理!$T$3:$T$98,"")+COUNTIFS(工数管理!$AK$3:$AK$98,L$1,工数管理!$U$3:$U$98,"&lt;="&amp;$H81,工数管理!$V$3:$V$98,"")+COUNTIFS(工数管理!$AK$3:$AK$98,L$1,工数管理!$W$3:$W$98,"&lt;="&amp;$H81,工数管理!$X$3:$X$98,"")+COUNTIFS(工数管理!$AK$3:$AK$98,L$1,工数管理!$Y$3:$Y$98,"&lt;="&amp;$H81,工数管理!$Z$3:$Z$98,"")+COUNTIFS(工数管理!$AK$3:$AK$98,L$1,工数管理!$AA$3:$AA$98,"&lt;="&amp;$H81,工数管理!$AB$3:$AB$98,"")+COUNTIFS(工数管理!$AK$3:$AK$98,L$1,工数管理!$AC$3:$AC$98,"&lt;="&amp;$H81,工数管理!$AD$3:$AD$98,"")+COUNTIFS(工数管理!$AK$3:$AK$98,L$1,工数管理!$AE$3:$AE$98,"&lt;="&amp;$H81,工数管理!$AF$3:$AF$98,"")+COUNTIFS(工数管理!$AK$3:$AK$98,L$1,工数管理!$AG$3:$AG$98,"&lt;="&amp;$H81,工数管理!$AH$3:$AH$98,""))*($H81&lt;=工数管理!$AI$1))</f>
        <v>1</v>
      </c>
    </row>
    <row r="82" spans="1:12" x14ac:dyDescent="0.15">
      <c r="A82" s="5"/>
      <c r="B82" s="6"/>
      <c r="H82" s="41">
        <f t="shared" si="3"/>
        <v>46250</v>
      </c>
      <c r="I82" s="42">
        <f t="shared" si="2"/>
        <v>0</v>
      </c>
      <c r="J82" s="42">
        <f ca="1">IF(J$1="",0,COUNTIFS(工数管理!$AK$3:$AK$98,J$1,工数管理!$K$3:$K$98,"&lt;="&amp;$H82,工数管理!$L$3:$L$98,"&gt;="&amp;$H82)+COUNTIFS(工数管理!$AK$3:$AK$98,J$1,工数管理!$M$3:$M$98,"&lt;="&amp;$H82,工数管理!$N$3:$N$98,"&gt;="&amp;$H82)+COUNTIFS(工数管理!$AK$3:$AK$98,J$1,工数管理!$O$3:$O$98,"&lt;="&amp;$H82,工数管理!$P$3:$P$98,"&gt;="&amp;$H82)+COUNTIFS(工数管理!$AK$3:$AK$98,J$1,工数管理!$Q$3:$Q$98,"&lt;="&amp;$H82,工数管理!$R$3:$R$98,"&gt;="&amp;$H82)+COUNTIFS(工数管理!$AK$3:$AK$98,J$1,工数管理!$S$3:$S$98,"&lt;="&amp;$H82,工数管理!$T$3:$T$98,"&gt;="&amp;$H82)+COUNTIFS(工数管理!$AK$3:$AK$98,J$1,工数管理!$U$3:$U$98,"&lt;="&amp;$H82,工数管理!$V$3:$V$98,"&gt;="&amp;$H82)+COUNTIFS(工数管理!$AK$3:$AK$98,J$1,工数管理!$W$3:$W$98,"&lt;="&amp;$H82,工数管理!$X$3:$X$98,"&gt;="&amp;$H82)+COUNTIFS(工数管理!$AK$3:$AK$98,J$1,工数管理!$Y$3:$Y$98,"&lt;="&amp;$H82,工数管理!$Z$3:$Z$98,"&gt;="&amp;$H82)+COUNTIFS(工数管理!$AK$3:$AK$98,J$1,工数管理!$AA$3:$AA$98,"&lt;="&amp;$H82,工数管理!$AB$3:$AB$98,"&gt;="&amp;$H82)+COUNTIFS(工数管理!$AK$3:$AK$98,J$1,工数管理!$AC$3:$AC$98,"&lt;="&amp;$H82,工数管理!$AD$3:$AD$98,"&gt;="&amp;$H82)+COUNTIFS(工数管理!$AK$3:$AK$98,J$1,工数管理!$AE$3:$AE$98,"&lt;="&amp;$H82,工数管理!$AF$3:$AF$98,"&gt;="&amp;$H82)+COUNTIFS(工数管理!$AK$3:$AK$98,J$1,工数管理!$AG$3:$AG$98,"&lt;="&amp;$H82,工数管理!$AH$3:$AH$98,"&gt;="&amp;$H82)+(COUNTIFS(工数管理!$AK$3:$AK$98,J$1,工数管理!$K$3:$K$98,"&lt;="&amp;$H82,工数管理!$L$3:$L$98,"")+COUNTIFS(工数管理!$AK$3:$AK$98,J$1,工数管理!$M$3:$M$98,"&lt;="&amp;$H82,工数管理!$N$3:$N$98,"")+COUNTIFS(工数管理!$AK$3:$AK$98,J$1,工数管理!$O$3:$O$98,"&lt;="&amp;$H82,工数管理!$P$3:$P$98,"")+COUNTIFS(工数管理!$AK$3:$AK$98,J$1,工数管理!$Q$3:$Q$98,"&lt;="&amp;$H82,工数管理!$R$3:$R$98,"")+COUNTIFS(工数管理!$AK$3:$AK$98,J$1,工数管理!$S$3:$S$98,"&lt;="&amp;$H82,工数管理!$T$3:$T$98,"")+COUNTIFS(工数管理!$AK$3:$AK$98,J$1,工数管理!$U$3:$U$98,"&lt;="&amp;$H82,工数管理!$V$3:$V$98,"")+COUNTIFS(工数管理!$AK$3:$AK$98,J$1,工数管理!$W$3:$W$98,"&lt;="&amp;$H82,工数管理!$X$3:$X$98,"")+COUNTIFS(工数管理!$AK$3:$AK$98,J$1,工数管理!$Y$3:$Y$98,"&lt;="&amp;$H82,工数管理!$Z$3:$Z$98,"")+COUNTIFS(工数管理!$AK$3:$AK$98,J$1,工数管理!$AA$3:$AA$98,"&lt;="&amp;$H82,工数管理!$AB$3:$AB$98,"")+COUNTIFS(工数管理!$AK$3:$AK$98,J$1,工数管理!$AC$3:$AC$98,"&lt;="&amp;$H82,工数管理!$AD$3:$AD$98,"")+COUNTIFS(工数管理!$AK$3:$AK$98,J$1,工数管理!$AE$3:$AE$98,"&lt;="&amp;$H82,工数管理!$AF$3:$AF$98,"")+COUNTIFS(工数管理!$AK$3:$AK$98,J$1,工数管理!$AG$3:$AG$98,"&lt;="&amp;$H82,工数管理!$AH$3:$AH$98,""))*($H82&lt;=工数管理!$AI$1))</f>
        <v>0</v>
      </c>
      <c r="K82" s="42">
        <f ca="1">IF(K$1="",0,COUNTIFS(工数管理!$AK$3:$AK$98,K$1,工数管理!$K$3:$K$98,"&lt;="&amp;$H82,工数管理!$L$3:$L$98,"&gt;="&amp;$H82)+COUNTIFS(工数管理!$AK$3:$AK$98,K$1,工数管理!$M$3:$M$98,"&lt;="&amp;$H82,工数管理!$N$3:$N$98,"&gt;="&amp;$H82)+COUNTIFS(工数管理!$AK$3:$AK$98,K$1,工数管理!$O$3:$O$98,"&lt;="&amp;$H82,工数管理!$P$3:$P$98,"&gt;="&amp;$H82)+COUNTIFS(工数管理!$AK$3:$AK$98,K$1,工数管理!$Q$3:$Q$98,"&lt;="&amp;$H82,工数管理!$R$3:$R$98,"&gt;="&amp;$H82)+COUNTIFS(工数管理!$AK$3:$AK$98,K$1,工数管理!$S$3:$S$98,"&lt;="&amp;$H82,工数管理!$T$3:$T$98,"&gt;="&amp;$H82)+COUNTIFS(工数管理!$AK$3:$AK$98,K$1,工数管理!$U$3:$U$98,"&lt;="&amp;$H82,工数管理!$V$3:$V$98,"&gt;="&amp;$H82)+COUNTIFS(工数管理!$AK$3:$AK$98,K$1,工数管理!$W$3:$W$98,"&lt;="&amp;$H82,工数管理!$X$3:$X$98,"&gt;="&amp;$H82)+COUNTIFS(工数管理!$AK$3:$AK$98,K$1,工数管理!$Y$3:$Y$98,"&lt;="&amp;$H82,工数管理!$Z$3:$Z$98,"&gt;="&amp;$H82)+COUNTIFS(工数管理!$AK$3:$AK$98,K$1,工数管理!$AA$3:$AA$98,"&lt;="&amp;$H82,工数管理!$AB$3:$AB$98,"&gt;="&amp;$H82)+COUNTIFS(工数管理!$AK$3:$AK$98,K$1,工数管理!$AC$3:$AC$98,"&lt;="&amp;$H82,工数管理!$AD$3:$AD$98,"&gt;="&amp;$H82)+COUNTIFS(工数管理!$AK$3:$AK$98,K$1,工数管理!$AE$3:$AE$98,"&lt;="&amp;$H82,工数管理!$AF$3:$AF$98,"&gt;="&amp;$H82)+COUNTIFS(工数管理!$AK$3:$AK$98,K$1,工数管理!$AG$3:$AG$98,"&lt;="&amp;$H82,工数管理!$AH$3:$AH$98,"&gt;="&amp;$H82)+(COUNTIFS(工数管理!$AK$3:$AK$98,K$1,工数管理!$K$3:$K$98,"&lt;="&amp;$H82,工数管理!$L$3:$L$98,"")+COUNTIFS(工数管理!$AK$3:$AK$98,K$1,工数管理!$M$3:$M$98,"&lt;="&amp;$H82,工数管理!$N$3:$N$98,"")+COUNTIFS(工数管理!$AK$3:$AK$98,K$1,工数管理!$O$3:$O$98,"&lt;="&amp;$H82,工数管理!$P$3:$P$98,"")+COUNTIFS(工数管理!$AK$3:$AK$98,K$1,工数管理!$Q$3:$Q$98,"&lt;="&amp;$H82,工数管理!$R$3:$R$98,"")+COUNTIFS(工数管理!$AK$3:$AK$98,K$1,工数管理!$S$3:$S$98,"&lt;="&amp;$H82,工数管理!$T$3:$T$98,"")+COUNTIFS(工数管理!$AK$3:$AK$98,K$1,工数管理!$U$3:$U$98,"&lt;="&amp;$H82,工数管理!$V$3:$V$98,"")+COUNTIFS(工数管理!$AK$3:$AK$98,K$1,工数管理!$W$3:$W$98,"&lt;="&amp;$H82,工数管理!$X$3:$X$98,"")+COUNTIFS(工数管理!$AK$3:$AK$98,K$1,工数管理!$Y$3:$Y$98,"&lt;="&amp;$H82,工数管理!$Z$3:$Z$98,"")+COUNTIFS(工数管理!$AK$3:$AK$98,K$1,工数管理!$AA$3:$AA$98,"&lt;="&amp;$H82,工数管理!$AB$3:$AB$98,"")+COUNTIFS(工数管理!$AK$3:$AK$98,K$1,工数管理!$AC$3:$AC$98,"&lt;="&amp;$H82,工数管理!$AD$3:$AD$98,"")+COUNTIFS(工数管理!$AK$3:$AK$98,K$1,工数管理!$AE$3:$AE$98,"&lt;="&amp;$H82,工数管理!$AF$3:$AF$98,"")+COUNTIFS(工数管理!$AK$3:$AK$98,K$1,工数管理!$AG$3:$AG$98,"&lt;="&amp;$H82,工数管理!$AH$3:$AH$98,""))*($H82&lt;=工数管理!$AI$1))</f>
        <v>1</v>
      </c>
      <c r="L82" s="42">
        <f ca="1">IF(L$1="",0,COUNTIFS(工数管理!$AK$3:$AK$98,L$1,工数管理!$K$3:$K$98,"&lt;="&amp;$H82,工数管理!$L$3:$L$98,"&gt;="&amp;$H82)+COUNTIFS(工数管理!$AK$3:$AK$98,L$1,工数管理!$M$3:$M$98,"&lt;="&amp;$H82,工数管理!$N$3:$N$98,"&gt;="&amp;$H82)+COUNTIFS(工数管理!$AK$3:$AK$98,L$1,工数管理!$O$3:$O$98,"&lt;="&amp;$H82,工数管理!$P$3:$P$98,"&gt;="&amp;$H82)+COUNTIFS(工数管理!$AK$3:$AK$98,L$1,工数管理!$Q$3:$Q$98,"&lt;="&amp;$H82,工数管理!$R$3:$R$98,"&gt;="&amp;$H82)+COUNTIFS(工数管理!$AK$3:$AK$98,L$1,工数管理!$S$3:$S$98,"&lt;="&amp;$H82,工数管理!$T$3:$T$98,"&gt;="&amp;$H82)+COUNTIFS(工数管理!$AK$3:$AK$98,L$1,工数管理!$U$3:$U$98,"&lt;="&amp;$H82,工数管理!$V$3:$V$98,"&gt;="&amp;$H82)+COUNTIFS(工数管理!$AK$3:$AK$98,L$1,工数管理!$W$3:$W$98,"&lt;="&amp;$H82,工数管理!$X$3:$X$98,"&gt;="&amp;$H82)+COUNTIFS(工数管理!$AK$3:$AK$98,L$1,工数管理!$Y$3:$Y$98,"&lt;="&amp;$H82,工数管理!$Z$3:$Z$98,"&gt;="&amp;$H82)+COUNTIFS(工数管理!$AK$3:$AK$98,L$1,工数管理!$AA$3:$AA$98,"&lt;="&amp;$H82,工数管理!$AB$3:$AB$98,"&gt;="&amp;$H82)+COUNTIFS(工数管理!$AK$3:$AK$98,L$1,工数管理!$AC$3:$AC$98,"&lt;="&amp;$H82,工数管理!$AD$3:$AD$98,"&gt;="&amp;$H82)+COUNTIFS(工数管理!$AK$3:$AK$98,L$1,工数管理!$AE$3:$AE$98,"&lt;="&amp;$H82,工数管理!$AF$3:$AF$98,"&gt;="&amp;$H82)+COUNTIFS(工数管理!$AK$3:$AK$98,L$1,工数管理!$AG$3:$AG$98,"&lt;="&amp;$H82,工数管理!$AH$3:$AH$98,"&gt;="&amp;$H82)+(COUNTIFS(工数管理!$AK$3:$AK$98,L$1,工数管理!$K$3:$K$98,"&lt;="&amp;$H82,工数管理!$L$3:$L$98,"")+COUNTIFS(工数管理!$AK$3:$AK$98,L$1,工数管理!$M$3:$M$98,"&lt;="&amp;$H82,工数管理!$N$3:$N$98,"")+COUNTIFS(工数管理!$AK$3:$AK$98,L$1,工数管理!$O$3:$O$98,"&lt;="&amp;$H82,工数管理!$P$3:$P$98,"")+COUNTIFS(工数管理!$AK$3:$AK$98,L$1,工数管理!$Q$3:$Q$98,"&lt;="&amp;$H82,工数管理!$R$3:$R$98,"")+COUNTIFS(工数管理!$AK$3:$AK$98,L$1,工数管理!$S$3:$S$98,"&lt;="&amp;$H82,工数管理!$T$3:$T$98,"")+COUNTIFS(工数管理!$AK$3:$AK$98,L$1,工数管理!$U$3:$U$98,"&lt;="&amp;$H82,工数管理!$V$3:$V$98,"")+COUNTIFS(工数管理!$AK$3:$AK$98,L$1,工数管理!$W$3:$W$98,"&lt;="&amp;$H82,工数管理!$X$3:$X$98,"")+COUNTIFS(工数管理!$AK$3:$AK$98,L$1,工数管理!$Y$3:$Y$98,"&lt;="&amp;$H82,工数管理!$Z$3:$Z$98,"")+COUNTIFS(工数管理!$AK$3:$AK$98,L$1,工数管理!$AA$3:$AA$98,"&lt;="&amp;$H82,工数管理!$AB$3:$AB$98,"")+COUNTIFS(工数管理!$AK$3:$AK$98,L$1,工数管理!$AC$3:$AC$98,"&lt;="&amp;$H82,工数管理!$AD$3:$AD$98,"")+COUNTIFS(工数管理!$AK$3:$AK$98,L$1,工数管理!$AE$3:$AE$98,"&lt;="&amp;$H82,工数管理!$AF$3:$AF$98,"")+COUNTIFS(工数管理!$AK$3:$AK$98,L$1,工数管理!$AG$3:$AG$98,"&lt;="&amp;$H82,工数管理!$AH$3:$AH$98,""))*($H82&lt;=工数管理!$AI$1))</f>
        <v>1</v>
      </c>
    </row>
    <row r="83" spans="1:12" x14ac:dyDescent="0.15">
      <c r="A83" s="5"/>
      <c r="B83" s="6"/>
      <c r="H83" s="41">
        <f t="shared" si="3"/>
        <v>46251</v>
      </c>
      <c r="I83" s="42">
        <f t="shared" si="2"/>
        <v>1</v>
      </c>
      <c r="J83" s="42">
        <f ca="1">IF(J$1="",0,COUNTIFS(工数管理!$AK$3:$AK$98,J$1,工数管理!$K$3:$K$98,"&lt;="&amp;$H83,工数管理!$L$3:$L$98,"&gt;="&amp;$H83)+COUNTIFS(工数管理!$AK$3:$AK$98,J$1,工数管理!$M$3:$M$98,"&lt;="&amp;$H83,工数管理!$N$3:$N$98,"&gt;="&amp;$H83)+COUNTIFS(工数管理!$AK$3:$AK$98,J$1,工数管理!$O$3:$O$98,"&lt;="&amp;$H83,工数管理!$P$3:$P$98,"&gt;="&amp;$H83)+COUNTIFS(工数管理!$AK$3:$AK$98,J$1,工数管理!$Q$3:$Q$98,"&lt;="&amp;$H83,工数管理!$R$3:$R$98,"&gt;="&amp;$H83)+COUNTIFS(工数管理!$AK$3:$AK$98,J$1,工数管理!$S$3:$S$98,"&lt;="&amp;$H83,工数管理!$T$3:$T$98,"&gt;="&amp;$H83)+COUNTIFS(工数管理!$AK$3:$AK$98,J$1,工数管理!$U$3:$U$98,"&lt;="&amp;$H83,工数管理!$V$3:$V$98,"&gt;="&amp;$H83)+COUNTIFS(工数管理!$AK$3:$AK$98,J$1,工数管理!$W$3:$W$98,"&lt;="&amp;$H83,工数管理!$X$3:$X$98,"&gt;="&amp;$H83)+COUNTIFS(工数管理!$AK$3:$AK$98,J$1,工数管理!$Y$3:$Y$98,"&lt;="&amp;$H83,工数管理!$Z$3:$Z$98,"&gt;="&amp;$H83)+COUNTIFS(工数管理!$AK$3:$AK$98,J$1,工数管理!$AA$3:$AA$98,"&lt;="&amp;$H83,工数管理!$AB$3:$AB$98,"&gt;="&amp;$H83)+COUNTIFS(工数管理!$AK$3:$AK$98,J$1,工数管理!$AC$3:$AC$98,"&lt;="&amp;$H83,工数管理!$AD$3:$AD$98,"&gt;="&amp;$H83)+COUNTIFS(工数管理!$AK$3:$AK$98,J$1,工数管理!$AE$3:$AE$98,"&lt;="&amp;$H83,工数管理!$AF$3:$AF$98,"&gt;="&amp;$H83)+COUNTIFS(工数管理!$AK$3:$AK$98,J$1,工数管理!$AG$3:$AG$98,"&lt;="&amp;$H83,工数管理!$AH$3:$AH$98,"&gt;="&amp;$H83)+(COUNTIFS(工数管理!$AK$3:$AK$98,J$1,工数管理!$K$3:$K$98,"&lt;="&amp;$H83,工数管理!$L$3:$L$98,"")+COUNTIFS(工数管理!$AK$3:$AK$98,J$1,工数管理!$M$3:$M$98,"&lt;="&amp;$H83,工数管理!$N$3:$N$98,"")+COUNTIFS(工数管理!$AK$3:$AK$98,J$1,工数管理!$O$3:$O$98,"&lt;="&amp;$H83,工数管理!$P$3:$P$98,"")+COUNTIFS(工数管理!$AK$3:$AK$98,J$1,工数管理!$Q$3:$Q$98,"&lt;="&amp;$H83,工数管理!$R$3:$R$98,"")+COUNTIFS(工数管理!$AK$3:$AK$98,J$1,工数管理!$S$3:$S$98,"&lt;="&amp;$H83,工数管理!$T$3:$T$98,"")+COUNTIFS(工数管理!$AK$3:$AK$98,J$1,工数管理!$U$3:$U$98,"&lt;="&amp;$H83,工数管理!$V$3:$V$98,"")+COUNTIFS(工数管理!$AK$3:$AK$98,J$1,工数管理!$W$3:$W$98,"&lt;="&amp;$H83,工数管理!$X$3:$X$98,"")+COUNTIFS(工数管理!$AK$3:$AK$98,J$1,工数管理!$Y$3:$Y$98,"&lt;="&amp;$H83,工数管理!$Z$3:$Z$98,"")+COUNTIFS(工数管理!$AK$3:$AK$98,J$1,工数管理!$AA$3:$AA$98,"&lt;="&amp;$H83,工数管理!$AB$3:$AB$98,"")+COUNTIFS(工数管理!$AK$3:$AK$98,J$1,工数管理!$AC$3:$AC$98,"&lt;="&amp;$H83,工数管理!$AD$3:$AD$98,"")+COUNTIFS(工数管理!$AK$3:$AK$98,J$1,工数管理!$AE$3:$AE$98,"&lt;="&amp;$H83,工数管理!$AF$3:$AF$98,"")+COUNTIFS(工数管理!$AK$3:$AK$98,J$1,工数管理!$AG$3:$AG$98,"&lt;="&amp;$H83,工数管理!$AH$3:$AH$98,""))*($H83&lt;=工数管理!$AI$1))</f>
        <v>0</v>
      </c>
      <c r="K83" s="42">
        <f ca="1">IF(K$1="",0,COUNTIFS(工数管理!$AK$3:$AK$98,K$1,工数管理!$K$3:$K$98,"&lt;="&amp;$H83,工数管理!$L$3:$L$98,"&gt;="&amp;$H83)+COUNTIFS(工数管理!$AK$3:$AK$98,K$1,工数管理!$M$3:$M$98,"&lt;="&amp;$H83,工数管理!$N$3:$N$98,"&gt;="&amp;$H83)+COUNTIFS(工数管理!$AK$3:$AK$98,K$1,工数管理!$O$3:$O$98,"&lt;="&amp;$H83,工数管理!$P$3:$P$98,"&gt;="&amp;$H83)+COUNTIFS(工数管理!$AK$3:$AK$98,K$1,工数管理!$Q$3:$Q$98,"&lt;="&amp;$H83,工数管理!$R$3:$R$98,"&gt;="&amp;$H83)+COUNTIFS(工数管理!$AK$3:$AK$98,K$1,工数管理!$S$3:$S$98,"&lt;="&amp;$H83,工数管理!$T$3:$T$98,"&gt;="&amp;$H83)+COUNTIFS(工数管理!$AK$3:$AK$98,K$1,工数管理!$U$3:$U$98,"&lt;="&amp;$H83,工数管理!$V$3:$V$98,"&gt;="&amp;$H83)+COUNTIFS(工数管理!$AK$3:$AK$98,K$1,工数管理!$W$3:$W$98,"&lt;="&amp;$H83,工数管理!$X$3:$X$98,"&gt;="&amp;$H83)+COUNTIFS(工数管理!$AK$3:$AK$98,K$1,工数管理!$Y$3:$Y$98,"&lt;="&amp;$H83,工数管理!$Z$3:$Z$98,"&gt;="&amp;$H83)+COUNTIFS(工数管理!$AK$3:$AK$98,K$1,工数管理!$AA$3:$AA$98,"&lt;="&amp;$H83,工数管理!$AB$3:$AB$98,"&gt;="&amp;$H83)+COUNTIFS(工数管理!$AK$3:$AK$98,K$1,工数管理!$AC$3:$AC$98,"&lt;="&amp;$H83,工数管理!$AD$3:$AD$98,"&gt;="&amp;$H83)+COUNTIFS(工数管理!$AK$3:$AK$98,K$1,工数管理!$AE$3:$AE$98,"&lt;="&amp;$H83,工数管理!$AF$3:$AF$98,"&gt;="&amp;$H83)+COUNTIFS(工数管理!$AK$3:$AK$98,K$1,工数管理!$AG$3:$AG$98,"&lt;="&amp;$H83,工数管理!$AH$3:$AH$98,"&gt;="&amp;$H83)+(COUNTIFS(工数管理!$AK$3:$AK$98,K$1,工数管理!$K$3:$K$98,"&lt;="&amp;$H83,工数管理!$L$3:$L$98,"")+COUNTIFS(工数管理!$AK$3:$AK$98,K$1,工数管理!$M$3:$M$98,"&lt;="&amp;$H83,工数管理!$N$3:$N$98,"")+COUNTIFS(工数管理!$AK$3:$AK$98,K$1,工数管理!$O$3:$O$98,"&lt;="&amp;$H83,工数管理!$P$3:$P$98,"")+COUNTIFS(工数管理!$AK$3:$AK$98,K$1,工数管理!$Q$3:$Q$98,"&lt;="&amp;$H83,工数管理!$R$3:$R$98,"")+COUNTIFS(工数管理!$AK$3:$AK$98,K$1,工数管理!$S$3:$S$98,"&lt;="&amp;$H83,工数管理!$T$3:$T$98,"")+COUNTIFS(工数管理!$AK$3:$AK$98,K$1,工数管理!$U$3:$U$98,"&lt;="&amp;$H83,工数管理!$V$3:$V$98,"")+COUNTIFS(工数管理!$AK$3:$AK$98,K$1,工数管理!$W$3:$W$98,"&lt;="&amp;$H83,工数管理!$X$3:$X$98,"")+COUNTIFS(工数管理!$AK$3:$AK$98,K$1,工数管理!$Y$3:$Y$98,"&lt;="&amp;$H83,工数管理!$Z$3:$Z$98,"")+COUNTIFS(工数管理!$AK$3:$AK$98,K$1,工数管理!$AA$3:$AA$98,"&lt;="&amp;$H83,工数管理!$AB$3:$AB$98,"")+COUNTIFS(工数管理!$AK$3:$AK$98,K$1,工数管理!$AC$3:$AC$98,"&lt;="&amp;$H83,工数管理!$AD$3:$AD$98,"")+COUNTIFS(工数管理!$AK$3:$AK$98,K$1,工数管理!$AE$3:$AE$98,"&lt;="&amp;$H83,工数管理!$AF$3:$AF$98,"")+COUNTIFS(工数管理!$AK$3:$AK$98,K$1,工数管理!$AG$3:$AG$98,"&lt;="&amp;$H83,工数管理!$AH$3:$AH$98,""))*($H83&lt;=工数管理!$AI$1))</f>
        <v>1</v>
      </c>
      <c r="L83" s="42">
        <f ca="1">IF(L$1="",0,COUNTIFS(工数管理!$AK$3:$AK$98,L$1,工数管理!$K$3:$K$98,"&lt;="&amp;$H83,工数管理!$L$3:$L$98,"&gt;="&amp;$H83)+COUNTIFS(工数管理!$AK$3:$AK$98,L$1,工数管理!$M$3:$M$98,"&lt;="&amp;$H83,工数管理!$N$3:$N$98,"&gt;="&amp;$H83)+COUNTIFS(工数管理!$AK$3:$AK$98,L$1,工数管理!$O$3:$O$98,"&lt;="&amp;$H83,工数管理!$P$3:$P$98,"&gt;="&amp;$H83)+COUNTIFS(工数管理!$AK$3:$AK$98,L$1,工数管理!$Q$3:$Q$98,"&lt;="&amp;$H83,工数管理!$R$3:$R$98,"&gt;="&amp;$H83)+COUNTIFS(工数管理!$AK$3:$AK$98,L$1,工数管理!$S$3:$S$98,"&lt;="&amp;$H83,工数管理!$T$3:$T$98,"&gt;="&amp;$H83)+COUNTIFS(工数管理!$AK$3:$AK$98,L$1,工数管理!$U$3:$U$98,"&lt;="&amp;$H83,工数管理!$V$3:$V$98,"&gt;="&amp;$H83)+COUNTIFS(工数管理!$AK$3:$AK$98,L$1,工数管理!$W$3:$W$98,"&lt;="&amp;$H83,工数管理!$X$3:$X$98,"&gt;="&amp;$H83)+COUNTIFS(工数管理!$AK$3:$AK$98,L$1,工数管理!$Y$3:$Y$98,"&lt;="&amp;$H83,工数管理!$Z$3:$Z$98,"&gt;="&amp;$H83)+COUNTIFS(工数管理!$AK$3:$AK$98,L$1,工数管理!$AA$3:$AA$98,"&lt;="&amp;$H83,工数管理!$AB$3:$AB$98,"&gt;="&amp;$H83)+COUNTIFS(工数管理!$AK$3:$AK$98,L$1,工数管理!$AC$3:$AC$98,"&lt;="&amp;$H83,工数管理!$AD$3:$AD$98,"&gt;="&amp;$H83)+COUNTIFS(工数管理!$AK$3:$AK$98,L$1,工数管理!$AE$3:$AE$98,"&lt;="&amp;$H83,工数管理!$AF$3:$AF$98,"&gt;="&amp;$H83)+COUNTIFS(工数管理!$AK$3:$AK$98,L$1,工数管理!$AG$3:$AG$98,"&lt;="&amp;$H83,工数管理!$AH$3:$AH$98,"&gt;="&amp;$H83)+(COUNTIFS(工数管理!$AK$3:$AK$98,L$1,工数管理!$K$3:$K$98,"&lt;="&amp;$H83,工数管理!$L$3:$L$98,"")+COUNTIFS(工数管理!$AK$3:$AK$98,L$1,工数管理!$M$3:$M$98,"&lt;="&amp;$H83,工数管理!$N$3:$N$98,"")+COUNTIFS(工数管理!$AK$3:$AK$98,L$1,工数管理!$O$3:$O$98,"&lt;="&amp;$H83,工数管理!$P$3:$P$98,"")+COUNTIFS(工数管理!$AK$3:$AK$98,L$1,工数管理!$Q$3:$Q$98,"&lt;="&amp;$H83,工数管理!$R$3:$R$98,"")+COUNTIFS(工数管理!$AK$3:$AK$98,L$1,工数管理!$S$3:$S$98,"&lt;="&amp;$H83,工数管理!$T$3:$T$98,"")+COUNTIFS(工数管理!$AK$3:$AK$98,L$1,工数管理!$U$3:$U$98,"&lt;="&amp;$H83,工数管理!$V$3:$V$98,"")+COUNTIFS(工数管理!$AK$3:$AK$98,L$1,工数管理!$W$3:$W$98,"&lt;="&amp;$H83,工数管理!$X$3:$X$98,"")+COUNTIFS(工数管理!$AK$3:$AK$98,L$1,工数管理!$Y$3:$Y$98,"&lt;="&amp;$H83,工数管理!$Z$3:$Z$98,"")+COUNTIFS(工数管理!$AK$3:$AK$98,L$1,工数管理!$AA$3:$AA$98,"&lt;="&amp;$H83,工数管理!$AB$3:$AB$98,"")+COUNTIFS(工数管理!$AK$3:$AK$98,L$1,工数管理!$AC$3:$AC$98,"&lt;="&amp;$H83,工数管理!$AD$3:$AD$98,"")+COUNTIFS(工数管理!$AK$3:$AK$98,L$1,工数管理!$AE$3:$AE$98,"&lt;="&amp;$H83,工数管理!$AF$3:$AF$98,"")+COUNTIFS(工数管理!$AK$3:$AK$98,L$1,工数管理!$AG$3:$AG$98,"&lt;="&amp;$H83,工数管理!$AH$3:$AH$98,""))*($H83&lt;=工数管理!$AI$1))</f>
        <v>1</v>
      </c>
    </row>
    <row r="84" spans="1:12" x14ac:dyDescent="0.15">
      <c r="A84" s="5"/>
      <c r="B84" s="6"/>
      <c r="H84" s="41">
        <f t="shared" si="3"/>
        <v>46252</v>
      </c>
      <c r="I84" s="42">
        <f t="shared" si="2"/>
        <v>1</v>
      </c>
      <c r="J84" s="42">
        <f ca="1">IF(J$1="",0,COUNTIFS(工数管理!$AK$3:$AK$98,J$1,工数管理!$K$3:$K$98,"&lt;="&amp;$H84,工数管理!$L$3:$L$98,"&gt;="&amp;$H84)+COUNTIFS(工数管理!$AK$3:$AK$98,J$1,工数管理!$M$3:$M$98,"&lt;="&amp;$H84,工数管理!$N$3:$N$98,"&gt;="&amp;$H84)+COUNTIFS(工数管理!$AK$3:$AK$98,J$1,工数管理!$O$3:$O$98,"&lt;="&amp;$H84,工数管理!$P$3:$P$98,"&gt;="&amp;$H84)+COUNTIFS(工数管理!$AK$3:$AK$98,J$1,工数管理!$Q$3:$Q$98,"&lt;="&amp;$H84,工数管理!$R$3:$R$98,"&gt;="&amp;$H84)+COUNTIFS(工数管理!$AK$3:$AK$98,J$1,工数管理!$S$3:$S$98,"&lt;="&amp;$H84,工数管理!$T$3:$T$98,"&gt;="&amp;$H84)+COUNTIFS(工数管理!$AK$3:$AK$98,J$1,工数管理!$U$3:$U$98,"&lt;="&amp;$H84,工数管理!$V$3:$V$98,"&gt;="&amp;$H84)+COUNTIFS(工数管理!$AK$3:$AK$98,J$1,工数管理!$W$3:$W$98,"&lt;="&amp;$H84,工数管理!$X$3:$X$98,"&gt;="&amp;$H84)+COUNTIFS(工数管理!$AK$3:$AK$98,J$1,工数管理!$Y$3:$Y$98,"&lt;="&amp;$H84,工数管理!$Z$3:$Z$98,"&gt;="&amp;$H84)+COUNTIFS(工数管理!$AK$3:$AK$98,J$1,工数管理!$AA$3:$AA$98,"&lt;="&amp;$H84,工数管理!$AB$3:$AB$98,"&gt;="&amp;$H84)+COUNTIFS(工数管理!$AK$3:$AK$98,J$1,工数管理!$AC$3:$AC$98,"&lt;="&amp;$H84,工数管理!$AD$3:$AD$98,"&gt;="&amp;$H84)+COUNTIFS(工数管理!$AK$3:$AK$98,J$1,工数管理!$AE$3:$AE$98,"&lt;="&amp;$H84,工数管理!$AF$3:$AF$98,"&gt;="&amp;$H84)+COUNTIFS(工数管理!$AK$3:$AK$98,J$1,工数管理!$AG$3:$AG$98,"&lt;="&amp;$H84,工数管理!$AH$3:$AH$98,"&gt;="&amp;$H84)+(COUNTIFS(工数管理!$AK$3:$AK$98,J$1,工数管理!$K$3:$K$98,"&lt;="&amp;$H84,工数管理!$L$3:$L$98,"")+COUNTIFS(工数管理!$AK$3:$AK$98,J$1,工数管理!$M$3:$M$98,"&lt;="&amp;$H84,工数管理!$N$3:$N$98,"")+COUNTIFS(工数管理!$AK$3:$AK$98,J$1,工数管理!$O$3:$O$98,"&lt;="&amp;$H84,工数管理!$P$3:$P$98,"")+COUNTIFS(工数管理!$AK$3:$AK$98,J$1,工数管理!$Q$3:$Q$98,"&lt;="&amp;$H84,工数管理!$R$3:$R$98,"")+COUNTIFS(工数管理!$AK$3:$AK$98,J$1,工数管理!$S$3:$S$98,"&lt;="&amp;$H84,工数管理!$T$3:$T$98,"")+COUNTIFS(工数管理!$AK$3:$AK$98,J$1,工数管理!$U$3:$U$98,"&lt;="&amp;$H84,工数管理!$V$3:$V$98,"")+COUNTIFS(工数管理!$AK$3:$AK$98,J$1,工数管理!$W$3:$W$98,"&lt;="&amp;$H84,工数管理!$X$3:$X$98,"")+COUNTIFS(工数管理!$AK$3:$AK$98,J$1,工数管理!$Y$3:$Y$98,"&lt;="&amp;$H84,工数管理!$Z$3:$Z$98,"")+COUNTIFS(工数管理!$AK$3:$AK$98,J$1,工数管理!$AA$3:$AA$98,"&lt;="&amp;$H84,工数管理!$AB$3:$AB$98,"")+COUNTIFS(工数管理!$AK$3:$AK$98,J$1,工数管理!$AC$3:$AC$98,"&lt;="&amp;$H84,工数管理!$AD$3:$AD$98,"")+COUNTIFS(工数管理!$AK$3:$AK$98,J$1,工数管理!$AE$3:$AE$98,"&lt;="&amp;$H84,工数管理!$AF$3:$AF$98,"")+COUNTIFS(工数管理!$AK$3:$AK$98,J$1,工数管理!$AG$3:$AG$98,"&lt;="&amp;$H84,工数管理!$AH$3:$AH$98,""))*($H84&lt;=工数管理!$AI$1))</f>
        <v>0</v>
      </c>
      <c r="K84" s="42">
        <f ca="1">IF(K$1="",0,COUNTIFS(工数管理!$AK$3:$AK$98,K$1,工数管理!$K$3:$K$98,"&lt;="&amp;$H84,工数管理!$L$3:$L$98,"&gt;="&amp;$H84)+COUNTIFS(工数管理!$AK$3:$AK$98,K$1,工数管理!$M$3:$M$98,"&lt;="&amp;$H84,工数管理!$N$3:$N$98,"&gt;="&amp;$H84)+COUNTIFS(工数管理!$AK$3:$AK$98,K$1,工数管理!$O$3:$O$98,"&lt;="&amp;$H84,工数管理!$P$3:$P$98,"&gt;="&amp;$H84)+COUNTIFS(工数管理!$AK$3:$AK$98,K$1,工数管理!$Q$3:$Q$98,"&lt;="&amp;$H84,工数管理!$R$3:$R$98,"&gt;="&amp;$H84)+COUNTIFS(工数管理!$AK$3:$AK$98,K$1,工数管理!$S$3:$S$98,"&lt;="&amp;$H84,工数管理!$T$3:$T$98,"&gt;="&amp;$H84)+COUNTIFS(工数管理!$AK$3:$AK$98,K$1,工数管理!$U$3:$U$98,"&lt;="&amp;$H84,工数管理!$V$3:$V$98,"&gt;="&amp;$H84)+COUNTIFS(工数管理!$AK$3:$AK$98,K$1,工数管理!$W$3:$W$98,"&lt;="&amp;$H84,工数管理!$X$3:$X$98,"&gt;="&amp;$H84)+COUNTIFS(工数管理!$AK$3:$AK$98,K$1,工数管理!$Y$3:$Y$98,"&lt;="&amp;$H84,工数管理!$Z$3:$Z$98,"&gt;="&amp;$H84)+COUNTIFS(工数管理!$AK$3:$AK$98,K$1,工数管理!$AA$3:$AA$98,"&lt;="&amp;$H84,工数管理!$AB$3:$AB$98,"&gt;="&amp;$H84)+COUNTIFS(工数管理!$AK$3:$AK$98,K$1,工数管理!$AC$3:$AC$98,"&lt;="&amp;$H84,工数管理!$AD$3:$AD$98,"&gt;="&amp;$H84)+COUNTIFS(工数管理!$AK$3:$AK$98,K$1,工数管理!$AE$3:$AE$98,"&lt;="&amp;$H84,工数管理!$AF$3:$AF$98,"&gt;="&amp;$H84)+COUNTIFS(工数管理!$AK$3:$AK$98,K$1,工数管理!$AG$3:$AG$98,"&lt;="&amp;$H84,工数管理!$AH$3:$AH$98,"&gt;="&amp;$H84)+(COUNTIFS(工数管理!$AK$3:$AK$98,K$1,工数管理!$K$3:$K$98,"&lt;="&amp;$H84,工数管理!$L$3:$L$98,"")+COUNTIFS(工数管理!$AK$3:$AK$98,K$1,工数管理!$M$3:$M$98,"&lt;="&amp;$H84,工数管理!$N$3:$N$98,"")+COUNTIFS(工数管理!$AK$3:$AK$98,K$1,工数管理!$O$3:$O$98,"&lt;="&amp;$H84,工数管理!$P$3:$P$98,"")+COUNTIFS(工数管理!$AK$3:$AK$98,K$1,工数管理!$Q$3:$Q$98,"&lt;="&amp;$H84,工数管理!$R$3:$R$98,"")+COUNTIFS(工数管理!$AK$3:$AK$98,K$1,工数管理!$S$3:$S$98,"&lt;="&amp;$H84,工数管理!$T$3:$T$98,"")+COUNTIFS(工数管理!$AK$3:$AK$98,K$1,工数管理!$U$3:$U$98,"&lt;="&amp;$H84,工数管理!$V$3:$V$98,"")+COUNTIFS(工数管理!$AK$3:$AK$98,K$1,工数管理!$W$3:$W$98,"&lt;="&amp;$H84,工数管理!$X$3:$X$98,"")+COUNTIFS(工数管理!$AK$3:$AK$98,K$1,工数管理!$Y$3:$Y$98,"&lt;="&amp;$H84,工数管理!$Z$3:$Z$98,"")+COUNTIFS(工数管理!$AK$3:$AK$98,K$1,工数管理!$AA$3:$AA$98,"&lt;="&amp;$H84,工数管理!$AB$3:$AB$98,"")+COUNTIFS(工数管理!$AK$3:$AK$98,K$1,工数管理!$AC$3:$AC$98,"&lt;="&amp;$H84,工数管理!$AD$3:$AD$98,"")+COUNTIFS(工数管理!$AK$3:$AK$98,K$1,工数管理!$AE$3:$AE$98,"&lt;="&amp;$H84,工数管理!$AF$3:$AF$98,"")+COUNTIFS(工数管理!$AK$3:$AK$98,K$1,工数管理!$AG$3:$AG$98,"&lt;="&amp;$H84,工数管理!$AH$3:$AH$98,""))*($H84&lt;=工数管理!$AI$1))</f>
        <v>1</v>
      </c>
      <c r="L84" s="42">
        <f ca="1">IF(L$1="",0,COUNTIFS(工数管理!$AK$3:$AK$98,L$1,工数管理!$K$3:$K$98,"&lt;="&amp;$H84,工数管理!$L$3:$L$98,"&gt;="&amp;$H84)+COUNTIFS(工数管理!$AK$3:$AK$98,L$1,工数管理!$M$3:$M$98,"&lt;="&amp;$H84,工数管理!$N$3:$N$98,"&gt;="&amp;$H84)+COUNTIFS(工数管理!$AK$3:$AK$98,L$1,工数管理!$O$3:$O$98,"&lt;="&amp;$H84,工数管理!$P$3:$P$98,"&gt;="&amp;$H84)+COUNTIFS(工数管理!$AK$3:$AK$98,L$1,工数管理!$Q$3:$Q$98,"&lt;="&amp;$H84,工数管理!$R$3:$R$98,"&gt;="&amp;$H84)+COUNTIFS(工数管理!$AK$3:$AK$98,L$1,工数管理!$S$3:$S$98,"&lt;="&amp;$H84,工数管理!$T$3:$T$98,"&gt;="&amp;$H84)+COUNTIFS(工数管理!$AK$3:$AK$98,L$1,工数管理!$U$3:$U$98,"&lt;="&amp;$H84,工数管理!$V$3:$V$98,"&gt;="&amp;$H84)+COUNTIFS(工数管理!$AK$3:$AK$98,L$1,工数管理!$W$3:$W$98,"&lt;="&amp;$H84,工数管理!$X$3:$X$98,"&gt;="&amp;$H84)+COUNTIFS(工数管理!$AK$3:$AK$98,L$1,工数管理!$Y$3:$Y$98,"&lt;="&amp;$H84,工数管理!$Z$3:$Z$98,"&gt;="&amp;$H84)+COUNTIFS(工数管理!$AK$3:$AK$98,L$1,工数管理!$AA$3:$AA$98,"&lt;="&amp;$H84,工数管理!$AB$3:$AB$98,"&gt;="&amp;$H84)+COUNTIFS(工数管理!$AK$3:$AK$98,L$1,工数管理!$AC$3:$AC$98,"&lt;="&amp;$H84,工数管理!$AD$3:$AD$98,"&gt;="&amp;$H84)+COUNTIFS(工数管理!$AK$3:$AK$98,L$1,工数管理!$AE$3:$AE$98,"&lt;="&amp;$H84,工数管理!$AF$3:$AF$98,"&gt;="&amp;$H84)+COUNTIFS(工数管理!$AK$3:$AK$98,L$1,工数管理!$AG$3:$AG$98,"&lt;="&amp;$H84,工数管理!$AH$3:$AH$98,"&gt;="&amp;$H84)+(COUNTIFS(工数管理!$AK$3:$AK$98,L$1,工数管理!$K$3:$K$98,"&lt;="&amp;$H84,工数管理!$L$3:$L$98,"")+COUNTIFS(工数管理!$AK$3:$AK$98,L$1,工数管理!$M$3:$M$98,"&lt;="&amp;$H84,工数管理!$N$3:$N$98,"")+COUNTIFS(工数管理!$AK$3:$AK$98,L$1,工数管理!$O$3:$O$98,"&lt;="&amp;$H84,工数管理!$P$3:$P$98,"")+COUNTIFS(工数管理!$AK$3:$AK$98,L$1,工数管理!$Q$3:$Q$98,"&lt;="&amp;$H84,工数管理!$R$3:$R$98,"")+COUNTIFS(工数管理!$AK$3:$AK$98,L$1,工数管理!$S$3:$S$98,"&lt;="&amp;$H84,工数管理!$T$3:$T$98,"")+COUNTIFS(工数管理!$AK$3:$AK$98,L$1,工数管理!$U$3:$U$98,"&lt;="&amp;$H84,工数管理!$V$3:$V$98,"")+COUNTIFS(工数管理!$AK$3:$AK$98,L$1,工数管理!$W$3:$W$98,"&lt;="&amp;$H84,工数管理!$X$3:$X$98,"")+COUNTIFS(工数管理!$AK$3:$AK$98,L$1,工数管理!$Y$3:$Y$98,"&lt;="&amp;$H84,工数管理!$Z$3:$Z$98,"")+COUNTIFS(工数管理!$AK$3:$AK$98,L$1,工数管理!$AA$3:$AA$98,"&lt;="&amp;$H84,工数管理!$AB$3:$AB$98,"")+COUNTIFS(工数管理!$AK$3:$AK$98,L$1,工数管理!$AC$3:$AC$98,"&lt;="&amp;$H84,工数管理!$AD$3:$AD$98,"")+COUNTIFS(工数管理!$AK$3:$AK$98,L$1,工数管理!$AE$3:$AE$98,"&lt;="&amp;$H84,工数管理!$AF$3:$AF$98,"")+COUNTIFS(工数管理!$AK$3:$AK$98,L$1,工数管理!$AG$3:$AG$98,"&lt;="&amp;$H84,工数管理!$AH$3:$AH$98,""))*($H84&lt;=工数管理!$AI$1))</f>
        <v>1</v>
      </c>
    </row>
    <row r="85" spans="1:12" x14ac:dyDescent="0.15">
      <c r="A85" s="5"/>
      <c r="B85" s="6"/>
      <c r="H85" s="41">
        <f t="shared" si="3"/>
        <v>46253</v>
      </c>
      <c r="I85" s="42">
        <f t="shared" si="2"/>
        <v>1</v>
      </c>
      <c r="J85" s="42">
        <f ca="1">IF(J$1="",0,COUNTIFS(工数管理!$AK$3:$AK$98,J$1,工数管理!$K$3:$K$98,"&lt;="&amp;$H85,工数管理!$L$3:$L$98,"&gt;="&amp;$H85)+COUNTIFS(工数管理!$AK$3:$AK$98,J$1,工数管理!$M$3:$M$98,"&lt;="&amp;$H85,工数管理!$N$3:$N$98,"&gt;="&amp;$H85)+COUNTIFS(工数管理!$AK$3:$AK$98,J$1,工数管理!$O$3:$O$98,"&lt;="&amp;$H85,工数管理!$P$3:$P$98,"&gt;="&amp;$H85)+COUNTIFS(工数管理!$AK$3:$AK$98,J$1,工数管理!$Q$3:$Q$98,"&lt;="&amp;$H85,工数管理!$R$3:$R$98,"&gt;="&amp;$H85)+COUNTIFS(工数管理!$AK$3:$AK$98,J$1,工数管理!$S$3:$S$98,"&lt;="&amp;$H85,工数管理!$T$3:$T$98,"&gt;="&amp;$H85)+COUNTIFS(工数管理!$AK$3:$AK$98,J$1,工数管理!$U$3:$U$98,"&lt;="&amp;$H85,工数管理!$V$3:$V$98,"&gt;="&amp;$H85)+COUNTIFS(工数管理!$AK$3:$AK$98,J$1,工数管理!$W$3:$W$98,"&lt;="&amp;$H85,工数管理!$X$3:$X$98,"&gt;="&amp;$H85)+COUNTIFS(工数管理!$AK$3:$AK$98,J$1,工数管理!$Y$3:$Y$98,"&lt;="&amp;$H85,工数管理!$Z$3:$Z$98,"&gt;="&amp;$H85)+COUNTIFS(工数管理!$AK$3:$AK$98,J$1,工数管理!$AA$3:$AA$98,"&lt;="&amp;$H85,工数管理!$AB$3:$AB$98,"&gt;="&amp;$H85)+COUNTIFS(工数管理!$AK$3:$AK$98,J$1,工数管理!$AC$3:$AC$98,"&lt;="&amp;$H85,工数管理!$AD$3:$AD$98,"&gt;="&amp;$H85)+COUNTIFS(工数管理!$AK$3:$AK$98,J$1,工数管理!$AE$3:$AE$98,"&lt;="&amp;$H85,工数管理!$AF$3:$AF$98,"&gt;="&amp;$H85)+COUNTIFS(工数管理!$AK$3:$AK$98,J$1,工数管理!$AG$3:$AG$98,"&lt;="&amp;$H85,工数管理!$AH$3:$AH$98,"&gt;="&amp;$H85)+(COUNTIFS(工数管理!$AK$3:$AK$98,J$1,工数管理!$K$3:$K$98,"&lt;="&amp;$H85,工数管理!$L$3:$L$98,"")+COUNTIFS(工数管理!$AK$3:$AK$98,J$1,工数管理!$M$3:$M$98,"&lt;="&amp;$H85,工数管理!$N$3:$N$98,"")+COUNTIFS(工数管理!$AK$3:$AK$98,J$1,工数管理!$O$3:$O$98,"&lt;="&amp;$H85,工数管理!$P$3:$P$98,"")+COUNTIFS(工数管理!$AK$3:$AK$98,J$1,工数管理!$Q$3:$Q$98,"&lt;="&amp;$H85,工数管理!$R$3:$R$98,"")+COUNTIFS(工数管理!$AK$3:$AK$98,J$1,工数管理!$S$3:$S$98,"&lt;="&amp;$H85,工数管理!$T$3:$T$98,"")+COUNTIFS(工数管理!$AK$3:$AK$98,J$1,工数管理!$U$3:$U$98,"&lt;="&amp;$H85,工数管理!$V$3:$V$98,"")+COUNTIFS(工数管理!$AK$3:$AK$98,J$1,工数管理!$W$3:$W$98,"&lt;="&amp;$H85,工数管理!$X$3:$X$98,"")+COUNTIFS(工数管理!$AK$3:$AK$98,J$1,工数管理!$Y$3:$Y$98,"&lt;="&amp;$H85,工数管理!$Z$3:$Z$98,"")+COUNTIFS(工数管理!$AK$3:$AK$98,J$1,工数管理!$AA$3:$AA$98,"&lt;="&amp;$H85,工数管理!$AB$3:$AB$98,"")+COUNTIFS(工数管理!$AK$3:$AK$98,J$1,工数管理!$AC$3:$AC$98,"&lt;="&amp;$H85,工数管理!$AD$3:$AD$98,"")+COUNTIFS(工数管理!$AK$3:$AK$98,J$1,工数管理!$AE$3:$AE$98,"&lt;="&amp;$H85,工数管理!$AF$3:$AF$98,"")+COUNTIFS(工数管理!$AK$3:$AK$98,J$1,工数管理!$AG$3:$AG$98,"&lt;="&amp;$H85,工数管理!$AH$3:$AH$98,""))*($H85&lt;=工数管理!$AI$1))</f>
        <v>0</v>
      </c>
      <c r="K85" s="42">
        <f ca="1">IF(K$1="",0,COUNTIFS(工数管理!$AK$3:$AK$98,K$1,工数管理!$K$3:$K$98,"&lt;="&amp;$H85,工数管理!$L$3:$L$98,"&gt;="&amp;$H85)+COUNTIFS(工数管理!$AK$3:$AK$98,K$1,工数管理!$M$3:$M$98,"&lt;="&amp;$H85,工数管理!$N$3:$N$98,"&gt;="&amp;$H85)+COUNTIFS(工数管理!$AK$3:$AK$98,K$1,工数管理!$O$3:$O$98,"&lt;="&amp;$H85,工数管理!$P$3:$P$98,"&gt;="&amp;$H85)+COUNTIFS(工数管理!$AK$3:$AK$98,K$1,工数管理!$Q$3:$Q$98,"&lt;="&amp;$H85,工数管理!$R$3:$R$98,"&gt;="&amp;$H85)+COUNTIFS(工数管理!$AK$3:$AK$98,K$1,工数管理!$S$3:$S$98,"&lt;="&amp;$H85,工数管理!$T$3:$T$98,"&gt;="&amp;$H85)+COUNTIFS(工数管理!$AK$3:$AK$98,K$1,工数管理!$U$3:$U$98,"&lt;="&amp;$H85,工数管理!$V$3:$V$98,"&gt;="&amp;$H85)+COUNTIFS(工数管理!$AK$3:$AK$98,K$1,工数管理!$W$3:$W$98,"&lt;="&amp;$H85,工数管理!$X$3:$X$98,"&gt;="&amp;$H85)+COUNTIFS(工数管理!$AK$3:$AK$98,K$1,工数管理!$Y$3:$Y$98,"&lt;="&amp;$H85,工数管理!$Z$3:$Z$98,"&gt;="&amp;$H85)+COUNTIFS(工数管理!$AK$3:$AK$98,K$1,工数管理!$AA$3:$AA$98,"&lt;="&amp;$H85,工数管理!$AB$3:$AB$98,"&gt;="&amp;$H85)+COUNTIFS(工数管理!$AK$3:$AK$98,K$1,工数管理!$AC$3:$AC$98,"&lt;="&amp;$H85,工数管理!$AD$3:$AD$98,"&gt;="&amp;$H85)+COUNTIFS(工数管理!$AK$3:$AK$98,K$1,工数管理!$AE$3:$AE$98,"&lt;="&amp;$H85,工数管理!$AF$3:$AF$98,"&gt;="&amp;$H85)+COUNTIFS(工数管理!$AK$3:$AK$98,K$1,工数管理!$AG$3:$AG$98,"&lt;="&amp;$H85,工数管理!$AH$3:$AH$98,"&gt;="&amp;$H85)+(COUNTIFS(工数管理!$AK$3:$AK$98,K$1,工数管理!$K$3:$K$98,"&lt;="&amp;$H85,工数管理!$L$3:$L$98,"")+COUNTIFS(工数管理!$AK$3:$AK$98,K$1,工数管理!$M$3:$M$98,"&lt;="&amp;$H85,工数管理!$N$3:$N$98,"")+COUNTIFS(工数管理!$AK$3:$AK$98,K$1,工数管理!$O$3:$O$98,"&lt;="&amp;$H85,工数管理!$P$3:$P$98,"")+COUNTIFS(工数管理!$AK$3:$AK$98,K$1,工数管理!$Q$3:$Q$98,"&lt;="&amp;$H85,工数管理!$R$3:$R$98,"")+COUNTIFS(工数管理!$AK$3:$AK$98,K$1,工数管理!$S$3:$S$98,"&lt;="&amp;$H85,工数管理!$T$3:$T$98,"")+COUNTIFS(工数管理!$AK$3:$AK$98,K$1,工数管理!$U$3:$U$98,"&lt;="&amp;$H85,工数管理!$V$3:$V$98,"")+COUNTIFS(工数管理!$AK$3:$AK$98,K$1,工数管理!$W$3:$W$98,"&lt;="&amp;$H85,工数管理!$X$3:$X$98,"")+COUNTIFS(工数管理!$AK$3:$AK$98,K$1,工数管理!$Y$3:$Y$98,"&lt;="&amp;$H85,工数管理!$Z$3:$Z$98,"")+COUNTIFS(工数管理!$AK$3:$AK$98,K$1,工数管理!$AA$3:$AA$98,"&lt;="&amp;$H85,工数管理!$AB$3:$AB$98,"")+COUNTIFS(工数管理!$AK$3:$AK$98,K$1,工数管理!$AC$3:$AC$98,"&lt;="&amp;$H85,工数管理!$AD$3:$AD$98,"")+COUNTIFS(工数管理!$AK$3:$AK$98,K$1,工数管理!$AE$3:$AE$98,"&lt;="&amp;$H85,工数管理!$AF$3:$AF$98,"")+COUNTIFS(工数管理!$AK$3:$AK$98,K$1,工数管理!$AG$3:$AG$98,"&lt;="&amp;$H85,工数管理!$AH$3:$AH$98,""))*($H85&lt;=工数管理!$AI$1))</f>
        <v>1</v>
      </c>
      <c r="L85" s="42">
        <f ca="1">IF(L$1="",0,COUNTIFS(工数管理!$AK$3:$AK$98,L$1,工数管理!$K$3:$K$98,"&lt;="&amp;$H85,工数管理!$L$3:$L$98,"&gt;="&amp;$H85)+COUNTIFS(工数管理!$AK$3:$AK$98,L$1,工数管理!$M$3:$M$98,"&lt;="&amp;$H85,工数管理!$N$3:$N$98,"&gt;="&amp;$H85)+COUNTIFS(工数管理!$AK$3:$AK$98,L$1,工数管理!$O$3:$O$98,"&lt;="&amp;$H85,工数管理!$P$3:$P$98,"&gt;="&amp;$H85)+COUNTIFS(工数管理!$AK$3:$AK$98,L$1,工数管理!$Q$3:$Q$98,"&lt;="&amp;$H85,工数管理!$R$3:$R$98,"&gt;="&amp;$H85)+COUNTIFS(工数管理!$AK$3:$AK$98,L$1,工数管理!$S$3:$S$98,"&lt;="&amp;$H85,工数管理!$T$3:$T$98,"&gt;="&amp;$H85)+COUNTIFS(工数管理!$AK$3:$AK$98,L$1,工数管理!$U$3:$U$98,"&lt;="&amp;$H85,工数管理!$V$3:$V$98,"&gt;="&amp;$H85)+COUNTIFS(工数管理!$AK$3:$AK$98,L$1,工数管理!$W$3:$W$98,"&lt;="&amp;$H85,工数管理!$X$3:$X$98,"&gt;="&amp;$H85)+COUNTIFS(工数管理!$AK$3:$AK$98,L$1,工数管理!$Y$3:$Y$98,"&lt;="&amp;$H85,工数管理!$Z$3:$Z$98,"&gt;="&amp;$H85)+COUNTIFS(工数管理!$AK$3:$AK$98,L$1,工数管理!$AA$3:$AA$98,"&lt;="&amp;$H85,工数管理!$AB$3:$AB$98,"&gt;="&amp;$H85)+COUNTIFS(工数管理!$AK$3:$AK$98,L$1,工数管理!$AC$3:$AC$98,"&lt;="&amp;$H85,工数管理!$AD$3:$AD$98,"&gt;="&amp;$H85)+COUNTIFS(工数管理!$AK$3:$AK$98,L$1,工数管理!$AE$3:$AE$98,"&lt;="&amp;$H85,工数管理!$AF$3:$AF$98,"&gt;="&amp;$H85)+COUNTIFS(工数管理!$AK$3:$AK$98,L$1,工数管理!$AG$3:$AG$98,"&lt;="&amp;$H85,工数管理!$AH$3:$AH$98,"&gt;="&amp;$H85)+(COUNTIFS(工数管理!$AK$3:$AK$98,L$1,工数管理!$K$3:$K$98,"&lt;="&amp;$H85,工数管理!$L$3:$L$98,"")+COUNTIFS(工数管理!$AK$3:$AK$98,L$1,工数管理!$M$3:$M$98,"&lt;="&amp;$H85,工数管理!$N$3:$N$98,"")+COUNTIFS(工数管理!$AK$3:$AK$98,L$1,工数管理!$O$3:$O$98,"&lt;="&amp;$H85,工数管理!$P$3:$P$98,"")+COUNTIFS(工数管理!$AK$3:$AK$98,L$1,工数管理!$Q$3:$Q$98,"&lt;="&amp;$H85,工数管理!$R$3:$R$98,"")+COUNTIFS(工数管理!$AK$3:$AK$98,L$1,工数管理!$S$3:$S$98,"&lt;="&amp;$H85,工数管理!$T$3:$T$98,"")+COUNTIFS(工数管理!$AK$3:$AK$98,L$1,工数管理!$U$3:$U$98,"&lt;="&amp;$H85,工数管理!$V$3:$V$98,"")+COUNTIFS(工数管理!$AK$3:$AK$98,L$1,工数管理!$W$3:$W$98,"&lt;="&amp;$H85,工数管理!$X$3:$X$98,"")+COUNTIFS(工数管理!$AK$3:$AK$98,L$1,工数管理!$Y$3:$Y$98,"&lt;="&amp;$H85,工数管理!$Z$3:$Z$98,"")+COUNTIFS(工数管理!$AK$3:$AK$98,L$1,工数管理!$AA$3:$AA$98,"&lt;="&amp;$H85,工数管理!$AB$3:$AB$98,"")+COUNTIFS(工数管理!$AK$3:$AK$98,L$1,工数管理!$AC$3:$AC$98,"&lt;="&amp;$H85,工数管理!$AD$3:$AD$98,"")+COUNTIFS(工数管理!$AK$3:$AK$98,L$1,工数管理!$AE$3:$AE$98,"&lt;="&amp;$H85,工数管理!$AF$3:$AF$98,"")+COUNTIFS(工数管理!$AK$3:$AK$98,L$1,工数管理!$AG$3:$AG$98,"&lt;="&amp;$H85,工数管理!$AH$3:$AH$98,""))*($H85&lt;=工数管理!$AI$1))</f>
        <v>1</v>
      </c>
    </row>
    <row r="86" spans="1:12" x14ac:dyDescent="0.15">
      <c r="A86" s="5"/>
      <c r="B86" s="6"/>
      <c r="H86" s="41">
        <f t="shared" si="3"/>
        <v>46254</v>
      </c>
      <c r="I86" s="42">
        <f t="shared" si="2"/>
        <v>1</v>
      </c>
      <c r="J86" s="42">
        <f ca="1">IF(J$1="",0,COUNTIFS(工数管理!$AK$3:$AK$98,J$1,工数管理!$K$3:$K$98,"&lt;="&amp;$H86,工数管理!$L$3:$L$98,"&gt;="&amp;$H86)+COUNTIFS(工数管理!$AK$3:$AK$98,J$1,工数管理!$M$3:$M$98,"&lt;="&amp;$H86,工数管理!$N$3:$N$98,"&gt;="&amp;$H86)+COUNTIFS(工数管理!$AK$3:$AK$98,J$1,工数管理!$O$3:$O$98,"&lt;="&amp;$H86,工数管理!$P$3:$P$98,"&gt;="&amp;$H86)+COUNTIFS(工数管理!$AK$3:$AK$98,J$1,工数管理!$Q$3:$Q$98,"&lt;="&amp;$H86,工数管理!$R$3:$R$98,"&gt;="&amp;$H86)+COUNTIFS(工数管理!$AK$3:$AK$98,J$1,工数管理!$S$3:$S$98,"&lt;="&amp;$H86,工数管理!$T$3:$T$98,"&gt;="&amp;$H86)+COUNTIFS(工数管理!$AK$3:$AK$98,J$1,工数管理!$U$3:$U$98,"&lt;="&amp;$H86,工数管理!$V$3:$V$98,"&gt;="&amp;$H86)+COUNTIFS(工数管理!$AK$3:$AK$98,J$1,工数管理!$W$3:$W$98,"&lt;="&amp;$H86,工数管理!$X$3:$X$98,"&gt;="&amp;$H86)+COUNTIFS(工数管理!$AK$3:$AK$98,J$1,工数管理!$Y$3:$Y$98,"&lt;="&amp;$H86,工数管理!$Z$3:$Z$98,"&gt;="&amp;$H86)+COUNTIFS(工数管理!$AK$3:$AK$98,J$1,工数管理!$AA$3:$AA$98,"&lt;="&amp;$H86,工数管理!$AB$3:$AB$98,"&gt;="&amp;$H86)+COUNTIFS(工数管理!$AK$3:$AK$98,J$1,工数管理!$AC$3:$AC$98,"&lt;="&amp;$H86,工数管理!$AD$3:$AD$98,"&gt;="&amp;$H86)+COUNTIFS(工数管理!$AK$3:$AK$98,J$1,工数管理!$AE$3:$AE$98,"&lt;="&amp;$H86,工数管理!$AF$3:$AF$98,"&gt;="&amp;$H86)+COUNTIFS(工数管理!$AK$3:$AK$98,J$1,工数管理!$AG$3:$AG$98,"&lt;="&amp;$H86,工数管理!$AH$3:$AH$98,"&gt;="&amp;$H86)+(COUNTIFS(工数管理!$AK$3:$AK$98,J$1,工数管理!$K$3:$K$98,"&lt;="&amp;$H86,工数管理!$L$3:$L$98,"")+COUNTIFS(工数管理!$AK$3:$AK$98,J$1,工数管理!$M$3:$M$98,"&lt;="&amp;$H86,工数管理!$N$3:$N$98,"")+COUNTIFS(工数管理!$AK$3:$AK$98,J$1,工数管理!$O$3:$O$98,"&lt;="&amp;$H86,工数管理!$P$3:$P$98,"")+COUNTIFS(工数管理!$AK$3:$AK$98,J$1,工数管理!$Q$3:$Q$98,"&lt;="&amp;$H86,工数管理!$R$3:$R$98,"")+COUNTIFS(工数管理!$AK$3:$AK$98,J$1,工数管理!$S$3:$S$98,"&lt;="&amp;$H86,工数管理!$T$3:$T$98,"")+COUNTIFS(工数管理!$AK$3:$AK$98,J$1,工数管理!$U$3:$U$98,"&lt;="&amp;$H86,工数管理!$V$3:$V$98,"")+COUNTIFS(工数管理!$AK$3:$AK$98,J$1,工数管理!$W$3:$W$98,"&lt;="&amp;$H86,工数管理!$X$3:$X$98,"")+COUNTIFS(工数管理!$AK$3:$AK$98,J$1,工数管理!$Y$3:$Y$98,"&lt;="&amp;$H86,工数管理!$Z$3:$Z$98,"")+COUNTIFS(工数管理!$AK$3:$AK$98,J$1,工数管理!$AA$3:$AA$98,"&lt;="&amp;$H86,工数管理!$AB$3:$AB$98,"")+COUNTIFS(工数管理!$AK$3:$AK$98,J$1,工数管理!$AC$3:$AC$98,"&lt;="&amp;$H86,工数管理!$AD$3:$AD$98,"")+COUNTIFS(工数管理!$AK$3:$AK$98,J$1,工数管理!$AE$3:$AE$98,"&lt;="&amp;$H86,工数管理!$AF$3:$AF$98,"")+COUNTIFS(工数管理!$AK$3:$AK$98,J$1,工数管理!$AG$3:$AG$98,"&lt;="&amp;$H86,工数管理!$AH$3:$AH$98,""))*($H86&lt;=工数管理!$AI$1))</f>
        <v>0</v>
      </c>
      <c r="K86" s="42">
        <f ca="1">IF(K$1="",0,COUNTIFS(工数管理!$AK$3:$AK$98,K$1,工数管理!$K$3:$K$98,"&lt;="&amp;$H86,工数管理!$L$3:$L$98,"&gt;="&amp;$H86)+COUNTIFS(工数管理!$AK$3:$AK$98,K$1,工数管理!$M$3:$M$98,"&lt;="&amp;$H86,工数管理!$N$3:$N$98,"&gt;="&amp;$H86)+COUNTIFS(工数管理!$AK$3:$AK$98,K$1,工数管理!$O$3:$O$98,"&lt;="&amp;$H86,工数管理!$P$3:$P$98,"&gt;="&amp;$H86)+COUNTIFS(工数管理!$AK$3:$AK$98,K$1,工数管理!$Q$3:$Q$98,"&lt;="&amp;$H86,工数管理!$R$3:$R$98,"&gt;="&amp;$H86)+COUNTIFS(工数管理!$AK$3:$AK$98,K$1,工数管理!$S$3:$S$98,"&lt;="&amp;$H86,工数管理!$T$3:$T$98,"&gt;="&amp;$H86)+COUNTIFS(工数管理!$AK$3:$AK$98,K$1,工数管理!$U$3:$U$98,"&lt;="&amp;$H86,工数管理!$V$3:$V$98,"&gt;="&amp;$H86)+COUNTIFS(工数管理!$AK$3:$AK$98,K$1,工数管理!$W$3:$W$98,"&lt;="&amp;$H86,工数管理!$X$3:$X$98,"&gt;="&amp;$H86)+COUNTIFS(工数管理!$AK$3:$AK$98,K$1,工数管理!$Y$3:$Y$98,"&lt;="&amp;$H86,工数管理!$Z$3:$Z$98,"&gt;="&amp;$H86)+COUNTIFS(工数管理!$AK$3:$AK$98,K$1,工数管理!$AA$3:$AA$98,"&lt;="&amp;$H86,工数管理!$AB$3:$AB$98,"&gt;="&amp;$H86)+COUNTIFS(工数管理!$AK$3:$AK$98,K$1,工数管理!$AC$3:$AC$98,"&lt;="&amp;$H86,工数管理!$AD$3:$AD$98,"&gt;="&amp;$H86)+COUNTIFS(工数管理!$AK$3:$AK$98,K$1,工数管理!$AE$3:$AE$98,"&lt;="&amp;$H86,工数管理!$AF$3:$AF$98,"&gt;="&amp;$H86)+COUNTIFS(工数管理!$AK$3:$AK$98,K$1,工数管理!$AG$3:$AG$98,"&lt;="&amp;$H86,工数管理!$AH$3:$AH$98,"&gt;="&amp;$H86)+(COUNTIFS(工数管理!$AK$3:$AK$98,K$1,工数管理!$K$3:$K$98,"&lt;="&amp;$H86,工数管理!$L$3:$L$98,"")+COUNTIFS(工数管理!$AK$3:$AK$98,K$1,工数管理!$M$3:$M$98,"&lt;="&amp;$H86,工数管理!$N$3:$N$98,"")+COUNTIFS(工数管理!$AK$3:$AK$98,K$1,工数管理!$O$3:$O$98,"&lt;="&amp;$H86,工数管理!$P$3:$P$98,"")+COUNTIFS(工数管理!$AK$3:$AK$98,K$1,工数管理!$Q$3:$Q$98,"&lt;="&amp;$H86,工数管理!$R$3:$R$98,"")+COUNTIFS(工数管理!$AK$3:$AK$98,K$1,工数管理!$S$3:$S$98,"&lt;="&amp;$H86,工数管理!$T$3:$T$98,"")+COUNTIFS(工数管理!$AK$3:$AK$98,K$1,工数管理!$U$3:$U$98,"&lt;="&amp;$H86,工数管理!$V$3:$V$98,"")+COUNTIFS(工数管理!$AK$3:$AK$98,K$1,工数管理!$W$3:$W$98,"&lt;="&amp;$H86,工数管理!$X$3:$X$98,"")+COUNTIFS(工数管理!$AK$3:$AK$98,K$1,工数管理!$Y$3:$Y$98,"&lt;="&amp;$H86,工数管理!$Z$3:$Z$98,"")+COUNTIFS(工数管理!$AK$3:$AK$98,K$1,工数管理!$AA$3:$AA$98,"&lt;="&amp;$H86,工数管理!$AB$3:$AB$98,"")+COUNTIFS(工数管理!$AK$3:$AK$98,K$1,工数管理!$AC$3:$AC$98,"&lt;="&amp;$H86,工数管理!$AD$3:$AD$98,"")+COUNTIFS(工数管理!$AK$3:$AK$98,K$1,工数管理!$AE$3:$AE$98,"&lt;="&amp;$H86,工数管理!$AF$3:$AF$98,"")+COUNTIFS(工数管理!$AK$3:$AK$98,K$1,工数管理!$AG$3:$AG$98,"&lt;="&amp;$H86,工数管理!$AH$3:$AH$98,""))*($H86&lt;=工数管理!$AI$1))</f>
        <v>1</v>
      </c>
      <c r="L86" s="42">
        <f ca="1">IF(L$1="",0,COUNTIFS(工数管理!$AK$3:$AK$98,L$1,工数管理!$K$3:$K$98,"&lt;="&amp;$H86,工数管理!$L$3:$L$98,"&gt;="&amp;$H86)+COUNTIFS(工数管理!$AK$3:$AK$98,L$1,工数管理!$M$3:$M$98,"&lt;="&amp;$H86,工数管理!$N$3:$N$98,"&gt;="&amp;$H86)+COUNTIFS(工数管理!$AK$3:$AK$98,L$1,工数管理!$O$3:$O$98,"&lt;="&amp;$H86,工数管理!$P$3:$P$98,"&gt;="&amp;$H86)+COUNTIFS(工数管理!$AK$3:$AK$98,L$1,工数管理!$Q$3:$Q$98,"&lt;="&amp;$H86,工数管理!$R$3:$R$98,"&gt;="&amp;$H86)+COUNTIFS(工数管理!$AK$3:$AK$98,L$1,工数管理!$S$3:$S$98,"&lt;="&amp;$H86,工数管理!$T$3:$T$98,"&gt;="&amp;$H86)+COUNTIFS(工数管理!$AK$3:$AK$98,L$1,工数管理!$U$3:$U$98,"&lt;="&amp;$H86,工数管理!$V$3:$V$98,"&gt;="&amp;$H86)+COUNTIFS(工数管理!$AK$3:$AK$98,L$1,工数管理!$W$3:$W$98,"&lt;="&amp;$H86,工数管理!$X$3:$X$98,"&gt;="&amp;$H86)+COUNTIFS(工数管理!$AK$3:$AK$98,L$1,工数管理!$Y$3:$Y$98,"&lt;="&amp;$H86,工数管理!$Z$3:$Z$98,"&gt;="&amp;$H86)+COUNTIFS(工数管理!$AK$3:$AK$98,L$1,工数管理!$AA$3:$AA$98,"&lt;="&amp;$H86,工数管理!$AB$3:$AB$98,"&gt;="&amp;$H86)+COUNTIFS(工数管理!$AK$3:$AK$98,L$1,工数管理!$AC$3:$AC$98,"&lt;="&amp;$H86,工数管理!$AD$3:$AD$98,"&gt;="&amp;$H86)+COUNTIFS(工数管理!$AK$3:$AK$98,L$1,工数管理!$AE$3:$AE$98,"&lt;="&amp;$H86,工数管理!$AF$3:$AF$98,"&gt;="&amp;$H86)+COUNTIFS(工数管理!$AK$3:$AK$98,L$1,工数管理!$AG$3:$AG$98,"&lt;="&amp;$H86,工数管理!$AH$3:$AH$98,"&gt;="&amp;$H86)+(COUNTIFS(工数管理!$AK$3:$AK$98,L$1,工数管理!$K$3:$K$98,"&lt;="&amp;$H86,工数管理!$L$3:$L$98,"")+COUNTIFS(工数管理!$AK$3:$AK$98,L$1,工数管理!$M$3:$M$98,"&lt;="&amp;$H86,工数管理!$N$3:$N$98,"")+COUNTIFS(工数管理!$AK$3:$AK$98,L$1,工数管理!$O$3:$O$98,"&lt;="&amp;$H86,工数管理!$P$3:$P$98,"")+COUNTIFS(工数管理!$AK$3:$AK$98,L$1,工数管理!$Q$3:$Q$98,"&lt;="&amp;$H86,工数管理!$R$3:$R$98,"")+COUNTIFS(工数管理!$AK$3:$AK$98,L$1,工数管理!$S$3:$S$98,"&lt;="&amp;$H86,工数管理!$T$3:$T$98,"")+COUNTIFS(工数管理!$AK$3:$AK$98,L$1,工数管理!$U$3:$U$98,"&lt;="&amp;$H86,工数管理!$V$3:$V$98,"")+COUNTIFS(工数管理!$AK$3:$AK$98,L$1,工数管理!$W$3:$W$98,"&lt;="&amp;$H86,工数管理!$X$3:$X$98,"")+COUNTIFS(工数管理!$AK$3:$AK$98,L$1,工数管理!$Y$3:$Y$98,"&lt;="&amp;$H86,工数管理!$Z$3:$Z$98,"")+COUNTIFS(工数管理!$AK$3:$AK$98,L$1,工数管理!$AA$3:$AA$98,"&lt;="&amp;$H86,工数管理!$AB$3:$AB$98,"")+COUNTIFS(工数管理!$AK$3:$AK$98,L$1,工数管理!$AC$3:$AC$98,"&lt;="&amp;$H86,工数管理!$AD$3:$AD$98,"")+COUNTIFS(工数管理!$AK$3:$AK$98,L$1,工数管理!$AE$3:$AE$98,"&lt;="&amp;$H86,工数管理!$AF$3:$AF$98,"")+COUNTIFS(工数管理!$AK$3:$AK$98,L$1,工数管理!$AG$3:$AG$98,"&lt;="&amp;$H86,工数管理!$AH$3:$AH$98,""))*($H86&lt;=工数管理!$AI$1))</f>
        <v>1</v>
      </c>
    </row>
    <row r="87" spans="1:12" x14ac:dyDescent="0.15">
      <c r="A87" s="5"/>
      <c r="B87" s="6"/>
      <c r="H87" s="41">
        <f t="shared" si="3"/>
        <v>46255</v>
      </c>
      <c r="I87" s="42">
        <f t="shared" si="2"/>
        <v>1</v>
      </c>
      <c r="J87" s="42">
        <f ca="1">IF(J$1="",0,COUNTIFS(工数管理!$AK$3:$AK$98,J$1,工数管理!$K$3:$K$98,"&lt;="&amp;$H87,工数管理!$L$3:$L$98,"&gt;="&amp;$H87)+COUNTIFS(工数管理!$AK$3:$AK$98,J$1,工数管理!$M$3:$M$98,"&lt;="&amp;$H87,工数管理!$N$3:$N$98,"&gt;="&amp;$H87)+COUNTIFS(工数管理!$AK$3:$AK$98,J$1,工数管理!$O$3:$O$98,"&lt;="&amp;$H87,工数管理!$P$3:$P$98,"&gt;="&amp;$H87)+COUNTIFS(工数管理!$AK$3:$AK$98,J$1,工数管理!$Q$3:$Q$98,"&lt;="&amp;$H87,工数管理!$R$3:$R$98,"&gt;="&amp;$H87)+COUNTIFS(工数管理!$AK$3:$AK$98,J$1,工数管理!$S$3:$S$98,"&lt;="&amp;$H87,工数管理!$T$3:$T$98,"&gt;="&amp;$H87)+COUNTIFS(工数管理!$AK$3:$AK$98,J$1,工数管理!$U$3:$U$98,"&lt;="&amp;$H87,工数管理!$V$3:$V$98,"&gt;="&amp;$H87)+COUNTIFS(工数管理!$AK$3:$AK$98,J$1,工数管理!$W$3:$W$98,"&lt;="&amp;$H87,工数管理!$X$3:$X$98,"&gt;="&amp;$H87)+COUNTIFS(工数管理!$AK$3:$AK$98,J$1,工数管理!$Y$3:$Y$98,"&lt;="&amp;$H87,工数管理!$Z$3:$Z$98,"&gt;="&amp;$H87)+COUNTIFS(工数管理!$AK$3:$AK$98,J$1,工数管理!$AA$3:$AA$98,"&lt;="&amp;$H87,工数管理!$AB$3:$AB$98,"&gt;="&amp;$H87)+COUNTIFS(工数管理!$AK$3:$AK$98,J$1,工数管理!$AC$3:$AC$98,"&lt;="&amp;$H87,工数管理!$AD$3:$AD$98,"&gt;="&amp;$H87)+COUNTIFS(工数管理!$AK$3:$AK$98,J$1,工数管理!$AE$3:$AE$98,"&lt;="&amp;$H87,工数管理!$AF$3:$AF$98,"&gt;="&amp;$H87)+COUNTIFS(工数管理!$AK$3:$AK$98,J$1,工数管理!$AG$3:$AG$98,"&lt;="&amp;$H87,工数管理!$AH$3:$AH$98,"&gt;="&amp;$H87)+(COUNTIFS(工数管理!$AK$3:$AK$98,J$1,工数管理!$K$3:$K$98,"&lt;="&amp;$H87,工数管理!$L$3:$L$98,"")+COUNTIFS(工数管理!$AK$3:$AK$98,J$1,工数管理!$M$3:$M$98,"&lt;="&amp;$H87,工数管理!$N$3:$N$98,"")+COUNTIFS(工数管理!$AK$3:$AK$98,J$1,工数管理!$O$3:$O$98,"&lt;="&amp;$H87,工数管理!$P$3:$P$98,"")+COUNTIFS(工数管理!$AK$3:$AK$98,J$1,工数管理!$Q$3:$Q$98,"&lt;="&amp;$H87,工数管理!$R$3:$R$98,"")+COUNTIFS(工数管理!$AK$3:$AK$98,J$1,工数管理!$S$3:$S$98,"&lt;="&amp;$H87,工数管理!$T$3:$T$98,"")+COUNTIFS(工数管理!$AK$3:$AK$98,J$1,工数管理!$U$3:$U$98,"&lt;="&amp;$H87,工数管理!$V$3:$V$98,"")+COUNTIFS(工数管理!$AK$3:$AK$98,J$1,工数管理!$W$3:$W$98,"&lt;="&amp;$H87,工数管理!$X$3:$X$98,"")+COUNTIFS(工数管理!$AK$3:$AK$98,J$1,工数管理!$Y$3:$Y$98,"&lt;="&amp;$H87,工数管理!$Z$3:$Z$98,"")+COUNTIFS(工数管理!$AK$3:$AK$98,J$1,工数管理!$AA$3:$AA$98,"&lt;="&amp;$H87,工数管理!$AB$3:$AB$98,"")+COUNTIFS(工数管理!$AK$3:$AK$98,J$1,工数管理!$AC$3:$AC$98,"&lt;="&amp;$H87,工数管理!$AD$3:$AD$98,"")+COUNTIFS(工数管理!$AK$3:$AK$98,J$1,工数管理!$AE$3:$AE$98,"&lt;="&amp;$H87,工数管理!$AF$3:$AF$98,"")+COUNTIFS(工数管理!$AK$3:$AK$98,J$1,工数管理!$AG$3:$AG$98,"&lt;="&amp;$H87,工数管理!$AH$3:$AH$98,""))*($H87&lt;=工数管理!$AI$1))</f>
        <v>0</v>
      </c>
      <c r="K87" s="42">
        <f ca="1">IF(K$1="",0,COUNTIFS(工数管理!$AK$3:$AK$98,K$1,工数管理!$K$3:$K$98,"&lt;="&amp;$H87,工数管理!$L$3:$L$98,"&gt;="&amp;$H87)+COUNTIFS(工数管理!$AK$3:$AK$98,K$1,工数管理!$M$3:$M$98,"&lt;="&amp;$H87,工数管理!$N$3:$N$98,"&gt;="&amp;$H87)+COUNTIFS(工数管理!$AK$3:$AK$98,K$1,工数管理!$O$3:$O$98,"&lt;="&amp;$H87,工数管理!$P$3:$P$98,"&gt;="&amp;$H87)+COUNTIFS(工数管理!$AK$3:$AK$98,K$1,工数管理!$Q$3:$Q$98,"&lt;="&amp;$H87,工数管理!$R$3:$R$98,"&gt;="&amp;$H87)+COUNTIFS(工数管理!$AK$3:$AK$98,K$1,工数管理!$S$3:$S$98,"&lt;="&amp;$H87,工数管理!$T$3:$T$98,"&gt;="&amp;$H87)+COUNTIFS(工数管理!$AK$3:$AK$98,K$1,工数管理!$U$3:$U$98,"&lt;="&amp;$H87,工数管理!$V$3:$V$98,"&gt;="&amp;$H87)+COUNTIFS(工数管理!$AK$3:$AK$98,K$1,工数管理!$W$3:$W$98,"&lt;="&amp;$H87,工数管理!$X$3:$X$98,"&gt;="&amp;$H87)+COUNTIFS(工数管理!$AK$3:$AK$98,K$1,工数管理!$Y$3:$Y$98,"&lt;="&amp;$H87,工数管理!$Z$3:$Z$98,"&gt;="&amp;$H87)+COUNTIFS(工数管理!$AK$3:$AK$98,K$1,工数管理!$AA$3:$AA$98,"&lt;="&amp;$H87,工数管理!$AB$3:$AB$98,"&gt;="&amp;$H87)+COUNTIFS(工数管理!$AK$3:$AK$98,K$1,工数管理!$AC$3:$AC$98,"&lt;="&amp;$H87,工数管理!$AD$3:$AD$98,"&gt;="&amp;$H87)+COUNTIFS(工数管理!$AK$3:$AK$98,K$1,工数管理!$AE$3:$AE$98,"&lt;="&amp;$H87,工数管理!$AF$3:$AF$98,"&gt;="&amp;$H87)+COUNTIFS(工数管理!$AK$3:$AK$98,K$1,工数管理!$AG$3:$AG$98,"&lt;="&amp;$H87,工数管理!$AH$3:$AH$98,"&gt;="&amp;$H87)+(COUNTIFS(工数管理!$AK$3:$AK$98,K$1,工数管理!$K$3:$K$98,"&lt;="&amp;$H87,工数管理!$L$3:$L$98,"")+COUNTIFS(工数管理!$AK$3:$AK$98,K$1,工数管理!$M$3:$M$98,"&lt;="&amp;$H87,工数管理!$N$3:$N$98,"")+COUNTIFS(工数管理!$AK$3:$AK$98,K$1,工数管理!$O$3:$O$98,"&lt;="&amp;$H87,工数管理!$P$3:$P$98,"")+COUNTIFS(工数管理!$AK$3:$AK$98,K$1,工数管理!$Q$3:$Q$98,"&lt;="&amp;$H87,工数管理!$R$3:$R$98,"")+COUNTIFS(工数管理!$AK$3:$AK$98,K$1,工数管理!$S$3:$S$98,"&lt;="&amp;$H87,工数管理!$T$3:$T$98,"")+COUNTIFS(工数管理!$AK$3:$AK$98,K$1,工数管理!$U$3:$U$98,"&lt;="&amp;$H87,工数管理!$V$3:$V$98,"")+COUNTIFS(工数管理!$AK$3:$AK$98,K$1,工数管理!$W$3:$W$98,"&lt;="&amp;$H87,工数管理!$X$3:$X$98,"")+COUNTIFS(工数管理!$AK$3:$AK$98,K$1,工数管理!$Y$3:$Y$98,"&lt;="&amp;$H87,工数管理!$Z$3:$Z$98,"")+COUNTIFS(工数管理!$AK$3:$AK$98,K$1,工数管理!$AA$3:$AA$98,"&lt;="&amp;$H87,工数管理!$AB$3:$AB$98,"")+COUNTIFS(工数管理!$AK$3:$AK$98,K$1,工数管理!$AC$3:$AC$98,"&lt;="&amp;$H87,工数管理!$AD$3:$AD$98,"")+COUNTIFS(工数管理!$AK$3:$AK$98,K$1,工数管理!$AE$3:$AE$98,"&lt;="&amp;$H87,工数管理!$AF$3:$AF$98,"")+COUNTIFS(工数管理!$AK$3:$AK$98,K$1,工数管理!$AG$3:$AG$98,"&lt;="&amp;$H87,工数管理!$AH$3:$AH$98,""))*($H87&lt;=工数管理!$AI$1))</f>
        <v>1</v>
      </c>
      <c r="L87" s="42">
        <f ca="1">IF(L$1="",0,COUNTIFS(工数管理!$AK$3:$AK$98,L$1,工数管理!$K$3:$K$98,"&lt;="&amp;$H87,工数管理!$L$3:$L$98,"&gt;="&amp;$H87)+COUNTIFS(工数管理!$AK$3:$AK$98,L$1,工数管理!$M$3:$M$98,"&lt;="&amp;$H87,工数管理!$N$3:$N$98,"&gt;="&amp;$H87)+COUNTIFS(工数管理!$AK$3:$AK$98,L$1,工数管理!$O$3:$O$98,"&lt;="&amp;$H87,工数管理!$P$3:$P$98,"&gt;="&amp;$H87)+COUNTIFS(工数管理!$AK$3:$AK$98,L$1,工数管理!$Q$3:$Q$98,"&lt;="&amp;$H87,工数管理!$R$3:$R$98,"&gt;="&amp;$H87)+COUNTIFS(工数管理!$AK$3:$AK$98,L$1,工数管理!$S$3:$S$98,"&lt;="&amp;$H87,工数管理!$T$3:$T$98,"&gt;="&amp;$H87)+COUNTIFS(工数管理!$AK$3:$AK$98,L$1,工数管理!$U$3:$U$98,"&lt;="&amp;$H87,工数管理!$V$3:$V$98,"&gt;="&amp;$H87)+COUNTIFS(工数管理!$AK$3:$AK$98,L$1,工数管理!$W$3:$W$98,"&lt;="&amp;$H87,工数管理!$X$3:$X$98,"&gt;="&amp;$H87)+COUNTIFS(工数管理!$AK$3:$AK$98,L$1,工数管理!$Y$3:$Y$98,"&lt;="&amp;$H87,工数管理!$Z$3:$Z$98,"&gt;="&amp;$H87)+COUNTIFS(工数管理!$AK$3:$AK$98,L$1,工数管理!$AA$3:$AA$98,"&lt;="&amp;$H87,工数管理!$AB$3:$AB$98,"&gt;="&amp;$H87)+COUNTIFS(工数管理!$AK$3:$AK$98,L$1,工数管理!$AC$3:$AC$98,"&lt;="&amp;$H87,工数管理!$AD$3:$AD$98,"&gt;="&amp;$H87)+COUNTIFS(工数管理!$AK$3:$AK$98,L$1,工数管理!$AE$3:$AE$98,"&lt;="&amp;$H87,工数管理!$AF$3:$AF$98,"&gt;="&amp;$H87)+COUNTIFS(工数管理!$AK$3:$AK$98,L$1,工数管理!$AG$3:$AG$98,"&lt;="&amp;$H87,工数管理!$AH$3:$AH$98,"&gt;="&amp;$H87)+(COUNTIFS(工数管理!$AK$3:$AK$98,L$1,工数管理!$K$3:$K$98,"&lt;="&amp;$H87,工数管理!$L$3:$L$98,"")+COUNTIFS(工数管理!$AK$3:$AK$98,L$1,工数管理!$M$3:$M$98,"&lt;="&amp;$H87,工数管理!$N$3:$N$98,"")+COUNTIFS(工数管理!$AK$3:$AK$98,L$1,工数管理!$O$3:$O$98,"&lt;="&amp;$H87,工数管理!$P$3:$P$98,"")+COUNTIFS(工数管理!$AK$3:$AK$98,L$1,工数管理!$Q$3:$Q$98,"&lt;="&amp;$H87,工数管理!$R$3:$R$98,"")+COUNTIFS(工数管理!$AK$3:$AK$98,L$1,工数管理!$S$3:$S$98,"&lt;="&amp;$H87,工数管理!$T$3:$T$98,"")+COUNTIFS(工数管理!$AK$3:$AK$98,L$1,工数管理!$U$3:$U$98,"&lt;="&amp;$H87,工数管理!$V$3:$V$98,"")+COUNTIFS(工数管理!$AK$3:$AK$98,L$1,工数管理!$W$3:$W$98,"&lt;="&amp;$H87,工数管理!$X$3:$X$98,"")+COUNTIFS(工数管理!$AK$3:$AK$98,L$1,工数管理!$Y$3:$Y$98,"&lt;="&amp;$H87,工数管理!$Z$3:$Z$98,"")+COUNTIFS(工数管理!$AK$3:$AK$98,L$1,工数管理!$AA$3:$AA$98,"&lt;="&amp;$H87,工数管理!$AB$3:$AB$98,"")+COUNTIFS(工数管理!$AK$3:$AK$98,L$1,工数管理!$AC$3:$AC$98,"&lt;="&amp;$H87,工数管理!$AD$3:$AD$98,"")+COUNTIFS(工数管理!$AK$3:$AK$98,L$1,工数管理!$AE$3:$AE$98,"&lt;="&amp;$H87,工数管理!$AF$3:$AF$98,"")+COUNTIFS(工数管理!$AK$3:$AK$98,L$1,工数管理!$AG$3:$AG$98,"&lt;="&amp;$H87,工数管理!$AH$3:$AH$98,""))*($H87&lt;=工数管理!$AI$1))</f>
        <v>1</v>
      </c>
    </row>
    <row r="88" spans="1:12" x14ac:dyDescent="0.15">
      <c r="A88" s="5"/>
      <c r="B88" s="6"/>
      <c r="H88" s="41">
        <f t="shared" si="3"/>
        <v>46256</v>
      </c>
      <c r="I88" s="42">
        <f t="shared" si="2"/>
        <v>0</v>
      </c>
      <c r="J88" s="42">
        <f ca="1">IF(J$1="",0,COUNTIFS(工数管理!$AK$3:$AK$98,J$1,工数管理!$K$3:$K$98,"&lt;="&amp;$H88,工数管理!$L$3:$L$98,"&gt;="&amp;$H88)+COUNTIFS(工数管理!$AK$3:$AK$98,J$1,工数管理!$M$3:$M$98,"&lt;="&amp;$H88,工数管理!$N$3:$N$98,"&gt;="&amp;$H88)+COUNTIFS(工数管理!$AK$3:$AK$98,J$1,工数管理!$O$3:$O$98,"&lt;="&amp;$H88,工数管理!$P$3:$P$98,"&gt;="&amp;$H88)+COUNTIFS(工数管理!$AK$3:$AK$98,J$1,工数管理!$Q$3:$Q$98,"&lt;="&amp;$H88,工数管理!$R$3:$R$98,"&gt;="&amp;$H88)+COUNTIFS(工数管理!$AK$3:$AK$98,J$1,工数管理!$S$3:$S$98,"&lt;="&amp;$H88,工数管理!$T$3:$T$98,"&gt;="&amp;$H88)+COUNTIFS(工数管理!$AK$3:$AK$98,J$1,工数管理!$U$3:$U$98,"&lt;="&amp;$H88,工数管理!$V$3:$V$98,"&gt;="&amp;$H88)+COUNTIFS(工数管理!$AK$3:$AK$98,J$1,工数管理!$W$3:$W$98,"&lt;="&amp;$H88,工数管理!$X$3:$X$98,"&gt;="&amp;$H88)+COUNTIFS(工数管理!$AK$3:$AK$98,J$1,工数管理!$Y$3:$Y$98,"&lt;="&amp;$H88,工数管理!$Z$3:$Z$98,"&gt;="&amp;$H88)+COUNTIFS(工数管理!$AK$3:$AK$98,J$1,工数管理!$AA$3:$AA$98,"&lt;="&amp;$H88,工数管理!$AB$3:$AB$98,"&gt;="&amp;$H88)+COUNTIFS(工数管理!$AK$3:$AK$98,J$1,工数管理!$AC$3:$AC$98,"&lt;="&amp;$H88,工数管理!$AD$3:$AD$98,"&gt;="&amp;$H88)+COUNTIFS(工数管理!$AK$3:$AK$98,J$1,工数管理!$AE$3:$AE$98,"&lt;="&amp;$H88,工数管理!$AF$3:$AF$98,"&gt;="&amp;$H88)+COUNTIFS(工数管理!$AK$3:$AK$98,J$1,工数管理!$AG$3:$AG$98,"&lt;="&amp;$H88,工数管理!$AH$3:$AH$98,"&gt;="&amp;$H88)+(COUNTIFS(工数管理!$AK$3:$AK$98,J$1,工数管理!$K$3:$K$98,"&lt;="&amp;$H88,工数管理!$L$3:$L$98,"")+COUNTIFS(工数管理!$AK$3:$AK$98,J$1,工数管理!$M$3:$M$98,"&lt;="&amp;$H88,工数管理!$N$3:$N$98,"")+COUNTIFS(工数管理!$AK$3:$AK$98,J$1,工数管理!$O$3:$O$98,"&lt;="&amp;$H88,工数管理!$P$3:$P$98,"")+COUNTIFS(工数管理!$AK$3:$AK$98,J$1,工数管理!$Q$3:$Q$98,"&lt;="&amp;$H88,工数管理!$R$3:$R$98,"")+COUNTIFS(工数管理!$AK$3:$AK$98,J$1,工数管理!$S$3:$S$98,"&lt;="&amp;$H88,工数管理!$T$3:$T$98,"")+COUNTIFS(工数管理!$AK$3:$AK$98,J$1,工数管理!$U$3:$U$98,"&lt;="&amp;$H88,工数管理!$V$3:$V$98,"")+COUNTIFS(工数管理!$AK$3:$AK$98,J$1,工数管理!$W$3:$W$98,"&lt;="&amp;$H88,工数管理!$X$3:$X$98,"")+COUNTIFS(工数管理!$AK$3:$AK$98,J$1,工数管理!$Y$3:$Y$98,"&lt;="&amp;$H88,工数管理!$Z$3:$Z$98,"")+COUNTIFS(工数管理!$AK$3:$AK$98,J$1,工数管理!$AA$3:$AA$98,"&lt;="&amp;$H88,工数管理!$AB$3:$AB$98,"")+COUNTIFS(工数管理!$AK$3:$AK$98,J$1,工数管理!$AC$3:$AC$98,"&lt;="&amp;$H88,工数管理!$AD$3:$AD$98,"")+COUNTIFS(工数管理!$AK$3:$AK$98,J$1,工数管理!$AE$3:$AE$98,"&lt;="&amp;$H88,工数管理!$AF$3:$AF$98,"")+COUNTIFS(工数管理!$AK$3:$AK$98,J$1,工数管理!$AG$3:$AG$98,"&lt;="&amp;$H88,工数管理!$AH$3:$AH$98,""))*($H88&lt;=工数管理!$AI$1))</f>
        <v>0</v>
      </c>
      <c r="K88" s="42">
        <f ca="1">IF(K$1="",0,COUNTIFS(工数管理!$AK$3:$AK$98,K$1,工数管理!$K$3:$K$98,"&lt;="&amp;$H88,工数管理!$L$3:$L$98,"&gt;="&amp;$H88)+COUNTIFS(工数管理!$AK$3:$AK$98,K$1,工数管理!$M$3:$M$98,"&lt;="&amp;$H88,工数管理!$N$3:$N$98,"&gt;="&amp;$H88)+COUNTIFS(工数管理!$AK$3:$AK$98,K$1,工数管理!$O$3:$O$98,"&lt;="&amp;$H88,工数管理!$P$3:$P$98,"&gt;="&amp;$H88)+COUNTIFS(工数管理!$AK$3:$AK$98,K$1,工数管理!$Q$3:$Q$98,"&lt;="&amp;$H88,工数管理!$R$3:$R$98,"&gt;="&amp;$H88)+COUNTIFS(工数管理!$AK$3:$AK$98,K$1,工数管理!$S$3:$S$98,"&lt;="&amp;$H88,工数管理!$T$3:$T$98,"&gt;="&amp;$H88)+COUNTIFS(工数管理!$AK$3:$AK$98,K$1,工数管理!$U$3:$U$98,"&lt;="&amp;$H88,工数管理!$V$3:$V$98,"&gt;="&amp;$H88)+COUNTIFS(工数管理!$AK$3:$AK$98,K$1,工数管理!$W$3:$W$98,"&lt;="&amp;$H88,工数管理!$X$3:$X$98,"&gt;="&amp;$H88)+COUNTIFS(工数管理!$AK$3:$AK$98,K$1,工数管理!$Y$3:$Y$98,"&lt;="&amp;$H88,工数管理!$Z$3:$Z$98,"&gt;="&amp;$H88)+COUNTIFS(工数管理!$AK$3:$AK$98,K$1,工数管理!$AA$3:$AA$98,"&lt;="&amp;$H88,工数管理!$AB$3:$AB$98,"&gt;="&amp;$H88)+COUNTIFS(工数管理!$AK$3:$AK$98,K$1,工数管理!$AC$3:$AC$98,"&lt;="&amp;$H88,工数管理!$AD$3:$AD$98,"&gt;="&amp;$H88)+COUNTIFS(工数管理!$AK$3:$AK$98,K$1,工数管理!$AE$3:$AE$98,"&lt;="&amp;$H88,工数管理!$AF$3:$AF$98,"&gt;="&amp;$H88)+COUNTIFS(工数管理!$AK$3:$AK$98,K$1,工数管理!$AG$3:$AG$98,"&lt;="&amp;$H88,工数管理!$AH$3:$AH$98,"&gt;="&amp;$H88)+(COUNTIFS(工数管理!$AK$3:$AK$98,K$1,工数管理!$K$3:$K$98,"&lt;="&amp;$H88,工数管理!$L$3:$L$98,"")+COUNTIFS(工数管理!$AK$3:$AK$98,K$1,工数管理!$M$3:$M$98,"&lt;="&amp;$H88,工数管理!$N$3:$N$98,"")+COUNTIFS(工数管理!$AK$3:$AK$98,K$1,工数管理!$O$3:$O$98,"&lt;="&amp;$H88,工数管理!$P$3:$P$98,"")+COUNTIFS(工数管理!$AK$3:$AK$98,K$1,工数管理!$Q$3:$Q$98,"&lt;="&amp;$H88,工数管理!$R$3:$R$98,"")+COUNTIFS(工数管理!$AK$3:$AK$98,K$1,工数管理!$S$3:$S$98,"&lt;="&amp;$H88,工数管理!$T$3:$T$98,"")+COUNTIFS(工数管理!$AK$3:$AK$98,K$1,工数管理!$U$3:$U$98,"&lt;="&amp;$H88,工数管理!$V$3:$V$98,"")+COUNTIFS(工数管理!$AK$3:$AK$98,K$1,工数管理!$W$3:$W$98,"&lt;="&amp;$H88,工数管理!$X$3:$X$98,"")+COUNTIFS(工数管理!$AK$3:$AK$98,K$1,工数管理!$Y$3:$Y$98,"&lt;="&amp;$H88,工数管理!$Z$3:$Z$98,"")+COUNTIFS(工数管理!$AK$3:$AK$98,K$1,工数管理!$AA$3:$AA$98,"&lt;="&amp;$H88,工数管理!$AB$3:$AB$98,"")+COUNTIFS(工数管理!$AK$3:$AK$98,K$1,工数管理!$AC$3:$AC$98,"&lt;="&amp;$H88,工数管理!$AD$3:$AD$98,"")+COUNTIFS(工数管理!$AK$3:$AK$98,K$1,工数管理!$AE$3:$AE$98,"&lt;="&amp;$H88,工数管理!$AF$3:$AF$98,"")+COUNTIFS(工数管理!$AK$3:$AK$98,K$1,工数管理!$AG$3:$AG$98,"&lt;="&amp;$H88,工数管理!$AH$3:$AH$98,""))*($H88&lt;=工数管理!$AI$1))</f>
        <v>1</v>
      </c>
      <c r="L88" s="42">
        <f ca="1">IF(L$1="",0,COUNTIFS(工数管理!$AK$3:$AK$98,L$1,工数管理!$K$3:$K$98,"&lt;="&amp;$H88,工数管理!$L$3:$L$98,"&gt;="&amp;$H88)+COUNTIFS(工数管理!$AK$3:$AK$98,L$1,工数管理!$M$3:$M$98,"&lt;="&amp;$H88,工数管理!$N$3:$N$98,"&gt;="&amp;$H88)+COUNTIFS(工数管理!$AK$3:$AK$98,L$1,工数管理!$O$3:$O$98,"&lt;="&amp;$H88,工数管理!$P$3:$P$98,"&gt;="&amp;$H88)+COUNTIFS(工数管理!$AK$3:$AK$98,L$1,工数管理!$Q$3:$Q$98,"&lt;="&amp;$H88,工数管理!$R$3:$R$98,"&gt;="&amp;$H88)+COUNTIFS(工数管理!$AK$3:$AK$98,L$1,工数管理!$S$3:$S$98,"&lt;="&amp;$H88,工数管理!$T$3:$T$98,"&gt;="&amp;$H88)+COUNTIFS(工数管理!$AK$3:$AK$98,L$1,工数管理!$U$3:$U$98,"&lt;="&amp;$H88,工数管理!$V$3:$V$98,"&gt;="&amp;$H88)+COUNTIFS(工数管理!$AK$3:$AK$98,L$1,工数管理!$W$3:$W$98,"&lt;="&amp;$H88,工数管理!$X$3:$X$98,"&gt;="&amp;$H88)+COUNTIFS(工数管理!$AK$3:$AK$98,L$1,工数管理!$Y$3:$Y$98,"&lt;="&amp;$H88,工数管理!$Z$3:$Z$98,"&gt;="&amp;$H88)+COUNTIFS(工数管理!$AK$3:$AK$98,L$1,工数管理!$AA$3:$AA$98,"&lt;="&amp;$H88,工数管理!$AB$3:$AB$98,"&gt;="&amp;$H88)+COUNTIFS(工数管理!$AK$3:$AK$98,L$1,工数管理!$AC$3:$AC$98,"&lt;="&amp;$H88,工数管理!$AD$3:$AD$98,"&gt;="&amp;$H88)+COUNTIFS(工数管理!$AK$3:$AK$98,L$1,工数管理!$AE$3:$AE$98,"&lt;="&amp;$H88,工数管理!$AF$3:$AF$98,"&gt;="&amp;$H88)+COUNTIFS(工数管理!$AK$3:$AK$98,L$1,工数管理!$AG$3:$AG$98,"&lt;="&amp;$H88,工数管理!$AH$3:$AH$98,"&gt;="&amp;$H88)+(COUNTIFS(工数管理!$AK$3:$AK$98,L$1,工数管理!$K$3:$K$98,"&lt;="&amp;$H88,工数管理!$L$3:$L$98,"")+COUNTIFS(工数管理!$AK$3:$AK$98,L$1,工数管理!$M$3:$M$98,"&lt;="&amp;$H88,工数管理!$N$3:$N$98,"")+COUNTIFS(工数管理!$AK$3:$AK$98,L$1,工数管理!$O$3:$O$98,"&lt;="&amp;$H88,工数管理!$P$3:$P$98,"")+COUNTIFS(工数管理!$AK$3:$AK$98,L$1,工数管理!$Q$3:$Q$98,"&lt;="&amp;$H88,工数管理!$R$3:$R$98,"")+COUNTIFS(工数管理!$AK$3:$AK$98,L$1,工数管理!$S$3:$S$98,"&lt;="&amp;$H88,工数管理!$T$3:$T$98,"")+COUNTIFS(工数管理!$AK$3:$AK$98,L$1,工数管理!$U$3:$U$98,"&lt;="&amp;$H88,工数管理!$V$3:$V$98,"")+COUNTIFS(工数管理!$AK$3:$AK$98,L$1,工数管理!$W$3:$W$98,"&lt;="&amp;$H88,工数管理!$X$3:$X$98,"")+COUNTIFS(工数管理!$AK$3:$AK$98,L$1,工数管理!$Y$3:$Y$98,"&lt;="&amp;$H88,工数管理!$Z$3:$Z$98,"")+COUNTIFS(工数管理!$AK$3:$AK$98,L$1,工数管理!$AA$3:$AA$98,"&lt;="&amp;$H88,工数管理!$AB$3:$AB$98,"")+COUNTIFS(工数管理!$AK$3:$AK$98,L$1,工数管理!$AC$3:$AC$98,"&lt;="&amp;$H88,工数管理!$AD$3:$AD$98,"")+COUNTIFS(工数管理!$AK$3:$AK$98,L$1,工数管理!$AE$3:$AE$98,"&lt;="&amp;$H88,工数管理!$AF$3:$AF$98,"")+COUNTIFS(工数管理!$AK$3:$AK$98,L$1,工数管理!$AG$3:$AG$98,"&lt;="&amp;$H88,工数管理!$AH$3:$AH$98,""))*($H88&lt;=工数管理!$AI$1))</f>
        <v>1</v>
      </c>
    </row>
    <row r="89" spans="1:12" x14ac:dyDescent="0.15">
      <c r="A89" s="5"/>
      <c r="B89" s="6"/>
      <c r="H89" s="41">
        <f t="shared" si="3"/>
        <v>46257</v>
      </c>
      <c r="I89" s="42">
        <f t="shared" si="2"/>
        <v>0</v>
      </c>
      <c r="J89" s="42">
        <f ca="1">IF(J$1="",0,COUNTIFS(工数管理!$AK$3:$AK$98,J$1,工数管理!$K$3:$K$98,"&lt;="&amp;$H89,工数管理!$L$3:$L$98,"&gt;="&amp;$H89)+COUNTIFS(工数管理!$AK$3:$AK$98,J$1,工数管理!$M$3:$M$98,"&lt;="&amp;$H89,工数管理!$N$3:$N$98,"&gt;="&amp;$H89)+COUNTIFS(工数管理!$AK$3:$AK$98,J$1,工数管理!$O$3:$O$98,"&lt;="&amp;$H89,工数管理!$P$3:$P$98,"&gt;="&amp;$H89)+COUNTIFS(工数管理!$AK$3:$AK$98,J$1,工数管理!$Q$3:$Q$98,"&lt;="&amp;$H89,工数管理!$R$3:$R$98,"&gt;="&amp;$H89)+COUNTIFS(工数管理!$AK$3:$AK$98,J$1,工数管理!$S$3:$S$98,"&lt;="&amp;$H89,工数管理!$T$3:$T$98,"&gt;="&amp;$H89)+COUNTIFS(工数管理!$AK$3:$AK$98,J$1,工数管理!$U$3:$U$98,"&lt;="&amp;$H89,工数管理!$V$3:$V$98,"&gt;="&amp;$H89)+COUNTIFS(工数管理!$AK$3:$AK$98,J$1,工数管理!$W$3:$W$98,"&lt;="&amp;$H89,工数管理!$X$3:$X$98,"&gt;="&amp;$H89)+COUNTIFS(工数管理!$AK$3:$AK$98,J$1,工数管理!$Y$3:$Y$98,"&lt;="&amp;$H89,工数管理!$Z$3:$Z$98,"&gt;="&amp;$H89)+COUNTIFS(工数管理!$AK$3:$AK$98,J$1,工数管理!$AA$3:$AA$98,"&lt;="&amp;$H89,工数管理!$AB$3:$AB$98,"&gt;="&amp;$H89)+COUNTIFS(工数管理!$AK$3:$AK$98,J$1,工数管理!$AC$3:$AC$98,"&lt;="&amp;$H89,工数管理!$AD$3:$AD$98,"&gt;="&amp;$H89)+COUNTIFS(工数管理!$AK$3:$AK$98,J$1,工数管理!$AE$3:$AE$98,"&lt;="&amp;$H89,工数管理!$AF$3:$AF$98,"&gt;="&amp;$H89)+COUNTIFS(工数管理!$AK$3:$AK$98,J$1,工数管理!$AG$3:$AG$98,"&lt;="&amp;$H89,工数管理!$AH$3:$AH$98,"&gt;="&amp;$H89)+(COUNTIFS(工数管理!$AK$3:$AK$98,J$1,工数管理!$K$3:$K$98,"&lt;="&amp;$H89,工数管理!$L$3:$L$98,"")+COUNTIFS(工数管理!$AK$3:$AK$98,J$1,工数管理!$M$3:$M$98,"&lt;="&amp;$H89,工数管理!$N$3:$N$98,"")+COUNTIFS(工数管理!$AK$3:$AK$98,J$1,工数管理!$O$3:$O$98,"&lt;="&amp;$H89,工数管理!$P$3:$P$98,"")+COUNTIFS(工数管理!$AK$3:$AK$98,J$1,工数管理!$Q$3:$Q$98,"&lt;="&amp;$H89,工数管理!$R$3:$R$98,"")+COUNTIFS(工数管理!$AK$3:$AK$98,J$1,工数管理!$S$3:$S$98,"&lt;="&amp;$H89,工数管理!$T$3:$T$98,"")+COUNTIFS(工数管理!$AK$3:$AK$98,J$1,工数管理!$U$3:$U$98,"&lt;="&amp;$H89,工数管理!$V$3:$V$98,"")+COUNTIFS(工数管理!$AK$3:$AK$98,J$1,工数管理!$W$3:$W$98,"&lt;="&amp;$H89,工数管理!$X$3:$X$98,"")+COUNTIFS(工数管理!$AK$3:$AK$98,J$1,工数管理!$Y$3:$Y$98,"&lt;="&amp;$H89,工数管理!$Z$3:$Z$98,"")+COUNTIFS(工数管理!$AK$3:$AK$98,J$1,工数管理!$AA$3:$AA$98,"&lt;="&amp;$H89,工数管理!$AB$3:$AB$98,"")+COUNTIFS(工数管理!$AK$3:$AK$98,J$1,工数管理!$AC$3:$AC$98,"&lt;="&amp;$H89,工数管理!$AD$3:$AD$98,"")+COUNTIFS(工数管理!$AK$3:$AK$98,J$1,工数管理!$AE$3:$AE$98,"&lt;="&amp;$H89,工数管理!$AF$3:$AF$98,"")+COUNTIFS(工数管理!$AK$3:$AK$98,J$1,工数管理!$AG$3:$AG$98,"&lt;="&amp;$H89,工数管理!$AH$3:$AH$98,""))*($H89&lt;=工数管理!$AI$1))</f>
        <v>0</v>
      </c>
      <c r="K89" s="42">
        <f ca="1">IF(K$1="",0,COUNTIFS(工数管理!$AK$3:$AK$98,K$1,工数管理!$K$3:$K$98,"&lt;="&amp;$H89,工数管理!$L$3:$L$98,"&gt;="&amp;$H89)+COUNTIFS(工数管理!$AK$3:$AK$98,K$1,工数管理!$M$3:$M$98,"&lt;="&amp;$H89,工数管理!$N$3:$N$98,"&gt;="&amp;$H89)+COUNTIFS(工数管理!$AK$3:$AK$98,K$1,工数管理!$O$3:$O$98,"&lt;="&amp;$H89,工数管理!$P$3:$P$98,"&gt;="&amp;$H89)+COUNTIFS(工数管理!$AK$3:$AK$98,K$1,工数管理!$Q$3:$Q$98,"&lt;="&amp;$H89,工数管理!$R$3:$R$98,"&gt;="&amp;$H89)+COUNTIFS(工数管理!$AK$3:$AK$98,K$1,工数管理!$S$3:$S$98,"&lt;="&amp;$H89,工数管理!$T$3:$T$98,"&gt;="&amp;$H89)+COUNTIFS(工数管理!$AK$3:$AK$98,K$1,工数管理!$U$3:$U$98,"&lt;="&amp;$H89,工数管理!$V$3:$V$98,"&gt;="&amp;$H89)+COUNTIFS(工数管理!$AK$3:$AK$98,K$1,工数管理!$W$3:$W$98,"&lt;="&amp;$H89,工数管理!$X$3:$X$98,"&gt;="&amp;$H89)+COUNTIFS(工数管理!$AK$3:$AK$98,K$1,工数管理!$Y$3:$Y$98,"&lt;="&amp;$H89,工数管理!$Z$3:$Z$98,"&gt;="&amp;$H89)+COUNTIFS(工数管理!$AK$3:$AK$98,K$1,工数管理!$AA$3:$AA$98,"&lt;="&amp;$H89,工数管理!$AB$3:$AB$98,"&gt;="&amp;$H89)+COUNTIFS(工数管理!$AK$3:$AK$98,K$1,工数管理!$AC$3:$AC$98,"&lt;="&amp;$H89,工数管理!$AD$3:$AD$98,"&gt;="&amp;$H89)+COUNTIFS(工数管理!$AK$3:$AK$98,K$1,工数管理!$AE$3:$AE$98,"&lt;="&amp;$H89,工数管理!$AF$3:$AF$98,"&gt;="&amp;$H89)+COUNTIFS(工数管理!$AK$3:$AK$98,K$1,工数管理!$AG$3:$AG$98,"&lt;="&amp;$H89,工数管理!$AH$3:$AH$98,"&gt;="&amp;$H89)+(COUNTIFS(工数管理!$AK$3:$AK$98,K$1,工数管理!$K$3:$K$98,"&lt;="&amp;$H89,工数管理!$L$3:$L$98,"")+COUNTIFS(工数管理!$AK$3:$AK$98,K$1,工数管理!$M$3:$M$98,"&lt;="&amp;$H89,工数管理!$N$3:$N$98,"")+COUNTIFS(工数管理!$AK$3:$AK$98,K$1,工数管理!$O$3:$O$98,"&lt;="&amp;$H89,工数管理!$P$3:$P$98,"")+COUNTIFS(工数管理!$AK$3:$AK$98,K$1,工数管理!$Q$3:$Q$98,"&lt;="&amp;$H89,工数管理!$R$3:$R$98,"")+COUNTIFS(工数管理!$AK$3:$AK$98,K$1,工数管理!$S$3:$S$98,"&lt;="&amp;$H89,工数管理!$T$3:$T$98,"")+COUNTIFS(工数管理!$AK$3:$AK$98,K$1,工数管理!$U$3:$U$98,"&lt;="&amp;$H89,工数管理!$V$3:$V$98,"")+COUNTIFS(工数管理!$AK$3:$AK$98,K$1,工数管理!$W$3:$W$98,"&lt;="&amp;$H89,工数管理!$X$3:$X$98,"")+COUNTIFS(工数管理!$AK$3:$AK$98,K$1,工数管理!$Y$3:$Y$98,"&lt;="&amp;$H89,工数管理!$Z$3:$Z$98,"")+COUNTIFS(工数管理!$AK$3:$AK$98,K$1,工数管理!$AA$3:$AA$98,"&lt;="&amp;$H89,工数管理!$AB$3:$AB$98,"")+COUNTIFS(工数管理!$AK$3:$AK$98,K$1,工数管理!$AC$3:$AC$98,"&lt;="&amp;$H89,工数管理!$AD$3:$AD$98,"")+COUNTIFS(工数管理!$AK$3:$AK$98,K$1,工数管理!$AE$3:$AE$98,"&lt;="&amp;$H89,工数管理!$AF$3:$AF$98,"")+COUNTIFS(工数管理!$AK$3:$AK$98,K$1,工数管理!$AG$3:$AG$98,"&lt;="&amp;$H89,工数管理!$AH$3:$AH$98,""))*($H89&lt;=工数管理!$AI$1))</f>
        <v>1</v>
      </c>
      <c r="L89" s="42">
        <f ca="1">IF(L$1="",0,COUNTIFS(工数管理!$AK$3:$AK$98,L$1,工数管理!$K$3:$K$98,"&lt;="&amp;$H89,工数管理!$L$3:$L$98,"&gt;="&amp;$H89)+COUNTIFS(工数管理!$AK$3:$AK$98,L$1,工数管理!$M$3:$M$98,"&lt;="&amp;$H89,工数管理!$N$3:$N$98,"&gt;="&amp;$H89)+COUNTIFS(工数管理!$AK$3:$AK$98,L$1,工数管理!$O$3:$O$98,"&lt;="&amp;$H89,工数管理!$P$3:$P$98,"&gt;="&amp;$H89)+COUNTIFS(工数管理!$AK$3:$AK$98,L$1,工数管理!$Q$3:$Q$98,"&lt;="&amp;$H89,工数管理!$R$3:$R$98,"&gt;="&amp;$H89)+COUNTIFS(工数管理!$AK$3:$AK$98,L$1,工数管理!$S$3:$S$98,"&lt;="&amp;$H89,工数管理!$T$3:$T$98,"&gt;="&amp;$H89)+COUNTIFS(工数管理!$AK$3:$AK$98,L$1,工数管理!$U$3:$U$98,"&lt;="&amp;$H89,工数管理!$V$3:$V$98,"&gt;="&amp;$H89)+COUNTIFS(工数管理!$AK$3:$AK$98,L$1,工数管理!$W$3:$W$98,"&lt;="&amp;$H89,工数管理!$X$3:$X$98,"&gt;="&amp;$H89)+COUNTIFS(工数管理!$AK$3:$AK$98,L$1,工数管理!$Y$3:$Y$98,"&lt;="&amp;$H89,工数管理!$Z$3:$Z$98,"&gt;="&amp;$H89)+COUNTIFS(工数管理!$AK$3:$AK$98,L$1,工数管理!$AA$3:$AA$98,"&lt;="&amp;$H89,工数管理!$AB$3:$AB$98,"&gt;="&amp;$H89)+COUNTIFS(工数管理!$AK$3:$AK$98,L$1,工数管理!$AC$3:$AC$98,"&lt;="&amp;$H89,工数管理!$AD$3:$AD$98,"&gt;="&amp;$H89)+COUNTIFS(工数管理!$AK$3:$AK$98,L$1,工数管理!$AE$3:$AE$98,"&lt;="&amp;$H89,工数管理!$AF$3:$AF$98,"&gt;="&amp;$H89)+COUNTIFS(工数管理!$AK$3:$AK$98,L$1,工数管理!$AG$3:$AG$98,"&lt;="&amp;$H89,工数管理!$AH$3:$AH$98,"&gt;="&amp;$H89)+(COUNTIFS(工数管理!$AK$3:$AK$98,L$1,工数管理!$K$3:$K$98,"&lt;="&amp;$H89,工数管理!$L$3:$L$98,"")+COUNTIFS(工数管理!$AK$3:$AK$98,L$1,工数管理!$M$3:$M$98,"&lt;="&amp;$H89,工数管理!$N$3:$N$98,"")+COUNTIFS(工数管理!$AK$3:$AK$98,L$1,工数管理!$O$3:$O$98,"&lt;="&amp;$H89,工数管理!$P$3:$P$98,"")+COUNTIFS(工数管理!$AK$3:$AK$98,L$1,工数管理!$Q$3:$Q$98,"&lt;="&amp;$H89,工数管理!$R$3:$R$98,"")+COUNTIFS(工数管理!$AK$3:$AK$98,L$1,工数管理!$S$3:$S$98,"&lt;="&amp;$H89,工数管理!$T$3:$T$98,"")+COUNTIFS(工数管理!$AK$3:$AK$98,L$1,工数管理!$U$3:$U$98,"&lt;="&amp;$H89,工数管理!$V$3:$V$98,"")+COUNTIFS(工数管理!$AK$3:$AK$98,L$1,工数管理!$W$3:$W$98,"&lt;="&amp;$H89,工数管理!$X$3:$X$98,"")+COUNTIFS(工数管理!$AK$3:$AK$98,L$1,工数管理!$Y$3:$Y$98,"&lt;="&amp;$H89,工数管理!$Z$3:$Z$98,"")+COUNTIFS(工数管理!$AK$3:$AK$98,L$1,工数管理!$AA$3:$AA$98,"&lt;="&amp;$H89,工数管理!$AB$3:$AB$98,"")+COUNTIFS(工数管理!$AK$3:$AK$98,L$1,工数管理!$AC$3:$AC$98,"&lt;="&amp;$H89,工数管理!$AD$3:$AD$98,"")+COUNTIFS(工数管理!$AK$3:$AK$98,L$1,工数管理!$AE$3:$AE$98,"&lt;="&amp;$H89,工数管理!$AF$3:$AF$98,"")+COUNTIFS(工数管理!$AK$3:$AK$98,L$1,工数管理!$AG$3:$AG$98,"&lt;="&amp;$H89,工数管理!$AH$3:$AH$98,""))*($H89&lt;=工数管理!$AI$1))</f>
        <v>1</v>
      </c>
    </row>
    <row r="90" spans="1:12" x14ac:dyDescent="0.15">
      <c r="A90" s="5"/>
      <c r="B90" s="6"/>
      <c r="H90" s="41">
        <f t="shared" si="3"/>
        <v>46258</v>
      </c>
      <c r="I90" s="42">
        <f t="shared" si="2"/>
        <v>1</v>
      </c>
      <c r="J90" s="42">
        <f ca="1">IF(J$1="",0,COUNTIFS(工数管理!$AK$3:$AK$98,J$1,工数管理!$K$3:$K$98,"&lt;="&amp;$H90,工数管理!$L$3:$L$98,"&gt;="&amp;$H90)+COUNTIFS(工数管理!$AK$3:$AK$98,J$1,工数管理!$M$3:$M$98,"&lt;="&amp;$H90,工数管理!$N$3:$N$98,"&gt;="&amp;$H90)+COUNTIFS(工数管理!$AK$3:$AK$98,J$1,工数管理!$O$3:$O$98,"&lt;="&amp;$H90,工数管理!$P$3:$P$98,"&gt;="&amp;$H90)+COUNTIFS(工数管理!$AK$3:$AK$98,J$1,工数管理!$Q$3:$Q$98,"&lt;="&amp;$H90,工数管理!$R$3:$R$98,"&gt;="&amp;$H90)+COUNTIFS(工数管理!$AK$3:$AK$98,J$1,工数管理!$S$3:$S$98,"&lt;="&amp;$H90,工数管理!$T$3:$T$98,"&gt;="&amp;$H90)+COUNTIFS(工数管理!$AK$3:$AK$98,J$1,工数管理!$U$3:$U$98,"&lt;="&amp;$H90,工数管理!$V$3:$V$98,"&gt;="&amp;$H90)+COUNTIFS(工数管理!$AK$3:$AK$98,J$1,工数管理!$W$3:$W$98,"&lt;="&amp;$H90,工数管理!$X$3:$X$98,"&gt;="&amp;$H90)+COUNTIFS(工数管理!$AK$3:$AK$98,J$1,工数管理!$Y$3:$Y$98,"&lt;="&amp;$H90,工数管理!$Z$3:$Z$98,"&gt;="&amp;$H90)+COUNTIFS(工数管理!$AK$3:$AK$98,J$1,工数管理!$AA$3:$AA$98,"&lt;="&amp;$H90,工数管理!$AB$3:$AB$98,"&gt;="&amp;$H90)+COUNTIFS(工数管理!$AK$3:$AK$98,J$1,工数管理!$AC$3:$AC$98,"&lt;="&amp;$H90,工数管理!$AD$3:$AD$98,"&gt;="&amp;$H90)+COUNTIFS(工数管理!$AK$3:$AK$98,J$1,工数管理!$AE$3:$AE$98,"&lt;="&amp;$H90,工数管理!$AF$3:$AF$98,"&gt;="&amp;$H90)+COUNTIFS(工数管理!$AK$3:$AK$98,J$1,工数管理!$AG$3:$AG$98,"&lt;="&amp;$H90,工数管理!$AH$3:$AH$98,"&gt;="&amp;$H90)+(COUNTIFS(工数管理!$AK$3:$AK$98,J$1,工数管理!$K$3:$K$98,"&lt;="&amp;$H90,工数管理!$L$3:$L$98,"")+COUNTIFS(工数管理!$AK$3:$AK$98,J$1,工数管理!$M$3:$M$98,"&lt;="&amp;$H90,工数管理!$N$3:$N$98,"")+COUNTIFS(工数管理!$AK$3:$AK$98,J$1,工数管理!$O$3:$O$98,"&lt;="&amp;$H90,工数管理!$P$3:$P$98,"")+COUNTIFS(工数管理!$AK$3:$AK$98,J$1,工数管理!$Q$3:$Q$98,"&lt;="&amp;$H90,工数管理!$R$3:$R$98,"")+COUNTIFS(工数管理!$AK$3:$AK$98,J$1,工数管理!$S$3:$S$98,"&lt;="&amp;$H90,工数管理!$T$3:$T$98,"")+COUNTIFS(工数管理!$AK$3:$AK$98,J$1,工数管理!$U$3:$U$98,"&lt;="&amp;$H90,工数管理!$V$3:$V$98,"")+COUNTIFS(工数管理!$AK$3:$AK$98,J$1,工数管理!$W$3:$W$98,"&lt;="&amp;$H90,工数管理!$X$3:$X$98,"")+COUNTIFS(工数管理!$AK$3:$AK$98,J$1,工数管理!$Y$3:$Y$98,"&lt;="&amp;$H90,工数管理!$Z$3:$Z$98,"")+COUNTIFS(工数管理!$AK$3:$AK$98,J$1,工数管理!$AA$3:$AA$98,"&lt;="&amp;$H90,工数管理!$AB$3:$AB$98,"")+COUNTIFS(工数管理!$AK$3:$AK$98,J$1,工数管理!$AC$3:$AC$98,"&lt;="&amp;$H90,工数管理!$AD$3:$AD$98,"")+COUNTIFS(工数管理!$AK$3:$AK$98,J$1,工数管理!$AE$3:$AE$98,"&lt;="&amp;$H90,工数管理!$AF$3:$AF$98,"")+COUNTIFS(工数管理!$AK$3:$AK$98,J$1,工数管理!$AG$3:$AG$98,"&lt;="&amp;$H90,工数管理!$AH$3:$AH$98,""))*($H90&lt;=工数管理!$AI$1))</f>
        <v>0</v>
      </c>
      <c r="K90" s="42">
        <f ca="1">IF(K$1="",0,COUNTIFS(工数管理!$AK$3:$AK$98,K$1,工数管理!$K$3:$K$98,"&lt;="&amp;$H90,工数管理!$L$3:$L$98,"&gt;="&amp;$H90)+COUNTIFS(工数管理!$AK$3:$AK$98,K$1,工数管理!$M$3:$M$98,"&lt;="&amp;$H90,工数管理!$N$3:$N$98,"&gt;="&amp;$H90)+COUNTIFS(工数管理!$AK$3:$AK$98,K$1,工数管理!$O$3:$O$98,"&lt;="&amp;$H90,工数管理!$P$3:$P$98,"&gt;="&amp;$H90)+COUNTIFS(工数管理!$AK$3:$AK$98,K$1,工数管理!$Q$3:$Q$98,"&lt;="&amp;$H90,工数管理!$R$3:$R$98,"&gt;="&amp;$H90)+COUNTIFS(工数管理!$AK$3:$AK$98,K$1,工数管理!$S$3:$S$98,"&lt;="&amp;$H90,工数管理!$T$3:$T$98,"&gt;="&amp;$H90)+COUNTIFS(工数管理!$AK$3:$AK$98,K$1,工数管理!$U$3:$U$98,"&lt;="&amp;$H90,工数管理!$V$3:$V$98,"&gt;="&amp;$H90)+COUNTIFS(工数管理!$AK$3:$AK$98,K$1,工数管理!$W$3:$W$98,"&lt;="&amp;$H90,工数管理!$X$3:$X$98,"&gt;="&amp;$H90)+COUNTIFS(工数管理!$AK$3:$AK$98,K$1,工数管理!$Y$3:$Y$98,"&lt;="&amp;$H90,工数管理!$Z$3:$Z$98,"&gt;="&amp;$H90)+COUNTIFS(工数管理!$AK$3:$AK$98,K$1,工数管理!$AA$3:$AA$98,"&lt;="&amp;$H90,工数管理!$AB$3:$AB$98,"&gt;="&amp;$H90)+COUNTIFS(工数管理!$AK$3:$AK$98,K$1,工数管理!$AC$3:$AC$98,"&lt;="&amp;$H90,工数管理!$AD$3:$AD$98,"&gt;="&amp;$H90)+COUNTIFS(工数管理!$AK$3:$AK$98,K$1,工数管理!$AE$3:$AE$98,"&lt;="&amp;$H90,工数管理!$AF$3:$AF$98,"&gt;="&amp;$H90)+COUNTIFS(工数管理!$AK$3:$AK$98,K$1,工数管理!$AG$3:$AG$98,"&lt;="&amp;$H90,工数管理!$AH$3:$AH$98,"&gt;="&amp;$H90)+(COUNTIFS(工数管理!$AK$3:$AK$98,K$1,工数管理!$K$3:$K$98,"&lt;="&amp;$H90,工数管理!$L$3:$L$98,"")+COUNTIFS(工数管理!$AK$3:$AK$98,K$1,工数管理!$M$3:$M$98,"&lt;="&amp;$H90,工数管理!$N$3:$N$98,"")+COUNTIFS(工数管理!$AK$3:$AK$98,K$1,工数管理!$O$3:$O$98,"&lt;="&amp;$H90,工数管理!$P$3:$P$98,"")+COUNTIFS(工数管理!$AK$3:$AK$98,K$1,工数管理!$Q$3:$Q$98,"&lt;="&amp;$H90,工数管理!$R$3:$R$98,"")+COUNTIFS(工数管理!$AK$3:$AK$98,K$1,工数管理!$S$3:$S$98,"&lt;="&amp;$H90,工数管理!$T$3:$T$98,"")+COUNTIFS(工数管理!$AK$3:$AK$98,K$1,工数管理!$U$3:$U$98,"&lt;="&amp;$H90,工数管理!$V$3:$V$98,"")+COUNTIFS(工数管理!$AK$3:$AK$98,K$1,工数管理!$W$3:$W$98,"&lt;="&amp;$H90,工数管理!$X$3:$X$98,"")+COUNTIFS(工数管理!$AK$3:$AK$98,K$1,工数管理!$Y$3:$Y$98,"&lt;="&amp;$H90,工数管理!$Z$3:$Z$98,"")+COUNTIFS(工数管理!$AK$3:$AK$98,K$1,工数管理!$AA$3:$AA$98,"&lt;="&amp;$H90,工数管理!$AB$3:$AB$98,"")+COUNTIFS(工数管理!$AK$3:$AK$98,K$1,工数管理!$AC$3:$AC$98,"&lt;="&amp;$H90,工数管理!$AD$3:$AD$98,"")+COUNTIFS(工数管理!$AK$3:$AK$98,K$1,工数管理!$AE$3:$AE$98,"&lt;="&amp;$H90,工数管理!$AF$3:$AF$98,"")+COUNTIFS(工数管理!$AK$3:$AK$98,K$1,工数管理!$AG$3:$AG$98,"&lt;="&amp;$H90,工数管理!$AH$3:$AH$98,""))*($H90&lt;=工数管理!$AI$1))</f>
        <v>1</v>
      </c>
      <c r="L90" s="42">
        <f ca="1">IF(L$1="",0,COUNTIFS(工数管理!$AK$3:$AK$98,L$1,工数管理!$K$3:$K$98,"&lt;="&amp;$H90,工数管理!$L$3:$L$98,"&gt;="&amp;$H90)+COUNTIFS(工数管理!$AK$3:$AK$98,L$1,工数管理!$M$3:$M$98,"&lt;="&amp;$H90,工数管理!$N$3:$N$98,"&gt;="&amp;$H90)+COUNTIFS(工数管理!$AK$3:$AK$98,L$1,工数管理!$O$3:$O$98,"&lt;="&amp;$H90,工数管理!$P$3:$P$98,"&gt;="&amp;$H90)+COUNTIFS(工数管理!$AK$3:$AK$98,L$1,工数管理!$Q$3:$Q$98,"&lt;="&amp;$H90,工数管理!$R$3:$R$98,"&gt;="&amp;$H90)+COUNTIFS(工数管理!$AK$3:$AK$98,L$1,工数管理!$S$3:$S$98,"&lt;="&amp;$H90,工数管理!$T$3:$T$98,"&gt;="&amp;$H90)+COUNTIFS(工数管理!$AK$3:$AK$98,L$1,工数管理!$U$3:$U$98,"&lt;="&amp;$H90,工数管理!$V$3:$V$98,"&gt;="&amp;$H90)+COUNTIFS(工数管理!$AK$3:$AK$98,L$1,工数管理!$W$3:$W$98,"&lt;="&amp;$H90,工数管理!$X$3:$X$98,"&gt;="&amp;$H90)+COUNTIFS(工数管理!$AK$3:$AK$98,L$1,工数管理!$Y$3:$Y$98,"&lt;="&amp;$H90,工数管理!$Z$3:$Z$98,"&gt;="&amp;$H90)+COUNTIFS(工数管理!$AK$3:$AK$98,L$1,工数管理!$AA$3:$AA$98,"&lt;="&amp;$H90,工数管理!$AB$3:$AB$98,"&gt;="&amp;$H90)+COUNTIFS(工数管理!$AK$3:$AK$98,L$1,工数管理!$AC$3:$AC$98,"&lt;="&amp;$H90,工数管理!$AD$3:$AD$98,"&gt;="&amp;$H90)+COUNTIFS(工数管理!$AK$3:$AK$98,L$1,工数管理!$AE$3:$AE$98,"&lt;="&amp;$H90,工数管理!$AF$3:$AF$98,"&gt;="&amp;$H90)+COUNTIFS(工数管理!$AK$3:$AK$98,L$1,工数管理!$AG$3:$AG$98,"&lt;="&amp;$H90,工数管理!$AH$3:$AH$98,"&gt;="&amp;$H90)+(COUNTIFS(工数管理!$AK$3:$AK$98,L$1,工数管理!$K$3:$K$98,"&lt;="&amp;$H90,工数管理!$L$3:$L$98,"")+COUNTIFS(工数管理!$AK$3:$AK$98,L$1,工数管理!$M$3:$M$98,"&lt;="&amp;$H90,工数管理!$N$3:$N$98,"")+COUNTIFS(工数管理!$AK$3:$AK$98,L$1,工数管理!$O$3:$O$98,"&lt;="&amp;$H90,工数管理!$P$3:$P$98,"")+COUNTIFS(工数管理!$AK$3:$AK$98,L$1,工数管理!$Q$3:$Q$98,"&lt;="&amp;$H90,工数管理!$R$3:$R$98,"")+COUNTIFS(工数管理!$AK$3:$AK$98,L$1,工数管理!$S$3:$S$98,"&lt;="&amp;$H90,工数管理!$T$3:$T$98,"")+COUNTIFS(工数管理!$AK$3:$AK$98,L$1,工数管理!$U$3:$U$98,"&lt;="&amp;$H90,工数管理!$V$3:$V$98,"")+COUNTIFS(工数管理!$AK$3:$AK$98,L$1,工数管理!$W$3:$W$98,"&lt;="&amp;$H90,工数管理!$X$3:$X$98,"")+COUNTIFS(工数管理!$AK$3:$AK$98,L$1,工数管理!$Y$3:$Y$98,"&lt;="&amp;$H90,工数管理!$Z$3:$Z$98,"")+COUNTIFS(工数管理!$AK$3:$AK$98,L$1,工数管理!$AA$3:$AA$98,"&lt;="&amp;$H90,工数管理!$AB$3:$AB$98,"")+COUNTIFS(工数管理!$AK$3:$AK$98,L$1,工数管理!$AC$3:$AC$98,"&lt;="&amp;$H90,工数管理!$AD$3:$AD$98,"")+COUNTIFS(工数管理!$AK$3:$AK$98,L$1,工数管理!$AE$3:$AE$98,"&lt;="&amp;$H90,工数管理!$AF$3:$AF$98,"")+COUNTIFS(工数管理!$AK$3:$AK$98,L$1,工数管理!$AG$3:$AG$98,"&lt;="&amp;$H90,工数管理!$AH$3:$AH$98,""))*($H90&lt;=工数管理!$AI$1))</f>
        <v>1</v>
      </c>
    </row>
    <row r="91" spans="1:12" x14ac:dyDescent="0.15">
      <c r="A91" s="5"/>
      <c r="B91" s="6"/>
      <c r="H91" s="41">
        <f t="shared" si="3"/>
        <v>46259</v>
      </c>
      <c r="I91" s="42">
        <f t="shared" si="2"/>
        <v>1</v>
      </c>
      <c r="J91" s="42">
        <f ca="1">IF(J$1="",0,COUNTIFS(工数管理!$AK$3:$AK$98,J$1,工数管理!$K$3:$K$98,"&lt;="&amp;$H91,工数管理!$L$3:$L$98,"&gt;="&amp;$H91)+COUNTIFS(工数管理!$AK$3:$AK$98,J$1,工数管理!$M$3:$M$98,"&lt;="&amp;$H91,工数管理!$N$3:$N$98,"&gt;="&amp;$H91)+COUNTIFS(工数管理!$AK$3:$AK$98,J$1,工数管理!$O$3:$O$98,"&lt;="&amp;$H91,工数管理!$P$3:$P$98,"&gt;="&amp;$H91)+COUNTIFS(工数管理!$AK$3:$AK$98,J$1,工数管理!$Q$3:$Q$98,"&lt;="&amp;$H91,工数管理!$R$3:$R$98,"&gt;="&amp;$H91)+COUNTIFS(工数管理!$AK$3:$AK$98,J$1,工数管理!$S$3:$S$98,"&lt;="&amp;$H91,工数管理!$T$3:$T$98,"&gt;="&amp;$H91)+COUNTIFS(工数管理!$AK$3:$AK$98,J$1,工数管理!$U$3:$U$98,"&lt;="&amp;$H91,工数管理!$V$3:$V$98,"&gt;="&amp;$H91)+COUNTIFS(工数管理!$AK$3:$AK$98,J$1,工数管理!$W$3:$W$98,"&lt;="&amp;$H91,工数管理!$X$3:$X$98,"&gt;="&amp;$H91)+COUNTIFS(工数管理!$AK$3:$AK$98,J$1,工数管理!$Y$3:$Y$98,"&lt;="&amp;$H91,工数管理!$Z$3:$Z$98,"&gt;="&amp;$H91)+COUNTIFS(工数管理!$AK$3:$AK$98,J$1,工数管理!$AA$3:$AA$98,"&lt;="&amp;$H91,工数管理!$AB$3:$AB$98,"&gt;="&amp;$H91)+COUNTIFS(工数管理!$AK$3:$AK$98,J$1,工数管理!$AC$3:$AC$98,"&lt;="&amp;$H91,工数管理!$AD$3:$AD$98,"&gt;="&amp;$H91)+COUNTIFS(工数管理!$AK$3:$AK$98,J$1,工数管理!$AE$3:$AE$98,"&lt;="&amp;$H91,工数管理!$AF$3:$AF$98,"&gt;="&amp;$H91)+COUNTIFS(工数管理!$AK$3:$AK$98,J$1,工数管理!$AG$3:$AG$98,"&lt;="&amp;$H91,工数管理!$AH$3:$AH$98,"&gt;="&amp;$H91)+(COUNTIFS(工数管理!$AK$3:$AK$98,J$1,工数管理!$K$3:$K$98,"&lt;="&amp;$H91,工数管理!$L$3:$L$98,"")+COUNTIFS(工数管理!$AK$3:$AK$98,J$1,工数管理!$M$3:$M$98,"&lt;="&amp;$H91,工数管理!$N$3:$N$98,"")+COUNTIFS(工数管理!$AK$3:$AK$98,J$1,工数管理!$O$3:$O$98,"&lt;="&amp;$H91,工数管理!$P$3:$P$98,"")+COUNTIFS(工数管理!$AK$3:$AK$98,J$1,工数管理!$Q$3:$Q$98,"&lt;="&amp;$H91,工数管理!$R$3:$R$98,"")+COUNTIFS(工数管理!$AK$3:$AK$98,J$1,工数管理!$S$3:$S$98,"&lt;="&amp;$H91,工数管理!$T$3:$T$98,"")+COUNTIFS(工数管理!$AK$3:$AK$98,J$1,工数管理!$U$3:$U$98,"&lt;="&amp;$H91,工数管理!$V$3:$V$98,"")+COUNTIFS(工数管理!$AK$3:$AK$98,J$1,工数管理!$W$3:$W$98,"&lt;="&amp;$H91,工数管理!$X$3:$X$98,"")+COUNTIFS(工数管理!$AK$3:$AK$98,J$1,工数管理!$Y$3:$Y$98,"&lt;="&amp;$H91,工数管理!$Z$3:$Z$98,"")+COUNTIFS(工数管理!$AK$3:$AK$98,J$1,工数管理!$AA$3:$AA$98,"&lt;="&amp;$H91,工数管理!$AB$3:$AB$98,"")+COUNTIFS(工数管理!$AK$3:$AK$98,J$1,工数管理!$AC$3:$AC$98,"&lt;="&amp;$H91,工数管理!$AD$3:$AD$98,"")+COUNTIFS(工数管理!$AK$3:$AK$98,J$1,工数管理!$AE$3:$AE$98,"&lt;="&amp;$H91,工数管理!$AF$3:$AF$98,"")+COUNTIFS(工数管理!$AK$3:$AK$98,J$1,工数管理!$AG$3:$AG$98,"&lt;="&amp;$H91,工数管理!$AH$3:$AH$98,""))*($H91&lt;=工数管理!$AI$1))</f>
        <v>0</v>
      </c>
      <c r="K91" s="42">
        <f ca="1">IF(K$1="",0,COUNTIFS(工数管理!$AK$3:$AK$98,K$1,工数管理!$K$3:$K$98,"&lt;="&amp;$H91,工数管理!$L$3:$L$98,"&gt;="&amp;$H91)+COUNTIFS(工数管理!$AK$3:$AK$98,K$1,工数管理!$M$3:$M$98,"&lt;="&amp;$H91,工数管理!$N$3:$N$98,"&gt;="&amp;$H91)+COUNTIFS(工数管理!$AK$3:$AK$98,K$1,工数管理!$O$3:$O$98,"&lt;="&amp;$H91,工数管理!$P$3:$P$98,"&gt;="&amp;$H91)+COUNTIFS(工数管理!$AK$3:$AK$98,K$1,工数管理!$Q$3:$Q$98,"&lt;="&amp;$H91,工数管理!$R$3:$R$98,"&gt;="&amp;$H91)+COUNTIFS(工数管理!$AK$3:$AK$98,K$1,工数管理!$S$3:$S$98,"&lt;="&amp;$H91,工数管理!$T$3:$T$98,"&gt;="&amp;$H91)+COUNTIFS(工数管理!$AK$3:$AK$98,K$1,工数管理!$U$3:$U$98,"&lt;="&amp;$H91,工数管理!$V$3:$V$98,"&gt;="&amp;$H91)+COUNTIFS(工数管理!$AK$3:$AK$98,K$1,工数管理!$W$3:$W$98,"&lt;="&amp;$H91,工数管理!$X$3:$X$98,"&gt;="&amp;$H91)+COUNTIFS(工数管理!$AK$3:$AK$98,K$1,工数管理!$Y$3:$Y$98,"&lt;="&amp;$H91,工数管理!$Z$3:$Z$98,"&gt;="&amp;$H91)+COUNTIFS(工数管理!$AK$3:$AK$98,K$1,工数管理!$AA$3:$AA$98,"&lt;="&amp;$H91,工数管理!$AB$3:$AB$98,"&gt;="&amp;$H91)+COUNTIFS(工数管理!$AK$3:$AK$98,K$1,工数管理!$AC$3:$AC$98,"&lt;="&amp;$H91,工数管理!$AD$3:$AD$98,"&gt;="&amp;$H91)+COUNTIFS(工数管理!$AK$3:$AK$98,K$1,工数管理!$AE$3:$AE$98,"&lt;="&amp;$H91,工数管理!$AF$3:$AF$98,"&gt;="&amp;$H91)+COUNTIFS(工数管理!$AK$3:$AK$98,K$1,工数管理!$AG$3:$AG$98,"&lt;="&amp;$H91,工数管理!$AH$3:$AH$98,"&gt;="&amp;$H91)+(COUNTIFS(工数管理!$AK$3:$AK$98,K$1,工数管理!$K$3:$K$98,"&lt;="&amp;$H91,工数管理!$L$3:$L$98,"")+COUNTIFS(工数管理!$AK$3:$AK$98,K$1,工数管理!$M$3:$M$98,"&lt;="&amp;$H91,工数管理!$N$3:$N$98,"")+COUNTIFS(工数管理!$AK$3:$AK$98,K$1,工数管理!$O$3:$O$98,"&lt;="&amp;$H91,工数管理!$P$3:$P$98,"")+COUNTIFS(工数管理!$AK$3:$AK$98,K$1,工数管理!$Q$3:$Q$98,"&lt;="&amp;$H91,工数管理!$R$3:$R$98,"")+COUNTIFS(工数管理!$AK$3:$AK$98,K$1,工数管理!$S$3:$S$98,"&lt;="&amp;$H91,工数管理!$T$3:$T$98,"")+COUNTIFS(工数管理!$AK$3:$AK$98,K$1,工数管理!$U$3:$U$98,"&lt;="&amp;$H91,工数管理!$V$3:$V$98,"")+COUNTIFS(工数管理!$AK$3:$AK$98,K$1,工数管理!$W$3:$W$98,"&lt;="&amp;$H91,工数管理!$X$3:$X$98,"")+COUNTIFS(工数管理!$AK$3:$AK$98,K$1,工数管理!$Y$3:$Y$98,"&lt;="&amp;$H91,工数管理!$Z$3:$Z$98,"")+COUNTIFS(工数管理!$AK$3:$AK$98,K$1,工数管理!$AA$3:$AA$98,"&lt;="&amp;$H91,工数管理!$AB$3:$AB$98,"")+COUNTIFS(工数管理!$AK$3:$AK$98,K$1,工数管理!$AC$3:$AC$98,"&lt;="&amp;$H91,工数管理!$AD$3:$AD$98,"")+COUNTIFS(工数管理!$AK$3:$AK$98,K$1,工数管理!$AE$3:$AE$98,"&lt;="&amp;$H91,工数管理!$AF$3:$AF$98,"")+COUNTIFS(工数管理!$AK$3:$AK$98,K$1,工数管理!$AG$3:$AG$98,"&lt;="&amp;$H91,工数管理!$AH$3:$AH$98,""))*($H91&lt;=工数管理!$AI$1))</f>
        <v>1</v>
      </c>
      <c r="L91" s="42">
        <f ca="1">IF(L$1="",0,COUNTIFS(工数管理!$AK$3:$AK$98,L$1,工数管理!$K$3:$K$98,"&lt;="&amp;$H91,工数管理!$L$3:$L$98,"&gt;="&amp;$H91)+COUNTIFS(工数管理!$AK$3:$AK$98,L$1,工数管理!$M$3:$M$98,"&lt;="&amp;$H91,工数管理!$N$3:$N$98,"&gt;="&amp;$H91)+COUNTIFS(工数管理!$AK$3:$AK$98,L$1,工数管理!$O$3:$O$98,"&lt;="&amp;$H91,工数管理!$P$3:$P$98,"&gt;="&amp;$H91)+COUNTIFS(工数管理!$AK$3:$AK$98,L$1,工数管理!$Q$3:$Q$98,"&lt;="&amp;$H91,工数管理!$R$3:$R$98,"&gt;="&amp;$H91)+COUNTIFS(工数管理!$AK$3:$AK$98,L$1,工数管理!$S$3:$S$98,"&lt;="&amp;$H91,工数管理!$T$3:$T$98,"&gt;="&amp;$H91)+COUNTIFS(工数管理!$AK$3:$AK$98,L$1,工数管理!$U$3:$U$98,"&lt;="&amp;$H91,工数管理!$V$3:$V$98,"&gt;="&amp;$H91)+COUNTIFS(工数管理!$AK$3:$AK$98,L$1,工数管理!$W$3:$W$98,"&lt;="&amp;$H91,工数管理!$X$3:$X$98,"&gt;="&amp;$H91)+COUNTIFS(工数管理!$AK$3:$AK$98,L$1,工数管理!$Y$3:$Y$98,"&lt;="&amp;$H91,工数管理!$Z$3:$Z$98,"&gt;="&amp;$H91)+COUNTIFS(工数管理!$AK$3:$AK$98,L$1,工数管理!$AA$3:$AA$98,"&lt;="&amp;$H91,工数管理!$AB$3:$AB$98,"&gt;="&amp;$H91)+COUNTIFS(工数管理!$AK$3:$AK$98,L$1,工数管理!$AC$3:$AC$98,"&lt;="&amp;$H91,工数管理!$AD$3:$AD$98,"&gt;="&amp;$H91)+COUNTIFS(工数管理!$AK$3:$AK$98,L$1,工数管理!$AE$3:$AE$98,"&lt;="&amp;$H91,工数管理!$AF$3:$AF$98,"&gt;="&amp;$H91)+COUNTIFS(工数管理!$AK$3:$AK$98,L$1,工数管理!$AG$3:$AG$98,"&lt;="&amp;$H91,工数管理!$AH$3:$AH$98,"&gt;="&amp;$H91)+(COUNTIFS(工数管理!$AK$3:$AK$98,L$1,工数管理!$K$3:$K$98,"&lt;="&amp;$H91,工数管理!$L$3:$L$98,"")+COUNTIFS(工数管理!$AK$3:$AK$98,L$1,工数管理!$M$3:$M$98,"&lt;="&amp;$H91,工数管理!$N$3:$N$98,"")+COUNTIFS(工数管理!$AK$3:$AK$98,L$1,工数管理!$O$3:$O$98,"&lt;="&amp;$H91,工数管理!$P$3:$P$98,"")+COUNTIFS(工数管理!$AK$3:$AK$98,L$1,工数管理!$Q$3:$Q$98,"&lt;="&amp;$H91,工数管理!$R$3:$R$98,"")+COUNTIFS(工数管理!$AK$3:$AK$98,L$1,工数管理!$S$3:$S$98,"&lt;="&amp;$H91,工数管理!$T$3:$T$98,"")+COUNTIFS(工数管理!$AK$3:$AK$98,L$1,工数管理!$U$3:$U$98,"&lt;="&amp;$H91,工数管理!$V$3:$V$98,"")+COUNTIFS(工数管理!$AK$3:$AK$98,L$1,工数管理!$W$3:$W$98,"&lt;="&amp;$H91,工数管理!$X$3:$X$98,"")+COUNTIFS(工数管理!$AK$3:$AK$98,L$1,工数管理!$Y$3:$Y$98,"&lt;="&amp;$H91,工数管理!$Z$3:$Z$98,"")+COUNTIFS(工数管理!$AK$3:$AK$98,L$1,工数管理!$AA$3:$AA$98,"&lt;="&amp;$H91,工数管理!$AB$3:$AB$98,"")+COUNTIFS(工数管理!$AK$3:$AK$98,L$1,工数管理!$AC$3:$AC$98,"&lt;="&amp;$H91,工数管理!$AD$3:$AD$98,"")+COUNTIFS(工数管理!$AK$3:$AK$98,L$1,工数管理!$AE$3:$AE$98,"&lt;="&amp;$H91,工数管理!$AF$3:$AF$98,"")+COUNTIFS(工数管理!$AK$3:$AK$98,L$1,工数管理!$AG$3:$AG$98,"&lt;="&amp;$H91,工数管理!$AH$3:$AH$98,""))*($H91&lt;=工数管理!$AI$1))</f>
        <v>1</v>
      </c>
    </row>
    <row r="92" spans="1:12" x14ac:dyDescent="0.15">
      <c r="A92" s="5"/>
      <c r="B92" s="6"/>
      <c r="H92" s="41">
        <f t="shared" si="3"/>
        <v>46260</v>
      </c>
      <c r="I92" s="42">
        <f t="shared" si="2"/>
        <v>1</v>
      </c>
      <c r="J92" s="42">
        <f ca="1">IF(J$1="",0,COUNTIFS(工数管理!$AK$3:$AK$98,J$1,工数管理!$K$3:$K$98,"&lt;="&amp;$H92,工数管理!$L$3:$L$98,"&gt;="&amp;$H92)+COUNTIFS(工数管理!$AK$3:$AK$98,J$1,工数管理!$M$3:$M$98,"&lt;="&amp;$H92,工数管理!$N$3:$N$98,"&gt;="&amp;$H92)+COUNTIFS(工数管理!$AK$3:$AK$98,J$1,工数管理!$O$3:$O$98,"&lt;="&amp;$H92,工数管理!$P$3:$P$98,"&gt;="&amp;$H92)+COUNTIFS(工数管理!$AK$3:$AK$98,J$1,工数管理!$Q$3:$Q$98,"&lt;="&amp;$H92,工数管理!$R$3:$R$98,"&gt;="&amp;$H92)+COUNTIFS(工数管理!$AK$3:$AK$98,J$1,工数管理!$S$3:$S$98,"&lt;="&amp;$H92,工数管理!$T$3:$T$98,"&gt;="&amp;$H92)+COUNTIFS(工数管理!$AK$3:$AK$98,J$1,工数管理!$U$3:$U$98,"&lt;="&amp;$H92,工数管理!$V$3:$V$98,"&gt;="&amp;$H92)+COUNTIFS(工数管理!$AK$3:$AK$98,J$1,工数管理!$W$3:$W$98,"&lt;="&amp;$H92,工数管理!$X$3:$X$98,"&gt;="&amp;$H92)+COUNTIFS(工数管理!$AK$3:$AK$98,J$1,工数管理!$Y$3:$Y$98,"&lt;="&amp;$H92,工数管理!$Z$3:$Z$98,"&gt;="&amp;$H92)+COUNTIFS(工数管理!$AK$3:$AK$98,J$1,工数管理!$AA$3:$AA$98,"&lt;="&amp;$H92,工数管理!$AB$3:$AB$98,"&gt;="&amp;$H92)+COUNTIFS(工数管理!$AK$3:$AK$98,J$1,工数管理!$AC$3:$AC$98,"&lt;="&amp;$H92,工数管理!$AD$3:$AD$98,"&gt;="&amp;$H92)+COUNTIFS(工数管理!$AK$3:$AK$98,J$1,工数管理!$AE$3:$AE$98,"&lt;="&amp;$H92,工数管理!$AF$3:$AF$98,"&gt;="&amp;$H92)+COUNTIFS(工数管理!$AK$3:$AK$98,J$1,工数管理!$AG$3:$AG$98,"&lt;="&amp;$H92,工数管理!$AH$3:$AH$98,"&gt;="&amp;$H92)+(COUNTIFS(工数管理!$AK$3:$AK$98,J$1,工数管理!$K$3:$K$98,"&lt;="&amp;$H92,工数管理!$L$3:$L$98,"")+COUNTIFS(工数管理!$AK$3:$AK$98,J$1,工数管理!$M$3:$M$98,"&lt;="&amp;$H92,工数管理!$N$3:$N$98,"")+COUNTIFS(工数管理!$AK$3:$AK$98,J$1,工数管理!$O$3:$O$98,"&lt;="&amp;$H92,工数管理!$P$3:$P$98,"")+COUNTIFS(工数管理!$AK$3:$AK$98,J$1,工数管理!$Q$3:$Q$98,"&lt;="&amp;$H92,工数管理!$R$3:$R$98,"")+COUNTIFS(工数管理!$AK$3:$AK$98,J$1,工数管理!$S$3:$S$98,"&lt;="&amp;$H92,工数管理!$T$3:$T$98,"")+COUNTIFS(工数管理!$AK$3:$AK$98,J$1,工数管理!$U$3:$U$98,"&lt;="&amp;$H92,工数管理!$V$3:$V$98,"")+COUNTIFS(工数管理!$AK$3:$AK$98,J$1,工数管理!$W$3:$W$98,"&lt;="&amp;$H92,工数管理!$X$3:$X$98,"")+COUNTIFS(工数管理!$AK$3:$AK$98,J$1,工数管理!$Y$3:$Y$98,"&lt;="&amp;$H92,工数管理!$Z$3:$Z$98,"")+COUNTIFS(工数管理!$AK$3:$AK$98,J$1,工数管理!$AA$3:$AA$98,"&lt;="&amp;$H92,工数管理!$AB$3:$AB$98,"")+COUNTIFS(工数管理!$AK$3:$AK$98,J$1,工数管理!$AC$3:$AC$98,"&lt;="&amp;$H92,工数管理!$AD$3:$AD$98,"")+COUNTIFS(工数管理!$AK$3:$AK$98,J$1,工数管理!$AE$3:$AE$98,"&lt;="&amp;$H92,工数管理!$AF$3:$AF$98,"")+COUNTIFS(工数管理!$AK$3:$AK$98,J$1,工数管理!$AG$3:$AG$98,"&lt;="&amp;$H92,工数管理!$AH$3:$AH$98,""))*($H92&lt;=工数管理!$AI$1))</f>
        <v>0</v>
      </c>
      <c r="K92" s="42">
        <f ca="1">IF(K$1="",0,COUNTIFS(工数管理!$AK$3:$AK$98,K$1,工数管理!$K$3:$K$98,"&lt;="&amp;$H92,工数管理!$L$3:$L$98,"&gt;="&amp;$H92)+COUNTIFS(工数管理!$AK$3:$AK$98,K$1,工数管理!$M$3:$M$98,"&lt;="&amp;$H92,工数管理!$N$3:$N$98,"&gt;="&amp;$H92)+COUNTIFS(工数管理!$AK$3:$AK$98,K$1,工数管理!$O$3:$O$98,"&lt;="&amp;$H92,工数管理!$P$3:$P$98,"&gt;="&amp;$H92)+COUNTIFS(工数管理!$AK$3:$AK$98,K$1,工数管理!$Q$3:$Q$98,"&lt;="&amp;$H92,工数管理!$R$3:$R$98,"&gt;="&amp;$H92)+COUNTIFS(工数管理!$AK$3:$AK$98,K$1,工数管理!$S$3:$S$98,"&lt;="&amp;$H92,工数管理!$T$3:$T$98,"&gt;="&amp;$H92)+COUNTIFS(工数管理!$AK$3:$AK$98,K$1,工数管理!$U$3:$U$98,"&lt;="&amp;$H92,工数管理!$V$3:$V$98,"&gt;="&amp;$H92)+COUNTIFS(工数管理!$AK$3:$AK$98,K$1,工数管理!$W$3:$W$98,"&lt;="&amp;$H92,工数管理!$X$3:$X$98,"&gt;="&amp;$H92)+COUNTIFS(工数管理!$AK$3:$AK$98,K$1,工数管理!$Y$3:$Y$98,"&lt;="&amp;$H92,工数管理!$Z$3:$Z$98,"&gt;="&amp;$H92)+COUNTIFS(工数管理!$AK$3:$AK$98,K$1,工数管理!$AA$3:$AA$98,"&lt;="&amp;$H92,工数管理!$AB$3:$AB$98,"&gt;="&amp;$H92)+COUNTIFS(工数管理!$AK$3:$AK$98,K$1,工数管理!$AC$3:$AC$98,"&lt;="&amp;$H92,工数管理!$AD$3:$AD$98,"&gt;="&amp;$H92)+COUNTIFS(工数管理!$AK$3:$AK$98,K$1,工数管理!$AE$3:$AE$98,"&lt;="&amp;$H92,工数管理!$AF$3:$AF$98,"&gt;="&amp;$H92)+COUNTIFS(工数管理!$AK$3:$AK$98,K$1,工数管理!$AG$3:$AG$98,"&lt;="&amp;$H92,工数管理!$AH$3:$AH$98,"&gt;="&amp;$H92)+(COUNTIFS(工数管理!$AK$3:$AK$98,K$1,工数管理!$K$3:$K$98,"&lt;="&amp;$H92,工数管理!$L$3:$L$98,"")+COUNTIFS(工数管理!$AK$3:$AK$98,K$1,工数管理!$M$3:$M$98,"&lt;="&amp;$H92,工数管理!$N$3:$N$98,"")+COUNTIFS(工数管理!$AK$3:$AK$98,K$1,工数管理!$O$3:$O$98,"&lt;="&amp;$H92,工数管理!$P$3:$P$98,"")+COUNTIFS(工数管理!$AK$3:$AK$98,K$1,工数管理!$Q$3:$Q$98,"&lt;="&amp;$H92,工数管理!$R$3:$R$98,"")+COUNTIFS(工数管理!$AK$3:$AK$98,K$1,工数管理!$S$3:$S$98,"&lt;="&amp;$H92,工数管理!$T$3:$T$98,"")+COUNTIFS(工数管理!$AK$3:$AK$98,K$1,工数管理!$U$3:$U$98,"&lt;="&amp;$H92,工数管理!$V$3:$V$98,"")+COUNTIFS(工数管理!$AK$3:$AK$98,K$1,工数管理!$W$3:$W$98,"&lt;="&amp;$H92,工数管理!$X$3:$X$98,"")+COUNTIFS(工数管理!$AK$3:$AK$98,K$1,工数管理!$Y$3:$Y$98,"&lt;="&amp;$H92,工数管理!$Z$3:$Z$98,"")+COUNTIFS(工数管理!$AK$3:$AK$98,K$1,工数管理!$AA$3:$AA$98,"&lt;="&amp;$H92,工数管理!$AB$3:$AB$98,"")+COUNTIFS(工数管理!$AK$3:$AK$98,K$1,工数管理!$AC$3:$AC$98,"&lt;="&amp;$H92,工数管理!$AD$3:$AD$98,"")+COUNTIFS(工数管理!$AK$3:$AK$98,K$1,工数管理!$AE$3:$AE$98,"&lt;="&amp;$H92,工数管理!$AF$3:$AF$98,"")+COUNTIFS(工数管理!$AK$3:$AK$98,K$1,工数管理!$AG$3:$AG$98,"&lt;="&amp;$H92,工数管理!$AH$3:$AH$98,""))*($H92&lt;=工数管理!$AI$1))</f>
        <v>1</v>
      </c>
      <c r="L92" s="42">
        <f ca="1">IF(L$1="",0,COUNTIFS(工数管理!$AK$3:$AK$98,L$1,工数管理!$K$3:$K$98,"&lt;="&amp;$H92,工数管理!$L$3:$L$98,"&gt;="&amp;$H92)+COUNTIFS(工数管理!$AK$3:$AK$98,L$1,工数管理!$M$3:$M$98,"&lt;="&amp;$H92,工数管理!$N$3:$N$98,"&gt;="&amp;$H92)+COUNTIFS(工数管理!$AK$3:$AK$98,L$1,工数管理!$O$3:$O$98,"&lt;="&amp;$H92,工数管理!$P$3:$P$98,"&gt;="&amp;$H92)+COUNTIFS(工数管理!$AK$3:$AK$98,L$1,工数管理!$Q$3:$Q$98,"&lt;="&amp;$H92,工数管理!$R$3:$R$98,"&gt;="&amp;$H92)+COUNTIFS(工数管理!$AK$3:$AK$98,L$1,工数管理!$S$3:$S$98,"&lt;="&amp;$H92,工数管理!$T$3:$T$98,"&gt;="&amp;$H92)+COUNTIFS(工数管理!$AK$3:$AK$98,L$1,工数管理!$U$3:$U$98,"&lt;="&amp;$H92,工数管理!$V$3:$V$98,"&gt;="&amp;$H92)+COUNTIFS(工数管理!$AK$3:$AK$98,L$1,工数管理!$W$3:$W$98,"&lt;="&amp;$H92,工数管理!$X$3:$X$98,"&gt;="&amp;$H92)+COUNTIFS(工数管理!$AK$3:$AK$98,L$1,工数管理!$Y$3:$Y$98,"&lt;="&amp;$H92,工数管理!$Z$3:$Z$98,"&gt;="&amp;$H92)+COUNTIFS(工数管理!$AK$3:$AK$98,L$1,工数管理!$AA$3:$AA$98,"&lt;="&amp;$H92,工数管理!$AB$3:$AB$98,"&gt;="&amp;$H92)+COUNTIFS(工数管理!$AK$3:$AK$98,L$1,工数管理!$AC$3:$AC$98,"&lt;="&amp;$H92,工数管理!$AD$3:$AD$98,"&gt;="&amp;$H92)+COUNTIFS(工数管理!$AK$3:$AK$98,L$1,工数管理!$AE$3:$AE$98,"&lt;="&amp;$H92,工数管理!$AF$3:$AF$98,"&gt;="&amp;$H92)+COUNTIFS(工数管理!$AK$3:$AK$98,L$1,工数管理!$AG$3:$AG$98,"&lt;="&amp;$H92,工数管理!$AH$3:$AH$98,"&gt;="&amp;$H92)+(COUNTIFS(工数管理!$AK$3:$AK$98,L$1,工数管理!$K$3:$K$98,"&lt;="&amp;$H92,工数管理!$L$3:$L$98,"")+COUNTIFS(工数管理!$AK$3:$AK$98,L$1,工数管理!$M$3:$M$98,"&lt;="&amp;$H92,工数管理!$N$3:$N$98,"")+COUNTIFS(工数管理!$AK$3:$AK$98,L$1,工数管理!$O$3:$O$98,"&lt;="&amp;$H92,工数管理!$P$3:$P$98,"")+COUNTIFS(工数管理!$AK$3:$AK$98,L$1,工数管理!$Q$3:$Q$98,"&lt;="&amp;$H92,工数管理!$R$3:$R$98,"")+COUNTIFS(工数管理!$AK$3:$AK$98,L$1,工数管理!$S$3:$S$98,"&lt;="&amp;$H92,工数管理!$T$3:$T$98,"")+COUNTIFS(工数管理!$AK$3:$AK$98,L$1,工数管理!$U$3:$U$98,"&lt;="&amp;$H92,工数管理!$V$3:$V$98,"")+COUNTIFS(工数管理!$AK$3:$AK$98,L$1,工数管理!$W$3:$W$98,"&lt;="&amp;$H92,工数管理!$X$3:$X$98,"")+COUNTIFS(工数管理!$AK$3:$AK$98,L$1,工数管理!$Y$3:$Y$98,"&lt;="&amp;$H92,工数管理!$Z$3:$Z$98,"")+COUNTIFS(工数管理!$AK$3:$AK$98,L$1,工数管理!$AA$3:$AA$98,"&lt;="&amp;$H92,工数管理!$AB$3:$AB$98,"")+COUNTIFS(工数管理!$AK$3:$AK$98,L$1,工数管理!$AC$3:$AC$98,"&lt;="&amp;$H92,工数管理!$AD$3:$AD$98,"")+COUNTIFS(工数管理!$AK$3:$AK$98,L$1,工数管理!$AE$3:$AE$98,"&lt;="&amp;$H92,工数管理!$AF$3:$AF$98,"")+COUNTIFS(工数管理!$AK$3:$AK$98,L$1,工数管理!$AG$3:$AG$98,"&lt;="&amp;$H92,工数管理!$AH$3:$AH$98,""))*($H92&lt;=工数管理!$AI$1))</f>
        <v>1</v>
      </c>
    </row>
    <row r="93" spans="1:12" x14ac:dyDescent="0.15">
      <c r="A93" s="5"/>
      <c r="B93" s="6"/>
      <c r="H93" s="41">
        <f t="shared" si="3"/>
        <v>46261</v>
      </c>
      <c r="I93" s="42">
        <f t="shared" si="2"/>
        <v>1</v>
      </c>
      <c r="J93" s="42">
        <f ca="1">IF(J$1="",0,COUNTIFS(工数管理!$AK$3:$AK$98,J$1,工数管理!$K$3:$K$98,"&lt;="&amp;$H93,工数管理!$L$3:$L$98,"&gt;="&amp;$H93)+COUNTIFS(工数管理!$AK$3:$AK$98,J$1,工数管理!$M$3:$M$98,"&lt;="&amp;$H93,工数管理!$N$3:$N$98,"&gt;="&amp;$H93)+COUNTIFS(工数管理!$AK$3:$AK$98,J$1,工数管理!$O$3:$O$98,"&lt;="&amp;$H93,工数管理!$P$3:$P$98,"&gt;="&amp;$H93)+COUNTIFS(工数管理!$AK$3:$AK$98,J$1,工数管理!$Q$3:$Q$98,"&lt;="&amp;$H93,工数管理!$R$3:$R$98,"&gt;="&amp;$H93)+COUNTIFS(工数管理!$AK$3:$AK$98,J$1,工数管理!$S$3:$S$98,"&lt;="&amp;$H93,工数管理!$T$3:$T$98,"&gt;="&amp;$H93)+COUNTIFS(工数管理!$AK$3:$AK$98,J$1,工数管理!$U$3:$U$98,"&lt;="&amp;$H93,工数管理!$V$3:$V$98,"&gt;="&amp;$H93)+COUNTIFS(工数管理!$AK$3:$AK$98,J$1,工数管理!$W$3:$W$98,"&lt;="&amp;$H93,工数管理!$X$3:$X$98,"&gt;="&amp;$H93)+COUNTIFS(工数管理!$AK$3:$AK$98,J$1,工数管理!$Y$3:$Y$98,"&lt;="&amp;$H93,工数管理!$Z$3:$Z$98,"&gt;="&amp;$H93)+COUNTIFS(工数管理!$AK$3:$AK$98,J$1,工数管理!$AA$3:$AA$98,"&lt;="&amp;$H93,工数管理!$AB$3:$AB$98,"&gt;="&amp;$H93)+COUNTIFS(工数管理!$AK$3:$AK$98,J$1,工数管理!$AC$3:$AC$98,"&lt;="&amp;$H93,工数管理!$AD$3:$AD$98,"&gt;="&amp;$H93)+COUNTIFS(工数管理!$AK$3:$AK$98,J$1,工数管理!$AE$3:$AE$98,"&lt;="&amp;$H93,工数管理!$AF$3:$AF$98,"&gt;="&amp;$H93)+COUNTIFS(工数管理!$AK$3:$AK$98,J$1,工数管理!$AG$3:$AG$98,"&lt;="&amp;$H93,工数管理!$AH$3:$AH$98,"&gt;="&amp;$H93)+(COUNTIFS(工数管理!$AK$3:$AK$98,J$1,工数管理!$K$3:$K$98,"&lt;="&amp;$H93,工数管理!$L$3:$L$98,"")+COUNTIFS(工数管理!$AK$3:$AK$98,J$1,工数管理!$M$3:$M$98,"&lt;="&amp;$H93,工数管理!$N$3:$N$98,"")+COUNTIFS(工数管理!$AK$3:$AK$98,J$1,工数管理!$O$3:$O$98,"&lt;="&amp;$H93,工数管理!$P$3:$P$98,"")+COUNTIFS(工数管理!$AK$3:$AK$98,J$1,工数管理!$Q$3:$Q$98,"&lt;="&amp;$H93,工数管理!$R$3:$R$98,"")+COUNTIFS(工数管理!$AK$3:$AK$98,J$1,工数管理!$S$3:$S$98,"&lt;="&amp;$H93,工数管理!$T$3:$T$98,"")+COUNTIFS(工数管理!$AK$3:$AK$98,J$1,工数管理!$U$3:$U$98,"&lt;="&amp;$H93,工数管理!$V$3:$V$98,"")+COUNTIFS(工数管理!$AK$3:$AK$98,J$1,工数管理!$W$3:$W$98,"&lt;="&amp;$H93,工数管理!$X$3:$X$98,"")+COUNTIFS(工数管理!$AK$3:$AK$98,J$1,工数管理!$Y$3:$Y$98,"&lt;="&amp;$H93,工数管理!$Z$3:$Z$98,"")+COUNTIFS(工数管理!$AK$3:$AK$98,J$1,工数管理!$AA$3:$AA$98,"&lt;="&amp;$H93,工数管理!$AB$3:$AB$98,"")+COUNTIFS(工数管理!$AK$3:$AK$98,J$1,工数管理!$AC$3:$AC$98,"&lt;="&amp;$H93,工数管理!$AD$3:$AD$98,"")+COUNTIFS(工数管理!$AK$3:$AK$98,J$1,工数管理!$AE$3:$AE$98,"&lt;="&amp;$H93,工数管理!$AF$3:$AF$98,"")+COUNTIFS(工数管理!$AK$3:$AK$98,J$1,工数管理!$AG$3:$AG$98,"&lt;="&amp;$H93,工数管理!$AH$3:$AH$98,""))*($H93&lt;=工数管理!$AI$1))</f>
        <v>1</v>
      </c>
      <c r="K93" s="42">
        <f ca="1">IF(K$1="",0,COUNTIFS(工数管理!$AK$3:$AK$98,K$1,工数管理!$K$3:$K$98,"&lt;="&amp;$H93,工数管理!$L$3:$L$98,"&gt;="&amp;$H93)+COUNTIFS(工数管理!$AK$3:$AK$98,K$1,工数管理!$M$3:$M$98,"&lt;="&amp;$H93,工数管理!$N$3:$N$98,"&gt;="&amp;$H93)+COUNTIFS(工数管理!$AK$3:$AK$98,K$1,工数管理!$O$3:$O$98,"&lt;="&amp;$H93,工数管理!$P$3:$P$98,"&gt;="&amp;$H93)+COUNTIFS(工数管理!$AK$3:$AK$98,K$1,工数管理!$Q$3:$Q$98,"&lt;="&amp;$H93,工数管理!$R$3:$R$98,"&gt;="&amp;$H93)+COUNTIFS(工数管理!$AK$3:$AK$98,K$1,工数管理!$S$3:$S$98,"&lt;="&amp;$H93,工数管理!$T$3:$T$98,"&gt;="&amp;$H93)+COUNTIFS(工数管理!$AK$3:$AK$98,K$1,工数管理!$U$3:$U$98,"&lt;="&amp;$H93,工数管理!$V$3:$V$98,"&gt;="&amp;$H93)+COUNTIFS(工数管理!$AK$3:$AK$98,K$1,工数管理!$W$3:$W$98,"&lt;="&amp;$H93,工数管理!$X$3:$X$98,"&gt;="&amp;$H93)+COUNTIFS(工数管理!$AK$3:$AK$98,K$1,工数管理!$Y$3:$Y$98,"&lt;="&amp;$H93,工数管理!$Z$3:$Z$98,"&gt;="&amp;$H93)+COUNTIFS(工数管理!$AK$3:$AK$98,K$1,工数管理!$AA$3:$AA$98,"&lt;="&amp;$H93,工数管理!$AB$3:$AB$98,"&gt;="&amp;$H93)+COUNTIFS(工数管理!$AK$3:$AK$98,K$1,工数管理!$AC$3:$AC$98,"&lt;="&amp;$H93,工数管理!$AD$3:$AD$98,"&gt;="&amp;$H93)+COUNTIFS(工数管理!$AK$3:$AK$98,K$1,工数管理!$AE$3:$AE$98,"&lt;="&amp;$H93,工数管理!$AF$3:$AF$98,"&gt;="&amp;$H93)+COUNTIFS(工数管理!$AK$3:$AK$98,K$1,工数管理!$AG$3:$AG$98,"&lt;="&amp;$H93,工数管理!$AH$3:$AH$98,"&gt;="&amp;$H93)+(COUNTIFS(工数管理!$AK$3:$AK$98,K$1,工数管理!$K$3:$K$98,"&lt;="&amp;$H93,工数管理!$L$3:$L$98,"")+COUNTIFS(工数管理!$AK$3:$AK$98,K$1,工数管理!$M$3:$M$98,"&lt;="&amp;$H93,工数管理!$N$3:$N$98,"")+COUNTIFS(工数管理!$AK$3:$AK$98,K$1,工数管理!$O$3:$O$98,"&lt;="&amp;$H93,工数管理!$P$3:$P$98,"")+COUNTIFS(工数管理!$AK$3:$AK$98,K$1,工数管理!$Q$3:$Q$98,"&lt;="&amp;$H93,工数管理!$R$3:$R$98,"")+COUNTIFS(工数管理!$AK$3:$AK$98,K$1,工数管理!$S$3:$S$98,"&lt;="&amp;$H93,工数管理!$T$3:$T$98,"")+COUNTIFS(工数管理!$AK$3:$AK$98,K$1,工数管理!$U$3:$U$98,"&lt;="&amp;$H93,工数管理!$V$3:$V$98,"")+COUNTIFS(工数管理!$AK$3:$AK$98,K$1,工数管理!$W$3:$W$98,"&lt;="&amp;$H93,工数管理!$X$3:$X$98,"")+COUNTIFS(工数管理!$AK$3:$AK$98,K$1,工数管理!$Y$3:$Y$98,"&lt;="&amp;$H93,工数管理!$Z$3:$Z$98,"")+COUNTIFS(工数管理!$AK$3:$AK$98,K$1,工数管理!$AA$3:$AA$98,"&lt;="&amp;$H93,工数管理!$AB$3:$AB$98,"")+COUNTIFS(工数管理!$AK$3:$AK$98,K$1,工数管理!$AC$3:$AC$98,"&lt;="&amp;$H93,工数管理!$AD$3:$AD$98,"")+COUNTIFS(工数管理!$AK$3:$AK$98,K$1,工数管理!$AE$3:$AE$98,"&lt;="&amp;$H93,工数管理!$AF$3:$AF$98,"")+COUNTIFS(工数管理!$AK$3:$AK$98,K$1,工数管理!$AG$3:$AG$98,"&lt;="&amp;$H93,工数管理!$AH$3:$AH$98,""))*($H93&lt;=工数管理!$AI$1))</f>
        <v>1</v>
      </c>
      <c r="L93" s="42">
        <f ca="1">IF(L$1="",0,COUNTIFS(工数管理!$AK$3:$AK$98,L$1,工数管理!$K$3:$K$98,"&lt;="&amp;$H93,工数管理!$L$3:$L$98,"&gt;="&amp;$H93)+COUNTIFS(工数管理!$AK$3:$AK$98,L$1,工数管理!$M$3:$M$98,"&lt;="&amp;$H93,工数管理!$N$3:$N$98,"&gt;="&amp;$H93)+COUNTIFS(工数管理!$AK$3:$AK$98,L$1,工数管理!$O$3:$O$98,"&lt;="&amp;$H93,工数管理!$P$3:$P$98,"&gt;="&amp;$H93)+COUNTIFS(工数管理!$AK$3:$AK$98,L$1,工数管理!$Q$3:$Q$98,"&lt;="&amp;$H93,工数管理!$R$3:$R$98,"&gt;="&amp;$H93)+COUNTIFS(工数管理!$AK$3:$AK$98,L$1,工数管理!$S$3:$S$98,"&lt;="&amp;$H93,工数管理!$T$3:$T$98,"&gt;="&amp;$H93)+COUNTIFS(工数管理!$AK$3:$AK$98,L$1,工数管理!$U$3:$U$98,"&lt;="&amp;$H93,工数管理!$V$3:$V$98,"&gt;="&amp;$H93)+COUNTIFS(工数管理!$AK$3:$AK$98,L$1,工数管理!$W$3:$W$98,"&lt;="&amp;$H93,工数管理!$X$3:$X$98,"&gt;="&amp;$H93)+COUNTIFS(工数管理!$AK$3:$AK$98,L$1,工数管理!$Y$3:$Y$98,"&lt;="&amp;$H93,工数管理!$Z$3:$Z$98,"&gt;="&amp;$H93)+COUNTIFS(工数管理!$AK$3:$AK$98,L$1,工数管理!$AA$3:$AA$98,"&lt;="&amp;$H93,工数管理!$AB$3:$AB$98,"&gt;="&amp;$H93)+COUNTIFS(工数管理!$AK$3:$AK$98,L$1,工数管理!$AC$3:$AC$98,"&lt;="&amp;$H93,工数管理!$AD$3:$AD$98,"&gt;="&amp;$H93)+COUNTIFS(工数管理!$AK$3:$AK$98,L$1,工数管理!$AE$3:$AE$98,"&lt;="&amp;$H93,工数管理!$AF$3:$AF$98,"&gt;="&amp;$H93)+COUNTIFS(工数管理!$AK$3:$AK$98,L$1,工数管理!$AG$3:$AG$98,"&lt;="&amp;$H93,工数管理!$AH$3:$AH$98,"&gt;="&amp;$H93)+(COUNTIFS(工数管理!$AK$3:$AK$98,L$1,工数管理!$K$3:$K$98,"&lt;="&amp;$H93,工数管理!$L$3:$L$98,"")+COUNTIFS(工数管理!$AK$3:$AK$98,L$1,工数管理!$M$3:$M$98,"&lt;="&amp;$H93,工数管理!$N$3:$N$98,"")+COUNTIFS(工数管理!$AK$3:$AK$98,L$1,工数管理!$O$3:$O$98,"&lt;="&amp;$H93,工数管理!$P$3:$P$98,"")+COUNTIFS(工数管理!$AK$3:$AK$98,L$1,工数管理!$Q$3:$Q$98,"&lt;="&amp;$H93,工数管理!$R$3:$R$98,"")+COUNTIFS(工数管理!$AK$3:$AK$98,L$1,工数管理!$S$3:$S$98,"&lt;="&amp;$H93,工数管理!$T$3:$T$98,"")+COUNTIFS(工数管理!$AK$3:$AK$98,L$1,工数管理!$U$3:$U$98,"&lt;="&amp;$H93,工数管理!$V$3:$V$98,"")+COUNTIFS(工数管理!$AK$3:$AK$98,L$1,工数管理!$W$3:$W$98,"&lt;="&amp;$H93,工数管理!$X$3:$X$98,"")+COUNTIFS(工数管理!$AK$3:$AK$98,L$1,工数管理!$Y$3:$Y$98,"&lt;="&amp;$H93,工数管理!$Z$3:$Z$98,"")+COUNTIFS(工数管理!$AK$3:$AK$98,L$1,工数管理!$AA$3:$AA$98,"&lt;="&amp;$H93,工数管理!$AB$3:$AB$98,"")+COUNTIFS(工数管理!$AK$3:$AK$98,L$1,工数管理!$AC$3:$AC$98,"&lt;="&amp;$H93,工数管理!$AD$3:$AD$98,"")+COUNTIFS(工数管理!$AK$3:$AK$98,L$1,工数管理!$AE$3:$AE$98,"&lt;="&amp;$H93,工数管理!$AF$3:$AF$98,"")+COUNTIFS(工数管理!$AK$3:$AK$98,L$1,工数管理!$AG$3:$AG$98,"&lt;="&amp;$H93,工数管理!$AH$3:$AH$98,""))*($H93&lt;=工数管理!$AI$1))</f>
        <v>1</v>
      </c>
    </row>
    <row r="94" spans="1:12" x14ac:dyDescent="0.15">
      <c r="A94" s="5"/>
      <c r="B94" s="6"/>
      <c r="H94" s="41">
        <f t="shared" si="3"/>
        <v>46262</v>
      </c>
      <c r="I94" s="42">
        <f t="shared" si="2"/>
        <v>1</v>
      </c>
      <c r="J94" s="42">
        <f ca="1">IF(J$1="",0,COUNTIFS(工数管理!$AK$3:$AK$98,J$1,工数管理!$K$3:$K$98,"&lt;="&amp;$H94,工数管理!$L$3:$L$98,"&gt;="&amp;$H94)+COUNTIFS(工数管理!$AK$3:$AK$98,J$1,工数管理!$M$3:$M$98,"&lt;="&amp;$H94,工数管理!$N$3:$N$98,"&gt;="&amp;$H94)+COUNTIFS(工数管理!$AK$3:$AK$98,J$1,工数管理!$O$3:$O$98,"&lt;="&amp;$H94,工数管理!$P$3:$P$98,"&gt;="&amp;$H94)+COUNTIFS(工数管理!$AK$3:$AK$98,J$1,工数管理!$Q$3:$Q$98,"&lt;="&amp;$H94,工数管理!$R$3:$R$98,"&gt;="&amp;$H94)+COUNTIFS(工数管理!$AK$3:$AK$98,J$1,工数管理!$S$3:$S$98,"&lt;="&amp;$H94,工数管理!$T$3:$T$98,"&gt;="&amp;$H94)+COUNTIFS(工数管理!$AK$3:$AK$98,J$1,工数管理!$U$3:$U$98,"&lt;="&amp;$H94,工数管理!$V$3:$V$98,"&gt;="&amp;$H94)+COUNTIFS(工数管理!$AK$3:$AK$98,J$1,工数管理!$W$3:$W$98,"&lt;="&amp;$H94,工数管理!$X$3:$X$98,"&gt;="&amp;$H94)+COUNTIFS(工数管理!$AK$3:$AK$98,J$1,工数管理!$Y$3:$Y$98,"&lt;="&amp;$H94,工数管理!$Z$3:$Z$98,"&gt;="&amp;$H94)+COUNTIFS(工数管理!$AK$3:$AK$98,J$1,工数管理!$AA$3:$AA$98,"&lt;="&amp;$H94,工数管理!$AB$3:$AB$98,"&gt;="&amp;$H94)+COUNTIFS(工数管理!$AK$3:$AK$98,J$1,工数管理!$AC$3:$AC$98,"&lt;="&amp;$H94,工数管理!$AD$3:$AD$98,"&gt;="&amp;$H94)+COUNTIFS(工数管理!$AK$3:$AK$98,J$1,工数管理!$AE$3:$AE$98,"&lt;="&amp;$H94,工数管理!$AF$3:$AF$98,"&gt;="&amp;$H94)+COUNTIFS(工数管理!$AK$3:$AK$98,J$1,工数管理!$AG$3:$AG$98,"&lt;="&amp;$H94,工数管理!$AH$3:$AH$98,"&gt;="&amp;$H94)+(COUNTIFS(工数管理!$AK$3:$AK$98,J$1,工数管理!$K$3:$K$98,"&lt;="&amp;$H94,工数管理!$L$3:$L$98,"")+COUNTIFS(工数管理!$AK$3:$AK$98,J$1,工数管理!$M$3:$M$98,"&lt;="&amp;$H94,工数管理!$N$3:$N$98,"")+COUNTIFS(工数管理!$AK$3:$AK$98,J$1,工数管理!$O$3:$O$98,"&lt;="&amp;$H94,工数管理!$P$3:$P$98,"")+COUNTIFS(工数管理!$AK$3:$AK$98,J$1,工数管理!$Q$3:$Q$98,"&lt;="&amp;$H94,工数管理!$R$3:$R$98,"")+COUNTIFS(工数管理!$AK$3:$AK$98,J$1,工数管理!$S$3:$S$98,"&lt;="&amp;$H94,工数管理!$T$3:$T$98,"")+COUNTIFS(工数管理!$AK$3:$AK$98,J$1,工数管理!$U$3:$U$98,"&lt;="&amp;$H94,工数管理!$V$3:$V$98,"")+COUNTIFS(工数管理!$AK$3:$AK$98,J$1,工数管理!$W$3:$W$98,"&lt;="&amp;$H94,工数管理!$X$3:$X$98,"")+COUNTIFS(工数管理!$AK$3:$AK$98,J$1,工数管理!$Y$3:$Y$98,"&lt;="&amp;$H94,工数管理!$Z$3:$Z$98,"")+COUNTIFS(工数管理!$AK$3:$AK$98,J$1,工数管理!$AA$3:$AA$98,"&lt;="&amp;$H94,工数管理!$AB$3:$AB$98,"")+COUNTIFS(工数管理!$AK$3:$AK$98,J$1,工数管理!$AC$3:$AC$98,"&lt;="&amp;$H94,工数管理!$AD$3:$AD$98,"")+COUNTIFS(工数管理!$AK$3:$AK$98,J$1,工数管理!$AE$3:$AE$98,"&lt;="&amp;$H94,工数管理!$AF$3:$AF$98,"")+COUNTIFS(工数管理!$AK$3:$AK$98,J$1,工数管理!$AG$3:$AG$98,"&lt;="&amp;$H94,工数管理!$AH$3:$AH$98,""))*($H94&lt;=工数管理!$AI$1))</f>
        <v>1</v>
      </c>
      <c r="K94" s="42">
        <f ca="1">IF(K$1="",0,COUNTIFS(工数管理!$AK$3:$AK$98,K$1,工数管理!$K$3:$K$98,"&lt;="&amp;$H94,工数管理!$L$3:$L$98,"&gt;="&amp;$H94)+COUNTIFS(工数管理!$AK$3:$AK$98,K$1,工数管理!$M$3:$M$98,"&lt;="&amp;$H94,工数管理!$N$3:$N$98,"&gt;="&amp;$H94)+COUNTIFS(工数管理!$AK$3:$AK$98,K$1,工数管理!$O$3:$O$98,"&lt;="&amp;$H94,工数管理!$P$3:$P$98,"&gt;="&amp;$H94)+COUNTIFS(工数管理!$AK$3:$AK$98,K$1,工数管理!$Q$3:$Q$98,"&lt;="&amp;$H94,工数管理!$R$3:$R$98,"&gt;="&amp;$H94)+COUNTIFS(工数管理!$AK$3:$AK$98,K$1,工数管理!$S$3:$S$98,"&lt;="&amp;$H94,工数管理!$T$3:$T$98,"&gt;="&amp;$H94)+COUNTIFS(工数管理!$AK$3:$AK$98,K$1,工数管理!$U$3:$U$98,"&lt;="&amp;$H94,工数管理!$V$3:$V$98,"&gt;="&amp;$H94)+COUNTIFS(工数管理!$AK$3:$AK$98,K$1,工数管理!$W$3:$W$98,"&lt;="&amp;$H94,工数管理!$X$3:$X$98,"&gt;="&amp;$H94)+COUNTIFS(工数管理!$AK$3:$AK$98,K$1,工数管理!$Y$3:$Y$98,"&lt;="&amp;$H94,工数管理!$Z$3:$Z$98,"&gt;="&amp;$H94)+COUNTIFS(工数管理!$AK$3:$AK$98,K$1,工数管理!$AA$3:$AA$98,"&lt;="&amp;$H94,工数管理!$AB$3:$AB$98,"&gt;="&amp;$H94)+COUNTIFS(工数管理!$AK$3:$AK$98,K$1,工数管理!$AC$3:$AC$98,"&lt;="&amp;$H94,工数管理!$AD$3:$AD$98,"&gt;="&amp;$H94)+COUNTIFS(工数管理!$AK$3:$AK$98,K$1,工数管理!$AE$3:$AE$98,"&lt;="&amp;$H94,工数管理!$AF$3:$AF$98,"&gt;="&amp;$H94)+COUNTIFS(工数管理!$AK$3:$AK$98,K$1,工数管理!$AG$3:$AG$98,"&lt;="&amp;$H94,工数管理!$AH$3:$AH$98,"&gt;="&amp;$H94)+(COUNTIFS(工数管理!$AK$3:$AK$98,K$1,工数管理!$K$3:$K$98,"&lt;="&amp;$H94,工数管理!$L$3:$L$98,"")+COUNTIFS(工数管理!$AK$3:$AK$98,K$1,工数管理!$M$3:$M$98,"&lt;="&amp;$H94,工数管理!$N$3:$N$98,"")+COUNTIFS(工数管理!$AK$3:$AK$98,K$1,工数管理!$O$3:$O$98,"&lt;="&amp;$H94,工数管理!$P$3:$P$98,"")+COUNTIFS(工数管理!$AK$3:$AK$98,K$1,工数管理!$Q$3:$Q$98,"&lt;="&amp;$H94,工数管理!$R$3:$R$98,"")+COUNTIFS(工数管理!$AK$3:$AK$98,K$1,工数管理!$S$3:$S$98,"&lt;="&amp;$H94,工数管理!$T$3:$T$98,"")+COUNTIFS(工数管理!$AK$3:$AK$98,K$1,工数管理!$U$3:$U$98,"&lt;="&amp;$H94,工数管理!$V$3:$V$98,"")+COUNTIFS(工数管理!$AK$3:$AK$98,K$1,工数管理!$W$3:$W$98,"&lt;="&amp;$H94,工数管理!$X$3:$X$98,"")+COUNTIFS(工数管理!$AK$3:$AK$98,K$1,工数管理!$Y$3:$Y$98,"&lt;="&amp;$H94,工数管理!$Z$3:$Z$98,"")+COUNTIFS(工数管理!$AK$3:$AK$98,K$1,工数管理!$AA$3:$AA$98,"&lt;="&amp;$H94,工数管理!$AB$3:$AB$98,"")+COUNTIFS(工数管理!$AK$3:$AK$98,K$1,工数管理!$AC$3:$AC$98,"&lt;="&amp;$H94,工数管理!$AD$3:$AD$98,"")+COUNTIFS(工数管理!$AK$3:$AK$98,K$1,工数管理!$AE$3:$AE$98,"&lt;="&amp;$H94,工数管理!$AF$3:$AF$98,"")+COUNTIFS(工数管理!$AK$3:$AK$98,K$1,工数管理!$AG$3:$AG$98,"&lt;="&amp;$H94,工数管理!$AH$3:$AH$98,""))*($H94&lt;=工数管理!$AI$1))</f>
        <v>1</v>
      </c>
      <c r="L94" s="42">
        <f ca="1">IF(L$1="",0,COUNTIFS(工数管理!$AK$3:$AK$98,L$1,工数管理!$K$3:$K$98,"&lt;="&amp;$H94,工数管理!$L$3:$L$98,"&gt;="&amp;$H94)+COUNTIFS(工数管理!$AK$3:$AK$98,L$1,工数管理!$M$3:$M$98,"&lt;="&amp;$H94,工数管理!$N$3:$N$98,"&gt;="&amp;$H94)+COUNTIFS(工数管理!$AK$3:$AK$98,L$1,工数管理!$O$3:$O$98,"&lt;="&amp;$H94,工数管理!$P$3:$P$98,"&gt;="&amp;$H94)+COUNTIFS(工数管理!$AK$3:$AK$98,L$1,工数管理!$Q$3:$Q$98,"&lt;="&amp;$H94,工数管理!$R$3:$R$98,"&gt;="&amp;$H94)+COUNTIFS(工数管理!$AK$3:$AK$98,L$1,工数管理!$S$3:$S$98,"&lt;="&amp;$H94,工数管理!$T$3:$T$98,"&gt;="&amp;$H94)+COUNTIFS(工数管理!$AK$3:$AK$98,L$1,工数管理!$U$3:$U$98,"&lt;="&amp;$H94,工数管理!$V$3:$V$98,"&gt;="&amp;$H94)+COUNTIFS(工数管理!$AK$3:$AK$98,L$1,工数管理!$W$3:$W$98,"&lt;="&amp;$H94,工数管理!$X$3:$X$98,"&gt;="&amp;$H94)+COUNTIFS(工数管理!$AK$3:$AK$98,L$1,工数管理!$Y$3:$Y$98,"&lt;="&amp;$H94,工数管理!$Z$3:$Z$98,"&gt;="&amp;$H94)+COUNTIFS(工数管理!$AK$3:$AK$98,L$1,工数管理!$AA$3:$AA$98,"&lt;="&amp;$H94,工数管理!$AB$3:$AB$98,"&gt;="&amp;$H94)+COUNTIFS(工数管理!$AK$3:$AK$98,L$1,工数管理!$AC$3:$AC$98,"&lt;="&amp;$H94,工数管理!$AD$3:$AD$98,"&gt;="&amp;$H94)+COUNTIFS(工数管理!$AK$3:$AK$98,L$1,工数管理!$AE$3:$AE$98,"&lt;="&amp;$H94,工数管理!$AF$3:$AF$98,"&gt;="&amp;$H94)+COUNTIFS(工数管理!$AK$3:$AK$98,L$1,工数管理!$AG$3:$AG$98,"&lt;="&amp;$H94,工数管理!$AH$3:$AH$98,"&gt;="&amp;$H94)+(COUNTIFS(工数管理!$AK$3:$AK$98,L$1,工数管理!$K$3:$K$98,"&lt;="&amp;$H94,工数管理!$L$3:$L$98,"")+COUNTIFS(工数管理!$AK$3:$AK$98,L$1,工数管理!$M$3:$M$98,"&lt;="&amp;$H94,工数管理!$N$3:$N$98,"")+COUNTIFS(工数管理!$AK$3:$AK$98,L$1,工数管理!$O$3:$O$98,"&lt;="&amp;$H94,工数管理!$P$3:$P$98,"")+COUNTIFS(工数管理!$AK$3:$AK$98,L$1,工数管理!$Q$3:$Q$98,"&lt;="&amp;$H94,工数管理!$R$3:$R$98,"")+COUNTIFS(工数管理!$AK$3:$AK$98,L$1,工数管理!$S$3:$S$98,"&lt;="&amp;$H94,工数管理!$T$3:$T$98,"")+COUNTIFS(工数管理!$AK$3:$AK$98,L$1,工数管理!$U$3:$U$98,"&lt;="&amp;$H94,工数管理!$V$3:$V$98,"")+COUNTIFS(工数管理!$AK$3:$AK$98,L$1,工数管理!$W$3:$W$98,"&lt;="&amp;$H94,工数管理!$X$3:$X$98,"")+COUNTIFS(工数管理!$AK$3:$AK$98,L$1,工数管理!$Y$3:$Y$98,"&lt;="&amp;$H94,工数管理!$Z$3:$Z$98,"")+COUNTIFS(工数管理!$AK$3:$AK$98,L$1,工数管理!$AA$3:$AA$98,"&lt;="&amp;$H94,工数管理!$AB$3:$AB$98,"")+COUNTIFS(工数管理!$AK$3:$AK$98,L$1,工数管理!$AC$3:$AC$98,"&lt;="&amp;$H94,工数管理!$AD$3:$AD$98,"")+COUNTIFS(工数管理!$AK$3:$AK$98,L$1,工数管理!$AE$3:$AE$98,"&lt;="&amp;$H94,工数管理!$AF$3:$AF$98,"")+COUNTIFS(工数管理!$AK$3:$AK$98,L$1,工数管理!$AG$3:$AG$98,"&lt;="&amp;$H94,工数管理!$AH$3:$AH$98,""))*($H94&lt;=工数管理!$AI$1))</f>
        <v>1</v>
      </c>
    </row>
    <row r="95" spans="1:12" x14ac:dyDescent="0.15">
      <c r="A95" s="5"/>
      <c r="B95" s="6"/>
      <c r="H95" s="41">
        <f t="shared" si="3"/>
        <v>46263</v>
      </c>
      <c r="I95" s="42">
        <f t="shared" si="2"/>
        <v>0</v>
      </c>
      <c r="J95" s="42">
        <f ca="1">IF(J$1="",0,COUNTIFS(工数管理!$AK$3:$AK$98,J$1,工数管理!$K$3:$K$98,"&lt;="&amp;$H95,工数管理!$L$3:$L$98,"&gt;="&amp;$H95)+COUNTIFS(工数管理!$AK$3:$AK$98,J$1,工数管理!$M$3:$M$98,"&lt;="&amp;$H95,工数管理!$N$3:$N$98,"&gt;="&amp;$H95)+COUNTIFS(工数管理!$AK$3:$AK$98,J$1,工数管理!$O$3:$O$98,"&lt;="&amp;$H95,工数管理!$P$3:$P$98,"&gt;="&amp;$H95)+COUNTIFS(工数管理!$AK$3:$AK$98,J$1,工数管理!$Q$3:$Q$98,"&lt;="&amp;$H95,工数管理!$R$3:$R$98,"&gt;="&amp;$H95)+COUNTIFS(工数管理!$AK$3:$AK$98,J$1,工数管理!$S$3:$S$98,"&lt;="&amp;$H95,工数管理!$T$3:$T$98,"&gt;="&amp;$H95)+COUNTIFS(工数管理!$AK$3:$AK$98,J$1,工数管理!$U$3:$U$98,"&lt;="&amp;$H95,工数管理!$V$3:$V$98,"&gt;="&amp;$H95)+COUNTIFS(工数管理!$AK$3:$AK$98,J$1,工数管理!$W$3:$W$98,"&lt;="&amp;$H95,工数管理!$X$3:$X$98,"&gt;="&amp;$H95)+COUNTIFS(工数管理!$AK$3:$AK$98,J$1,工数管理!$Y$3:$Y$98,"&lt;="&amp;$H95,工数管理!$Z$3:$Z$98,"&gt;="&amp;$H95)+COUNTIFS(工数管理!$AK$3:$AK$98,J$1,工数管理!$AA$3:$AA$98,"&lt;="&amp;$H95,工数管理!$AB$3:$AB$98,"&gt;="&amp;$H95)+COUNTIFS(工数管理!$AK$3:$AK$98,J$1,工数管理!$AC$3:$AC$98,"&lt;="&amp;$H95,工数管理!$AD$3:$AD$98,"&gt;="&amp;$H95)+COUNTIFS(工数管理!$AK$3:$AK$98,J$1,工数管理!$AE$3:$AE$98,"&lt;="&amp;$H95,工数管理!$AF$3:$AF$98,"&gt;="&amp;$H95)+COUNTIFS(工数管理!$AK$3:$AK$98,J$1,工数管理!$AG$3:$AG$98,"&lt;="&amp;$H95,工数管理!$AH$3:$AH$98,"&gt;="&amp;$H95)+(COUNTIFS(工数管理!$AK$3:$AK$98,J$1,工数管理!$K$3:$K$98,"&lt;="&amp;$H95,工数管理!$L$3:$L$98,"")+COUNTIFS(工数管理!$AK$3:$AK$98,J$1,工数管理!$M$3:$M$98,"&lt;="&amp;$H95,工数管理!$N$3:$N$98,"")+COUNTIFS(工数管理!$AK$3:$AK$98,J$1,工数管理!$O$3:$O$98,"&lt;="&amp;$H95,工数管理!$P$3:$P$98,"")+COUNTIFS(工数管理!$AK$3:$AK$98,J$1,工数管理!$Q$3:$Q$98,"&lt;="&amp;$H95,工数管理!$R$3:$R$98,"")+COUNTIFS(工数管理!$AK$3:$AK$98,J$1,工数管理!$S$3:$S$98,"&lt;="&amp;$H95,工数管理!$T$3:$T$98,"")+COUNTIFS(工数管理!$AK$3:$AK$98,J$1,工数管理!$U$3:$U$98,"&lt;="&amp;$H95,工数管理!$V$3:$V$98,"")+COUNTIFS(工数管理!$AK$3:$AK$98,J$1,工数管理!$W$3:$W$98,"&lt;="&amp;$H95,工数管理!$X$3:$X$98,"")+COUNTIFS(工数管理!$AK$3:$AK$98,J$1,工数管理!$Y$3:$Y$98,"&lt;="&amp;$H95,工数管理!$Z$3:$Z$98,"")+COUNTIFS(工数管理!$AK$3:$AK$98,J$1,工数管理!$AA$3:$AA$98,"&lt;="&amp;$H95,工数管理!$AB$3:$AB$98,"")+COUNTIFS(工数管理!$AK$3:$AK$98,J$1,工数管理!$AC$3:$AC$98,"&lt;="&amp;$H95,工数管理!$AD$3:$AD$98,"")+COUNTIFS(工数管理!$AK$3:$AK$98,J$1,工数管理!$AE$3:$AE$98,"&lt;="&amp;$H95,工数管理!$AF$3:$AF$98,"")+COUNTIFS(工数管理!$AK$3:$AK$98,J$1,工数管理!$AG$3:$AG$98,"&lt;="&amp;$H95,工数管理!$AH$3:$AH$98,""))*($H95&lt;=工数管理!$AI$1))</f>
        <v>1</v>
      </c>
      <c r="K95" s="42">
        <f ca="1">IF(K$1="",0,COUNTIFS(工数管理!$AK$3:$AK$98,K$1,工数管理!$K$3:$K$98,"&lt;="&amp;$H95,工数管理!$L$3:$L$98,"&gt;="&amp;$H95)+COUNTIFS(工数管理!$AK$3:$AK$98,K$1,工数管理!$M$3:$M$98,"&lt;="&amp;$H95,工数管理!$N$3:$N$98,"&gt;="&amp;$H95)+COUNTIFS(工数管理!$AK$3:$AK$98,K$1,工数管理!$O$3:$O$98,"&lt;="&amp;$H95,工数管理!$P$3:$P$98,"&gt;="&amp;$H95)+COUNTIFS(工数管理!$AK$3:$AK$98,K$1,工数管理!$Q$3:$Q$98,"&lt;="&amp;$H95,工数管理!$R$3:$R$98,"&gt;="&amp;$H95)+COUNTIFS(工数管理!$AK$3:$AK$98,K$1,工数管理!$S$3:$S$98,"&lt;="&amp;$H95,工数管理!$T$3:$T$98,"&gt;="&amp;$H95)+COUNTIFS(工数管理!$AK$3:$AK$98,K$1,工数管理!$U$3:$U$98,"&lt;="&amp;$H95,工数管理!$V$3:$V$98,"&gt;="&amp;$H95)+COUNTIFS(工数管理!$AK$3:$AK$98,K$1,工数管理!$W$3:$W$98,"&lt;="&amp;$H95,工数管理!$X$3:$X$98,"&gt;="&amp;$H95)+COUNTIFS(工数管理!$AK$3:$AK$98,K$1,工数管理!$Y$3:$Y$98,"&lt;="&amp;$H95,工数管理!$Z$3:$Z$98,"&gt;="&amp;$H95)+COUNTIFS(工数管理!$AK$3:$AK$98,K$1,工数管理!$AA$3:$AA$98,"&lt;="&amp;$H95,工数管理!$AB$3:$AB$98,"&gt;="&amp;$H95)+COUNTIFS(工数管理!$AK$3:$AK$98,K$1,工数管理!$AC$3:$AC$98,"&lt;="&amp;$H95,工数管理!$AD$3:$AD$98,"&gt;="&amp;$H95)+COUNTIFS(工数管理!$AK$3:$AK$98,K$1,工数管理!$AE$3:$AE$98,"&lt;="&amp;$H95,工数管理!$AF$3:$AF$98,"&gt;="&amp;$H95)+COUNTIFS(工数管理!$AK$3:$AK$98,K$1,工数管理!$AG$3:$AG$98,"&lt;="&amp;$H95,工数管理!$AH$3:$AH$98,"&gt;="&amp;$H95)+(COUNTIFS(工数管理!$AK$3:$AK$98,K$1,工数管理!$K$3:$K$98,"&lt;="&amp;$H95,工数管理!$L$3:$L$98,"")+COUNTIFS(工数管理!$AK$3:$AK$98,K$1,工数管理!$M$3:$M$98,"&lt;="&amp;$H95,工数管理!$N$3:$N$98,"")+COUNTIFS(工数管理!$AK$3:$AK$98,K$1,工数管理!$O$3:$O$98,"&lt;="&amp;$H95,工数管理!$P$3:$P$98,"")+COUNTIFS(工数管理!$AK$3:$AK$98,K$1,工数管理!$Q$3:$Q$98,"&lt;="&amp;$H95,工数管理!$R$3:$R$98,"")+COUNTIFS(工数管理!$AK$3:$AK$98,K$1,工数管理!$S$3:$S$98,"&lt;="&amp;$H95,工数管理!$T$3:$T$98,"")+COUNTIFS(工数管理!$AK$3:$AK$98,K$1,工数管理!$U$3:$U$98,"&lt;="&amp;$H95,工数管理!$V$3:$V$98,"")+COUNTIFS(工数管理!$AK$3:$AK$98,K$1,工数管理!$W$3:$W$98,"&lt;="&amp;$H95,工数管理!$X$3:$X$98,"")+COUNTIFS(工数管理!$AK$3:$AK$98,K$1,工数管理!$Y$3:$Y$98,"&lt;="&amp;$H95,工数管理!$Z$3:$Z$98,"")+COUNTIFS(工数管理!$AK$3:$AK$98,K$1,工数管理!$AA$3:$AA$98,"&lt;="&amp;$H95,工数管理!$AB$3:$AB$98,"")+COUNTIFS(工数管理!$AK$3:$AK$98,K$1,工数管理!$AC$3:$AC$98,"&lt;="&amp;$H95,工数管理!$AD$3:$AD$98,"")+COUNTIFS(工数管理!$AK$3:$AK$98,K$1,工数管理!$AE$3:$AE$98,"&lt;="&amp;$H95,工数管理!$AF$3:$AF$98,"")+COUNTIFS(工数管理!$AK$3:$AK$98,K$1,工数管理!$AG$3:$AG$98,"&lt;="&amp;$H95,工数管理!$AH$3:$AH$98,""))*($H95&lt;=工数管理!$AI$1))</f>
        <v>1</v>
      </c>
      <c r="L95" s="42">
        <f ca="1">IF(L$1="",0,COUNTIFS(工数管理!$AK$3:$AK$98,L$1,工数管理!$K$3:$K$98,"&lt;="&amp;$H95,工数管理!$L$3:$L$98,"&gt;="&amp;$H95)+COUNTIFS(工数管理!$AK$3:$AK$98,L$1,工数管理!$M$3:$M$98,"&lt;="&amp;$H95,工数管理!$N$3:$N$98,"&gt;="&amp;$H95)+COUNTIFS(工数管理!$AK$3:$AK$98,L$1,工数管理!$O$3:$O$98,"&lt;="&amp;$H95,工数管理!$P$3:$P$98,"&gt;="&amp;$H95)+COUNTIFS(工数管理!$AK$3:$AK$98,L$1,工数管理!$Q$3:$Q$98,"&lt;="&amp;$H95,工数管理!$R$3:$R$98,"&gt;="&amp;$H95)+COUNTIFS(工数管理!$AK$3:$AK$98,L$1,工数管理!$S$3:$S$98,"&lt;="&amp;$H95,工数管理!$T$3:$T$98,"&gt;="&amp;$H95)+COUNTIFS(工数管理!$AK$3:$AK$98,L$1,工数管理!$U$3:$U$98,"&lt;="&amp;$H95,工数管理!$V$3:$V$98,"&gt;="&amp;$H95)+COUNTIFS(工数管理!$AK$3:$AK$98,L$1,工数管理!$W$3:$W$98,"&lt;="&amp;$H95,工数管理!$X$3:$X$98,"&gt;="&amp;$H95)+COUNTIFS(工数管理!$AK$3:$AK$98,L$1,工数管理!$Y$3:$Y$98,"&lt;="&amp;$H95,工数管理!$Z$3:$Z$98,"&gt;="&amp;$H95)+COUNTIFS(工数管理!$AK$3:$AK$98,L$1,工数管理!$AA$3:$AA$98,"&lt;="&amp;$H95,工数管理!$AB$3:$AB$98,"&gt;="&amp;$H95)+COUNTIFS(工数管理!$AK$3:$AK$98,L$1,工数管理!$AC$3:$AC$98,"&lt;="&amp;$H95,工数管理!$AD$3:$AD$98,"&gt;="&amp;$H95)+COUNTIFS(工数管理!$AK$3:$AK$98,L$1,工数管理!$AE$3:$AE$98,"&lt;="&amp;$H95,工数管理!$AF$3:$AF$98,"&gt;="&amp;$H95)+COUNTIFS(工数管理!$AK$3:$AK$98,L$1,工数管理!$AG$3:$AG$98,"&lt;="&amp;$H95,工数管理!$AH$3:$AH$98,"&gt;="&amp;$H95)+(COUNTIFS(工数管理!$AK$3:$AK$98,L$1,工数管理!$K$3:$K$98,"&lt;="&amp;$H95,工数管理!$L$3:$L$98,"")+COUNTIFS(工数管理!$AK$3:$AK$98,L$1,工数管理!$M$3:$M$98,"&lt;="&amp;$H95,工数管理!$N$3:$N$98,"")+COUNTIFS(工数管理!$AK$3:$AK$98,L$1,工数管理!$O$3:$O$98,"&lt;="&amp;$H95,工数管理!$P$3:$P$98,"")+COUNTIFS(工数管理!$AK$3:$AK$98,L$1,工数管理!$Q$3:$Q$98,"&lt;="&amp;$H95,工数管理!$R$3:$R$98,"")+COUNTIFS(工数管理!$AK$3:$AK$98,L$1,工数管理!$S$3:$S$98,"&lt;="&amp;$H95,工数管理!$T$3:$T$98,"")+COUNTIFS(工数管理!$AK$3:$AK$98,L$1,工数管理!$U$3:$U$98,"&lt;="&amp;$H95,工数管理!$V$3:$V$98,"")+COUNTIFS(工数管理!$AK$3:$AK$98,L$1,工数管理!$W$3:$W$98,"&lt;="&amp;$H95,工数管理!$X$3:$X$98,"")+COUNTIFS(工数管理!$AK$3:$AK$98,L$1,工数管理!$Y$3:$Y$98,"&lt;="&amp;$H95,工数管理!$Z$3:$Z$98,"")+COUNTIFS(工数管理!$AK$3:$AK$98,L$1,工数管理!$AA$3:$AA$98,"&lt;="&amp;$H95,工数管理!$AB$3:$AB$98,"")+COUNTIFS(工数管理!$AK$3:$AK$98,L$1,工数管理!$AC$3:$AC$98,"&lt;="&amp;$H95,工数管理!$AD$3:$AD$98,"")+COUNTIFS(工数管理!$AK$3:$AK$98,L$1,工数管理!$AE$3:$AE$98,"&lt;="&amp;$H95,工数管理!$AF$3:$AF$98,"")+COUNTIFS(工数管理!$AK$3:$AK$98,L$1,工数管理!$AG$3:$AG$98,"&lt;="&amp;$H95,工数管理!$AH$3:$AH$98,""))*($H95&lt;=工数管理!$AI$1))</f>
        <v>1</v>
      </c>
    </row>
    <row r="96" spans="1:12" x14ac:dyDescent="0.15">
      <c r="A96" s="5"/>
      <c r="B96" s="6"/>
      <c r="H96" s="41">
        <f t="shared" si="3"/>
        <v>46264</v>
      </c>
      <c r="I96" s="42">
        <f t="shared" si="2"/>
        <v>0</v>
      </c>
      <c r="J96" s="42">
        <f ca="1">IF(J$1="",0,COUNTIFS(工数管理!$AK$3:$AK$98,J$1,工数管理!$K$3:$K$98,"&lt;="&amp;$H96,工数管理!$L$3:$L$98,"&gt;="&amp;$H96)+COUNTIFS(工数管理!$AK$3:$AK$98,J$1,工数管理!$M$3:$M$98,"&lt;="&amp;$H96,工数管理!$N$3:$N$98,"&gt;="&amp;$H96)+COUNTIFS(工数管理!$AK$3:$AK$98,J$1,工数管理!$O$3:$O$98,"&lt;="&amp;$H96,工数管理!$P$3:$P$98,"&gt;="&amp;$H96)+COUNTIFS(工数管理!$AK$3:$AK$98,J$1,工数管理!$Q$3:$Q$98,"&lt;="&amp;$H96,工数管理!$R$3:$R$98,"&gt;="&amp;$H96)+COUNTIFS(工数管理!$AK$3:$AK$98,J$1,工数管理!$S$3:$S$98,"&lt;="&amp;$H96,工数管理!$T$3:$T$98,"&gt;="&amp;$H96)+COUNTIFS(工数管理!$AK$3:$AK$98,J$1,工数管理!$U$3:$U$98,"&lt;="&amp;$H96,工数管理!$V$3:$V$98,"&gt;="&amp;$H96)+COUNTIFS(工数管理!$AK$3:$AK$98,J$1,工数管理!$W$3:$W$98,"&lt;="&amp;$H96,工数管理!$X$3:$X$98,"&gt;="&amp;$H96)+COUNTIFS(工数管理!$AK$3:$AK$98,J$1,工数管理!$Y$3:$Y$98,"&lt;="&amp;$H96,工数管理!$Z$3:$Z$98,"&gt;="&amp;$H96)+COUNTIFS(工数管理!$AK$3:$AK$98,J$1,工数管理!$AA$3:$AA$98,"&lt;="&amp;$H96,工数管理!$AB$3:$AB$98,"&gt;="&amp;$H96)+COUNTIFS(工数管理!$AK$3:$AK$98,J$1,工数管理!$AC$3:$AC$98,"&lt;="&amp;$H96,工数管理!$AD$3:$AD$98,"&gt;="&amp;$H96)+COUNTIFS(工数管理!$AK$3:$AK$98,J$1,工数管理!$AE$3:$AE$98,"&lt;="&amp;$H96,工数管理!$AF$3:$AF$98,"&gt;="&amp;$H96)+COUNTIFS(工数管理!$AK$3:$AK$98,J$1,工数管理!$AG$3:$AG$98,"&lt;="&amp;$H96,工数管理!$AH$3:$AH$98,"&gt;="&amp;$H96)+(COUNTIFS(工数管理!$AK$3:$AK$98,J$1,工数管理!$K$3:$K$98,"&lt;="&amp;$H96,工数管理!$L$3:$L$98,"")+COUNTIFS(工数管理!$AK$3:$AK$98,J$1,工数管理!$M$3:$M$98,"&lt;="&amp;$H96,工数管理!$N$3:$N$98,"")+COUNTIFS(工数管理!$AK$3:$AK$98,J$1,工数管理!$O$3:$O$98,"&lt;="&amp;$H96,工数管理!$P$3:$P$98,"")+COUNTIFS(工数管理!$AK$3:$AK$98,J$1,工数管理!$Q$3:$Q$98,"&lt;="&amp;$H96,工数管理!$R$3:$R$98,"")+COUNTIFS(工数管理!$AK$3:$AK$98,J$1,工数管理!$S$3:$S$98,"&lt;="&amp;$H96,工数管理!$T$3:$T$98,"")+COUNTIFS(工数管理!$AK$3:$AK$98,J$1,工数管理!$U$3:$U$98,"&lt;="&amp;$H96,工数管理!$V$3:$V$98,"")+COUNTIFS(工数管理!$AK$3:$AK$98,J$1,工数管理!$W$3:$W$98,"&lt;="&amp;$H96,工数管理!$X$3:$X$98,"")+COUNTIFS(工数管理!$AK$3:$AK$98,J$1,工数管理!$Y$3:$Y$98,"&lt;="&amp;$H96,工数管理!$Z$3:$Z$98,"")+COUNTIFS(工数管理!$AK$3:$AK$98,J$1,工数管理!$AA$3:$AA$98,"&lt;="&amp;$H96,工数管理!$AB$3:$AB$98,"")+COUNTIFS(工数管理!$AK$3:$AK$98,J$1,工数管理!$AC$3:$AC$98,"&lt;="&amp;$H96,工数管理!$AD$3:$AD$98,"")+COUNTIFS(工数管理!$AK$3:$AK$98,J$1,工数管理!$AE$3:$AE$98,"&lt;="&amp;$H96,工数管理!$AF$3:$AF$98,"")+COUNTIFS(工数管理!$AK$3:$AK$98,J$1,工数管理!$AG$3:$AG$98,"&lt;="&amp;$H96,工数管理!$AH$3:$AH$98,""))*($H96&lt;=工数管理!$AI$1))</f>
        <v>1</v>
      </c>
      <c r="K96" s="42">
        <f ca="1">IF(K$1="",0,COUNTIFS(工数管理!$AK$3:$AK$98,K$1,工数管理!$K$3:$K$98,"&lt;="&amp;$H96,工数管理!$L$3:$L$98,"&gt;="&amp;$H96)+COUNTIFS(工数管理!$AK$3:$AK$98,K$1,工数管理!$M$3:$M$98,"&lt;="&amp;$H96,工数管理!$N$3:$N$98,"&gt;="&amp;$H96)+COUNTIFS(工数管理!$AK$3:$AK$98,K$1,工数管理!$O$3:$O$98,"&lt;="&amp;$H96,工数管理!$P$3:$P$98,"&gt;="&amp;$H96)+COUNTIFS(工数管理!$AK$3:$AK$98,K$1,工数管理!$Q$3:$Q$98,"&lt;="&amp;$H96,工数管理!$R$3:$R$98,"&gt;="&amp;$H96)+COUNTIFS(工数管理!$AK$3:$AK$98,K$1,工数管理!$S$3:$S$98,"&lt;="&amp;$H96,工数管理!$T$3:$T$98,"&gt;="&amp;$H96)+COUNTIFS(工数管理!$AK$3:$AK$98,K$1,工数管理!$U$3:$U$98,"&lt;="&amp;$H96,工数管理!$V$3:$V$98,"&gt;="&amp;$H96)+COUNTIFS(工数管理!$AK$3:$AK$98,K$1,工数管理!$W$3:$W$98,"&lt;="&amp;$H96,工数管理!$X$3:$X$98,"&gt;="&amp;$H96)+COUNTIFS(工数管理!$AK$3:$AK$98,K$1,工数管理!$Y$3:$Y$98,"&lt;="&amp;$H96,工数管理!$Z$3:$Z$98,"&gt;="&amp;$H96)+COUNTIFS(工数管理!$AK$3:$AK$98,K$1,工数管理!$AA$3:$AA$98,"&lt;="&amp;$H96,工数管理!$AB$3:$AB$98,"&gt;="&amp;$H96)+COUNTIFS(工数管理!$AK$3:$AK$98,K$1,工数管理!$AC$3:$AC$98,"&lt;="&amp;$H96,工数管理!$AD$3:$AD$98,"&gt;="&amp;$H96)+COUNTIFS(工数管理!$AK$3:$AK$98,K$1,工数管理!$AE$3:$AE$98,"&lt;="&amp;$H96,工数管理!$AF$3:$AF$98,"&gt;="&amp;$H96)+COUNTIFS(工数管理!$AK$3:$AK$98,K$1,工数管理!$AG$3:$AG$98,"&lt;="&amp;$H96,工数管理!$AH$3:$AH$98,"&gt;="&amp;$H96)+(COUNTIFS(工数管理!$AK$3:$AK$98,K$1,工数管理!$K$3:$K$98,"&lt;="&amp;$H96,工数管理!$L$3:$L$98,"")+COUNTIFS(工数管理!$AK$3:$AK$98,K$1,工数管理!$M$3:$M$98,"&lt;="&amp;$H96,工数管理!$N$3:$N$98,"")+COUNTIFS(工数管理!$AK$3:$AK$98,K$1,工数管理!$O$3:$O$98,"&lt;="&amp;$H96,工数管理!$P$3:$P$98,"")+COUNTIFS(工数管理!$AK$3:$AK$98,K$1,工数管理!$Q$3:$Q$98,"&lt;="&amp;$H96,工数管理!$R$3:$R$98,"")+COUNTIFS(工数管理!$AK$3:$AK$98,K$1,工数管理!$S$3:$S$98,"&lt;="&amp;$H96,工数管理!$T$3:$T$98,"")+COUNTIFS(工数管理!$AK$3:$AK$98,K$1,工数管理!$U$3:$U$98,"&lt;="&amp;$H96,工数管理!$V$3:$V$98,"")+COUNTIFS(工数管理!$AK$3:$AK$98,K$1,工数管理!$W$3:$W$98,"&lt;="&amp;$H96,工数管理!$X$3:$X$98,"")+COUNTIFS(工数管理!$AK$3:$AK$98,K$1,工数管理!$Y$3:$Y$98,"&lt;="&amp;$H96,工数管理!$Z$3:$Z$98,"")+COUNTIFS(工数管理!$AK$3:$AK$98,K$1,工数管理!$AA$3:$AA$98,"&lt;="&amp;$H96,工数管理!$AB$3:$AB$98,"")+COUNTIFS(工数管理!$AK$3:$AK$98,K$1,工数管理!$AC$3:$AC$98,"&lt;="&amp;$H96,工数管理!$AD$3:$AD$98,"")+COUNTIFS(工数管理!$AK$3:$AK$98,K$1,工数管理!$AE$3:$AE$98,"&lt;="&amp;$H96,工数管理!$AF$3:$AF$98,"")+COUNTIFS(工数管理!$AK$3:$AK$98,K$1,工数管理!$AG$3:$AG$98,"&lt;="&amp;$H96,工数管理!$AH$3:$AH$98,""))*($H96&lt;=工数管理!$AI$1))</f>
        <v>1</v>
      </c>
      <c r="L96" s="42">
        <f ca="1">IF(L$1="",0,COUNTIFS(工数管理!$AK$3:$AK$98,L$1,工数管理!$K$3:$K$98,"&lt;="&amp;$H96,工数管理!$L$3:$L$98,"&gt;="&amp;$H96)+COUNTIFS(工数管理!$AK$3:$AK$98,L$1,工数管理!$M$3:$M$98,"&lt;="&amp;$H96,工数管理!$N$3:$N$98,"&gt;="&amp;$H96)+COUNTIFS(工数管理!$AK$3:$AK$98,L$1,工数管理!$O$3:$O$98,"&lt;="&amp;$H96,工数管理!$P$3:$P$98,"&gt;="&amp;$H96)+COUNTIFS(工数管理!$AK$3:$AK$98,L$1,工数管理!$Q$3:$Q$98,"&lt;="&amp;$H96,工数管理!$R$3:$R$98,"&gt;="&amp;$H96)+COUNTIFS(工数管理!$AK$3:$AK$98,L$1,工数管理!$S$3:$S$98,"&lt;="&amp;$H96,工数管理!$T$3:$T$98,"&gt;="&amp;$H96)+COUNTIFS(工数管理!$AK$3:$AK$98,L$1,工数管理!$U$3:$U$98,"&lt;="&amp;$H96,工数管理!$V$3:$V$98,"&gt;="&amp;$H96)+COUNTIFS(工数管理!$AK$3:$AK$98,L$1,工数管理!$W$3:$W$98,"&lt;="&amp;$H96,工数管理!$X$3:$X$98,"&gt;="&amp;$H96)+COUNTIFS(工数管理!$AK$3:$AK$98,L$1,工数管理!$Y$3:$Y$98,"&lt;="&amp;$H96,工数管理!$Z$3:$Z$98,"&gt;="&amp;$H96)+COUNTIFS(工数管理!$AK$3:$AK$98,L$1,工数管理!$AA$3:$AA$98,"&lt;="&amp;$H96,工数管理!$AB$3:$AB$98,"&gt;="&amp;$H96)+COUNTIFS(工数管理!$AK$3:$AK$98,L$1,工数管理!$AC$3:$AC$98,"&lt;="&amp;$H96,工数管理!$AD$3:$AD$98,"&gt;="&amp;$H96)+COUNTIFS(工数管理!$AK$3:$AK$98,L$1,工数管理!$AE$3:$AE$98,"&lt;="&amp;$H96,工数管理!$AF$3:$AF$98,"&gt;="&amp;$H96)+COUNTIFS(工数管理!$AK$3:$AK$98,L$1,工数管理!$AG$3:$AG$98,"&lt;="&amp;$H96,工数管理!$AH$3:$AH$98,"&gt;="&amp;$H96)+(COUNTIFS(工数管理!$AK$3:$AK$98,L$1,工数管理!$K$3:$K$98,"&lt;="&amp;$H96,工数管理!$L$3:$L$98,"")+COUNTIFS(工数管理!$AK$3:$AK$98,L$1,工数管理!$M$3:$M$98,"&lt;="&amp;$H96,工数管理!$N$3:$N$98,"")+COUNTIFS(工数管理!$AK$3:$AK$98,L$1,工数管理!$O$3:$O$98,"&lt;="&amp;$H96,工数管理!$P$3:$P$98,"")+COUNTIFS(工数管理!$AK$3:$AK$98,L$1,工数管理!$Q$3:$Q$98,"&lt;="&amp;$H96,工数管理!$R$3:$R$98,"")+COUNTIFS(工数管理!$AK$3:$AK$98,L$1,工数管理!$S$3:$S$98,"&lt;="&amp;$H96,工数管理!$T$3:$T$98,"")+COUNTIFS(工数管理!$AK$3:$AK$98,L$1,工数管理!$U$3:$U$98,"&lt;="&amp;$H96,工数管理!$V$3:$V$98,"")+COUNTIFS(工数管理!$AK$3:$AK$98,L$1,工数管理!$W$3:$W$98,"&lt;="&amp;$H96,工数管理!$X$3:$X$98,"")+COUNTIFS(工数管理!$AK$3:$AK$98,L$1,工数管理!$Y$3:$Y$98,"&lt;="&amp;$H96,工数管理!$Z$3:$Z$98,"")+COUNTIFS(工数管理!$AK$3:$AK$98,L$1,工数管理!$AA$3:$AA$98,"&lt;="&amp;$H96,工数管理!$AB$3:$AB$98,"")+COUNTIFS(工数管理!$AK$3:$AK$98,L$1,工数管理!$AC$3:$AC$98,"&lt;="&amp;$H96,工数管理!$AD$3:$AD$98,"")+COUNTIFS(工数管理!$AK$3:$AK$98,L$1,工数管理!$AE$3:$AE$98,"&lt;="&amp;$H96,工数管理!$AF$3:$AF$98,"")+COUNTIFS(工数管理!$AK$3:$AK$98,L$1,工数管理!$AG$3:$AG$98,"&lt;="&amp;$H96,工数管理!$AH$3:$AH$98,""))*($H96&lt;=工数管理!$AI$1))</f>
        <v>1</v>
      </c>
    </row>
    <row r="97" spans="1:12" x14ac:dyDescent="0.15">
      <c r="A97" s="5"/>
      <c r="B97" s="6"/>
      <c r="H97" s="41">
        <f t="shared" si="3"/>
        <v>46265</v>
      </c>
      <c r="I97" s="42">
        <f t="shared" si="2"/>
        <v>1</v>
      </c>
      <c r="J97" s="42">
        <f ca="1">IF(J$1="",0,COUNTIFS(工数管理!$AK$3:$AK$98,J$1,工数管理!$K$3:$K$98,"&lt;="&amp;$H97,工数管理!$L$3:$L$98,"&gt;="&amp;$H97)+COUNTIFS(工数管理!$AK$3:$AK$98,J$1,工数管理!$M$3:$M$98,"&lt;="&amp;$H97,工数管理!$N$3:$N$98,"&gt;="&amp;$H97)+COUNTIFS(工数管理!$AK$3:$AK$98,J$1,工数管理!$O$3:$O$98,"&lt;="&amp;$H97,工数管理!$P$3:$P$98,"&gt;="&amp;$H97)+COUNTIFS(工数管理!$AK$3:$AK$98,J$1,工数管理!$Q$3:$Q$98,"&lt;="&amp;$H97,工数管理!$R$3:$R$98,"&gt;="&amp;$H97)+COUNTIFS(工数管理!$AK$3:$AK$98,J$1,工数管理!$S$3:$S$98,"&lt;="&amp;$H97,工数管理!$T$3:$T$98,"&gt;="&amp;$H97)+COUNTIFS(工数管理!$AK$3:$AK$98,J$1,工数管理!$U$3:$U$98,"&lt;="&amp;$H97,工数管理!$V$3:$V$98,"&gt;="&amp;$H97)+COUNTIFS(工数管理!$AK$3:$AK$98,J$1,工数管理!$W$3:$W$98,"&lt;="&amp;$H97,工数管理!$X$3:$X$98,"&gt;="&amp;$H97)+COUNTIFS(工数管理!$AK$3:$AK$98,J$1,工数管理!$Y$3:$Y$98,"&lt;="&amp;$H97,工数管理!$Z$3:$Z$98,"&gt;="&amp;$H97)+COUNTIFS(工数管理!$AK$3:$AK$98,J$1,工数管理!$AA$3:$AA$98,"&lt;="&amp;$H97,工数管理!$AB$3:$AB$98,"&gt;="&amp;$H97)+COUNTIFS(工数管理!$AK$3:$AK$98,J$1,工数管理!$AC$3:$AC$98,"&lt;="&amp;$H97,工数管理!$AD$3:$AD$98,"&gt;="&amp;$H97)+COUNTIFS(工数管理!$AK$3:$AK$98,J$1,工数管理!$AE$3:$AE$98,"&lt;="&amp;$H97,工数管理!$AF$3:$AF$98,"&gt;="&amp;$H97)+COUNTIFS(工数管理!$AK$3:$AK$98,J$1,工数管理!$AG$3:$AG$98,"&lt;="&amp;$H97,工数管理!$AH$3:$AH$98,"&gt;="&amp;$H97)+(COUNTIFS(工数管理!$AK$3:$AK$98,J$1,工数管理!$K$3:$K$98,"&lt;="&amp;$H97,工数管理!$L$3:$L$98,"")+COUNTIFS(工数管理!$AK$3:$AK$98,J$1,工数管理!$M$3:$M$98,"&lt;="&amp;$H97,工数管理!$N$3:$N$98,"")+COUNTIFS(工数管理!$AK$3:$AK$98,J$1,工数管理!$O$3:$O$98,"&lt;="&amp;$H97,工数管理!$P$3:$P$98,"")+COUNTIFS(工数管理!$AK$3:$AK$98,J$1,工数管理!$Q$3:$Q$98,"&lt;="&amp;$H97,工数管理!$R$3:$R$98,"")+COUNTIFS(工数管理!$AK$3:$AK$98,J$1,工数管理!$S$3:$S$98,"&lt;="&amp;$H97,工数管理!$T$3:$T$98,"")+COUNTIFS(工数管理!$AK$3:$AK$98,J$1,工数管理!$U$3:$U$98,"&lt;="&amp;$H97,工数管理!$V$3:$V$98,"")+COUNTIFS(工数管理!$AK$3:$AK$98,J$1,工数管理!$W$3:$W$98,"&lt;="&amp;$H97,工数管理!$X$3:$X$98,"")+COUNTIFS(工数管理!$AK$3:$AK$98,J$1,工数管理!$Y$3:$Y$98,"&lt;="&amp;$H97,工数管理!$Z$3:$Z$98,"")+COUNTIFS(工数管理!$AK$3:$AK$98,J$1,工数管理!$AA$3:$AA$98,"&lt;="&amp;$H97,工数管理!$AB$3:$AB$98,"")+COUNTIFS(工数管理!$AK$3:$AK$98,J$1,工数管理!$AC$3:$AC$98,"&lt;="&amp;$H97,工数管理!$AD$3:$AD$98,"")+COUNTIFS(工数管理!$AK$3:$AK$98,J$1,工数管理!$AE$3:$AE$98,"&lt;="&amp;$H97,工数管理!$AF$3:$AF$98,"")+COUNTIFS(工数管理!$AK$3:$AK$98,J$1,工数管理!$AG$3:$AG$98,"&lt;="&amp;$H97,工数管理!$AH$3:$AH$98,""))*($H97&lt;=工数管理!$AI$1))</f>
        <v>1</v>
      </c>
      <c r="K97" s="42">
        <f ca="1">IF(K$1="",0,COUNTIFS(工数管理!$AK$3:$AK$98,K$1,工数管理!$K$3:$K$98,"&lt;="&amp;$H97,工数管理!$L$3:$L$98,"&gt;="&amp;$H97)+COUNTIFS(工数管理!$AK$3:$AK$98,K$1,工数管理!$M$3:$M$98,"&lt;="&amp;$H97,工数管理!$N$3:$N$98,"&gt;="&amp;$H97)+COUNTIFS(工数管理!$AK$3:$AK$98,K$1,工数管理!$O$3:$O$98,"&lt;="&amp;$H97,工数管理!$P$3:$P$98,"&gt;="&amp;$H97)+COUNTIFS(工数管理!$AK$3:$AK$98,K$1,工数管理!$Q$3:$Q$98,"&lt;="&amp;$H97,工数管理!$R$3:$R$98,"&gt;="&amp;$H97)+COUNTIFS(工数管理!$AK$3:$AK$98,K$1,工数管理!$S$3:$S$98,"&lt;="&amp;$H97,工数管理!$T$3:$T$98,"&gt;="&amp;$H97)+COUNTIFS(工数管理!$AK$3:$AK$98,K$1,工数管理!$U$3:$U$98,"&lt;="&amp;$H97,工数管理!$V$3:$V$98,"&gt;="&amp;$H97)+COUNTIFS(工数管理!$AK$3:$AK$98,K$1,工数管理!$W$3:$W$98,"&lt;="&amp;$H97,工数管理!$X$3:$X$98,"&gt;="&amp;$H97)+COUNTIFS(工数管理!$AK$3:$AK$98,K$1,工数管理!$Y$3:$Y$98,"&lt;="&amp;$H97,工数管理!$Z$3:$Z$98,"&gt;="&amp;$H97)+COUNTIFS(工数管理!$AK$3:$AK$98,K$1,工数管理!$AA$3:$AA$98,"&lt;="&amp;$H97,工数管理!$AB$3:$AB$98,"&gt;="&amp;$H97)+COUNTIFS(工数管理!$AK$3:$AK$98,K$1,工数管理!$AC$3:$AC$98,"&lt;="&amp;$H97,工数管理!$AD$3:$AD$98,"&gt;="&amp;$H97)+COUNTIFS(工数管理!$AK$3:$AK$98,K$1,工数管理!$AE$3:$AE$98,"&lt;="&amp;$H97,工数管理!$AF$3:$AF$98,"&gt;="&amp;$H97)+COUNTIFS(工数管理!$AK$3:$AK$98,K$1,工数管理!$AG$3:$AG$98,"&lt;="&amp;$H97,工数管理!$AH$3:$AH$98,"&gt;="&amp;$H97)+(COUNTIFS(工数管理!$AK$3:$AK$98,K$1,工数管理!$K$3:$K$98,"&lt;="&amp;$H97,工数管理!$L$3:$L$98,"")+COUNTIFS(工数管理!$AK$3:$AK$98,K$1,工数管理!$M$3:$M$98,"&lt;="&amp;$H97,工数管理!$N$3:$N$98,"")+COUNTIFS(工数管理!$AK$3:$AK$98,K$1,工数管理!$O$3:$O$98,"&lt;="&amp;$H97,工数管理!$P$3:$P$98,"")+COUNTIFS(工数管理!$AK$3:$AK$98,K$1,工数管理!$Q$3:$Q$98,"&lt;="&amp;$H97,工数管理!$R$3:$R$98,"")+COUNTIFS(工数管理!$AK$3:$AK$98,K$1,工数管理!$S$3:$S$98,"&lt;="&amp;$H97,工数管理!$T$3:$T$98,"")+COUNTIFS(工数管理!$AK$3:$AK$98,K$1,工数管理!$U$3:$U$98,"&lt;="&amp;$H97,工数管理!$V$3:$V$98,"")+COUNTIFS(工数管理!$AK$3:$AK$98,K$1,工数管理!$W$3:$W$98,"&lt;="&amp;$H97,工数管理!$X$3:$X$98,"")+COUNTIFS(工数管理!$AK$3:$AK$98,K$1,工数管理!$Y$3:$Y$98,"&lt;="&amp;$H97,工数管理!$Z$3:$Z$98,"")+COUNTIFS(工数管理!$AK$3:$AK$98,K$1,工数管理!$AA$3:$AA$98,"&lt;="&amp;$H97,工数管理!$AB$3:$AB$98,"")+COUNTIFS(工数管理!$AK$3:$AK$98,K$1,工数管理!$AC$3:$AC$98,"&lt;="&amp;$H97,工数管理!$AD$3:$AD$98,"")+COUNTIFS(工数管理!$AK$3:$AK$98,K$1,工数管理!$AE$3:$AE$98,"&lt;="&amp;$H97,工数管理!$AF$3:$AF$98,"")+COUNTIFS(工数管理!$AK$3:$AK$98,K$1,工数管理!$AG$3:$AG$98,"&lt;="&amp;$H97,工数管理!$AH$3:$AH$98,""))*($H97&lt;=工数管理!$AI$1))</f>
        <v>1</v>
      </c>
      <c r="L97" s="42">
        <f ca="1">IF(L$1="",0,COUNTIFS(工数管理!$AK$3:$AK$98,L$1,工数管理!$K$3:$K$98,"&lt;="&amp;$H97,工数管理!$L$3:$L$98,"&gt;="&amp;$H97)+COUNTIFS(工数管理!$AK$3:$AK$98,L$1,工数管理!$M$3:$M$98,"&lt;="&amp;$H97,工数管理!$N$3:$N$98,"&gt;="&amp;$H97)+COUNTIFS(工数管理!$AK$3:$AK$98,L$1,工数管理!$O$3:$O$98,"&lt;="&amp;$H97,工数管理!$P$3:$P$98,"&gt;="&amp;$H97)+COUNTIFS(工数管理!$AK$3:$AK$98,L$1,工数管理!$Q$3:$Q$98,"&lt;="&amp;$H97,工数管理!$R$3:$R$98,"&gt;="&amp;$H97)+COUNTIFS(工数管理!$AK$3:$AK$98,L$1,工数管理!$S$3:$S$98,"&lt;="&amp;$H97,工数管理!$T$3:$T$98,"&gt;="&amp;$H97)+COUNTIFS(工数管理!$AK$3:$AK$98,L$1,工数管理!$U$3:$U$98,"&lt;="&amp;$H97,工数管理!$V$3:$V$98,"&gt;="&amp;$H97)+COUNTIFS(工数管理!$AK$3:$AK$98,L$1,工数管理!$W$3:$W$98,"&lt;="&amp;$H97,工数管理!$X$3:$X$98,"&gt;="&amp;$H97)+COUNTIFS(工数管理!$AK$3:$AK$98,L$1,工数管理!$Y$3:$Y$98,"&lt;="&amp;$H97,工数管理!$Z$3:$Z$98,"&gt;="&amp;$H97)+COUNTIFS(工数管理!$AK$3:$AK$98,L$1,工数管理!$AA$3:$AA$98,"&lt;="&amp;$H97,工数管理!$AB$3:$AB$98,"&gt;="&amp;$H97)+COUNTIFS(工数管理!$AK$3:$AK$98,L$1,工数管理!$AC$3:$AC$98,"&lt;="&amp;$H97,工数管理!$AD$3:$AD$98,"&gt;="&amp;$H97)+COUNTIFS(工数管理!$AK$3:$AK$98,L$1,工数管理!$AE$3:$AE$98,"&lt;="&amp;$H97,工数管理!$AF$3:$AF$98,"&gt;="&amp;$H97)+COUNTIFS(工数管理!$AK$3:$AK$98,L$1,工数管理!$AG$3:$AG$98,"&lt;="&amp;$H97,工数管理!$AH$3:$AH$98,"&gt;="&amp;$H97)+(COUNTIFS(工数管理!$AK$3:$AK$98,L$1,工数管理!$K$3:$K$98,"&lt;="&amp;$H97,工数管理!$L$3:$L$98,"")+COUNTIFS(工数管理!$AK$3:$AK$98,L$1,工数管理!$M$3:$M$98,"&lt;="&amp;$H97,工数管理!$N$3:$N$98,"")+COUNTIFS(工数管理!$AK$3:$AK$98,L$1,工数管理!$O$3:$O$98,"&lt;="&amp;$H97,工数管理!$P$3:$P$98,"")+COUNTIFS(工数管理!$AK$3:$AK$98,L$1,工数管理!$Q$3:$Q$98,"&lt;="&amp;$H97,工数管理!$R$3:$R$98,"")+COUNTIFS(工数管理!$AK$3:$AK$98,L$1,工数管理!$S$3:$S$98,"&lt;="&amp;$H97,工数管理!$T$3:$T$98,"")+COUNTIFS(工数管理!$AK$3:$AK$98,L$1,工数管理!$U$3:$U$98,"&lt;="&amp;$H97,工数管理!$V$3:$V$98,"")+COUNTIFS(工数管理!$AK$3:$AK$98,L$1,工数管理!$W$3:$W$98,"&lt;="&amp;$H97,工数管理!$X$3:$X$98,"")+COUNTIFS(工数管理!$AK$3:$AK$98,L$1,工数管理!$Y$3:$Y$98,"&lt;="&amp;$H97,工数管理!$Z$3:$Z$98,"")+COUNTIFS(工数管理!$AK$3:$AK$98,L$1,工数管理!$AA$3:$AA$98,"&lt;="&amp;$H97,工数管理!$AB$3:$AB$98,"")+COUNTIFS(工数管理!$AK$3:$AK$98,L$1,工数管理!$AC$3:$AC$98,"&lt;="&amp;$H97,工数管理!$AD$3:$AD$98,"")+COUNTIFS(工数管理!$AK$3:$AK$98,L$1,工数管理!$AE$3:$AE$98,"&lt;="&amp;$H97,工数管理!$AF$3:$AF$98,"")+COUNTIFS(工数管理!$AK$3:$AK$98,L$1,工数管理!$AG$3:$AG$98,"&lt;="&amp;$H97,工数管理!$AH$3:$AH$98,""))*($H97&lt;=工数管理!$AI$1))</f>
        <v>1</v>
      </c>
    </row>
    <row r="98" spans="1:12" x14ac:dyDescent="0.15">
      <c r="A98" s="5"/>
      <c r="B98" s="6"/>
      <c r="H98" s="41">
        <f t="shared" si="3"/>
        <v>46266</v>
      </c>
      <c r="I98" s="42">
        <f t="shared" si="2"/>
        <v>1</v>
      </c>
      <c r="J98" s="42">
        <f ca="1">IF(J$1="",0,COUNTIFS(工数管理!$AK$3:$AK$98,J$1,工数管理!$K$3:$K$98,"&lt;="&amp;$H98,工数管理!$L$3:$L$98,"&gt;="&amp;$H98)+COUNTIFS(工数管理!$AK$3:$AK$98,J$1,工数管理!$M$3:$M$98,"&lt;="&amp;$H98,工数管理!$N$3:$N$98,"&gt;="&amp;$H98)+COUNTIFS(工数管理!$AK$3:$AK$98,J$1,工数管理!$O$3:$O$98,"&lt;="&amp;$H98,工数管理!$P$3:$P$98,"&gt;="&amp;$H98)+COUNTIFS(工数管理!$AK$3:$AK$98,J$1,工数管理!$Q$3:$Q$98,"&lt;="&amp;$H98,工数管理!$R$3:$R$98,"&gt;="&amp;$H98)+COUNTIFS(工数管理!$AK$3:$AK$98,J$1,工数管理!$S$3:$S$98,"&lt;="&amp;$H98,工数管理!$T$3:$T$98,"&gt;="&amp;$H98)+COUNTIFS(工数管理!$AK$3:$AK$98,J$1,工数管理!$U$3:$U$98,"&lt;="&amp;$H98,工数管理!$V$3:$V$98,"&gt;="&amp;$H98)+COUNTIFS(工数管理!$AK$3:$AK$98,J$1,工数管理!$W$3:$W$98,"&lt;="&amp;$H98,工数管理!$X$3:$X$98,"&gt;="&amp;$H98)+COUNTIFS(工数管理!$AK$3:$AK$98,J$1,工数管理!$Y$3:$Y$98,"&lt;="&amp;$H98,工数管理!$Z$3:$Z$98,"&gt;="&amp;$H98)+COUNTIFS(工数管理!$AK$3:$AK$98,J$1,工数管理!$AA$3:$AA$98,"&lt;="&amp;$H98,工数管理!$AB$3:$AB$98,"&gt;="&amp;$H98)+COUNTIFS(工数管理!$AK$3:$AK$98,J$1,工数管理!$AC$3:$AC$98,"&lt;="&amp;$H98,工数管理!$AD$3:$AD$98,"&gt;="&amp;$H98)+COUNTIFS(工数管理!$AK$3:$AK$98,J$1,工数管理!$AE$3:$AE$98,"&lt;="&amp;$H98,工数管理!$AF$3:$AF$98,"&gt;="&amp;$H98)+COUNTIFS(工数管理!$AK$3:$AK$98,J$1,工数管理!$AG$3:$AG$98,"&lt;="&amp;$H98,工数管理!$AH$3:$AH$98,"&gt;="&amp;$H98)+(COUNTIFS(工数管理!$AK$3:$AK$98,J$1,工数管理!$K$3:$K$98,"&lt;="&amp;$H98,工数管理!$L$3:$L$98,"")+COUNTIFS(工数管理!$AK$3:$AK$98,J$1,工数管理!$M$3:$M$98,"&lt;="&amp;$H98,工数管理!$N$3:$N$98,"")+COUNTIFS(工数管理!$AK$3:$AK$98,J$1,工数管理!$O$3:$O$98,"&lt;="&amp;$H98,工数管理!$P$3:$P$98,"")+COUNTIFS(工数管理!$AK$3:$AK$98,J$1,工数管理!$Q$3:$Q$98,"&lt;="&amp;$H98,工数管理!$R$3:$R$98,"")+COUNTIFS(工数管理!$AK$3:$AK$98,J$1,工数管理!$S$3:$S$98,"&lt;="&amp;$H98,工数管理!$T$3:$T$98,"")+COUNTIFS(工数管理!$AK$3:$AK$98,J$1,工数管理!$U$3:$U$98,"&lt;="&amp;$H98,工数管理!$V$3:$V$98,"")+COUNTIFS(工数管理!$AK$3:$AK$98,J$1,工数管理!$W$3:$W$98,"&lt;="&amp;$H98,工数管理!$X$3:$X$98,"")+COUNTIFS(工数管理!$AK$3:$AK$98,J$1,工数管理!$Y$3:$Y$98,"&lt;="&amp;$H98,工数管理!$Z$3:$Z$98,"")+COUNTIFS(工数管理!$AK$3:$AK$98,J$1,工数管理!$AA$3:$AA$98,"&lt;="&amp;$H98,工数管理!$AB$3:$AB$98,"")+COUNTIFS(工数管理!$AK$3:$AK$98,J$1,工数管理!$AC$3:$AC$98,"&lt;="&amp;$H98,工数管理!$AD$3:$AD$98,"")+COUNTIFS(工数管理!$AK$3:$AK$98,J$1,工数管理!$AE$3:$AE$98,"&lt;="&amp;$H98,工数管理!$AF$3:$AF$98,"")+COUNTIFS(工数管理!$AK$3:$AK$98,J$1,工数管理!$AG$3:$AG$98,"&lt;="&amp;$H98,工数管理!$AH$3:$AH$98,""))*($H98&lt;=工数管理!$AI$1))</f>
        <v>1</v>
      </c>
      <c r="K98" s="42">
        <f ca="1">IF(K$1="",0,COUNTIFS(工数管理!$AK$3:$AK$98,K$1,工数管理!$K$3:$K$98,"&lt;="&amp;$H98,工数管理!$L$3:$L$98,"&gt;="&amp;$H98)+COUNTIFS(工数管理!$AK$3:$AK$98,K$1,工数管理!$M$3:$M$98,"&lt;="&amp;$H98,工数管理!$N$3:$N$98,"&gt;="&amp;$H98)+COUNTIFS(工数管理!$AK$3:$AK$98,K$1,工数管理!$O$3:$O$98,"&lt;="&amp;$H98,工数管理!$P$3:$P$98,"&gt;="&amp;$H98)+COUNTIFS(工数管理!$AK$3:$AK$98,K$1,工数管理!$Q$3:$Q$98,"&lt;="&amp;$H98,工数管理!$R$3:$R$98,"&gt;="&amp;$H98)+COUNTIFS(工数管理!$AK$3:$AK$98,K$1,工数管理!$S$3:$S$98,"&lt;="&amp;$H98,工数管理!$T$3:$T$98,"&gt;="&amp;$H98)+COUNTIFS(工数管理!$AK$3:$AK$98,K$1,工数管理!$U$3:$U$98,"&lt;="&amp;$H98,工数管理!$V$3:$V$98,"&gt;="&amp;$H98)+COUNTIFS(工数管理!$AK$3:$AK$98,K$1,工数管理!$W$3:$W$98,"&lt;="&amp;$H98,工数管理!$X$3:$X$98,"&gt;="&amp;$H98)+COUNTIFS(工数管理!$AK$3:$AK$98,K$1,工数管理!$Y$3:$Y$98,"&lt;="&amp;$H98,工数管理!$Z$3:$Z$98,"&gt;="&amp;$H98)+COUNTIFS(工数管理!$AK$3:$AK$98,K$1,工数管理!$AA$3:$AA$98,"&lt;="&amp;$H98,工数管理!$AB$3:$AB$98,"&gt;="&amp;$H98)+COUNTIFS(工数管理!$AK$3:$AK$98,K$1,工数管理!$AC$3:$AC$98,"&lt;="&amp;$H98,工数管理!$AD$3:$AD$98,"&gt;="&amp;$H98)+COUNTIFS(工数管理!$AK$3:$AK$98,K$1,工数管理!$AE$3:$AE$98,"&lt;="&amp;$H98,工数管理!$AF$3:$AF$98,"&gt;="&amp;$H98)+COUNTIFS(工数管理!$AK$3:$AK$98,K$1,工数管理!$AG$3:$AG$98,"&lt;="&amp;$H98,工数管理!$AH$3:$AH$98,"&gt;="&amp;$H98)+(COUNTIFS(工数管理!$AK$3:$AK$98,K$1,工数管理!$K$3:$K$98,"&lt;="&amp;$H98,工数管理!$L$3:$L$98,"")+COUNTIFS(工数管理!$AK$3:$AK$98,K$1,工数管理!$M$3:$M$98,"&lt;="&amp;$H98,工数管理!$N$3:$N$98,"")+COUNTIFS(工数管理!$AK$3:$AK$98,K$1,工数管理!$O$3:$O$98,"&lt;="&amp;$H98,工数管理!$P$3:$P$98,"")+COUNTIFS(工数管理!$AK$3:$AK$98,K$1,工数管理!$Q$3:$Q$98,"&lt;="&amp;$H98,工数管理!$R$3:$R$98,"")+COUNTIFS(工数管理!$AK$3:$AK$98,K$1,工数管理!$S$3:$S$98,"&lt;="&amp;$H98,工数管理!$T$3:$T$98,"")+COUNTIFS(工数管理!$AK$3:$AK$98,K$1,工数管理!$U$3:$U$98,"&lt;="&amp;$H98,工数管理!$V$3:$V$98,"")+COUNTIFS(工数管理!$AK$3:$AK$98,K$1,工数管理!$W$3:$W$98,"&lt;="&amp;$H98,工数管理!$X$3:$X$98,"")+COUNTIFS(工数管理!$AK$3:$AK$98,K$1,工数管理!$Y$3:$Y$98,"&lt;="&amp;$H98,工数管理!$Z$3:$Z$98,"")+COUNTIFS(工数管理!$AK$3:$AK$98,K$1,工数管理!$AA$3:$AA$98,"&lt;="&amp;$H98,工数管理!$AB$3:$AB$98,"")+COUNTIFS(工数管理!$AK$3:$AK$98,K$1,工数管理!$AC$3:$AC$98,"&lt;="&amp;$H98,工数管理!$AD$3:$AD$98,"")+COUNTIFS(工数管理!$AK$3:$AK$98,K$1,工数管理!$AE$3:$AE$98,"&lt;="&amp;$H98,工数管理!$AF$3:$AF$98,"")+COUNTIFS(工数管理!$AK$3:$AK$98,K$1,工数管理!$AG$3:$AG$98,"&lt;="&amp;$H98,工数管理!$AH$3:$AH$98,""))*($H98&lt;=工数管理!$AI$1))</f>
        <v>1</v>
      </c>
      <c r="L98" s="42">
        <f ca="1">IF(L$1="",0,COUNTIFS(工数管理!$AK$3:$AK$98,L$1,工数管理!$K$3:$K$98,"&lt;="&amp;$H98,工数管理!$L$3:$L$98,"&gt;="&amp;$H98)+COUNTIFS(工数管理!$AK$3:$AK$98,L$1,工数管理!$M$3:$M$98,"&lt;="&amp;$H98,工数管理!$N$3:$N$98,"&gt;="&amp;$H98)+COUNTIFS(工数管理!$AK$3:$AK$98,L$1,工数管理!$O$3:$O$98,"&lt;="&amp;$H98,工数管理!$P$3:$P$98,"&gt;="&amp;$H98)+COUNTIFS(工数管理!$AK$3:$AK$98,L$1,工数管理!$Q$3:$Q$98,"&lt;="&amp;$H98,工数管理!$R$3:$R$98,"&gt;="&amp;$H98)+COUNTIFS(工数管理!$AK$3:$AK$98,L$1,工数管理!$S$3:$S$98,"&lt;="&amp;$H98,工数管理!$T$3:$T$98,"&gt;="&amp;$H98)+COUNTIFS(工数管理!$AK$3:$AK$98,L$1,工数管理!$U$3:$U$98,"&lt;="&amp;$H98,工数管理!$V$3:$V$98,"&gt;="&amp;$H98)+COUNTIFS(工数管理!$AK$3:$AK$98,L$1,工数管理!$W$3:$W$98,"&lt;="&amp;$H98,工数管理!$X$3:$X$98,"&gt;="&amp;$H98)+COUNTIFS(工数管理!$AK$3:$AK$98,L$1,工数管理!$Y$3:$Y$98,"&lt;="&amp;$H98,工数管理!$Z$3:$Z$98,"&gt;="&amp;$H98)+COUNTIFS(工数管理!$AK$3:$AK$98,L$1,工数管理!$AA$3:$AA$98,"&lt;="&amp;$H98,工数管理!$AB$3:$AB$98,"&gt;="&amp;$H98)+COUNTIFS(工数管理!$AK$3:$AK$98,L$1,工数管理!$AC$3:$AC$98,"&lt;="&amp;$H98,工数管理!$AD$3:$AD$98,"&gt;="&amp;$H98)+COUNTIFS(工数管理!$AK$3:$AK$98,L$1,工数管理!$AE$3:$AE$98,"&lt;="&amp;$H98,工数管理!$AF$3:$AF$98,"&gt;="&amp;$H98)+COUNTIFS(工数管理!$AK$3:$AK$98,L$1,工数管理!$AG$3:$AG$98,"&lt;="&amp;$H98,工数管理!$AH$3:$AH$98,"&gt;="&amp;$H98)+(COUNTIFS(工数管理!$AK$3:$AK$98,L$1,工数管理!$K$3:$K$98,"&lt;="&amp;$H98,工数管理!$L$3:$L$98,"")+COUNTIFS(工数管理!$AK$3:$AK$98,L$1,工数管理!$M$3:$M$98,"&lt;="&amp;$H98,工数管理!$N$3:$N$98,"")+COUNTIFS(工数管理!$AK$3:$AK$98,L$1,工数管理!$O$3:$O$98,"&lt;="&amp;$H98,工数管理!$P$3:$P$98,"")+COUNTIFS(工数管理!$AK$3:$AK$98,L$1,工数管理!$Q$3:$Q$98,"&lt;="&amp;$H98,工数管理!$R$3:$R$98,"")+COUNTIFS(工数管理!$AK$3:$AK$98,L$1,工数管理!$S$3:$S$98,"&lt;="&amp;$H98,工数管理!$T$3:$T$98,"")+COUNTIFS(工数管理!$AK$3:$AK$98,L$1,工数管理!$U$3:$U$98,"&lt;="&amp;$H98,工数管理!$V$3:$V$98,"")+COUNTIFS(工数管理!$AK$3:$AK$98,L$1,工数管理!$W$3:$W$98,"&lt;="&amp;$H98,工数管理!$X$3:$X$98,"")+COUNTIFS(工数管理!$AK$3:$AK$98,L$1,工数管理!$Y$3:$Y$98,"&lt;="&amp;$H98,工数管理!$Z$3:$Z$98,"")+COUNTIFS(工数管理!$AK$3:$AK$98,L$1,工数管理!$AA$3:$AA$98,"&lt;="&amp;$H98,工数管理!$AB$3:$AB$98,"")+COUNTIFS(工数管理!$AK$3:$AK$98,L$1,工数管理!$AC$3:$AC$98,"&lt;="&amp;$H98,工数管理!$AD$3:$AD$98,"")+COUNTIFS(工数管理!$AK$3:$AK$98,L$1,工数管理!$AE$3:$AE$98,"&lt;="&amp;$H98,工数管理!$AF$3:$AF$98,"")+COUNTIFS(工数管理!$AK$3:$AK$98,L$1,工数管理!$AG$3:$AG$98,"&lt;="&amp;$H98,工数管理!$AH$3:$AH$98,""))*($H98&lt;=工数管理!$AI$1))</f>
        <v>1</v>
      </c>
    </row>
    <row r="99" spans="1:12" x14ac:dyDescent="0.15">
      <c r="A99" s="5"/>
      <c r="B99" s="6"/>
      <c r="H99" s="41">
        <f t="shared" si="3"/>
        <v>46267</v>
      </c>
      <c r="I99" s="42">
        <f t="shared" si="2"/>
        <v>1</v>
      </c>
      <c r="J99" s="42">
        <f ca="1">IF(J$1="",0,COUNTIFS(工数管理!$AK$3:$AK$98,J$1,工数管理!$K$3:$K$98,"&lt;="&amp;$H99,工数管理!$L$3:$L$98,"&gt;="&amp;$H99)+COUNTIFS(工数管理!$AK$3:$AK$98,J$1,工数管理!$M$3:$M$98,"&lt;="&amp;$H99,工数管理!$N$3:$N$98,"&gt;="&amp;$H99)+COUNTIFS(工数管理!$AK$3:$AK$98,J$1,工数管理!$O$3:$O$98,"&lt;="&amp;$H99,工数管理!$P$3:$P$98,"&gt;="&amp;$H99)+COUNTIFS(工数管理!$AK$3:$AK$98,J$1,工数管理!$Q$3:$Q$98,"&lt;="&amp;$H99,工数管理!$R$3:$R$98,"&gt;="&amp;$H99)+COUNTIFS(工数管理!$AK$3:$AK$98,J$1,工数管理!$S$3:$S$98,"&lt;="&amp;$H99,工数管理!$T$3:$T$98,"&gt;="&amp;$H99)+COUNTIFS(工数管理!$AK$3:$AK$98,J$1,工数管理!$U$3:$U$98,"&lt;="&amp;$H99,工数管理!$V$3:$V$98,"&gt;="&amp;$H99)+COUNTIFS(工数管理!$AK$3:$AK$98,J$1,工数管理!$W$3:$W$98,"&lt;="&amp;$H99,工数管理!$X$3:$X$98,"&gt;="&amp;$H99)+COUNTIFS(工数管理!$AK$3:$AK$98,J$1,工数管理!$Y$3:$Y$98,"&lt;="&amp;$H99,工数管理!$Z$3:$Z$98,"&gt;="&amp;$H99)+COUNTIFS(工数管理!$AK$3:$AK$98,J$1,工数管理!$AA$3:$AA$98,"&lt;="&amp;$H99,工数管理!$AB$3:$AB$98,"&gt;="&amp;$H99)+COUNTIFS(工数管理!$AK$3:$AK$98,J$1,工数管理!$AC$3:$AC$98,"&lt;="&amp;$H99,工数管理!$AD$3:$AD$98,"&gt;="&amp;$H99)+COUNTIFS(工数管理!$AK$3:$AK$98,J$1,工数管理!$AE$3:$AE$98,"&lt;="&amp;$H99,工数管理!$AF$3:$AF$98,"&gt;="&amp;$H99)+COUNTIFS(工数管理!$AK$3:$AK$98,J$1,工数管理!$AG$3:$AG$98,"&lt;="&amp;$H99,工数管理!$AH$3:$AH$98,"&gt;="&amp;$H99)+(COUNTIFS(工数管理!$AK$3:$AK$98,J$1,工数管理!$K$3:$K$98,"&lt;="&amp;$H99,工数管理!$L$3:$L$98,"")+COUNTIFS(工数管理!$AK$3:$AK$98,J$1,工数管理!$M$3:$M$98,"&lt;="&amp;$H99,工数管理!$N$3:$N$98,"")+COUNTIFS(工数管理!$AK$3:$AK$98,J$1,工数管理!$O$3:$O$98,"&lt;="&amp;$H99,工数管理!$P$3:$P$98,"")+COUNTIFS(工数管理!$AK$3:$AK$98,J$1,工数管理!$Q$3:$Q$98,"&lt;="&amp;$H99,工数管理!$R$3:$R$98,"")+COUNTIFS(工数管理!$AK$3:$AK$98,J$1,工数管理!$S$3:$S$98,"&lt;="&amp;$H99,工数管理!$T$3:$T$98,"")+COUNTIFS(工数管理!$AK$3:$AK$98,J$1,工数管理!$U$3:$U$98,"&lt;="&amp;$H99,工数管理!$V$3:$V$98,"")+COUNTIFS(工数管理!$AK$3:$AK$98,J$1,工数管理!$W$3:$W$98,"&lt;="&amp;$H99,工数管理!$X$3:$X$98,"")+COUNTIFS(工数管理!$AK$3:$AK$98,J$1,工数管理!$Y$3:$Y$98,"&lt;="&amp;$H99,工数管理!$Z$3:$Z$98,"")+COUNTIFS(工数管理!$AK$3:$AK$98,J$1,工数管理!$AA$3:$AA$98,"&lt;="&amp;$H99,工数管理!$AB$3:$AB$98,"")+COUNTIFS(工数管理!$AK$3:$AK$98,J$1,工数管理!$AC$3:$AC$98,"&lt;="&amp;$H99,工数管理!$AD$3:$AD$98,"")+COUNTIFS(工数管理!$AK$3:$AK$98,J$1,工数管理!$AE$3:$AE$98,"&lt;="&amp;$H99,工数管理!$AF$3:$AF$98,"")+COUNTIFS(工数管理!$AK$3:$AK$98,J$1,工数管理!$AG$3:$AG$98,"&lt;="&amp;$H99,工数管理!$AH$3:$AH$98,""))*($H99&lt;=工数管理!$AI$1))</f>
        <v>1</v>
      </c>
      <c r="K99" s="42">
        <f ca="1">IF(K$1="",0,COUNTIFS(工数管理!$AK$3:$AK$98,K$1,工数管理!$K$3:$K$98,"&lt;="&amp;$H99,工数管理!$L$3:$L$98,"&gt;="&amp;$H99)+COUNTIFS(工数管理!$AK$3:$AK$98,K$1,工数管理!$M$3:$M$98,"&lt;="&amp;$H99,工数管理!$N$3:$N$98,"&gt;="&amp;$H99)+COUNTIFS(工数管理!$AK$3:$AK$98,K$1,工数管理!$O$3:$O$98,"&lt;="&amp;$H99,工数管理!$P$3:$P$98,"&gt;="&amp;$H99)+COUNTIFS(工数管理!$AK$3:$AK$98,K$1,工数管理!$Q$3:$Q$98,"&lt;="&amp;$H99,工数管理!$R$3:$R$98,"&gt;="&amp;$H99)+COUNTIFS(工数管理!$AK$3:$AK$98,K$1,工数管理!$S$3:$S$98,"&lt;="&amp;$H99,工数管理!$T$3:$T$98,"&gt;="&amp;$H99)+COUNTIFS(工数管理!$AK$3:$AK$98,K$1,工数管理!$U$3:$U$98,"&lt;="&amp;$H99,工数管理!$V$3:$V$98,"&gt;="&amp;$H99)+COUNTIFS(工数管理!$AK$3:$AK$98,K$1,工数管理!$W$3:$W$98,"&lt;="&amp;$H99,工数管理!$X$3:$X$98,"&gt;="&amp;$H99)+COUNTIFS(工数管理!$AK$3:$AK$98,K$1,工数管理!$Y$3:$Y$98,"&lt;="&amp;$H99,工数管理!$Z$3:$Z$98,"&gt;="&amp;$H99)+COUNTIFS(工数管理!$AK$3:$AK$98,K$1,工数管理!$AA$3:$AA$98,"&lt;="&amp;$H99,工数管理!$AB$3:$AB$98,"&gt;="&amp;$H99)+COUNTIFS(工数管理!$AK$3:$AK$98,K$1,工数管理!$AC$3:$AC$98,"&lt;="&amp;$H99,工数管理!$AD$3:$AD$98,"&gt;="&amp;$H99)+COUNTIFS(工数管理!$AK$3:$AK$98,K$1,工数管理!$AE$3:$AE$98,"&lt;="&amp;$H99,工数管理!$AF$3:$AF$98,"&gt;="&amp;$H99)+COUNTIFS(工数管理!$AK$3:$AK$98,K$1,工数管理!$AG$3:$AG$98,"&lt;="&amp;$H99,工数管理!$AH$3:$AH$98,"&gt;="&amp;$H99)+(COUNTIFS(工数管理!$AK$3:$AK$98,K$1,工数管理!$K$3:$K$98,"&lt;="&amp;$H99,工数管理!$L$3:$L$98,"")+COUNTIFS(工数管理!$AK$3:$AK$98,K$1,工数管理!$M$3:$M$98,"&lt;="&amp;$H99,工数管理!$N$3:$N$98,"")+COUNTIFS(工数管理!$AK$3:$AK$98,K$1,工数管理!$O$3:$O$98,"&lt;="&amp;$H99,工数管理!$P$3:$P$98,"")+COUNTIFS(工数管理!$AK$3:$AK$98,K$1,工数管理!$Q$3:$Q$98,"&lt;="&amp;$H99,工数管理!$R$3:$R$98,"")+COUNTIFS(工数管理!$AK$3:$AK$98,K$1,工数管理!$S$3:$S$98,"&lt;="&amp;$H99,工数管理!$T$3:$T$98,"")+COUNTIFS(工数管理!$AK$3:$AK$98,K$1,工数管理!$U$3:$U$98,"&lt;="&amp;$H99,工数管理!$V$3:$V$98,"")+COUNTIFS(工数管理!$AK$3:$AK$98,K$1,工数管理!$W$3:$W$98,"&lt;="&amp;$H99,工数管理!$X$3:$X$98,"")+COUNTIFS(工数管理!$AK$3:$AK$98,K$1,工数管理!$Y$3:$Y$98,"&lt;="&amp;$H99,工数管理!$Z$3:$Z$98,"")+COUNTIFS(工数管理!$AK$3:$AK$98,K$1,工数管理!$AA$3:$AA$98,"&lt;="&amp;$H99,工数管理!$AB$3:$AB$98,"")+COUNTIFS(工数管理!$AK$3:$AK$98,K$1,工数管理!$AC$3:$AC$98,"&lt;="&amp;$H99,工数管理!$AD$3:$AD$98,"")+COUNTIFS(工数管理!$AK$3:$AK$98,K$1,工数管理!$AE$3:$AE$98,"&lt;="&amp;$H99,工数管理!$AF$3:$AF$98,"")+COUNTIFS(工数管理!$AK$3:$AK$98,K$1,工数管理!$AG$3:$AG$98,"&lt;="&amp;$H99,工数管理!$AH$3:$AH$98,""))*($H99&lt;=工数管理!$AI$1))</f>
        <v>1</v>
      </c>
      <c r="L99" s="42">
        <f ca="1">IF(L$1="",0,COUNTIFS(工数管理!$AK$3:$AK$98,L$1,工数管理!$K$3:$K$98,"&lt;="&amp;$H99,工数管理!$L$3:$L$98,"&gt;="&amp;$H99)+COUNTIFS(工数管理!$AK$3:$AK$98,L$1,工数管理!$M$3:$M$98,"&lt;="&amp;$H99,工数管理!$N$3:$N$98,"&gt;="&amp;$H99)+COUNTIFS(工数管理!$AK$3:$AK$98,L$1,工数管理!$O$3:$O$98,"&lt;="&amp;$H99,工数管理!$P$3:$P$98,"&gt;="&amp;$H99)+COUNTIFS(工数管理!$AK$3:$AK$98,L$1,工数管理!$Q$3:$Q$98,"&lt;="&amp;$H99,工数管理!$R$3:$R$98,"&gt;="&amp;$H99)+COUNTIFS(工数管理!$AK$3:$AK$98,L$1,工数管理!$S$3:$S$98,"&lt;="&amp;$H99,工数管理!$T$3:$T$98,"&gt;="&amp;$H99)+COUNTIFS(工数管理!$AK$3:$AK$98,L$1,工数管理!$U$3:$U$98,"&lt;="&amp;$H99,工数管理!$V$3:$V$98,"&gt;="&amp;$H99)+COUNTIFS(工数管理!$AK$3:$AK$98,L$1,工数管理!$W$3:$W$98,"&lt;="&amp;$H99,工数管理!$X$3:$X$98,"&gt;="&amp;$H99)+COUNTIFS(工数管理!$AK$3:$AK$98,L$1,工数管理!$Y$3:$Y$98,"&lt;="&amp;$H99,工数管理!$Z$3:$Z$98,"&gt;="&amp;$H99)+COUNTIFS(工数管理!$AK$3:$AK$98,L$1,工数管理!$AA$3:$AA$98,"&lt;="&amp;$H99,工数管理!$AB$3:$AB$98,"&gt;="&amp;$H99)+COUNTIFS(工数管理!$AK$3:$AK$98,L$1,工数管理!$AC$3:$AC$98,"&lt;="&amp;$H99,工数管理!$AD$3:$AD$98,"&gt;="&amp;$H99)+COUNTIFS(工数管理!$AK$3:$AK$98,L$1,工数管理!$AE$3:$AE$98,"&lt;="&amp;$H99,工数管理!$AF$3:$AF$98,"&gt;="&amp;$H99)+COUNTIFS(工数管理!$AK$3:$AK$98,L$1,工数管理!$AG$3:$AG$98,"&lt;="&amp;$H99,工数管理!$AH$3:$AH$98,"&gt;="&amp;$H99)+(COUNTIFS(工数管理!$AK$3:$AK$98,L$1,工数管理!$K$3:$K$98,"&lt;="&amp;$H99,工数管理!$L$3:$L$98,"")+COUNTIFS(工数管理!$AK$3:$AK$98,L$1,工数管理!$M$3:$M$98,"&lt;="&amp;$H99,工数管理!$N$3:$N$98,"")+COUNTIFS(工数管理!$AK$3:$AK$98,L$1,工数管理!$O$3:$O$98,"&lt;="&amp;$H99,工数管理!$P$3:$P$98,"")+COUNTIFS(工数管理!$AK$3:$AK$98,L$1,工数管理!$Q$3:$Q$98,"&lt;="&amp;$H99,工数管理!$R$3:$R$98,"")+COUNTIFS(工数管理!$AK$3:$AK$98,L$1,工数管理!$S$3:$S$98,"&lt;="&amp;$H99,工数管理!$T$3:$T$98,"")+COUNTIFS(工数管理!$AK$3:$AK$98,L$1,工数管理!$U$3:$U$98,"&lt;="&amp;$H99,工数管理!$V$3:$V$98,"")+COUNTIFS(工数管理!$AK$3:$AK$98,L$1,工数管理!$W$3:$W$98,"&lt;="&amp;$H99,工数管理!$X$3:$X$98,"")+COUNTIFS(工数管理!$AK$3:$AK$98,L$1,工数管理!$Y$3:$Y$98,"&lt;="&amp;$H99,工数管理!$Z$3:$Z$98,"")+COUNTIFS(工数管理!$AK$3:$AK$98,L$1,工数管理!$AA$3:$AA$98,"&lt;="&amp;$H99,工数管理!$AB$3:$AB$98,"")+COUNTIFS(工数管理!$AK$3:$AK$98,L$1,工数管理!$AC$3:$AC$98,"&lt;="&amp;$H99,工数管理!$AD$3:$AD$98,"")+COUNTIFS(工数管理!$AK$3:$AK$98,L$1,工数管理!$AE$3:$AE$98,"&lt;="&amp;$H99,工数管理!$AF$3:$AF$98,"")+COUNTIFS(工数管理!$AK$3:$AK$98,L$1,工数管理!$AG$3:$AG$98,"&lt;="&amp;$H99,工数管理!$AH$3:$AH$98,""))*($H99&lt;=工数管理!$AI$1))</f>
        <v>1</v>
      </c>
    </row>
    <row r="100" spans="1:12" x14ac:dyDescent="0.15">
      <c r="A100" s="5"/>
      <c r="B100" s="6"/>
      <c r="H100" s="41">
        <f t="shared" si="3"/>
        <v>46268</v>
      </c>
      <c r="I100" s="42">
        <f t="shared" si="2"/>
        <v>1</v>
      </c>
      <c r="J100" s="42">
        <f ca="1">IF(J$1="",0,COUNTIFS(工数管理!$AK$3:$AK$98,J$1,工数管理!$K$3:$K$98,"&lt;="&amp;$H100,工数管理!$L$3:$L$98,"&gt;="&amp;$H100)+COUNTIFS(工数管理!$AK$3:$AK$98,J$1,工数管理!$M$3:$M$98,"&lt;="&amp;$H100,工数管理!$N$3:$N$98,"&gt;="&amp;$H100)+COUNTIFS(工数管理!$AK$3:$AK$98,J$1,工数管理!$O$3:$O$98,"&lt;="&amp;$H100,工数管理!$P$3:$P$98,"&gt;="&amp;$H100)+COUNTIFS(工数管理!$AK$3:$AK$98,J$1,工数管理!$Q$3:$Q$98,"&lt;="&amp;$H100,工数管理!$R$3:$R$98,"&gt;="&amp;$H100)+COUNTIFS(工数管理!$AK$3:$AK$98,J$1,工数管理!$S$3:$S$98,"&lt;="&amp;$H100,工数管理!$T$3:$T$98,"&gt;="&amp;$H100)+COUNTIFS(工数管理!$AK$3:$AK$98,J$1,工数管理!$U$3:$U$98,"&lt;="&amp;$H100,工数管理!$V$3:$V$98,"&gt;="&amp;$H100)+COUNTIFS(工数管理!$AK$3:$AK$98,J$1,工数管理!$W$3:$W$98,"&lt;="&amp;$H100,工数管理!$X$3:$X$98,"&gt;="&amp;$H100)+COUNTIFS(工数管理!$AK$3:$AK$98,J$1,工数管理!$Y$3:$Y$98,"&lt;="&amp;$H100,工数管理!$Z$3:$Z$98,"&gt;="&amp;$H100)+COUNTIFS(工数管理!$AK$3:$AK$98,J$1,工数管理!$AA$3:$AA$98,"&lt;="&amp;$H100,工数管理!$AB$3:$AB$98,"&gt;="&amp;$H100)+COUNTIFS(工数管理!$AK$3:$AK$98,J$1,工数管理!$AC$3:$AC$98,"&lt;="&amp;$H100,工数管理!$AD$3:$AD$98,"&gt;="&amp;$H100)+COUNTIFS(工数管理!$AK$3:$AK$98,J$1,工数管理!$AE$3:$AE$98,"&lt;="&amp;$H100,工数管理!$AF$3:$AF$98,"&gt;="&amp;$H100)+COUNTIFS(工数管理!$AK$3:$AK$98,J$1,工数管理!$AG$3:$AG$98,"&lt;="&amp;$H100,工数管理!$AH$3:$AH$98,"&gt;="&amp;$H100)+(COUNTIFS(工数管理!$AK$3:$AK$98,J$1,工数管理!$K$3:$K$98,"&lt;="&amp;$H100,工数管理!$L$3:$L$98,"")+COUNTIFS(工数管理!$AK$3:$AK$98,J$1,工数管理!$M$3:$M$98,"&lt;="&amp;$H100,工数管理!$N$3:$N$98,"")+COUNTIFS(工数管理!$AK$3:$AK$98,J$1,工数管理!$O$3:$O$98,"&lt;="&amp;$H100,工数管理!$P$3:$P$98,"")+COUNTIFS(工数管理!$AK$3:$AK$98,J$1,工数管理!$Q$3:$Q$98,"&lt;="&amp;$H100,工数管理!$R$3:$R$98,"")+COUNTIFS(工数管理!$AK$3:$AK$98,J$1,工数管理!$S$3:$S$98,"&lt;="&amp;$H100,工数管理!$T$3:$T$98,"")+COUNTIFS(工数管理!$AK$3:$AK$98,J$1,工数管理!$U$3:$U$98,"&lt;="&amp;$H100,工数管理!$V$3:$V$98,"")+COUNTIFS(工数管理!$AK$3:$AK$98,J$1,工数管理!$W$3:$W$98,"&lt;="&amp;$H100,工数管理!$X$3:$X$98,"")+COUNTIFS(工数管理!$AK$3:$AK$98,J$1,工数管理!$Y$3:$Y$98,"&lt;="&amp;$H100,工数管理!$Z$3:$Z$98,"")+COUNTIFS(工数管理!$AK$3:$AK$98,J$1,工数管理!$AA$3:$AA$98,"&lt;="&amp;$H100,工数管理!$AB$3:$AB$98,"")+COUNTIFS(工数管理!$AK$3:$AK$98,J$1,工数管理!$AC$3:$AC$98,"&lt;="&amp;$H100,工数管理!$AD$3:$AD$98,"")+COUNTIFS(工数管理!$AK$3:$AK$98,J$1,工数管理!$AE$3:$AE$98,"&lt;="&amp;$H100,工数管理!$AF$3:$AF$98,"")+COUNTIFS(工数管理!$AK$3:$AK$98,J$1,工数管理!$AG$3:$AG$98,"&lt;="&amp;$H100,工数管理!$AH$3:$AH$98,""))*($H100&lt;=工数管理!$AI$1))</f>
        <v>1</v>
      </c>
      <c r="K100" s="42">
        <f ca="1">IF(K$1="",0,COUNTIFS(工数管理!$AK$3:$AK$98,K$1,工数管理!$K$3:$K$98,"&lt;="&amp;$H100,工数管理!$L$3:$L$98,"&gt;="&amp;$H100)+COUNTIFS(工数管理!$AK$3:$AK$98,K$1,工数管理!$M$3:$M$98,"&lt;="&amp;$H100,工数管理!$N$3:$N$98,"&gt;="&amp;$H100)+COUNTIFS(工数管理!$AK$3:$AK$98,K$1,工数管理!$O$3:$O$98,"&lt;="&amp;$H100,工数管理!$P$3:$P$98,"&gt;="&amp;$H100)+COUNTIFS(工数管理!$AK$3:$AK$98,K$1,工数管理!$Q$3:$Q$98,"&lt;="&amp;$H100,工数管理!$R$3:$R$98,"&gt;="&amp;$H100)+COUNTIFS(工数管理!$AK$3:$AK$98,K$1,工数管理!$S$3:$S$98,"&lt;="&amp;$H100,工数管理!$T$3:$T$98,"&gt;="&amp;$H100)+COUNTIFS(工数管理!$AK$3:$AK$98,K$1,工数管理!$U$3:$U$98,"&lt;="&amp;$H100,工数管理!$V$3:$V$98,"&gt;="&amp;$H100)+COUNTIFS(工数管理!$AK$3:$AK$98,K$1,工数管理!$W$3:$W$98,"&lt;="&amp;$H100,工数管理!$X$3:$X$98,"&gt;="&amp;$H100)+COUNTIFS(工数管理!$AK$3:$AK$98,K$1,工数管理!$Y$3:$Y$98,"&lt;="&amp;$H100,工数管理!$Z$3:$Z$98,"&gt;="&amp;$H100)+COUNTIFS(工数管理!$AK$3:$AK$98,K$1,工数管理!$AA$3:$AA$98,"&lt;="&amp;$H100,工数管理!$AB$3:$AB$98,"&gt;="&amp;$H100)+COUNTIFS(工数管理!$AK$3:$AK$98,K$1,工数管理!$AC$3:$AC$98,"&lt;="&amp;$H100,工数管理!$AD$3:$AD$98,"&gt;="&amp;$H100)+COUNTIFS(工数管理!$AK$3:$AK$98,K$1,工数管理!$AE$3:$AE$98,"&lt;="&amp;$H100,工数管理!$AF$3:$AF$98,"&gt;="&amp;$H100)+COUNTIFS(工数管理!$AK$3:$AK$98,K$1,工数管理!$AG$3:$AG$98,"&lt;="&amp;$H100,工数管理!$AH$3:$AH$98,"&gt;="&amp;$H100)+(COUNTIFS(工数管理!$AK$3:$AK$98,K$1,工数管理!$K$3:$K$98,"&lt;="&amp;$H100,工数管理!$L$3:$L$98,"")+COUNTIFS(工数管理!$AK$3:$AK$98,K$1,工数管理!$M$3:$M$98,"&lt;="&amp;$H100,工数管理!$N$3:$N$98,"")+COUNTIFS(工数管理!$AK$3:$AK$98,K$1,工数管理!$O$3:$O$98,"&lt;="&amp;$H100,工数管理!$P$3:$P$98,"")+COUNTIFS(工数管理!$AK$3:$AK$98,K$1,工数管理!$Q$3:$Q$98,"&lt;="&amp;$H100,工数管理!$R$3:$R$98,"")+COUNTIFS(工数管理!$AK$3:$AK$98,K$1,工数管理!$S$3:$S$98,"&lt;="&amp;$H100,工数管理!$T$3:$T$98,"")+COUNTIFS(工数管理!$AK$3:$AK$98,K$1,工数管理!$U$3:$U$98,"&lt;="&amp;$H100,工数管理!$V$3:$V$98,"")+COUNTIFS(工数管理!$AK$3:$AK$98,K$1,工数管理!$W$3:$W$98,"&lt;="&amp;$H100,工数管理!$X$3:$X$98,"")+COUNTIFS(工数管理!$AK$3:$AK$98,K$1,工数管理!$Y$3:$Y$98,"&lt;="&amp;$H100,工数管理!$Z$3:$Z$98,"")+COUNTIFS(工数管理!$AK$3:$AK$98,K$1,工数管理!$AA$3:$AA$98,"&lt;="&amp;$H100,工数管理!$AB$3:$AB$98,"")+COUNTIFS(工数管理!$AK$3:$AK$98,K$1,工数管理!$AC$3:$AC$98,"&lt;="&amp;$H100,工数管理!$AD$3:$AD$98,"")+COUNTIFS(工数管理!$AK$3:$AK$98,K$1,工数管理!$AE$3:$AE$98,"&lt;="&amp;$H100,工数管理!$AF$3:$AF$98,"")+COUNTIFS(工数管理!$AK$3:$AK$98,K$1,工数管理!$AG$3:$AG$98,"&lt;="&amp;$H100,工数管理!$AH$3:$AH$98,""))*($H100&lt;=工数管理!$AI$1))</f>
        <v>1</v>
      </c>
      <c r="L100" s="42">
        <f ca="1">IF(L$1="",0,COUNTIFS(工数管理!$AK$3:$AK$98,L$1,工数管理!$K$3:$K$98,"&lt;="&amp;$H100,工数管理!$L$3:$L$98,"&gt;="&amp;$H100)+COUNTIFS(工数管理!$AK$3:$AK$98,L$1,工数管理!$M$3:$M$98,"&lt;="&amp;$H100,工数管理!$N$3:$N$98,"&gt;="&amp;$H100)+COUNTIFS(工数管理!$AK$3:$AK$98,L$1,工数管理!$O$3:$O$98,"&lt;="&amp;$H100,工数管理!$P$3:$P$98,"&gt;="&amp;$H100)+COUNTIFS(工数管理!$AK$3:$AK$98,L$1,工数管理!$Q$3:$Q$98,"&lt;="&amp;$H100,工数管理!$R$3:$R$98,"&gt;="&amp;$H100)+COUNTIFS(工数管理!$AK$3:$AK$98,L$1,工数管理!$S$3:$S$98,"&lt;="&amp;$H100,工数管理!$T$3:$T$98,"&gt;="&amp;$H100)+COUNTIFS(工数管理!$AK$3:$AK$98,L$1,工数管理!$U$3:$U$98,"&lt;="&amp;$H100,工数管理!$V$3:$V$98,"&gt;="&amp;$H100)+COUNTIFS(工数管理!$AK$3:$AK$98,L$1,工数管理!$W$3:$W$98,"&lt;="&amp;$H100,工数管理!$X$3:$X$98,"&gt;="&amp;$H100)+COUNTIFS(工数管理!$AK$3:$AK$98,L$1,工数管理!$Y$3:$Y$98,"&lt;="&amp;$H100,工数管理!$Z$3:$Z$98,"&gt;="&amp;$H100)+COUNTIFS(工数管理!$AK$3:$AK$98,L$1,工数管理!$AA$3:$AA$98,"&lt;="&amp;$H100,工数管理!$AB$3:$AB$98,"&gt;="&amp;$H100)+COUNTIFS(工数管理!$AK$3:$AK$98,L$1,工数管理!$AC$3:$AC$98,"&lt;="&amp;$H100,工数管理!$AD$3:$AD$98,"&gt;="&amp;$H100)+COUNTIFS(工数管理!$AK$3:$AK$98,L$1,工数管理!$AE$3:$AE$98,"&lt;="&amp;$H100,工数管理!$AF$3:$AF$98,"&gt;="&amp;$H100)+COUNTIFS(工数管理!$AK$3:$AK$98,L$1,工数管理!$AG$3:$AG$98,"&lt;="&amp;$H100,工数管理!$AH$3:$AH$98,"&gt;="&amp;$H100)+(COUNTIFS(工数管理!$AK$3:$AK$98,L$1,工数管理!$K$3:$K$98,"&lt;="&amp;$H100,工数管理!$L$3:$L$98,"")+COUNTIFS(工数管理!$AK$3:$AK$98,L$1,工数管理!$M$3:$M$98,"&lt;="&amp;$H100,工数管理!$N$3:$N$98,"")+COUNTIFS(工数管理!$AK$3:$AK$98,L$1,工数管理!$O$3:$O$98,"&lt;="&amp;$H100,工数管理!$P$3:$P$98,"")+COUNTIFS(工数管理!$AK$3:$AK$98,L$1,工数管理!$Q$3:$Q$98,"&lt;="&amp;$H100,工数管理!$R$3:$R$98,"")+COUNTIFS(工数管理!$AK$3:$AK$98,L$1,工数管理!$S$3:$S$98,"&lt;="&amp;$H100,工数管理!$T$3:$T$98,"")+COUNTIFS(工数管理!$AK$3:$AK$98,L$1,工数管理!$U$3:$U$98,"&lt;="&amp;$H100,工数管理!$V$3:$V$98,"")+COUNTIFS(工数管理!$AK$3:$AK$98,L$1,工数管理!$W$3:$W$98,"&lt;="&amp;$H100,工数管理!$X$3:$X$98,"")+COUNTIFS(工数管理!$AK$3:$AK$98,L$1,工数管理!$Y$3:$Y$98,"&lt;="&amp;$H100,工数管理!$Z$3:$Z$98,"")+COUNTIFS(工数管理!$AK$3:$AK$98,L$1,工数管理!$AA$3:$AA$98,"&lt;="&amp;$H100,工数管理!$AB$3:$AB$98,"")+COUNTIFS(工数管理!$AK$3:$AK$98,L$1,工数管理!$AC$3:$AC$98,"&lt;="&amp;$H100,工数管理!$AD$3:$AD$98,"")+COUNTIFS(工数管理!$AK$3:$AK$98,L$1,工数管理!$AE$3:$AE$98,"&lt;="&amp;$H100,工数管理!$AF$3:$AF$98,"")+COUNTIFS(工数管理!$AK$3:$AK$98,L$1,工数管理!$AG$3:$AG$98,"&lt;="&amp;$H100,工数管理!$AH$3:$AH$98,""))*($H100&lt;=工数管理!$AI$1))</f>
        <v>1</v>
      </c>
    </row>
    <row r="101" spans="1:12" x14ac:dyDescent="0.15">
      <c r="A101" s="5"/>
      <c r="B101" s="6"/>
      <c r="H101" s="41">
        <f t="shared" si="3"/>
        <v>46269</v>
      </c>
      <c r="I101" s="42">
        <f t="shared" si="2"/>
        <v>1</v>
      </c>
      <c r="J101" s="42">
        <f ca="1">IF(J$1="",0,COUNTIFS(工数管理!$AK$3:$AK$98,J$1,工数管理!$K$3:$K$98,"&lt;="&amp;$H101,工数管理!$L$3:$L$98,"&gt;="&amp;$H101)+COUNTIFS(工数管理!$AK$3:$AK$98,J$1,工数管理!$M$3:$M$98,"&lt;="&amp;$H101,工数管理!$N$3:$N$98,"&gt;="&amp;$H101)+COUNTIFS(工数管理!$AK$3:$AK$98,J$1,工数管理!$O$3:$O$98,"&lt;="&amp;$H101,工数管理!$P$3:$P$98,"&gt;="&amp;$H101)+COUNTIFS(工数管理!$AK$3:$AK$98,J$1,工数管理!$Q$3:$Q$98,"&lt;="&amp;$H101,工数管理!$R$3:$R$98,"&gt;="&amp;$H101)+COUNTIFS(工数管理!$AK$3:$AK$98,J$1,工数管理!$S$3:$S$98,"&lt;="&amp;$H101,工数管理!$T$3:$T$98,"&gt;="&amp;$H101)+COUNTIFS(工数管理!$AK$3:$AK$98,J$1,工数管理!$U$3:$U$98,"&lt;="&amp;$H101,工数管理!$V$3:$V$98,"&gt;="&amp;$H101)+COUNTIFS(工数管理!$AK$3:$AK$98,J$1,工数管理!$W$3:$W$98,"&lt;="&amp;$H101,工数管理!$X$3:$X$98,"&gt;="&amp;$H101)+COUNTIFS(工数管理!$AK$3:$AK$98,J$1,工数管理!$Y$3:$Y$98,"&lt;="&amp;$H101,工数管理!$Z$3:$Z$98,"&gt;="&amp;$H101)+COUNTIFS(工数管理!$AK$3:$AK$98,J$1,工数管理!$AA$3:$AA$98,"&lt;="&amp;$H101,工数管理!$AB$3:$AB$98,"&gt;="&amp;$H101)+COUNTIFS(工数管理!$AK$3:$AK$98,J$1,工数管理!$AC$3:$AC$98,"&lt;="&amp;$H101,工数管理!$AD$3:$AD$98,"&gt;="&amp;$H101)+COUNTIFS(工数管理!$AK$3:$AK$98,J$1,工数管理!$AE$3:$AE$98,"&lt;="&amp;$H101,工数管理!$AF$3:$AF$98,"&gt;="&amp;$H101)+COUNTIFS(工数管理!$AK$3:$AK$98,J$1,工数管理!$AG$3:$AG$98,"&lt;="&amp;$H101,工数管理!$AH$3:$AH$98,"&gt;="&amp;$H101)+(COUNTIFS(工数管理!$AK$3:$AK$98,J$1,工数管理!$K$3:$K$98,"&lt;="&amp;$H101,工数管理!$L$3:$L$98,"")+COUNTIFS(工数管理!$AK$3:$AK$98,J$1,工数管理!$M$3:$M$98,"&lt;="&amp;$H101,工数管理!$N$3:$N$98,"")+COUNTIFS(工数管理!$AK$3:$AK$98,J$1,工数管理!$O$3:$O$98,"&lt;="&amp;$H101,工数管理!$P$3:$P$98,"")+COUNTIFS(工数管理!$AK$3:$AK$98,J$1,工数管理!$Q$3:$Q$98,"&lt;="&amp;$H101,工数管理!$R$3:$R$98,"")+COUNTIFS(工数管理!$AK$3:$AK$98,J$1,工数管理!$S$3:$S$98,"&lt;="&amp;$H101,工数管理!$T$3:$T$98,"")+COUNTIFS(工数管理!$AK$3:$AK$98,J$1,工数管理!$U$3:$U$98,"&lt;="&amp;$H101,工数管理!$V$3:$V$98,"")+COUNTIFS(工数管理!$AK$3:$AK$98,J$1,工数管理!$W$3:$W$98,"&lt;="&amp;$H101,工数管理!$X$3:$X$98,"")+COUNTIFS(工数管理!$AK$3:$AK$98,J$1,工数管理!$Y$3:$Y$98,"&lt;="&amp;$H101,工数管理!$Z$3:$Z$98,"")+COUNTIFS(工数管理!$AK$3:$AK$98,J$1,工数管理!$AA$3:$AA$98,"&lt;="&amp;$H101,工数管理!$AB$3:$AB$98,"")+COUNTIFS(工数管理!$AK$3:$AK$98,J$1,工数管理!$AC$3:$AC$98,"&lt;="&amp;$H101,工数管理!$AD$3:$AD$98,"")+COUNTIFS(工数管理!$AK$3:$AK$98,J$1,工数管理!$AE$3:$AE$98,"&lt;="&amp;$H101,工数管理!$AF$3:$AF$98,"")+COUNTIFS(工数管理!$AK$3:$AK$98,J$1,工数管理!$AG$3:$AG$98,"&lt;="&amp;$H101,工数管理!$AH$3:$AH$98,""))*($H101&lt;=工数管理!$AI$1))</f>
        <v>1</v>
      </c>
      <c r="K101" s="42">
        <f ca="1">IF(K$1="",0,COUNTIFS(工数管理!$AK$3:$AK$98,K$1,工数管理!$K$3:$K$98,"&lt;="&amp;$H101,工数管理!$L$3:$L$98,"&gt;="&amp;$H101)+COUNTIFS(工数管理!$AK$3:$AK$98,K$1,工数管理!$M$3:$M$98,"&lt;="&amp;$H101,工数管理!$N$3:$N$98,"&gt;="&amp;$H101)+COUNTIFS(工数管理!$AK$3:$AK$98,K$1,工数管理!$O$3:$O$98,"&lt;="&amp;$H101,工数管理!$P$3:$P$98,"&gt;="&amp;$H101)+COUNTIFS(工数管理!$AK$3:$AK$98,K$1,工数管理!$Q$3:$Q$98,"&lt;="&amp;$H101,工数管理!$R$3:$R$98,"&gt;="&amp;$H101)+COUNTIFS(工数管理!$AK$3:$AK$98,K$1,工数管理!$S$3:$S$98,"&lt;="&amp;$H101,工数管理!$T$3:$T$98,"&gt;="&amp;$H101)+COUNTIFS(工数管理!$AK$3:$AK$98,K$1,工数管理!$U$3:$U$98,"&lt;="&amp;$H101,工数管理!$V$3:$V$98,"&gt;="&amp;$H101)+COUNTIFS(工数管理!$AK$3:$AK$98,K$1,工数管理!$W$3:$W$98,"&lt;="&amp;$H101,工数管理!$X$3:$X$98,"&gt;="&amp;$H101)+COUNTIFS(工数管理!$AK$3:$AK$98,K$1,工数管理!$Y$3:$Y$98,"&lt;="&amp;$H101,工数管理!$Z$3:$Z$98,"&gt;="&amp;$H101)+COUNTIFS(工数管理!$AK$3:$AK$98,K$1,工数管理!$AA$3:$AA$98,"&lt;="&amp;$H101,工数管理!$AB$3:$AB$98,"&gt;="&amp;$H101)+COUNTIFS(工数管理!$AK$3:$AK$98,K$1,工数管理!$AC$3:$AC$98,"&lt;="&amp;$H101,工数管理!$AD$3:$AD$98,"&gt;="&amp;$H101)+COUNTIFS(工数管理!$AK$3:$AK$98,K$1,工数管理!$AE$3:$AE$98,"&lt;="&amp;$H101,工数管理!$AF$3:$AF$98,"&gt;="&amp;$H101)+COUNTIFS(工数管理!$AK$3:$AK$98,K$1,工数管理!$AG$3:$AG$98,"&lt;="&amp;$H101,工数管理!$AH$3:$AH$98,"&gt;="&amp;$H101)+(COUNTIFS(工数管理!$AK$3:$AK$98,K$1,工数管理!$K$3:$K$98,"&lt;="&amp;$H101,工数管理!$L$3:$L$98,"")+COUNTIFS(工数管理!$AK$3:$AK$98,K$1,工数管理!$M$3:$M$98,"&lt;="&amp;$H101,工数管理!$N$3:$N$98,"")+COUNTIFS(工数管理!$AK$3:$AK$98,K$1,工数管理!$O$3:$O$98,"&lt;="&amp;$H101,工数管理!$P$3:$P$98,"")+COUNTIFS(工数管理!$AK$3:$AK$98,K$1,工数管理!$Q$3:$Q$98,"&lt;="&amp;$H101,工数管理!$R$3:$R$98,"")+COUNTIFS(工数管理!$AK$3:$AK$98,K$1,工数管理!$S$3:$S$98,"&lt;="&amp;$H101,工数管理!$T$3:$T$98,"")+COUNTIFS(工数管理!$AK$3:$AK$98,K$1,工数管理!$U$3:$U$98,"&lt;="&amp;$H101,工数管理!$V$3:$V$98,"")+COUNTIFS(工数管理!$AK$3:$AK$98,K$1,工数管理!$W$3:$W$98,"&lt;="&amp;$H101,工数管理!$X$3:$X$98,"")+COUNTIFS(工数管理!$AK$3:$AK$98,K$1,工数管理!$Y$3:$Y$98,"&lt;="&amp;$H101,工数管理!$Z$3:$Z$98,"")+COUNTIFS(工数管理!$AK$3:$AK$98,K$1,工数管理!$AA$3:$AA$98,"&lt;="&amp;$H101,工数管理!$AB$3:$AB$98,"")+COUNTIFS(工数管理!$AK$3:$AK$98,K$1,工数管理!$AC$3:$AC$98,"&lt;="&amp;$H101,工数管理!$AD$3:$AD$98,"")+COUNTIFS(工数管理!$AK$3:$AK$98,K$1,工数管理!$AE$3:$AE$98,"&lt;="&amp;$H101,工数管理!$AF$3:$AF$98,"")+COUNTIFS(工数管理!$AK$3:$AK$98,K$1,工数管理!$AG$3:$AG$98,"&lt;="&amp;$H101,工数管理!$AH$3:$AH$98,""))*($H101&lt;=工数管理!$AI$1))</f>
        <v>1</v>
      </c>
      <c r="L101" s="42">
        <f ca="1">IF(L$1="",0,COUNTIFS(工数管理!$AK$3:$AK$98,L$1,工数管理!$K$3:$K$98,"&lt;="&amp;$H101,工数管理!$L$3:$L$98,"&gt;="&amp;$H101)+COUNTIFS(工数管理!$AK$3:$AK$98,L$1,工数管理!$M$3:$M$98,"&lt;="&amp;$H101,工数管理!$N$3:$N$98,"&gt;="&amp;$H101)+COUNTIFS(工数管理!$AK$3:$AK$98,L$1,工数管理!$O$3:$O$98,"&lt;="&amp;$H101,工数管理!$P$3:$P$98,"&gt;="&amp;$H101)+COUNTIFS(工数管理!$AK$3:$AK$98,L$1,工数管理!$Q$3:$Q$98,"&lt;="&amp;$H101,工数管理!$R$3:$R$98,"&gt;="&amp;$H101)+COUNTIFS(工数管理!$AK$3:$AK$98,L$1,工数管理!$S$3:$S$98,"&lt;="&amp;$H101,工数管理!$T$3:$T$98,"&gt;="&amp;$H101)+COUNTIFS(工数管理!$AK$3:$AK$98,L$1,工数管理!$U$3:$U$98,"&lt;="&amp;$H101,工数管理!$V$3:$V$98,"&gt;="&amp;$H101)+COUNTIFS(工数管理!$AK$3:$AK$98,L$1,工数管理!$W$3:$W$98,"&lt;="&amp;$H101,工数管理!$X$3:$X$98,"&gt;="&amp;$H101)+COUNTIFS(工数管理!$AK$3:$AK$98,L$1,工数管理!$Y$3:$Y$98,"&lt;="&amp;$H101,工数管理!$Z$3:$Z$98,"&gt;="&amp;$H101)+COUNTIFS(工数管理!$AK$3:$AK$98,L$1,工数管理!$AA$3:$AA$98,"&lt;="&amp;$H101,工数管理!$AB$3:$AB$98,"&gt;="&amp;$H101)+COUNTIFS(工数管理!$AK$3:$AK$98,L$1,工数管理!$AC$3:$AC$98,"&lt;="&amp;$H101,工数管理!$AD$3:$AD$98,"&gt;="&amp;$H101)+COUNTIFS(工数管理!$AK$3:$AK$98,L$1,工数管理!$AE$3:$AE$98,"&lt;="&amp;$H101,工数管理!$AF$3:$AF$98,"&gt;="&amp;$H101)+COUNTIFS(工数管理!$AK$3:$AK$98,L$1,工数管理!$AG$3:$AG$98,"&lt;="&amp;$H101,工数管理!$AH$3:$AH$98,"&gt;="&amp;$H101)+(COUNTIFS(工数管理!$AK$3:$AK$98,L$1,工数管理!$K$3:$K$98,"&lt;="&amp;$H101,工数管理!$L$3:$L$98,"")+COUNTIFS(工数管理!$AK$3:$AK$98,L$1,工数管理!$M$3:$M$98,"&lt;="&amp;$H101,工数管理!$N$3:$N$98,"")+COUNTIFS(工数管理!$AK$3:$AK$98,L$1,工数管理!$O$3:$O$98,"&lt;="&amp;$H101,工数管理!$P$3:$P$98,"")+COUNTIFS(工数管理!$AK$3:$AK$98,L$1,工数管理!$Q$3:$Q$98,"&lt;="&amp;$H101,工数管理!$R$3:$R$98,"")+COUNTIFS(工数管理!$AK$3:$AK$98,L$1,工数管理!$S$3:$S$98,"&lt;="&amp;$H101,工数管理!$T$3:$T$98,"")+COUNTIFS(工数管理!$AK$3:$AK$98,L$1,工数管理!$U$3:$U$98,"&lt;="&amp;$H101,工数管理!$V$3:$V$98,"")+COUNTIFS(工数管理!$AK$3:$AK$98,L$1,工数管理!$W$3:$W$98,"&lt;="&amp;$H101,工数管理!$X$3:$X$98,"")+COUNTIFS(工数管理!$AK$3:$AK$98,L$1,工数管理!$Y$3:$Y$98,"&lt;="&amp;$H101,工数管理!$Z$3:$Z$98,"")+COUNTIFS(工数管理!$AK$3:$AK$98,L$1,工数管理!$AA$3:$AA$98,"&lt;="&amp;$H101,工数管理!$AB$3:$AB$98,"")+COUNTIFS(工数管理!$AK$3:$AK$98,L$1,工数管理!$AC$3:$AC$98,"&lt;="&amp;$H101,工数管理!$AD$3:$AD$98,"")+COUNTIFS(工数管理!$AK$3:$AK$98,L$1,工数管理!$AE$3:$AE$98,"&lt;="&amp;$H101,工数管理!$AF$3:$AF$98,"")+COUNTIFS(工数管理!$AK$3:$AK$98,L$1,工数管理!$AG$3:$AG$98,"&lt;="&amp;$H101,工数管理!$AH$3:$AH$98,""))*($H101&lt;=工数管理!$AI$1))</f>
        <v>1</v>
      </c>
    </row>
    <row r="102" spans="1:12" x14ac:dyDescent="0.15">
      <c r="A102" s="5"/>
      <c r="B102" s="6"/>
      <c r="H102" s="41">
        <f t="shared" si="3"/>
        <v>46270</v>
      </c>
      <c r="I102" s="42">
        <f t="shared" si="2"/>
        <v>0</v>
      </c>
      <c r="J102" s="42">
        <f ca="1">IF(J$1="",0,COUNTIFS(工数管理!$AK$3:$AK$98,J$1,工数管理!$K$3:$K$98,"&lt;="&amp;$H102,工数管理!$L$3:$L$98,"&gt;="&amp;$H102)+COUNTIFS(工数管理!$AK$3:$AK$98,J$1,工数管理!$M$3:$M$98,"&lt;="&amp;$H102,工数管理!$N$3:$N$98,"&gt;="&amp;$H102)+COUNTIFS(工数管理!$AK$3:$AK$98,J$1,工数管理!$O$3:$O$98,"&lt;="&amp;$H102,工数管理!$P$3:$P$98,"&gt;="&amp;$H102)+COUNTIFS(工数管理!$AK$3:$AK$98,J$1,工数管理!$Q$3:$Q$98,"&lt;="&amp;$H102,工数管理!$R$3:$R$98,"&gt;="&amp;$H102)+COUNTIFS(工数管理!$AK$3:$AK$98,J$1,工数管理!$S$3:$S$98,"&lt;="&amp;$H102,工数管理!$T$3:$T$98,"&gt;="&amp;$H102)+COUNTIFS(工数管理!$AK$3:$AK$98,J$1,工数管理!$U$3:$U$98,"&lt;="&amp;$H102,工数管理!$V$3:$V$98,"&gt;="&amp;$H102)+COUNTIFS(工数管理!$AK$3:$AK$98,J$1,工数管理!$W$3:$W$98,"&lt;="&amp;$H102,工数管理!$X$3:$X$98,"&gt;="&amp;$H102)+COUNTIFS(工数管理!$AK$3:$AK$98,J$1,工数管理!$Y$3:$Y$98,"&lt;="&amp;$H102,工数管理!$Z$3:$Z$98,"&gt;="&amp;$H102)+COUNTIFS(工数管理!$AK$3:$AK$98,J$1,工数管理!$AA$3:$AA$98,"&lt;="&amp;$H102,工数管理!$AB$3:$AB$98,"&gt;="&amp;$H102)+COUNTIFS(工数管理!$AK$3:$AK$98,J$1,工数管理!$AC$3:$AC$98,"&lt;="&amp;$H102,工数管理!$AD$3:$AD$98,"&gt;="&amp;$H102)+COUNTIFS(工数管理!$AK$3:$AK$98,J$1,工数管理!$AE$3:$AE$98,"&lt;="&amp;$H102,工数管理!$AF$3:$AF$98,"&gt;="&amp;$H102)+COUNTIFS(工数管理!$AK$3:$AK$98,J$1,工数管理!$AG$3:$AG$98,"&lt;="&amp;$H102,工数管理!$AH$3:$AH$98,"&gt;="&amp;$H102)+(COUNTIFS(工数管理!$AK$3:$AK$98,J$1,工数管理!$K$3:$K$98,"&lt;="&amp;$H102,工数管理!$L$3:$L$98,"")+COUNTIFS(工数管理!$AK$3:$AK$98,J$1,工数管理!$M$3:$M$98,"&lt;="&amp;$H102,工数管理!$N$3:$N$98,"")+COUNTIFS(工数管理!$AK$3:$AK$98,J$1,工数管理!$O$3:$O$98,"&lt;="&amp;$H102,工数管理!$P$3:$P$98,"")+COUNTIFS(工数管理!$AK$3:$AK$98,J$1,工数管理!$Q$3:$Q$98,"&lt;="&amp;$H102,工数管理!$R$3:$R$98,"")+COUNTIFS(工数管理!$AK$3:$AK$98,J$1,工数管理!$S$3:$S$98,"&lt;="&amp;$H102,工数管理!$T$3:$T$98,"")+COUNTIFS(工数管理!$AK$3:$AK$98,J$1,工数管理!$U$3:$U$98,"&lt;="&amp;$H102,工数管理!$V$3:$V$98,"")+COUNTIFS(工数管理!$AK$3:$AK$98,J$1,工数管理!$W$3:$W$98,"&lt;="&amp;$H102,工数管理!$X$3:$X$98,"")+COUNTIFS(工数管理!$AK$3:$AK$98,J$1,工数管理!$Y$3:$Y$98,"&lt;="&amp;$H102,工数管理!$Z$3:$Z$98,"")+COUNTIFS(工数管理!$AK$3:$AK$98,J$1,工数管理!$AA$3:$AA$98,"&lt;="&amp;$H102,工数管理!$AB$3:$AB$98,"")+COUNTIFS(工数管理!$AK$3:$AK$98,J$1,工数管理!$AC$3:$AC$98,"&lt;="&amp;$H102,工数管理!$AD$3:$AD$98,"")+COUNTIFS(工数管理!$AK$3:$AK$98,J$1,工数管理!$AE$3:$AE$98,"&lt;="&amp;$H102,工数管理!$AF$3:$AF$98,"")+COUNTIFS(工数管理!$AK$3:$AK$98,J$1,工数管理!$AG$3:$AG$98,"&lt;="&amp;$H102,工数管理!$AH$3:$AH$98,""))*($H102&lt;=工数管理!$AI$1))</f>
        <v>1</v>
      </c>
      <c r="K102" s="42">
        <f ca="1">IF(K$1="",0,COUNTIFS(工数管理!$AK$3:$AK$98,K$1,工数管理!$K$3:$K$98,"&lt;="&amp;$H102,工数管理!$L$3:$L$98,"&gt;="&amp;$H102)+COUNTIFS(工数管理!$AK$3:$AK$98,K$1,工数管理!$M$3:$M$98,"&lt;="&amp;$H102,工数管理!$N$3:$N$98,"&gt;="&amp;$H102)+COUNTIFS(工数管理!$AK$3:$AK$98,K$1,工数管理!$O$3:$O$98,"&lt;="&amp;$H102,工数管理!$P$3:$P$98,"&gt;="&amp;$H102)+COUNTIFS(工数管理!$AK$3:$AK$98,K$1,工数管理!$Q$3:$Q$98,"&lt;="&amp;$H102,工数管理!$R$3:$R$98,"&gt;="&amp;$H102)+COUNTIFS(工数管理!$AK$3:$AK$98,K$1,工数管理!$S$3:$S$98,"&lt;="&amp;$H102,工数管理!$T$3:$T$98,"&gt;="&amp;$H102)+COUNTIFS(工数管理!$AK$3:$AK$98,K$1,工数管理!$U$3:$U$98,"&lt;="&amp;$H102,工数管理!$V$3:$V$98,"&gt;="&amp;$H102)+COUNTIFS(工数管理!$AK$3:$AK$98,K$1,工数管理!$W$3:$W$98,"&lt;="&amp;$H102,工数管理!$X$3:$X$98,"&gt;="&amp;$H102)+COUNTIFS(工数管理!$AK$3:$AK$98,K$1,工数管理!$Y$3:$Y$98,"&lt;="&amp;$H102,工数管理!$Z$3:$Z$98,"&gt;="&amp;$H102)+COUNTIFS(工数管理!$AK$3:$AK$98,K$1,工数管理!$AA$3:$AA$98,"&lt;="&amp;$H102,工数管理!$AB$3:$AB$98,"&gt;="&amp;$H102)+COUNTIFS(工数管理!$AK$3:$AK$98,K$1,工数管理!$AC$3:$AC$98,"&lt;="&amp;$H102,工数管理!$AD$3:$AD$98,"&gt;="&amp;$H102)+COUNTIFS(工数管理!$AK$3:$AK$98,K$1,工数管理!$AE$3:$AE$98,"&lt;="&amp;$H102,工数管理!$AF$3:$AF$98,"&gt;="&amp;$H102)+COUNTIFS(工数管理!$AK$3:$AK$98,K$1,工数管理!$AG$3:$AG$98,"&lt;="&amp;$H102,工数管理!$AH$3:$AH$98,"&gt;="&amp;$H102)+(COUNTIFS(工数管理!$AK$3:$AK$98,K$1,工数管理!$K$3:$K$98,"&lt;="&amp;$H102,工数管理!$L$3:$L$98,"")+COUNTIFS(工数管理!$AK$3:$AK$98,K$1,工数管理!$M$3:$M$98,"&lt;="&amp;$H102,工数管理!$N$3:$N$98,"")+COUNTIFS(工数管理!$AK$3:$AK$98,K$1,工数管理!$O$3:$O$98,"&lt;="&amp;$H102,工数管理!$P$3:$P$98,"")+COUNTIFS(工数管理!$AK$3:$AK$98,K$1,工数管理!$Q$3:$Q$98,"&lt;="&amp;$H102,工数管理!$R$3:$R$98,"")+COUNTIFS(工数管理!$AK$3:$AK$98,K$1,工数管理!$S$3:$S$98,"&lt;="&amp;$H102,工数管理!$T$3:$T$98,"")+COUNTIFS(工数管理!$AK$3:$AK$98,K$1,工数管理!$U$3:$U$98,"&lt;="&amp;$H102,工数管理!$V$3:$V$98,"")+COUNTIFS(工数管理!$AK$3:$AK$98,K$1,工数管理!$W$3:$W$98,"&lt;="&amp;$H102,工数管理!$X$3:$X$98,"")+COUNTIFS(工数管理!$AK$3:$AK$98,K$1,工数管理!$Y$3:$Y$98,"&lt;="&amp;$H102,工数管理!$Z$3:$Z$98,"")+COUNTIFS(工数管理!$AK$3:$AK$98,K$1,工数管理!$AA$3:$AA$98,"&lt;="&amp;$H102,工数管理!$AB$3:$AB$98,"")+COUNTIFS(工数管理!$AK$3:$AK$98,K$1,工数管理!$AC$3:$AC$98,"&lt;="&amp;$H102,工数管理!$AD$3:$AD$98,"")+COUNTIFS(工数管理!$AK$3:$AK$98,K$1,工数管理!$AE$3:$AE$98,"&lt;="&amp;$H102,工数管理!$AF$3:$AF$98,"")+COUNTIFS(工数管理!$AK$3:$AK$98,K$1,工数管理!$AG$3:$AG$98,"&lt;="&amp;$H102,工数管理!$AH$3:$AH$98,""))*($H102&lt;=工数管理!$AI$1))</f>
        <v>1</v>
      </c>
      <c r="L102" s="42">
        <f ca="1">IF(L$1="",0,COUNTIFS(工数管理!$AK$3:$AK$98,L$1,工数管理!$K$3:$K$98,"&lt;="&amp;$H102,工数管理!$L$3:$L$98,"&gt;="&amp;$H102)+COUNTIFS(工数管理!$AK$3:$AK$98,L$1,工数管理!$M$3:$M$98,"&lt;="&amp;$H102,工数管理!$N$3:$N$98,"&gt;="&amp;$H102)+COUNTIFS(工数管理!$AK$3:$AK$98,L$1,工数管理!$O$3:$O$98,"&lt;="&amp;$H102,工数管理!$P$3:$P$98,"&gt;="&amp;$H102)+COUNTIFS(工数管理!$AK$3:$AK$98,L$1,工数管理!$Q$3:$Q$98,"&lt;="&amp;$H102,工数管理!$R$3:$R$98,"&gt;="&amp;$H102)+COUNTIFS(工数管理!$AK$3:$AK$98,L$1,工数管理!$S$3:$S$98,"&lt;="&amp;$H102,工数管理!$T$3:$T$98,"&gt;="&amp;$H102)+COUNTIFS(工数管理!$AK$3:$AK$98,L$1,工数管理!$U$3:$U$98,"&lt;="&amp;$H102,工数管理!$V$3:$V$98,"&gt;="&amp;$H102)+COUNTIFS(工数管理!$AK$3:$AK$98,L$1,工数管理!$W$3:$W$98,"&lt;="&amp;$H102,工数管理!$X$3:$X$98,"&gt;="&amp;$H102)+COUNTIFS(工数管理!$AK$3:$AK$98,L$1,工数管理!$Y$3:$Y$98,"&lt;="&amp;$H102,工数管理!$Z$3:$Z$98,"&gt;="&amp;$H102)+COUNTIFS(工数管理!$AK$3:$AK$98,L$1,工数管理!$AA$3:$AA$98,"&lt;="&amp;$H102,工数管理!$AB$3:$AB$98,"&gt;="&amp;$H102)+COUNTIFS(工数管理!$AK$3:$AK$98,L$1,工数管理!$AC$3:$AC$98,"&lt;="&amp;$H102,工数管理!$AD$3:$AD$98,"&gt;="&amp;$H102)+COUNTIFS(工数管理!$AK$3:$AK$98,L$1,工数管理!$AE$3:$AE$98,"&lt;="&amp;$H102,工数管理!$AF$3:$AF$98,"&gt;="&amp;$H102)+COUNTIFS(工数管理!$AK$3:$AK$98,L$1,工数管理!$AG$3:$AG$98,"&lt;="&amp;$H102,工数管理!$AH$3:$AH$98,"&gt;="&amp;$H102)+(COUNTIFS(工数管理!$AK$3:$AK$98,L$1,工数管理!$K$3:$K$98,"&lt;="&amp;$H102,工数管理!$L$3:$L$98,"")+COUNTIFS(工数管理!$AK$3:$AK$98,L$1,工数管理!$M$3:$M$98,"&lt;="&amp;$H102,工数管理!$N$3:$N$98,"")+COUNTIFS(工数管理!$AK$3:$AK$98,L$1,工数管理!$O$3:$O$98,"&lt;="&amp;$H102,工数管理!$P$3:$P$98,"")+COUNTIFS(工数管理!$AK$3:$AK$98,L$1,工数管理!$Q$3:$Q$98,"&lt;="&amp;$H102,工数管理!$R$3:$R$98,"")+COUNTIFS(工数管理!$AK$3:$AK$98,L$1,工数管理!$S$3:$S$98,"&lt;="&amp;$H102,工数管理!$T$3:$T$98,"")+COUNTIFS(工数管理!$AK$3:$AK$98,L$1,工数管理!$U$3:$U$98,"&lt;="&amp;$H102,工数管理!$V$3:$V$98,"")+COUNTIFS(工数管理!$AK$3:$AK$98,L$1,工数管理!$W$3:$W$98,"&lt;="&amp;$H102,工数管理!$X$3:$X$98,"")+COUNTIFS(工数管理!$AK$3:$AK$98,L$1,工数管理!$Y$3:$Y$98,"&lt;="&amp;$H102,工数管理!$Z$3:$Z$98,"")+COUNTIFS(工数管理!$AK$3:$AK$98,L$1,工数管理!$AA$3:$AA$98,"&lt;="&amp;$H102,工数管理!$AB$3:$AB$98,"")+COUNTIFS(工数管理!$AK$3:$AK$98,L$1,工数管理!$AC$3:$AC$98,"&lt;="&amp;$H102,工数管理!$AD$3:$AD$98,"")+COUNTIFS(工数管理!$AK$3:$AK$98,L$1,工数管理!$AE$3:$AE$98,"&lt;="&amp;$H102,工数管理!$AF$3:$AF$98,"")+COUNTIFS(工数管理!$AK$3:$AK$98,L$1,工数管理!$AG$3:$AG$98,"&lt;="&amp;$H102,工数管理!$AH$3:$AH$98,""))*($H102&lt;=工数管理!$AI$1))</f>
        <v>1</v>
      </c>
    </row>
    <row r="103" spans="1:12" x14ac:dyDescent="0.15">
      <c r="A103" s="5"/>
      <c r="B103" s="6"/>
      <c r="H103" s="41">
        <f t="shared" si="3"/>
        <v>46271</v>
      </c>
      <c r="I103" s="42">
        <f t="shared" si="2"/>
        <v>0</v>
      </c>
      <c r="J103" s="42">
        <f ca="1">IF(J$1="",0,COUNTIFS(工数管理!$AK$3:$AK$98,J$1,工数管理!$K$3:$K$98,"&lt;="&amp;$H103,工数管理!$L$3:$L$98,"&gt;="&amp;$H103)+COUNTIFS(工数管理!$AK$3:$AK$98,J$1,工数管理!$M$3:$M$98,"&lt;="&amp;$H103,工数管理!$N$3:$N$98,"&gt;="&amp;$H103)+COUNTIFS(工数管理!$AK$3:$AK$98,J$1,工数管理!$O$3:$O$98,"&lt;="&amp;$H103,工数管理!$P$3:$P$98,"&gt;="&amp;$H103)+COUNTIFS(工数管理!$AK$3:$AK$98,J$1,工数管理!$Q$3:$Q$98,"&lt;="&amp;$H103,工数管理!$R$3:$R$98,"&gt;="&amp;$H103)+COUNTIFS(工数管理!$AK$3:$AK$98,J$1,工数管理!$S$3:$S$98,"&lt;="&amp;$H103,工数管理!$T$3:$T$98,"&gt;="&amp;$H103)+COUNTIFS(工数管理!$AK$3:$AK$98,J$1,工数管理!$U$3:$U$98,"&lt;="&amp;$H103,工数管理!$V$3:$V$98,"&gt;="&amp;$H103)+COUNTIFS(工数管理!$AK$3:$AK$98,J$1,工数管理!$W$3:$W$98,"&lt;="&amp;$H103,工数管理!$X$3:$X$98,"&gt;="&amp;$H103)+COUNTIFS(工数管理!$AK$3:$AK$98,J$1,工数管理!$Y$3:$Y$98,"&lt;="&amp;$H103,工数管理!$Z$3:$Z$98,"&gt;="&amp;$H103)+COUNTIFS(工数管理!$AK$3:$AK$98,J$1,工数管理!$AA$3:$AA$98,"&lt;="&amp;$H103,工数管理!$AB$3:$AB$98,"&gt;="&amp;$H103)+COUNTIFS(工数管理!$AK$3:$AK$98,J$1,工数管理!$AC$3:$AC$98,"&lt;="&amp;$H103,工数管理!$AD$3:$AD$98,"&gt;="&amp;$H103)+COUNTIFS(工数管理!$AK$3:$AK$98,J$1,工数管理!$AE$3:$AE$98,"&lt;="&amp;$H103,工数管理!$AF$3:$AF$98,"&gt;="&amp;$H103)+COUNTIFS(工数管理!$AK$3:$AK$98,J$1,工数管理!$AG$3:$AG$98,"&lt;="&amp;$H103,工数管理!$AH$3:$AH$98,"&gt;="&amp;$H103)+(COUNTIFS(工数管理!$AK$3:$AK$98,J$1,工数管理!$K$3:$K$98,"&lt;="&amp;$H103,工数管理!$L$3:$L$98,"")+COUNTIFS(工数管理!$AK$3:$AK$98,J$1,工数管理!$M$3:$M$98,"&lt;="&amp;$H103,工数管理!$N$3:$N$98,"")+COUNTIFS(工数管理!$AK$3:$AK$98,J$1,工数管理!$O$3:$O$98,"&lt;="&amp;$H103,工数管理!$P$3:$P$98,"")+COUNTIFS(工数管理!$AK$3:$AK$98,J$1,工数管理!$Q$3:$Q$98,"&lt;="&amp;$H103,工数管理!$R$3:$R$98,"")+COUNTIFS(工数管理!$AK$3:$AK$98,J$1,工数管理!$S$3:$S$98,"&lt;="&amp;$H103,工数管理!$T$3:$T$98,"")+COUNTIFS(工数管理!$AK$3:$AK$98,J$1,工数管理!$U$3:$U$98,"&lt;="&amp;$H103,工数管理!$V$3:$V$98,"")+COUNTIFS(工数管理!$AK$3:$AK$98,J$1,工数管理!$W$3:$W$98,"&lt;="&amp;$H103,工数管理!$X$3:$X$98,"")+COUNTIFS(工数管理!$AK$3:$AK$98,J$1,工数管理!$Y$3:$Y$98,"&lt;="&amp;$H103,工数管理!$Z$3:$Z$98,"")+COUNTIFS(工数管理!$AK$3:$AK$98,J$1,工数管理!$AA$3:$AA$98,"&lt;="&amp;$H103,工数管理!$AB$3:$AB$98,"")+COUNTIFS(工数管理!$AK$3:$AK$98,J$1,工数管理!$AC$3:$AC$98,"&lt;="&amp;$H103,工数管理!$AD$3:$AD$98,"")+COUNTIFS(工数管理!$AK$3:$AK$98,J$1,工数管理!$AE$3:$AE$98,"&lt;="&amp;$H103,工数管理!$AF$3:$AF$98,"")+COUNTIFS(工数管理!$AK$3:$AK$98,J$1,工数管理!$AG$3:$AG$98,"&lt;="&amp;$H103,工数管理!$AH$3:$AH$98,""))*($H103&lt;=工数管理!$AI$1))</f>
        <v>1</v>
      </c>
      <c r="K103" s="42">
        <f ca="1">IF(K$1="",0,COUNTIFS(工数管理!$AK$3:$AK$98,K$1,工数管理!$K$3:$K$98,"&lt;="&amp;$H103,工数管理!$L$3:$L$98,"&gt;="&amp;$H103)+COUNTIFS(工数管理!$AK$3:$AK$98,K$1,工数管理!$M$3:$M$98,"&lt;="&amp;$H103,工数管理!$N$3:$N$98,"&gt;="&amp;$H103)+COUNTIFS(工数管理!$AK$3:$AK$98,K$1,工数管理!$O$3:$O$98,"&lt;="&amp;$H103,工数管理!$P$3:$P$98,"&gt;="&amp;$H103)+COUNTIFS(工数管理!$AK$3:$AK$98,K$1,工数管理!$Q$3:$Q$98,"&lt;="&amp;$H103,工数管理!$R$3:$R$98,"&gt;="&amp;$H103)+COUNTIFS(工数管理!$AK$3:$AK$98,K$1,工数管理!$S$3:$S$98,"&lt;="&amp;$H103,工数管理!$T$3:$T$98,"&gt;="&amp;$H103)+COUNTIFS(工数管理!$AK$3:$AK$98,K$1,工数管理!$U$3:$U$98,"&lt;="&amp;$H103,工数管理!$V$3:$V$98,"&gt;="&amp;$H103)+COUNTIFS(工数管理!$AK$3:$AK$98,K$1,工数管理!$W$3:$W$98,"&lt;="&amp;$H103,工数管理!$X$3:$X$98,"&gt;="&amp;$H103)+COUNTIFS(工数管理!$AK$3:$AK$98,K$1,工数管理!$Y$3:$Y$98,"&lt;="&amp;$H103,工数管理!$Z$3:$Z$98,"&gt;="&amp;$H103)+COUNTIFS(工数管理!$AK$3:$AK$98,K$1,工数管理!$AA$3:$AA$98,"&lt;="&amp;$H103,工数管理!$AB$3:$AB$98,"&gt;="&amp;$H103)+COUNTIFS(工数管理!$AK$3:$AK$98,K$1,工数管理!$AC$3:$AC$98,"&lt;="&amp;$H103,工数管理!$AD$3:$AD$98,"&gt;="&amp;$H103)+COUNTIFS(工数管理!$AK$3:$AK$98,K$1,工数管理!$AE$3:$AE$98,"&lt;="&amp;$H103,工数管理!$AF$3:$AF$98,"&gt;="&amp;$H103)+COUNTIFS(工数管理!$AK$3:$AK$98,K$1,工数管理!$AG$3:$AG$98,"&lt;="&amp;$H103,工数管理!$AH$3:$AH$98,"&gt;="&amp;$H103)+(COUNTIFS(工数管理!$AK$3:$AK$98,K$1,工数管理!$K$3:$K$98,"&lt;="&amp;$H103,工数管理!$L$3:$L$98,"")+COUNTIFS(工数管理!$AK$3:$AK$98,K$1,工数管理!$M$3:$M$98,"&lt;="&amp;$H103,工数管理!$N$3:$N$98,"")+COUNTIFS(工数管理!$AK$3:$AK$98,K$1,工数管理!$O$3:$O$98,"&lt;="&amp;$H103,工数管理!$P$3:$P$98,"")+COUNTIFS(工数管理!$AK$3:$AK$98,K$1,工数管理!$Q$3:$Q$98,"&lt;="&amp;$H103,工数管理!$R$3:$R$98,"")+COUNTIFS(工数管理!$AK$3:$AK$98,K$1,工数管理!$S$3:$S$98,"&lt;="&amp;$H103,工数管理!$T$3:$T$98,"")+COUNTIFS(工数管理!$AK$3:$AK$98,K$1,工数管理!$U$3:$U$98,"&lt;="&amp;$H103,工数管理!$V$3:$V$98,"")+COUNTIFS(工数管理!$AK$3:$AK$98,K$1,工数管理!$W$3:$W$98,"&lt;="&amp;$H103,工数管理!$X$3:$X$98,"")+COUNTIFS(工数管理!$AK$3:$AK$98,K$1,工数管理!$Y$3:$Y$98,"&lt;="&amp;$H103,工数管理!$Z$3:$Z$98,"")+COUNTIFS(工数管理!$AK$3:$AK$98,K$1,工数管理!$AA$3:$AA$98,"&lt;="&amp;$H103,工数管理!$AB$3:$AB$98,"")+COUNTIFS(工数管理!$AK$3:$AK$98,K$1,工数管理!$AC$3:$AC$98,"&lt;="&amp;$H103,工数管理!$AD$3:$AD$98,"")+COUNTIFS(工数管理!$AK$3:$AK$98,K$1,工数管理!$AE$3:$AE$98,"&lt;="&amp;$H103,工数管理!$AF$3:$AF$98,"")+COUNTIFS(工数管理!$AK$3:$AK$98,K$1,工数管理!$AG$3:$AG$98,"&lt;="&amp;$H103,工数管理!$AH$3:$AH$98,""))*($H103&lt;=工数管理!$AI$1))</f>
        <v>1</v>
      </c>
      <c r="L103" s="42">
        <f ca="1">IF(L$1="",0,COUNTIFS(工数管理!$AK$3:$AK$98,L$1,工数管理!$K$3:$K$98,"&lt;="&amp;$H103,工数管理!$L$3:$L$98,"&gt;="&amp;$H103)+COUNTIFS(工数管理!$AK$3:$AK$98,L$1,工数管理!$M$3:$M$98,"&lt;="&amp;$H103,工数管理!$N$3:$N$98,"&gt;="&amp;$H103)+COUNTIFS(工数管理!$AK$3:$AK$98,L$1,工数管理!$O$3:$O$98,"&lt;="&amp;$H103,工数管理!$P$3:$P$98,"&gt;="&amp;$H103)+COUNTIFS(工数管理!$AK$3:$AK$98,L$1,工数管理!$Q$3:$Q$98,"&lt;="&amp;$H103,工数管理!$R$3:$R$98,"&gt;="&amp;$H103)+COUNTIFS(工数管理!$AK$3:$AK$98,L$1,工数管理!$S$3:$S$98,"&lt;="&amp;$H103,工数管理!$T$3:$T$98,"&gt;="&amp;$H103)+COUNTIFS(工数管理!$AK$3:$AK$98,L$1,工数管理!$U$3:$U$98,"&lt;="&amp;$H103,工数管理!$V$3:$V$98,"&gt;="&amp;$H103)+COUNTIFS(工数管理!$AK$3:$AK$98,L$1,工数管理!$W$3:$W$98,"&lt;="&amp;$H103,工数管理!$X$3:$X$98,"&gt;="&amp;$H103)+COUNTIFS(工数管理!$AK$3:$AK$98,L$1,工数管理!$Y$3:$Y$98,"&lt;="&amp;$H103,工数管理!$Z$3:$Z$98,"&gt;="&amp;$H103)+COUNTIFS(工数管理!$AK$3:$AK$98,L$1,工数管理!$AA$3:$AA$98,"&lt;="&amp;$H103,工数管理!$AB$3:$AB$98,"&gt;="&amp;$H103)+COUNTIFS(工数管理!$AK$3:$AK$98,L$1,工数管理!$AC$3:$AC$98,"&lt;="&amp;$H103,工数管理!$AD$3:$AD$98,"&gt;="&amp;$H103)+COUNTIFS(工数管理!$AK$3:$AK$98,L$1,工数管理!$AE$3:$AE$98,"&lt;="&amp;$H103,工数管理!$AF$3:$AF$98,"&gt;="&amp;$H103)+COUNTIFS(工数管理!$AK$3:$AK$98,L$1,工数管理!$AG$3:$AG$98,"&lt;="&amp;$H103,工数管理!$AH$3:$AH$98,"&gt;="&amp;$H103)+(COUNTIFS(工数管理!$AK$3:$AK$98,L$1,工数管理!$K$3:$K$98,"&lt;="&amp;$H103,工数管理!$L$3:$L$98,"")+COUNTIFS(工数管理!$AK$3:$AK$98,L$1,工数管理!$M$3:$M$98,"&lt;="&amp;$H103,工数管理!$N$3:$N$98,"")+COUNTIFS(工数管理!$AK$3:$AK$98,L$1,工数管理!$O$3:$O$98,"&lt;="&amp;$H103,工数管理!$P$3:$P$98,"")+COUNTIFS(工数管理!$AK$3:$AK$98,L$1,工数管理!$Q$3:$Q$98,"&lt;="&amp;$H103,工数管理!$R$3:$R$98,"")+COUNTIFS(工数管理!$AK$3:$AK$98,L$1,工数管理!$S$3:$S$98,"&lt;="&amp;$H103,工数管理!$T$3:$T$98,"")+COUNTIFS(工数管理!$AK$3:$AK$98,L$1,工数管理!$U$3:$U$98,"&lt;="&amp;$H103,工数管理!$V$3:$V$98,"")+COUNTIFS(工数管理!$AK$3:$AK$98,L$1,工数管理!$W$3:$W$98,"&lt;="&amp;$H103,工数管理!$X$3:$X$98,"")+COUNTIFS(工数管理!$AK$3:$AK$98,L$1,工数管理!$Y$3:$Y$98,"&lt;="&amp;$H103,工数管理!$Z$3:$Z$98,"")+COUNTIFS(工数管理!$AK$3:$AK$98,L$1,工数管理!$AA$3:$AA$98,"&lt;="&amp;$H103,工数管理!$AB$3:$AB$98,"")+COUNTIFS(工数管理!$AK$3:$AK$98,L$1,工数管理!$AC$3:$AC$98,"&lt;="&amp;$H103,工数管理!$AD$3:$AD$98,"")+COUNTIFS(工数管理!$AK$3:$AK$98,L$1,工数管理!$AE$3:$AE$98,"&lt;="&amp;$H103,工数管理!$AF$3:$AF$98,"")+COUNTIFS(工数管理!$AK$3:$AK$98,L$1,工数管理!$AG$3:$AG$98,"&lt;="&amp;$H103,工数管理!$AH$3:$AH$98,""))*($H103&lt;=工数管理!$AI$1))</f>
        <v>1</v>
      </c>
    </row>
    <row r="104" spans="1:12" x14ac:dyDescent="0.15">
      <c r="A104" s="5"/>
      <c r="B104" s="6"/>
      <c r="H104" s="41">
        <f t="shared" si="3"/>
        <v>46272</v>
      </c>
      <c r="I104" s="42">
        <f t="shared" si="2"/>
        <v>1</v>
      </c>
      <c r="J104" s="42">
        <f ca="1">IF(J$1="",0,COUNTIFS(工数管理!$AK$3:$AK$98,J$1,工数管理!$K$3:$K$98,"&lt;="&amp;$H104,工数管理!$L$3:$L$98,"&gt;="&amp;$H104)+COUNTIFS(工数管理!$AK$3:$AK$98,J$1,工数管理!$M$3:$M$98,"&lt;="&amp;$H104,工数管理!$N$3:$N$98,"&gt;="&amp;$H104)+COUNTIFS(工数管理!$AK$3:$AK$98,J$1,工数管理!$O$3:$O$98,"&lt;="&amp;$H104,工数管理!$P$3:$P$98,"&gt;="&amp;$H104)+COUNTIFS(工数管理!$AK$3:$AK$98,J$1,工数管理!$Q$3:$Q$98,"&lt;="&amp;$H104,工数管理!$R$3:$R$98,"&gt;="&amp;$H104)+COUNTIFS(工数管理!$AK$3:$AK$98,J$1,工数管理!$S$3:$S$98,"&lt;="&amp;$H104,工数管理!$T$3:$T$98,"&gt;="&amp;$H104)+COUNTIFS(工数管理!$AK$3:$AK$98,J$1,工数管理!$U$3:$U$98,"&lt;="&amp;$H104,工数管理!$V$3:$V$98,"&gt;="&amp;$H104)+COUNTIFS(工数管理!$AK$3:$AK$98,J$1,工数管理!$W$3:$W$98,"&lt;="&amp;$H104,工数管理!$X$3:$X$98,"&gt;="&amp;$H104)+COUNTIFS(工数管理!$AK$3:$AK$98,J$1,工数管理!$Y$3:$Y$98,"&lt;="&amp;$H104,工数管理!$Z$3:$Z$98,"&gt;="&amp;$H104)+COUNTIFS(工数管理!$AK$3:$AK$98,J$1,工数管理!$AA$3:$AA$98,"&lt;="&amp;$H104,工数管理!$AB$3:$AB$98,"&gt;="&amp;$H104)+COUNTIFS(工数管理!$AK$3:$AK$98,J$1,工数管理!$AC$3:$AC$98,"&lt;="&amp;$H104,工数管理!$AD$3:$AD$98,"&gt;="&amp;$H104)+COUNTIFS(工数管理!$AK$3:$AK$98,J$1,工数管理!$AE$3:$AE$98,"&lt;="&amp;$H104,工数管理!$AF$3:$AF$98,"&gt;="&amp;$H104)+COUNTIFS(工数管理!$AK$3:$AK$98,J$1,工数管理!$AG$3:$AG$98,"&lt;="&amp;$H104,工数管理!$AH$3:$AH$98,"&gt;="&amp;$H104)+(COUNTIFS(工数管理!$AK$3:$AK$98,J$1,工数管理!$K$3:$K$98,"&lt;="&amp;$H104,工数管理!$L$3:$L$98,"")+COUNTIFS(工数管理!$AK$3:$AK$98,J$1,工数管理!$M$3:$M$98,"&lt;="&amp;$H104,工数管理!$N$3:$N$98,"")+COUNTIFS(工数管理!$AK$3:$AK$98,J$1,工数管理!$O$3:$O$98,"&lt;="&amp;$H104,工数管理!$P$3:$P$98,"")+COUNTIFS(工数管理!$AK$3:$AK$98,J$1,工数管理!$Q$3:$Q$98,"&lt;="&amp;$H104,工数管理!$R$3:$R$98,"")+COUNTIFS(工数管理!$AK$3:$AK$98,J$1,工数管理!$S$3:$S$98,"&lt;="&amp;$H104,工数管理!$T$3:$T$98,"")+COUNTIFS(工数管理!$AK$3:$AK$98,J$1,工数管理!$U$3:$U$98,"&lt;="&amp;$H104,工数管理!$V$3:$V$98,"")+COUNTIFS(工数管理!$AK$3:$AK$98,J$1,工数管理!$W$3:$W$98,"&lt;="&amp;$H104,工数管理!$X$3:$X$98,"")+COUNTIFS(工数管理!$AK$3:$AK$98,J$1,工数管理!$Y$3:$Y$98,"&lt;="&amp;$H104,工数管理!$Z$3:$Z$98,"")+COUNTIFS(工数管理!$AK$3:$AK$98,J$1,工数管理!$AA$3:$AA$98,"&lt;="&amp;$H104,工数管理!$AB$3:$AB$98,"")+COUNTIFS(工数管理!$AK$3:$AK$98,J$1,工数管理!$AC$3:$AC$98,"&lt;="&amp;$H104,工数管理!$AD$3:$AD$98,"")+COUNTIFS(工数管理!$AK$3:$AK$98,J$1,工数管理!$AE$3:$AE$98,"&lt;="&amp;$H104,工数管理!$AF$3:$AF$98,"")+COUNTIFS(工数管理!$AK$3:$AK$98,J$1,工数管理!$AG$3:$AG$98,"&lt;="&amp;$H104,工数管理!$AH$3:$AH$98,""))*($H104&lt;=工数管理!$AI$1))</f>
        <v>1</v>
      </c>
      <c r="K104" s="42">
        <f ca="1">IF(K$1="",0,COUNTIFS(工数管理!$AK$3:$AK$98,K$1,工数管理!$K$3:$K$98,"&lt;="&amp;$H104,工数管理!$L$3:$L$98,"&gt;="&amp;$H104)+COUNTIFS(工数管理!$AK$3:$AK$98,K$1,工数管理!$M$3:$M$98,"&lt;="&amp;$H104,工数管理!$N$3:$N$98,"&gt;="&amp;$H104)+COUNTIFS(工数管理!$AK$3:$AK$98,K$1,工数管理!$O$3:$O$98,"&lt;="&amp;$H104,工数管理!$P$3:$P$98,"&gt;="&amp;$H104)+COUNTIFS(工数管理!$AK$3:$AK$98,K$1,工数管理!$Q$3:$Q$98,"&lt;="&amp;$H104,工数管理!$R$3:$R$98,"&gt;="&amp;$H104)+COUNTIFS(工数管理!$AK$3:$AK$98,K$1,工数管理!$S$3:$S$98,"&lt;="&amp;$H104,工数管理!$T$3:$T$98,"&gt;="&amp;$H104)+COUNTIFS(工数管理!$AK$3:$AK$98,K$1,工数管理!$U$3:$U$98,"&lt;="&amp;$H104,工数管理!$V$3:$V$98,"&gt;="&amp;$H104)+COUNTIFS(工数管理!$AK$3:$AK$98,K$1,工数管理!$W$3:$W$98,"&lt;="&amp;$H104,工数管理!$X$3:$X$98,"&gt;="&amp;$H104)+COUNTIFS(工数管理!$AK$3:$AK$98,K$1,工数管理!$Y$3:$Y$98,"&lt;="&amp;$H104,工数管理!$Z$3:$Z$98,"&gt;="&amp;$H104)+COUNTIFS(工数管理!$AK$3:$AK$98,K$1,工数管理!$AA$3:$AA$98,"&lt;="&amp;$H104,工数管理!$AB$3:$AB$98,"&gt;="&amp;$H104)+COUNTIFS(工数管理!$AK$3:$AK$98,K$1,工数管理!$AC$3:$AC$98,"&lt;="&amp;$H104,工数管理!$AD$3:$AD$98,"&gt;="&amp;$H104)+COUNTIFS(工数管理!$AK$3:$AK$98,K$1,工数管理!$AE$3:$AE$98,"&lt;="&amp;$H104,工数管理!$AF$3:$AF$98,"&gt;="&amp;$H104)+COUNTIFS(工数管理!$AK$3:$AK$98,K$1,工数管理!$AG$3:$AG$98,"&lt;="&amp;$H104,工数管理!$AH$3:$AH$98,"&gt;="&amp;$H104)+(COUNTIFS(工数管理!$AK$3:$AK$98,K$1,工数管理!$K$3:$K$98,"&lt;="&amp;$H104,工数管理!$L$3:$L$98,"")+COUNTIFS(工数管理!$AK$3:$AK$98,K$1,工数管理!$M$3:$M$98,"&lt;="&amp;$H104,工数管理!$N$3:$N$98,"")+COUNTIFS(工数管理!$AK$3:$AK$98,K$1,工数管理!$O$3:$O$98,"&lt;="&amp;$H104,工数管理!$P$3:$P$98,"")+COUNTIFS(工数管理!$AK$3:$AK$98,K$1,工数管理!$Q$3:$Q$98,"&lt;="&amp;$H104,工数管理!$R$3:$R$98,"")+COUNTIFS(工数管理!$AK$3:$AK$98,K$1,工数管理!$S$3:$S$98,"&lt;="&amp;$H104,工数管理!$T$3:$T$98,"")+COUNTIFS(工数管理!$AK$3:$AK$98,K$1,工数管理!$U$3:$U$98,"&lt;="&amp;$H104,工数管理!$V$3:$V$98,"")+COUNTIFS(工数管理!$AK$3:$AK$98,K$1,工数管理!$W$3:$W$98,"&lt;="&amp;$H104,工数管理!$X$3:$X$98,"")+COUNTIFS(工数管理!$AK$3:$AK$98,K$1,工数管理!$Y$3:$Y$98,"&lt;="&amp;$H104,工数管理!$Z$3:$Z$98,"")+COUNTIFS(工数管理!$AK$3:$AK$98,K$1,工数管理!$AA$3:$AA$98,"&lt;="&amp;$H104,工数管理!$AB$3:$AB$98,"")+COUNTIFS(工数管理!$AK$3:$AK$98,K$1,工数管理!$AC$3:$AC$98,"&lt;="&amp;$H104,工数管理!$AD$3:$AD$98,"")+COUNTIFS(工数管理!$AK$3:$AK$98,K$1,工数管理!$AE$3:$AE$98,"&lt;="&amp;$H104,工数管理!$AF$3:$AF$98,"")+COUNTIFS(工数管理!$AK$3:$AK$98,K$1,工数管理!$AG$3:$AG$98,"&lt;="&amp;$H104,工数管理!$AH$3:$AH$98,""))*($H104&lt;=工数管理!$AI$1))</f>
        <v>1</v>
      </c>
      <c r="L104" s="42">
        <f ca="1">IF(L$1="",0,COUNTIFS(工数管理!$AK$3:$AK$98,L$1,工数管理!$K$3:$K$98,"&lt;="&amp;$H104,工数管理!$L$3:$L$98,"&gt;="&amp;$H104)+COUNTIFS(工数管理!$AK$3:$AK$98,L$1,工数管理!$M$3:$M$98,"&lt;="&amp;$H104,工数管理!$N$3:$N$98,"&gt;="&amp;$H104)+COUNTIFS(工数管理!$AK$3:$AK$98,L$1,工数管理!$O$3:$O$98,"&lt;="&amp;$H104,工数管理!$P$3:$P$98,"&gt;="&amp;$H104)+COUNTIFS(工数管理!$AK$3:$AK$98,L$1,工数管理!$Q$3:$Q$98,"&lt;="&amp;$H104,工数管理!$R$3:$R$98,"&gt;="&amp;$H104)+COUNTIFS(工数管理!$AK$3:$AK$98,L$1,工数管理!$S$3:$S$98,"&lt;="&amp;$H104,工数管理!$T$3:$T$98,"&gt;="&amp;$H104)+COUNTIFS(工数管理!$AK$3:$AK$98,L$1,工数管理!$U$3:$U$98,"&lt;="&amp;$H104,工数管理!$V$3:$V$98,"&gt;="&amp;$H104)+COUNTIFS(工数管理!$AK$3:$AK$98,L$1,工数管理!$W$3:$W$98,"&lt;="&amp;$H104,工数管理!$X$3:$X$98,"&gt;="&amp;$H104)+COUNTIFS(工数管理!$AK$3:$AK$98,L$1,工数管理!$Y$3:$Y$98,"&lt;="&amp;$H104,工数管理!$Z$3:$Z$98,"&gt;="&amp;$H104)+COUNTIFS(工数管理!$AK$3:$AK$98,L$1,工数管理!$AA$3:$AA$98,"&lt;="&amp;$H104,工数管理!$AB$3:$AB$98,"&gt;="&amp;$H104)+COUNTIFS(工数管理!$AK$3:$AK$98,L$1,工数管理!$AC$3:$AC$98,"&lt;="&amp;$H104,工数管理!$AD$3:$AD$98,"&gt;="&amp;$H104)+COUNTIFS(工数管理!$AK$3:$AK$98,L$1,工数管理!$AE$3:$AE$98,"&lt;="&amp;$H104,工数管理!$AF$3:$AF$98,"&gt;="&amp;$H104)+COUNTIFS(工数管理!$AK$3:$AK$98,L$1,工数管理!$AG$3:$AG$98,"&lt;="&amp;$H104,工数管理!$AH$3:$AH$98,"&gt;="&amp;$H104)+(COUNTIFS(工数管理!$AK$3:$AK$98,L$1,工数管理!$K$3:$K$98,"&lt;="&amp;$H104,工数管理!$L$3:$L$98,"")+COUNTIFS(工数管理!$AK$3:$AK$98,L$1,工数管理!$M$3:$M$98,"&lt;="&amp;$H104,工数管理!$N$3:$N$98,"")+COUNTIFS(工数管理!$AK$3:$AK$98,L$1,工数管理!$O$3:$O$98,"&lt;="&amp;$H104,工数管理!$P$3:$P$98,"")+COUNTIFS(工数管理!$AK$3:$AK$98,L$1,工数管理!$Q$3:$Q$98,"&lt;="&amp;$H104,工数管理!$R$3:$R$98,"")+COUNTIFS(工数管理!$AK$3:$AK$98,L$1,工数管理!$S$3:$S$98,"&lt;="&amp;$H104,工数管理!$T$3:$T$98,"")+COUNTIFS(工数管理!$AK$3:$AK$98,L$1,工数管理!$U$3:$U$98,"&lt;="&amp;$H104,工数管理!$V$3:$V$98,"")+COUNTIFS(工数管理!$AK$3:$AK$98,L$1,工数管理!$W$3:$W$98,"&lt;="&amp;$H104,工数管理!$X$3:$X$98,"")+COUNTIFS(工数管理!$AK$3:$AK$98,L$1,工数管理!$Y$3:$Y$98,"&lt;="&amp;$H104,工数管理!$Z$3:$Z$98,"")+COUNTIFS(工数管理!$AK$3:$AK$98,L$1,工数管理!$AA$3:$AA$98,"&lt;="&amp;$H104,工数管理!$AB$3:$AB$98,"")+COUNTIFS(工数管理!$AK$3:$AK$98,L$1,工数管理!$AC$3:$AC$98,"&lt;="&amp;$H104,工数管理!$AD$3:$AD$98,"")+COUNTIFS(工数管理!$AK$3:$AK$98,L$1,工数管理!$AE$3:$AE$98,"&lt;="&amp;$H104,工数管理!$AF$3:$AF$98,"")+COUNTIFS(工数管理!$AK$3:$AK$98,L$1,工数管理!$AG$3:$AG$98,"&lt;="&amp;$H104,工数管理!$AH$3:$AH$98,""))*($H104&lt;=工数管理!$AI$1))</f>
        <v>1</v>
      </c>
    </row>
    <row r="105" spans="1:12" x14ac:dyDescent="0.15">
      <c r="A105" s="5"/>
      <c r="B105" s="6"/>
      <c r="H105" s="41">
        <f t="shared" si="3"/>
        <v>46273</v>
      </c>
      <c r="I105" s="42">
        <f t="shared" si="2"/>
        <v>1</v>
      </c>
      <c r="J105" s="42">
        <f ca="1">IF(J$1="",0,COUNTIFS(工数管理!$AK$3:$AK$98,J$1,工数管理!$K$3:$K$98,"&lt;="&amp;$H105,工数管理!$L$3:$L$98,"&gt;="&amp;$H105)+COUNTIFS(工数管理!$AK$3:$AK$98,J$1,工数管理!$M$3:$M$98,"&lt;="&amp;$H105,工数管理!$N$3:$N$98,"&gt;="&amp;$H105)+COUNTIFS(工数管理!$AK$3:$AK$98,J$1,工数管理!$O$3:$O$98,"&lt;="&amp;$H105,工数管理!$P$3:$P$98,"&gt;="&amp;$H105)+COUNTIFS(工数管理!$AK$3:$AK$98,J$1,工数管理!$Q$3:$Q$98,"&lt;="&amp;$H105,工数管理!$R$3:$R$98,"&gt;="&amp;$H105)+COUNTIFS(工数管理!$AK$3:$AK$98,J$1,工数管理!$S$3:$S$98,"&lt;="&amp;$H105,工数管理!$T$3:$T$98,"&gt;="&amp;$H105)+COUNTIFS(工数管理!$AK$3:$AK$98,J$1,工数管理!$U$3:$U$98,"&lt;="&amp;$H105,工数管理!$V$3:$V$98,"&gt;="&amp;$H105)+COUNTIFS(工数管理!$AK$3:$AK$98,J$1,工数管理!$W$3:$W$98,"&lt;="&amp;$H105,工数管理!$X$3:$X$98,"&gt;="&amp;$H105)+COUNTIFS(工数管理!$AK$3:$AK$98,J$1,工数管理!$Y$3:$Y$98,"&lt;="&amp;$H105,工数管理!$Z$3:$Z$98,"&gt;="&amp;$H105)+COUNTIFS(工数管理!$AK$3:$AK$98,J$1,工数管理!$AA$3:$AA$98,"&lt;="&amp;$H105,工数管理!$AB$3:$AB$98,"&gt;="&amp;$H105)+COUNTIFS(工数管理!$AK$3:$AK$98,J$1,工数管理!$AC$3:$AC$98,"&lt;="&amp;$H105,工数管理!$AD$3:$AD$98,"&gt;="&amp;$H105)+COUNTIFS(工数管理!$AK$3:$AK$98,J$1,工数管理!$AE$3:$AE$98,"&lt;="&amp;$H105,工数管理!$AF$3:$AF$98,"&gt;="&amp;$H105)+COUNTIFS(工数管理!$AK$3:$AK$98,J$1,工数管理!$AG$3:$AG$98,"&lt;="&amp;$H105,工数管理!$AH$3:$AH$98,"&gt;="&amp;$H105)+(COUNTIFS(工数管理!$AK$3:$AK$98,J$1,工数管理!$K$3:$K$98,"&lt;="&amp;$H105,工数管理!$L$3:$L$98,"")+COUNTIFS(工数管理!$AK$3:$AK$98,J$1,工数管理!$M$3:$M$98,"&lt;="&amp;$H105,工数管理!$N$3:$N$98,"")+COUNTIFS(工数管理!$AK$3:$AK$98,J$1,工数管理!$O$3:$O$98,"&lt;="&amp;$H105,工数管理!$P$3:$P$98,"")+COUNTIFS(工数管理!$AK$3:$AK$98,J$1,工数管理!$Q$3:$Q$98,"&lt;="&amp;$H105,工数管理!$R$3:$R$98,"")+COUNTIFS(工数管理!$AK$3:$AK$98,J$1,工数管理!$S$3:$S$98,"&lt;="&amp;$H105,工数管理!$T$3:$T$98,"")+COUNTIFS(工数管理!$AK$3:$AK$98,J$1,工数管理!$U$3:$U$98,"&lt;="&amp;$H105,工数管理!$V$3:$V$98,"")+COUNTIFS(工数管理!$AK$3:$AK$98,J$1,工数管理!$W$3:$W$98,"&lt;="&amp;$H105,工数管理!$X$3:$X$98,"")+COUNTIFS(工数管理!$AK$3:$AK$98,J$1,工数管理!$Y$3:$Y$98,"&lt;="&amp;$H105,工数管理!$Z$3:$Z$98,"")+COUNTIFS(工数管理!$AK$3:$AK$98,J$1,工数管理!$AA$3:$AA$98,"&lt;="&amp;$H105,工数管理!$AB$3:$AB$98,"")+COUNTIFS(工数管理!$AK$3:$AK$98,J$1,工数管理!$AC$3:$AC$98,"&lt;="&amp;$H105,工数管理!$AD$3:$AD$98,"")+COUNTIFS(工数管理!$AK$3:$AK$98,J$1,工数管理!$AE$3:$AE$98,"&lt;="&amp;$H105,工数管理!$AF$3:$AF$98,"")+COUNTIFS(工数管理!$AK$3:$AK$98,J$1,工数管理!$AG$3:$AG$98,"&lt;="&amp;$H105,工数管理!$AH$3:$AH$98,""))*($H105&lt;=工数管理!$AI$1))</f>
        <v>1</v>
      </c>
      <c r="K105" s="42">
        <f ca="1">IF(K$1="",0,COUNTIFS(工数管理!$AK$3:$AK$98,K$1,工数管理!$K$3:$K$98,"&lt;="&amp;$H105,工数管理!$L$3:$L$98,"&gt;="&amp;$H105)+COUNTIFS(工数管理!$AK$3:$AK$98,K$1,工数管理!$M$3:$M$98,"&lt;="&amp;$H105,工数管理!$N$3:$N$98,"&gt;="&amp;$H105)+COUNTIFS(工数管理!$AK$3:$AK$98,K$1,工数管理!$O$3:$O$98,"&lt;="&amp;$H105,工数管理!$P$3:$P$98,"&gt;="&amp;$H105)+COUNTIFS(工数管理!$AK$3:$AK$98,K$1,工数管理!$Q$3:$Q$98,"&lt;="&amp;$H105,工数管理!$R$3:$R$98,"&gt;="&amp;$H105)+COUNTIFS(工数管理!$AK$3:$AK$98,K$1,工数管理!$S$3:$S$98,"&lt;="&amp;$H105,工数管理!$T$3:$T$98,"&gt;="&amp;$H105)+COUNTIFS(工数管理!$AK$3:$AK$98,K$1,工数管理!$U$3:$U$98,"&lt;="&amp;$H105,工数管理!$V$3:$V$98,"&gt;="&amp;$H105)+COUNTIFS(工数管理!$AK$3:$AK$98,K$1,工数管理!$W$3:$W$98,"&lt;="&amp;$H105,工数管理!$X$3:$X$98,"&gt;="&amp;$H105)+COUNTIFS(工数管理!$AK$3:$AK$98,K$1,工数管理!$Y$3:$Y$98,"&lt;="&amp;$H105,工数管理!$Z$3:$Z$98,"&gt;="&amp;$H105)+COUNTIFS(工数管理!$AK$3:$AK$98,K$1,工数管理!$AA$3:$AA$98,"&lt;="&amp;$H105,工数管理!$AB$3:$AB$98,"&gt;="&amp;$H105)+COUNTIFS(工数管理!$AK$3:$AK$98,K$1,工数管理!$AC$3:$AC$98,"&lt;="&amp;$H105,工数管理!$AD$3:$AD$98,"&gt;="&amp;$H105)+COUNTIFS(工数管理!$AK$3:$AK$98,K$1,工数管理!$AE$3:$AE$98,"&lt;="&amp;$H105,工数管理!$AF$3:$AF$98,"&gt;="&amp;$H105)+COUNTIFS(工数管理!$AK$3:$AK$98,K$1,工数管理!$AG$3:$AG$98,"&lt;="&amp;$H105,工数管理!$AH$3:$AH$98,"&gt;="&amp;$H105)+(COUNTIFS(工数管理!$AK$3:$AK$98,K$1,工数管理!$K$3:$K$98,"&lt;="&amp;$H105,工数管理!$L$3:$L$98,"")+COUNTIFS(工数管理!$AK$3:$AK$98,K$1,工数管理!$M$3:$M$98,"&lt;="&amp;$H105,工数管理!$N$3:$N$98,"")+COUNTIFS(工数管理!$AK$3:$AK$98,K$1,工数管理!$O$3:$O$98,"&lt;="&amp;$H105,工数管理!$P$3:$P$98,"")+COUNTIFS(工数管理!$AK$3:$AK$98,K$1,工数管理!$Q$3:$Q$98,"&lt;="&amp;$H105,工数管理!$R$3:$R$98,"")+COUNTIFS(工数管理!$AK$3:$AK$98,K$1,工数管理!$S$3:$S$98,"&lt;="&amp;$H105,工数管理!$T$3:$T$98,"")+COUNTIFS(工数管理!$AK$3:$AK$98,K$1,工数管理!$U$3:$U$98,"&lt;="&amp;$H105,工数管理!$V$3:$V$98,"")+COUNTIFS(工数管理!$AK$3:$AK$98,K$1,工数管理!$W$3:$W$98,"&lt;="&amp;$H105,工数管理!$X$3:$X$98,"")+COUNTIFS(工数管理!$AK$3:$AK$98,K$1,工数管理!$Y$3:$Y$98,"&lt;="&amp;$H105,工数管理!$Z$3:$Z$98,"")+COUNTIFS(工数管理!$AK$3:$AK$98,K$1,工数管理!$AA$3:$AA$98,"&lt;="&amp;$H105,工数管理!$AB$3:$AB$98,"")+COUNTIFS(工数管理!$AK$3:$AK$98,K$1,工数管理!$AC$3:$AC$98,"&lt;="&amp;$H105,工数管理!$AD$3:$AD$98,"")+COUNTIFS(工数管理!$AK$3:$AK$98,K$1,工数管理!$AE$3:$AE$98,"&lt;="&amp;$H105,工数管理!$AF$3:$AF$98,"")+COUNTIFS(工数管理!$AK$3:$AK$98,K$1,工数管理!$AG$3:$AG$98,"&lt;="&amp;$H105,工数管理!$AH$3:$AH$98,""))*($H105&lt;=工数管理!$AI$1))</f>
        <v>1</v>
      </c>
      <c r="L105" s="42">
        <f ca="1">IF(L$1="",0,COUNTIFS(工数管理!$AK$3:$AK$98,L$1,工数管理!$K$3:$K$98,"&lt;="&amp;$H105,工数管理!$L$3:$L$98,"&gt;="&amp;$H105)+COUNTIFS(工数管理!$AK$3:$AK$98,L$1,工数管理!$M$3:$M$98,"&lt;="&amp;$H105,工数管理!$N$3:$N$98,"&gt;="&amp;$H105)+COUNTIFS(工数管理!$AK$3:$AK$98,L$1,工数管理!$O$3:$O$98,"&lt;="&amp;$H105,工数管理!$P$3:$P$98,"&gt;="&amp;$H105)+COUNTIFS(工数管理!$AK$3:$AK$98,L$1,工数管理!$Q$3:$Q$98,"&lt;="&amp;$H105,工数管理!$R$3:$R$98,"&gt;="&amp;$H105)+COUNTIFS(工数管理!$AK$3:$AK$98,L$1,工数管理!$S$3:$S$98,"&lt;="&amp;$H105,工数管理!$T$3:$T$98,"&gt;="&amp;$H105)+COUNTIFS(工数管理!$AK$3:$AK$98,L$1,工数管理!$U$3:$U$98,"&lt;="&amp;$H105,工数管理!$V$3:$V$98,"&gt;="&amp;$H105)+COUNTIFS(工数管理!$AK$3:$AK$98,L$1,工数管理!$W$3:$W$98,"&lt;="&amp;$H105,工数管理!$X$3:$X$98,"&gt;="&amp;$H105)+COUNTIFS(工数管理!$AK$3:$AK$98,L$1,工数管理!$Y$3:$Y$98,"&lt;="&amp;$H105,工数管理!$Z$3:$Z$98,"&gt;="&amp;$H105)+COUNTIFS(工数管理!$AK$3:$AK$98,L$1,工数管理!$AA$3:$AA$98,"&lt;="&amp;$H105,工数管理!$AB$3:$AB$98,"&gt;="&amp;$H105)+COUNTIFS(工数管理!$AK$3:$AK$98,L$1,工数管理!$AC$3:$AC$98,"&lt;="&amp;$H105,工数管理!$AD$3:$AD$98,"&gt;="&amp;$H105)+COUNTIFS(工数管理!$AK$3:$AK$98,L$1,工数管理!$AE$3:$AE$98,"&lt;="&amp;$H105,工数管理!$AF$3:$AF$98,"&gt;="&amp;$H105)+COUNTIFS(工数管理!$AK$3:$AK$98,L$1,工数管理!$AG$3:$AG$98,"&lt;="&amp;$H105,工数管理!$AH$3:$AH$98,"&gt;="&amp;$H105)+(COUNTIFS(工数管理!$AK$3:$AK$98,L$1,工数管理!$K$3:$K$98,"&lt;="&amp;$H105,工数管理!$L$3:$L$98,"")+COUNTIFS(工数管理!$AK$3:$AK$98,L$1,工数管理!$M$3:$M$98,"&lt;="&amp;$H105,工数管理!$N$3:$N$98,"")+COUNTIFS(工数管理!$AK$3:$AK$98,L$1,工数管理!$O$3:$O$98,"&lt;="&amp;$H105,工数管理!$P$3:$P$98,"")+COUNTIFS(工数管理!$AK$3:$AK$98,L$1,工数管理!$Q$3:$Q$98,"&lt;="&amp;$H105,工数管理!$R$3:$R$98,"")+COUNTIFS(工数管理!$AK$3:$AK$98,L$1,工数管理!$S$3:$S$98,"&lt;="&amp;$H105,工数管理!$T$3:$T$98,"")+COUNTIFS(工数管理!$AK$3:$AK$98,L$1,工数管理!$U$3:$U$98,"&lt;="&amp;$H105,工数管理!$V$3:$V$98,"")+COUNTIFS(工数管理!$AK$3:$AK$98,L$1,工数管理!$W$3:$W$98,"&lt;="&amp;$H105,工数管理!$X$3:$X$98,"")+COUNTIFS(工数管理!$AK$3:$AK$98,L$1,工数管理!$Y$3:$Y$98,"&lt;="&amp;$H105,工数管理!$Z$3:$Z$98,"")+COUNTIFS(工数管理!$AK$3:$AK$98,L$1,工数管理!$AA$3:$AA$98,"&lt;="&amp;$H105,工数管理!$AB$3:$AB$98,"")+COUNTIFS(工数管理!$AK$3:$AK$98,L$1,工数管理!$AC$3:$AC$98,"&lt;="&amp;$H105,工数管理!$AD$3:$AD$98,"")+COUNTIFS(工数管理!$AK$3:$AK$98,L$1,工数管理!$AE$3:$AE$98,"&lt;="&amp;$H105,工数管理!$AF$3:$AF$98,"")+COUNTIFS(工数管理!$AK$3:$AK$98,L$1,工数管理!$AG$3:$AG$98,"&lt;="&amp;$H105,工数管理!$AH$3:$AH$98,""))*($H105&lt;=工数管理!$AI$1))</f>
        <v>1</v>
      </c>
    </row>
    <row r="106" spans="1:12" x14ac:dyDescent="0.15">
      <c r="A106" s="5"/>
      <c r="B106" s="6"/>
      <c r="H106" s="41">
        <f t="shared" si="3"/>
        <v>46274</v>
      </c>
      <c r="I106" s="42">
        <f t="shared" si="2"/>
        <v>1</v>
      </c>
      <c r="J106" s="42">
        <f ca="1">IF(J$1="",0,COUNTIFS(工数管理!$AK$3:$AK$98,J$1,工数管理!$K$3:$K$98,"&lt;="&amp;$H106,工数管理!$L$3:$L$98,"&gt;="&amp;$H106)+COUNTIFS(工数管理!$AK$3:$AK$98,J$1,工数管理!$M$3:$M$98,"&lt;="&amp;$H106,工数管理!$N$3:$N$98,"&gt;="&amp;$H106)+COUNTIFS(工数管理!$AK$3:$AK$98,J$1,工数管理!$O$3:$O$98,"&lt;="&amp;$H106,工数管理!$P$3:$P$98,"&gt;="&amp;$H106)+COUNTIFS(工数管理!$AK$3:$AK$98,J$1,工数管理!$Q$3:$Q$98,"&lt;="&amp;$H106,工数管理!$R$3:$R$98,"&gt;="&amp;$H106)+COUNTIFS(工数管理!$AK$3:$AK$98,J$1,工数管理!$S$3:$S$98,"&lt;="&amp;$H106,工数管理!$T$3:$T$98,"&gt;="&amp;$H106)+COUNTIFS(工数管理!$AK$3:$AK$98,J$1,工数管理!$U$3:$U$98,"&lt;="&amp;$H106,工数管理!$V$3:$V$98,"&gt;="&amp;$H106)+COUNTIFS(工数管理!$AK$3:$AK$98,J$1,工数管理!$W$3:$W$98,"&lt;="&amp;$H106,工数管理!$X$3:$X$98,"&gt;="&amp;$H106)+COUNTIFS(工数管理!$AK$3:$AK$98,J$1,工数管理!$Y$3:$Y$98,"&lt;="&amp;$H106,工数管理!$Z$3:$Z$98,"&gt;="&amp;$H106)+COUNTIFS(工数管理!$AK$3:$AK$98,J$1,工数管理!$AA$3:$AA$98,"&lt;="&amp;$H106,工数管理!$AB$3:$AB$98,"&gt;="&amp;$H106)+COUNTIFS(工数管理!$AK$3:$AK$98,J$1,工数管理!$AC$3:$AC$98,"&lt;="&amp;$H106,工数管理!$AD$3:$AD$98,"&gt;="&amp;$H106)+COUNTIFS(工数管理!$AK$3:$AK$98,J$1,工数管理!$AE$3:$AE$98,"&lt;="&amp;$H106,工数管理!$AF$3:$AF$98,"&gt;="&amp;$H106)+COUNTIFS(工数管理!$AK$3:$AK$98,J$1,工数管理!$AG$3:$AG$98,"&lt;="&amp;$H106,工数管理!$AH$3:$AH$98,"&gt;="&amp;$H106)+(COUNTIFS(工数管理!$AK$3:$AK$98,J$1,工数管理!$K$3:$K$98,"&lt;="&amp;$H106,工数管理!$L$3:$L$98,"")+COUNTIFS(工数管理!$AK$3:$AK$98,J$1,工数管理!$M$3:$M$98,"&lt;="&amp;$H106,工数管理!$N$3:$N$98,"")+COUNTIFS(工数管理!$AK$3:$AK$98,J$1,工数管理!$O$3:$O$98,"&lt;="&amp;$H106,工数管理!$P$3:$P$98,"")+COUNTIFS(工数管理!$AK$3:$AK$98,J$1,工数管理!$Q$3:$Q$98,"&lt;="&amp;$H106,工数管理!$R$3:$R$98,"")+COUNTIFS(工数管理!$AK$3:$AK$98,J$1,工数管理!$S$3:$S$98,"&lt;="&amp;$H106,工数管理!$T$3:$T$98,"")+COUNTIFS(工数管理!$AK$3:$AK$98,J$1,工数管理!$U$3:$U$98,"&lt;="&amp;$H106,工数管理!$V$3:$V$98,"")+COUNTIFS(工数管理!$AK$3:$AK$98,J$1,工数管理!$W$3:$W$98,"&lt;="&amp;$H106,工数管理!$X$3:$X$98,"")+COUNTIFS(工数管理!$AK$3:$AK$98,J$1,工数管理!$Y$3:$Y$98,"&lt;="&amp;$H106,工数管理!$Z$3:$Z$98,"")+COUNTIFS(工数管理!$AK$3:$AK$98,J$1,工数管理!$AA$3:$AA$98,"&lt;="&amp;$H106,工数管理!$AB$3:$AB$98,"")+COUNTIFS(工数管理!$AK$3:$AK$98,J$1,工数管理!$AC$3:$AC$98,"&lt;="&amp;$H106,工数管理!$AD$3:$AD$98,"")+COUNTIFS(工数管理!$AK$3:$AK$98,J$1,工数管理!$AE$3:$AE$98,"&lt;="&amp;$H106,工数管理!$AF$3:$AF$98,"")+COUNTIFS(工数管理!$AK$3:$AK$98,J$1,工数管理!$AG$3:$AG$98,"&lt;="&amp;$H106,工数管理!$AH$3:$AH$98,""))*($H106&lt;=工数管理!$AI$1))</f>
        <v>1</v>
      </c>
      <c r="K106" s="42">
        <f ca="1">IF(K$1="",0,COUNTIFS(工数管理!$AK$3:$AK$98,K$1,工数管理!$K$3:$K$98,"&lt;="&amp;$H106,工数管理!$L$3:$L$98,"&gt;="&amp;$H106)+COUNTIFS(工数管理!$AK$3:$AK$98,K$1,工数管理!$M$3:$M$98,"&lt;="&amp;$H106,工数管理!$N$3:$N$98,"&gt;="&amp;$H106)+COUNTIFS(工数管理!$AK$3:$AK$98,K$1,工数管理!$O$3:$O$98,"&lt;="&amp;$H106,工数管理!$P$3:$P$98,"&gt;="&amp;$H106)+COUNTIFS(工数管理!$AK$3:$AK$98,K$1,工数管理!$Q$3:$Q$98,"&lt;="&amp;$H106,工数管理!$R$3:$R$98,"&gt;="&amp;$H106)+COUNTIFS(工数管理!$AK$3:$AK$98,K$1,工数管理!$S$3:$S$98,"&lt;="&amp;$H106,工数管理!$T$3:$T$98,"&gt;="&amp;$H106)+COUNTIFS(工数管理!$AK$3:$AK$98,K$1,工数管理!$U$3:$U$98,"&lt;="&amp;$H106,工数管理!$V$3:$V$98,"&gt;="&amp;$H106)+COUNTIFS(工数管理!$AK$3:$AK$98,K$1,工数管理!$W$3:$W$98,"&lt;="&amp;$H106,工数管理!$X$3:$X$98,"&gt;="&amp;$H106)+COUNTIFS(工数管理!$AK$3:$AK$98,K$1,工数管理!$Y$3:$Y$98,"&lt;="&amp;$H106,工数管理!$Z$3:$Z$98,"&gt;="&amp;$H106)+COUNTIFS(工数管理!$AK$3:$AK$98,K$1,工数管理!$AA$3:$AA$98,"&lt;="&amp;$H106,工数管理!$AB$3:$AB$98,"&gt;="&amp;$H106)+COUNTIFS(工数管理!$AK$3:$AK$98,K$1,工数管理!$AC$3:$AC$98,"&lt;="&amp;$H106,工数管理!$AD$3:$AD$98,"&gt;="&amp;$H106)+COUNTIFS(工数管理!$AK$3:$AK$98,K$1,工数管理!$AE$3:$AE$98,"&lt;="&amp;$H106,工数管理!$AF$3:$AF$98,"&gt;="&amp;$H106)+COUNTIFS(工数管理!$AK$3:$AK$98,K$1,工数管理!$AG$3:$AG$98,"&lt;="&amp;$H106,工数管理!$AH$3:$AH$98,"&gt;="&amp;$H106)+(COUNTIFS(工数管理!$AK$3:$AK$98,K$1,工数管理!$K$3:$K$98,"&lt;="&amp;$H106,工数管理!$L$3:$L$98,"")+COUNTIFS(工数管理!$AK$3:$AK$98,K$1,工数管理!$M$3:$M$98,"&lt;="&amp;$H106,工数管理!$N$3:$N$98,"")+COUNTIFS(工数管理!$AK$3:$AK$98,K$1,工数管理!$O$3:$O$98,"&lt;="&amp;$H106,工数管理!$P$3:$P$98,"")+COUNTIFS(工数管理!$AK$3:$AK$98,K$1,工数管理!$Q$3:$Q$98,"&lt;="&amp;$H106,工数管理!$R$3:$R$98,"")+COUNTIFS(工数管理!$AK$3:$AK$98,K$1,工数管理!$S$3:$S$98,"&lt;="&amp;$H106,工数管理!$T$3:$T$98,"")+COUNTIFS(工数管理!$AK$3:$AK$98,K$1,工数管理!$U$3:$U$98,"&lt;="&amp;$H106,工数管理!$V$3:$V$98,"")+COUNTIFS(工数管理!$AK$3:$AK$98,K$1,工数管理!$W$3:$W$98,"&lt;="&amp;$H106,工数管理!$X$3:$X$98,"")+COUNTIFS(工数管理!$AK$3:$AK$98,K$1,工数管理!$Y$3:$Y$98,"&lt;="&amp;$H106,工数管理!$Z$3:$Z$98,"")+COUNTIFS(工数管理!$AK$3:$AK$98,K$1,工数管理!$AA$3:$AA$98,"&lt;="&amp;$H106,工数管理!$AB$3:$AB$98,"")+COUNTIFS(工数管理!$AK$3:$AK$98,K$1,工数管理!$AC$3:$AC$98,"&lt;="&amp;$H106,工数管理!$AD$3:$AD$98,"")+COUNTIFS(工数管理!$AK$3:$AK$98,K$1,工数管理!$AE$3:$AE$98,"&lt;="&amp;$H106,工数管理!$AF$3:$AF$98,"")+COUNTIFS(工数管理!$AK$3:$AK$98,K$1,工数管理!$AG$3:$AG$98,"&lt;="&amp;$H106,工数管理!$AH$3:$AH$98,""))*($H106&lt;=工数管理!$AI$1))</f>
        <v>1</v>
      </c>
      <c r="L106" s="42">
        <f ca="1">IF(L$1="",0,COUNTIFS(工数管理!$AK$3:$AK$98,L$1,工数管理!$K$3:$K$98,"&lt;="&amp;$H106,工数管理!$L$3:$L$98,"&gt;="&amp;$H106)+COUNTIFS(工数管理!$AK$3:$AK$98,L$1,工数管理!$M$3:$M$98,"&lt;="&amp;$H106,工数管理!$N$3:$N$98,"&gt;="&amp;$H106)+COUNTIFS(工数管理!$AK$3:$AK$98,L$1,工数管理!$O$3:$O$98,"&lt;="&amp;$H106,工数管理!$P$3:$P$98,"&gt;="&amp;$H106)+COUNTIFS(工数管理!$AK$3:$AK$98,L$1,工数管理!$Q$3:$Q$98,"&lt;="&amp;$H106,工数管理!$R$3:$R$98,"&gt;="&amp;$H106)+COUNTIFS(工数管理!$AK$3:$AK$98,L$1,工数管理!$S$3:$S$98,"&lt;="&amp;$H106,工数管理!$T$3:$T$98,"&gt;="&amp;$H106)+COUNTIFS(工数管理!$AK$3:$AK$98,L$1,工数管理!$U$3:$U$98,"&lt;="&amp;$H106,工数管理!$V$3:$V$98,"&gt;="&amp;$H106)+COUNTIFS(工数管理!$AK$3:$AK$98,L$1,工数管理!$W$3:$W$98,"&lt;="&amp;$H106,工数管理!$X$3:$X$98,"&gt;="&amp;$H106)+COUNTIFS(工数管理!$AK$3:$AK$98,L$1,工数管理!$Y$3:$Y$98,"&lt;="&amp;$H106,工数管理!$Z$3:$Z$98,"&gt;="&amp;$H106)+COUNTIFS(工数管理!$AK$3:$AK$98,L$1,工数管理!$AA$3:$AA$98,"&lt;="&amp;$H106,工数管理!$AB$3:$AB$98,"&gt;="&amp;$H106)+COUNTIFS(工数管理!$AK$3:$AK$98,L$1,工数管理!$AC$3:$AC$98,"&lt;="&amp;$H106,工数管理!$AD$3:$AD$98,"&gt;="&amp;$H106)+COUNTIFS(工数管理!$AK$3:$AK$98,L$1,工数管理!$AE$3:$AE$98,"&lt;="&amp;$H106,工数管理!$AF$3:$AF$98,"&gt;="&amp;$H106)+COUNTIFS(工数管理!$AK$3:$AK$98,L$1,工数管理!$AG$3:$AG$98,"&lt;="&amp;$H106,工数管理!$AH$3:$AH$98,"&gt;="&amp;$H106)+(COUNTIFS(工数管理!$AK$3:$AK$98,L$1,工数管理!$K$3:$K$98,"&lt;="&amp;$H106,工数管理!$L$3:$L$98,"")+COUNTIFS(工数管理!$AK$3:$AK$98,L$1,工数管理!$M$3:$M$98,"&lt;="&amp;$H106,工数管理!$N$3:$N$98,"")+COUNTIFS(工数管理!$AK$3:$AK$98,L$1,工数管理!$O$3:$O$98,"&lt;="&amp;$H106,工数管理!$P$3:$P$98,"")+COUNTIFS(工数管理!$AK$3:$AK$98,L$1,工数管理!$Q$3:$Q$98,"&lt;="&amp;$H106,工数管理!$R$3:$R$98,"")+COUNTIFS(工数管理!$AK$3:$AK$98,L$1,工数管理!$S$3:$S$98,"&lt;="&amp;$H106,工数管理!$T$3:$T$98,"")+COUNTIFS(工数管理!$AK$3:$AK$98,L$1,工数管理!$U$3:$U$98,"&lt;="&amp;$H106,工数管理!$V$3:$V$98,"")+COUNTIFS(工数管理!$AK$3:$AK$98,L$1,工数管理!$W$3:$W$98,"&lt;="&amp;$H106,工数管理!$X$3:$X$98,"")+COUNTIFS(工数管理!$AK$3:$AK$98,L$1,工数管理!$Y$3:$Y$98,"&lt;="&amp;$H106,工数管理!$Z$3:$Z$98,"")+COUNTIFS(工数管理!$AK$3:$AK$98,L$1,工数管理!$AA$3:$AA$98,"&lt;="&amp;$H106,工数管理!$AB$3:$AB$98,"")+COUNTIFS(工数管理!$AK$3:$AK$98,L$1,工数管理!$AC$3:$AC$98,"&lt;="&amp;$H106,工数管理!$AD$3:$AD$98,"")+COUNTIFS(工数管理!$AK$3:$AK$98,L$1,工数管理!$AE$3:$AE$98,"&lt;="&amp;$H106,工数管理!$AF$3:$AF$98,"")+COUNTIFS(工数管理!$AK$3:$AK$98,L$1,工数管理!$AG$3:$AG$98,"&lt;="&amp;$H106,工数管理!$AH$3:$AH$98,""))*($H106&lt;=工数管理!$AI$1))</f>
        <v>1</v>
      </c>
    </row>
    <row r="107" spans="1:12" x14ac:dyDescent="0.15">
      <c r="A107" s="5"/>
      <c r="B107" s="6"/>
      <c r="H107" s="41">
        <f t="shared" si="3"/>
        <v>46275</v>
      </c>
      <c r="I107" s="42">
        <f t="shared" si="2"/>
        <v>1</v>
      </c>
      <c r="J107" s="42">
        <f ca="1">IF(J$1="",0,COUNTIFS(工数管理!$AK$3:$AK$98,J$1,工数管理!$K$3:$K$98,"&lt;="&amp;$H107,工数管理!$L$3:$L$98,"&gt;="&amp;$H107)+COUNTIFS(工数管理!$AK$3:$AK$98,J$1,工数管理!$M$3:$M$98,"&lt;="&amp;$H107,工数管理!$N$3:$N$98,"&gt;="&amp;$H107)+COUNTIFS(工数管理!$AK$3:$AK$98,J$1,工数管理!$O$3:$O$98,"&lt;="&amp;$H107,工数管理!$P$3:$P$98,"&gt;="&amp;$H107)+COUNTIFS(工数管理!$AK$3:$AK$98,J$1,工数管理!$Q$3:$Q$98,"&lt;="&amp;$H107,工数管理!$R$3:$R$98,"&gt;="&amp;$H107)+COUNTIFS(工数管理!$AK$3:$AK$98,J$1,工数管理!$S$3:$S$98,"&lt;="&amp;$H107,工数管理!$T$3:$T$98,"&gt;="&amp;$H107)+COUNTIFS(工数管理!$AK$3:$AK$98,J$1,工数管理!$U$3:$U$98,"&lt;="&amp;$H107,工数管理!$V$3:$V$98,"&gt;="&amp;$H107)+COUNTIFS(工数管理!$AK$3:$AK$98,J$1,工数管理!$W$3:$W$98,"&lt;="&amp;$H107,工数管理!$X$3:$X$98,"&gt;="&amp;$H107)+COUNTIFS(工数管理!$AK$3:$AK$98,J$1,工数管理!$Y$3:$Y$98,"&lt;="&amp;$H107,工数管理!$Z$3:$Z$98,"&gt;="&amp;$H107)+COUNTIFS(工数管理!$AK$3:$AK$98,J$1,工数管理!$AA$3:$AA$98,"&lt;="&amp;$H107,工数管理!$AB$3:$AB$98,"&gt;="&amp;$H107)+COUNTIFS(工数管理!$AK$3:$AK$98,J$1,工数管理!$AC$3:$AC$98,"&lt;="&amp;$H107,工数管理!$AD$3:$AD$98,"&gt;="&amp;$H107)+COUNTIFS(工数管理!$AK$3:$AK$98,J$1,工数管理!$AE$3:$AE$98,"&lt;="&amp;$H107,工数管理!$AF$3:$AF$98,"&gt;="&amp;$H107)+COUNTIFS(工数管理!$AK$3:$AK$98,J$1,工数管理!$AG$3:$AG$98,"&lt;="&amp;$H107,工数管理!$AH$3:$AH$98,"&gt;="&amp;$H107)+(COUNTIFS(工数管理!$AK$3:$AK$98,J$1,工数管理!$K$3:$K$98,"&lt;="&amp;$H107,工数管理!$L$3:$L$98,"")+COUNTIFS(工数管理!$AK$3:$AK$98,J$1,工数管理!$M$3:$M$98,"&lt;="&amp;$H107,工数管理!$N$3:$N$98,"")+COUNTIFS(工数管理!$AK$3:$AK$98,J$1,工数管理!$O$3:$O$98,"&lt;="&amp;$H107,工数管理!$P$3:$P$98,"")+COUNTIFS(工数管理!$AK$3:$AK$98,J$1,工数管理!$Q$3:$Q$98,"&lt;="&amp;$H107,工数管理!$R$3:$R$98,"")+COUNTIFS(工数管理!$AK$3:$AK$98,J$1,工数管理!$S$3:$S$98,"&lt;="&amp;$H107,工数管理!$T$3:$T$98,"")+COUNTIFS(工数管理!$AK$3:$AK$98,J$1,工数管理!$U$3:$U$98,"&lt;="&amp;$H107,工数管理!$V$3:$V$98,"")+COUNTIFS(工数管理!$AK$3:$AK$98,J$1,工数管理!$W$3:$W$98,"&lt;="&amp;$H107,工数管理!$X$3:$X$98,"")+COUNTIFS(工数管理!$AK$3:$AK$98,J$1,工数管理!$Y$3:$Y$98,"&lt;="&amp;$H107,工数管理!$Z$3:$Z$98,"")+COUNTIFS(工数管理!$AK$3:$AK$98,J$1,工数管理!$AA$3:$AA$98,"&lt;="&amp;$H107,工数管理!$AB$3:$AB$98,"")+COUNTIFS(工数管理!$AK$3:$AK$98,J$1,工数管理!$AC$3:$AC$98,"&lt;="&amp;$H107,工数管理!$AD$3:$AD$98,"")+COUNTIFS(工数管理!$AK$3:$AK$98,J$1,工数管理!$AE$3:$AE$98,"&lt;="&amp;$H107,工数管理!$AF$3:$AF$98,"")+COUNTIFS(工数管理!$AK$3:$AK$98,J$1,工数管理!$AG$3:$AG$98,"&lt;="&amp;$H107,工数管理!$AH$3:$AH$98,""))*($H107&lt;=工数管理!$AI$1))</f>
        <v>1</v>
      </c>
      <c r="K107" s="42">
        <f ca="1">IF(K$1="",0,COUNTIFS(工数管理!$AK$3:$AK$98,K$1,工数管理!$K$3:$K$98,"&lt;="&amp;$H107,工数管理!$L$3:$L$98,"&gt;="&amp;$H107)+COUNTIFS(工数管理!$AK$3:$AK$98,K$1,工数管理!$M$3:$M$98,"&lt;="&amp;$H107,工数管理!$N$3:$N$98,"&gt;="&amp;$H107)+COUNTIFS(工数管理!$AK$3:$AK$98,K$1,工数管理!$O$3:$O$98,"&lt;="&amp;$H107,工数管理!$P$3:$P$98,"&gt;="&amp;$H107)+COUNTIFS(工数管理!$AK$3:$AK$98,K$1,工数管理!$Q$3:$Q$98,"&lt;="&amp;$H107,工数管理!$R$3:$R$98,"&gt;="&amp;$H107)+COUNTIFS(工数管理!$AK$3:$AK$98,K$1,工数管理!$S$3:$S$98,"&lt;="&amp;$H107,工数管理!$T$3:$T$98,"&gt;="&amp;$H107)+COUNTIFS(工数管理!$AK$3:$AK$98,K$1,工数管理!$U$3:$U$98,"&lt;="&amp;$H107,工数管理!$V$3:$V$98,"&gt;="&amp;$H107)+COUNTIFS(工数管理!$AK$3:$AK$98,K$1,工数管理!$W$3:$W$98,"&lt;="&amp;$H107,工数管理!$X$3:$X$98,"&gt;="&amp;$H107)+COUNTIFS(工数管理!$AK$3:$AK$98,K$1,工数管理!$Y$3:$Y$98,"&lt;="&amp;$H107,工数管理!$Z$3:$Z$98,"&gt;="&amp;$H107)+COUNTIFS(工数管理!$AK$3:$AK$98,K$1,工数管理!$AA$3:$AA$98,"&lt;="&amp;$H107,工数管理!$AB$3:$AB$98,"&gt;="&amp;$H107)+COUNTIFS(工数管理!$AK$3:$AK$98,K$1,工数管理!$AC$3:$AC$98,"&lt;="&amp;$H107,工数管理!$AD$3:$AD$98,"&gt;="&amp;$H107)+COUNTIFS(工数管理!$AK$3:$AK$98,K$1,工数管理!$AE$3:$AE$98,"&lt;="&amp;$H107,工数管理!$AF$3:$AF$98,"&gt;="&amp;$H107)+COUNTIFS(工数管理!$AK$3:$AK$98,K$1,工数管理!$AG$3:$AG$98,"&lt;="&amp;$H107,工数管理!$AH$3:$AH$98,"&gt;="&amp;$H107)+(COUNTIFS(工数管理!$AK$3:$AK$98,K$1,工数管理!$K$3:$K$98,"&lt;="&amp;$H107,工数管理!$L$3:$L$98,"")+COUNTIFS(工数管理!$AK$3:$AK$98,K$1,工数管理!$M$3:$M$98,"&lt;="&amp;$H107,工数管理!$N$3:$N$98,"")+COUNTIFS(工数管理!$AK$3:$AK$98,K$1,工数管理!$O$3:$O$98,"&lt;="&amp;$H107,工数管理!$P$3:$P$98,"")+COUNTIFS(工数管理!$AK$3:$AK$98,K$1,工数管理!$Q$3:$Q$98,"&lt;="&amp;$H107,工数管理!$R$3:$R$98,"")+COUNTIFS(工数管理!$AK$3:$AK$98,K$1,工数管理!$S$3:$S$98,"&lt;="&amp;$H107,工数管理!$T$3:$T$98,"")+COUNTIFS(工数管理!$AK$3:$AK$98,K$1,工数管理!$U$3:$U$98,"&lt;="&amp;$H107,工数管理!$V$3:$V$98,"")+COUNTIFS(工数管理!$AK$3:$AK$98,K$1,工数管理!$W$3:$W$98,"&lt;="&amp;$H107,工数管理!$X$3:$X$98,"")+COUNTIFS(工数管理!$AK$3:$AK$98,K$1,工数管理!$Y$3:$Y$98,"&lt;="&amp;$H107,工数管理!$Z$3:$Z$98,"")+COUNTIFS(工数管理!$AK$3:$AK$98,K$1,工数管理!$AA$3:$AA$98,"&lt;="&amp;$H107,工数管理!$AB$3:$AB$98,"")+COUNTIFS(工数管理!$AK$3:$AK$98,K$1,工数管理!$AC$3:$AC$98,"&lt;="&amp;$H107,工数管理!$AD$3:$AD$98,"")+COUNTIFS(工数管理!$AK$3:$AK$98,K$1,工数管理!$AE$3:$AE$98,"&lt;="&amp;$H107,工数管理!$AF$3:$AF$98,"")+COUNTIFS(工数管理!$AK$3:$AK$98,K$1,工数管理!$AG$3:$AG$98,"&lt;="&amp;$H107,工数管理!$AH$3:$AH$98,""))*($H107&lt;=工数管理!$AI$1))</f>
        <v>1</v>
      </c>
      <c r="L107" s="42">
        <f ca="1">IF(L$1="",0,COUNTIFS(工数管理!$AK$3:$AK$98,L$1,工数管理!$K$3:$K$98,"&lt;="&amp;$H107,工数管理!$L$3:$L$98,"&gt;="&amp;$H107)+COUNTIFS(工数管理!$AK$3:$AK$98,L$1,工数管理!$M$3:$M$98,"&lt;="&amp;$H107,工数管理!$N$3:$N$98,"&gt;="&amp;$H107)+COUNTIFS(工数管理!$AK$3:$AK$98,L$1,工数管理!$O$3:$O$98,"&lt;="&amp;$H107,工数管理!$P$3:$P$98,"&gt;="&amp;$H107)+COUNTIFS(工数管理!$AK$3:$AK$98,L$1,工数管理!$Q$3:$Q$98,"&lt;="&amp;$H107,工数管理!$R$3:$R$98,"&gt;="&amp;$H107)+COUNTIFS(工数管理!$AK$3:$AK$98,L$1,工数管理!$S$3:$S$98,"&lt;="&amp;$H107,工数管理!$T$3:$T$98,"&gt;="&amp;$H107)+COUNTIFS(工数管理!$AK$3:$AK$98,L$1,工数管理!$U$3:$U$98,"&lt;="&amp;$H107,工数管理!$V$3:$V$98,"&gt;="&amp;$H107)+COUNTIFS(工数管理!$AK$3:$AK$98,L$1,工数管理!$W$3:$W$98,"&lt;="&amp;$H107,工数管理!$X$3:$X$98,"&gt;="&amp;$H107)+COUNTIFS(工数管理!$AK$3:$AK$98,L$1,工数管理!$Y$3:$Y$98,"&lt;="&amp;$H107,工数管理!$Z$3:$Z$98,"&gt;="&amp;$H107)+COUNTIFS(工数管理!$AK$3:$AK$98,L$1,工数管理!$AA$3:$AA$98,"&lt;="&amp;$H107,工数管理!$AB$3:$AB$98,"&gt;="&amp;$H107)+COUNTIFS(工数管理!$AK$3:$AK$98,L$1,工数管理!$AC$3:$AC$98,"&lt;="&amp;$H107,工数管理!$AD$3:$AD$98,"&gt;="&amp;$H107)+COUNTIFS(工数管理!$AK$3:$AK$98,L$1,工数管理!$AE$3:$AE$98,"&lt;="&amp;$H107,工数管理!$AF$3:$AF$98,"&gt;="&amp;$H107)+COUNTIFS(工数管理!$AK$3:$AK$98,L$1,工数管理!$AG$3:$AG$98,"&lt;="&amp;$H107,工数管理!$AH$3:$AH$98,"&gt;="&amp;$H107)+(COUNTIFS(工数管理!$AK$3:$AK$98,L$1,工数管理!$K$3:$K$98,"&lt;="&amp;$H107,工数管理!$L$3:$L$98,"")+COUNTIFS(工数管理!$AK$3:$AK$98,L$1,工数管理!$M$3:$M$98,"&lt;="&amp;$H107,工数管理!$N$3:$N$98,"")+COUNTIFS(工数管理!$AK$3:$AK$98,L$1,工数管理!$O$3:$O$98,"&lt;="&amp;$H107,工数管理!$P$3:$P$98,"")+COUNTIFS(工数管理!$AK$3:$AK$98,L$1,工数管理!$Q$3:$Q$98,"&lt;="&amp;$H107,工数管理!$R$3:$R$98,"")+COUNTIFS(工数管理!$AK$3:$AK$98,L$1,工数管理!$S$3:$S$98,"&lt;="&amp;$H107,工数管理!$T$3:$T$98,"")+COUNTIFS(工数管理!$AK$3:$AK$98,L$1,工数管理!$U$3:$U$98,"&lt;="&amp;$H107,工数管理!$V$3:$V$98,"")+COUNTIFS(工数管理!$AK$3:$AK$98,L$1,工数管理!$W$3:$W$98,"&lt;="&amp;$H107,工数管理!$X$3:$X$98,"")+COUNTIFS(工数管理!$AK$3:$AK$98,L$1,工数管理!$Y$3:$Y$98,"&lt;="&amp;$H107,工数管理!$Z$3:$Z$98,"")+COUNTIFS(工数管理!$AK$3:$AK$98,L$1,工数管理!$AA$3:$AA$98,"&lt;="&amp;$H107,工数管理!$AB$3:$AB$98,"")+COUNTIFS(工数管理!$AK$3:$AK$98,L$1,工数管理!$AC$3:$AC$98,"&lt;="&amp;$H107,工数管理!$AD$3:$AD$98,"")+COUNTIFS(工数管理!$AK$3:$AK$98,L$1,工数管理!$AE$3:$AE$98,"&lt;="&amp;$H107,工数管理!$AF$3:$AF$98,"")+COUNTIFS(工数管理!$AK$3:$AK$98,L$1,工数管理!$AG$3:$AG$98,"&lt;="&amp;$H107,工数管理!$AH$3:$AH$98,""))*($H107&lt;=工数管理!$AI$1))</f>
        <v>1</v>
      </c>
    </row>
    <row r="108" spans="1:12" x14ac:dyDescent="0.15">
      <c r="A108" s="5"/>
      <c r="B108" s="6"/>
      <c r="H108" s="41">
        <f t="shared" si="3"/>
        <v>46276</v>
      </c>
      <c r="I108" s="42">
        <f t="shared" si="2"/>
        <v>1</v>
      </c>
      <c r="J108" s="42">
        <f ca="1">IF(J$1="",0,COUNTIFS(工数管理!$AK$3:$AK$98,J$1,工数管理!$K$3:$K$98,"&lt;="&amp;$H108,工数管理!$L$3:$L$98,"&gt;="&amp;$H108)+COUNTIFS(工数管理!$AK$3:$AK$98,J$1,工数管理!$M$3:$M$98,"&lt;="&amp;$H108,工数管理!$N$3:$N$98,"&gt;="&amp;$H108)+COUNTIFS(工数管理!$AK$3:$AK$98,J$1,工数管理!$O$3:$O$98,"&lt;="&amp;$H108,工数管理!$P$3:$P$98,"&gt;="&amp;$H108)+COUNTIFS(工数管理!$AK$3:$AK$98,J$1,工数管理!$Q$3:$Q$98,"&lt;="&amp;$H108,工数管理!$R$3:$R$98,"&gt;="&amp;$H108)+COUNTIFS(工数管理!$AK$3:$AK$98,J$1,工数管理!$S$3:$S$98,"&lt;="&amp;$H108,工数管理!$T$3:$T$98,"&gt;="&amp;$H108)+COUNTIFS(工数管理!$AK$3:$AK$98,J$1,工数管理!$U$3:$U$98,"&lt;="&amp;$H108,工数管理!$V$3:$V$98,"&gt;="&amp;$H108)+COUNTIFS(工数管理!$AK$3:$AK$98,J$1,工数管理!$W$3:$W$98,"&lt;="&amp;$H108,工数管理!$X$3:$X$98,"&gt;="&amp;$H108)+COUNTIFS(工数管理!$AK$3:$AK$98,J$1,工数管理!$Y$3:$Y$98,"&lt;="&amp;$H108,工数管理!$Z$3:$Z$98,"&gt;="&amp;$H108)+COUNTIFS(工数管理!$AK$3:$AK$98,J$1,工数管理!$AA$3:$AA$98,"&lt;="&amp;$H108,工数管理!$AB$3:$AB$98,"&gt;="&amp;$H108)+COUNTIFS(工数管理!$AK$3:$AK$98,J$1,工数管理!$AC$3:$AC$98,"&lt;="&amp;$H108,工数管理!$AD$3:$AD$98,"&gt;="&amp;$H108)+COUNTIFS(工数管理!$AK$3:$AK$98,J$1,工数管理!$AE$3:$AE$98,"&lt;="&amp;$H108,工数管理!$AF$3:$AF$98,"&gt;="&amp;$H108)+COUNTIFS(工数管理!$AK$3:$AK$98,J$1,工数管理!$AG$3:$AG$98,"&lt;="&amp;$H108,工数管理!$AH$3:$AH$98,"&gt;="&amp;$H108)+(COUNTIFS(工数管理!$AK$3:$AK$98,J$1,工数管理!$K$3:$K$98,"&lt;="&amp;$H108,工数管理!$L$3:$L$98,"")+COUNTIFS(工数管理!$AK$3:$AK$98,J$1,工数管理!$M$3:$M$98,"&lt;="&amp;$H108,工数管理!$N$3:$N$98,"")+COUNTIFS(工数管理!$AK$3:$AK$98,J$1,工数管理!$O$3:$O$98,"&lt;="&amp;$H108,工数管理!$P$3:$P$98,"")+COUNTIFS(工数管理!$AK$3:$AK$98,J$1,工数管理!$Q$3:$Q$98,"&lt;="&amp;$H108,工数管理!$R$3:$R$98,"")+COUNTIFS(工数管理!$AK$3:$AK$98,J$1,工数管理!$S$3:$S$98,"&lt;="&amp;$H108,工数管理!$T$3:$T$98,"")+COUNTIFS(工数管理!$AK$3:$AK$98,J$1,工数管理!$U$3:$U$98,"&lt;="&amp;$H108,工数管理!$V$3:$V$98,"")+COUNTIFS(工数管理!$AK$3:$AK$98,J$1,工数管理!$W$3:$W$98,"&lt;="&amp;$H108,工数管理!$X$3:$X$98,"")+COUNTIFS(工数管理!$AK$3:$AK$98,J$1,工数管理!$Y$3:$Y$98,"&lt;="&amp;$H108,工数管理!$Z$3:$Z$98,"")+COUNTIFS(工数管理!$AK$3:$AK$98,J$1,工数管理!$AA$3:$AA$98,"&lt;="&amp;$H108,工数管理!$AB$3:$AB$98,"")+COUNTIFS(工数管理!$AK$3:$AK$98,J$1,工数管理!$AC$3:$AC$98,"&lt;="&amp;$H108,工数管理!$AD$3:$AD$98,"")+COUNTIFS(工数管理!$AK$3:$AK$98,J$1,工数管理!$AE$3:$AE$98,"&lt;="&amp;$H108,工数管理!$AF$3:$AF$98,"")+COUNTIFS(工数管理!$AK$3:$AK$98,J$1,工数管理!$AG$3:$AG$98,"&lt;="&amp;$H108,工数管理!$AH$3:$AH$98,""))*($H108&lt;=工数管理!$AI$1))</f>
        <v>0</v>
      </c>
      <c r="K108" s="42">
        <f ca="1">IF(K$1="",0,COUNTIFS(工数管理!$AK$3:$AK$98,K$1,工数管理!$K$3:$K$98,"&lt;="&amp;$H108,工数管理!$L$3:$L$98,"&gt;="&amp;$H108)+COUNTIFS(工数管理!$AK$3:$AK$98,K$1,工数管理!$M$3:$M$98,"&lt;="&amp;$H108,工数管理!$N$3:$N$98,"&gt;="&amp;$H108)+COUNTIFS(工数管理!$AK$3:$AK$98,K$1,工数管理!$O$3:$O$98,"&lt;="&amp;$H108,工数管理!$P$3:$P$98,"&gt;="&amp;$H108)+COUNTIFS(工数管理!$AK$3:$AK$98,K$1,工数管理!$Q$3:$Q$98,"&lt;="&amp;$H108,工数管理!$R$3:$R$98,"&gt;="&amp;$H108)+COUNTIFS(工数管理!$AK$3:$AK$98,K$1,工数管理!$S$3:$S$98,"&lt;="&amp;$H108,工数管理!$T$3:$T$98,"&gt;="&amp;$H108)+COUNTIFS(工数管理!$AK$3:$AK$98,K$1,工数管理!$U$3:$U$98,"&lt;="&amp;$H108,工数管理!$V$3:$V$98,"&gt;="&amp;$H108)+COUNTIFS(工数管理!$AK$3:$AK$98,K$1,工数管理!$W$3:$W$98,"&lt;="&amp;$H108,工数管理!$X$3:$X$98,"&gt;="&amp;$H108)+COUNTIFS(工数管理!$AK$3:$AK$98,K$1,工数管理!$Y$3:$Y$98,"&lt;="&amp;$H108,工数管理!$Z$3:$Z$98,"&gt;="&amp;$H108)+COUNTIFS(工数管理!$AK$3:$AK$98,K$1,工数管理!$AA$3:$AA$98,"&lt;="&amp;$H108,工数管理!$AB$3:$AB$98,"&gt;="&amp;$H108)+COUNTIFS(工数管理!$AK$3:$AK$98,K$1,工数管理!$AC$3:$AC$98,"&lt;="&amp;$H108,工数管理!$AD$3:$AD$98,"&gt;="&amp;$H108)+COUNTIFS(工数管理!$AK$3:$AK$98,K$1,工数管理!$AE$3:$AE$98,"&lt;="&amp;$H108,工数管理!$AF$3:$AF$98,"&gt;="&amp;$H108)+COUNTIFS(工数管理!$AK$3:$AK$98,K$1,工数管理!$AG$3:$AG$98,"&lt;="&amp;$H108,工数管理!$AH$3:$AH$98,"&gt;="&amp;$H108)+(COUNTIFS(工数管理!$AK$3:$AK$98,K$1,工数管理!$K$3:$K$98,"&lt;="&amp;$H108,工数管理!$L$3:$L$98,"")+COUNTIFS(工数管理!$AK$3:$AK$98,K$1,工数管理!$M$3:$M$98,"&lt;="&amp;$H108,工数管理!$N$3:$N$98,"")+COUNTIFS(工数管理!$AK$3:$AK$98,K$1,工数管理!$O$3:$O$98,"&lt;="&amp;$H108,工数管理!$P$3:$P$98,"")+COUNTIFS(工数管理!$AK$3:$AK$98,K$1,工数管理!$Q$3:$Q$98,"&lt;="&amp;$H108,工数管理!$R$3:$R$98,"")+COUNTIFS(工数管理!$AK$3:$AK$98,K$1,工数管理!$S$3:$S$98,"&lt;="&amp;$H108,工数管理!$T$3:$T$98,"")+COUNTIFS(工数管理!$AK$3:$AK$98,K$1,工数管理!$U$3:$U$98,"&lt;="&amp;$H108,工数管理!$V$3:$V$98,"")+COUNTIFS(工数管理!$AK$3:$AK$98,K$1,工数管理!$W$3:$W$98,"&lt;="&amp;$H108,工数管理!$X$3:$X$98,"")+COUNTIFS(工数管理!$AK$3:$AK$98,K$1,工数管理!$Y$3:$Y$98,"&lt;="&amp;$H108,工数管理!$Z$3:$Z$98,"")+COUNTIFS(工数管理!$AK$3:$AK$98,K$1,工数管理!$AA$3:$AA$98,"&lt;="&amp;$H108,工数管理!$AB$3:$AB$98,"")+COUNTIFS(工数管理!$AK$3:$AK$98,K$1,工数管理!$AC$3:$AC$98,"&lt;="&amp;$H108,工数管理!$AD$3:$AD$98,"")+COUNTIFS(工数管理!$AK$3:$AK$98,K$1,工数管理!$AE$3:$AE$98,"&lt;="&amp;$H108,工数管理!$AF$3:$AF$98,"")+COUNTIFS(工数管理!$AK$3:$AK$98,K$1,工数管理!$AG$3:$AG$98,"&lt;="&amp;$H108,工数管理!$AH$3:$AH$98,""))*($H108&lt;=工数管理!$AI$1))</f>
        <v>1</v>
      </c>
      <c r="L108" s="42">
        <f ca="1">IF(L$1="",0,COUNTIFS(工数管理!$AK$3:$AK$98,L$1,工数管理!$K$3:$K$98,"&lt;="&amp;$H108,工数管理!$L$3:$L$98,"&gt;="&amp;$H108)+COUNTIFS(工数管理!$AK$3:$AK$98,L$1,工数管理!$M$3:$M$98,"&lt;="&amp;$H108,工数管理!$N$3:$N$98,"&gt;="&amp;$H108)+COUNTIFS(工数管理!$AK$3:$AK$98,L$1,工数管理!$O$3:$O$98,"&lt;="&amp;$H108,工数管理!$P$3:$P$98,"&gt;="&amp;$H108)+COUNTIFS(工数管理!$AK$3:$AK$98,L$1,工数管理!$Q$3:$Q$98,"&lt;="&amp;$H108,工数管理!$R$3:$R$98,"&gt;="&amp;$H108)+COUNTIFS(工数管理!$AK$3:$AK$98,L$1,工数管理!$S$3:$S$98,"&lt;="&amp;$H108,工数管理!$T$3:$T$98,"&gt;="&amp;$H108)+COUNTIFS(工数管理!$AK$3:$AK$98,L$1,工数管理!$U$3:$U$98,"&lt;="&amp;$H108,工数管理!$V$3:$V$98,"&gt;="&amp;$H108)+COUNTIFS(工数管理!$AK$3:$AK$98,L$1,工数管理!$W$3:$W$98,"&lt;="&amp;$H108,工数管理!$X$3:$X$98,"&gt;="&amp;$H108)+COUNTIFS(工数管理!$AK$3:$AK$98,L$1,工数管理!$Y$3:$Y$98,"&lt;="&amp;$H108,工数管理!$Z$3:$Z$98,"&gt;="&amp;$H108)+COUNTIFS(工数管理!$AK$3:$AK$98,L$1,工数管理!$AA$3:$AA$98,"&lt;="&amp;$H108,工数管理!$AB$3:$AB$98,"&gt;="&amp;$H108)+COUNTIFS(工数管理!$AK$3:$AK$98,L$1,工数管理!$AC$3:$AC$98,"&lt;="&amp;$H108,工数管理!$AD$3:$AD$98,"&gt;="&amp;$H108)+COUNTIFS(工数管理!$AK$3:$AK$98,L$1,工数管理!$AE$3:$AE$98,"&lt;="&amp;$H108,工数管理!$AF$3:$AF$98,"&gt;="&amp;$H108)+COUNTIFS(工数管理!$AK$3:$AK$98,L$1,工数管理!$AG$3:$AG$98,"&lt;="&amp;$H108,工数管理!$AH$3:$AH$98,"&gt;="&amp;$H108)+(COUNTIFS(工数管理!$AK$3:$AK$98,L$1,工数管理!$K$3:$K$98,"&lt;="&amp;$H108,工数管理!$L$3:$L$98,"")+COUNTIFS(工数管理!$AK$3:$AK$98,L$1,工数管理!$M$3:$M$98,"&lt;="&amp;$H108,工数管理!$N$3:$N$98,"")+COUNTIFS(工数管理!$AK$3:$AK$98,L$1,工数管理!$O$3:$O$98,"&lt;="&amp;$H108,工数管理!$P$3:$P$98,"")+COUNTIFS(工数管理!$AK$3:$AK$98,L$1,工数管理!$Q$3:$Q$98,"&lt;="&amp;$H108,工数管理!$R$3:$R$98,"")+COUNTIFS(工数管理!$AK$3:$AK$98,L$1,工数管理!$S$3:$S$98,"&lt;="&amp;$H108,工数管理!$T$3:$T$98,"")+COUNTIFS(工数管理!$AK$3:$AK$98,L$1,工数管理!$U$3:$U$98,"&lt;="&amp;$H108,工数管理!$V$3:$V$98,"")+COUNTIFS(工数管理!$AK$3:$AK$98,L$1,工数管理!$W$3:$W$98,"&lt;="&amp;$H108,工数管理!$X$3:$X$98,"")+COUNTIFS(工数管理!$AK$3:$AK$98,L$1,工数管理!$Y$3:$Y$98,"&lt;="&amp;$H108,工数管理!$Z$3:$Z$98,"")+COUNTIFS(工数管理!$AK$3:$AK$98,L$1,工数管理!$AA$3:$AA$98,"&lt;="&amp;$H108,工数管理!$AB$3:$AB$98,"")+COUNTIFS(工数管理!$AK$3:$AK$98,L$1,工数管理!$AC$3:$AC$98,"&lt;="&amp;$H108,工数管理!$AD$3:$AD$98,"")+COUNTIFS(工数管理!$AK$3:$AK$98,L$1,工数管理!$AE$3:$AE$98,"&lt;="&amp;$H108,工数管理!$AF$3:$AF$98,"")+COUNTIFS(工数管理!$AK$3:$AK$98,L$1,工数管理!$AG$3:$AG$98,"&lt;="&amp;$H108,工数管理!$AH$3:$AH$98,""))*($H108&lt;=工数管理!$AI$1))</f>
        <v>1</v>
      </c>
    </row>
    <row r="109" spans="1:12" x14ac:dyDescent="0.15">
      <c r="A109" s="5"/>
      <c r="B109" s="6"/>
      <c r="H109" s="41">
        <f t="shared" si="3"/>
        <v>46277</v>
      </c>
      <c r="I109" s="42">
        <f t="shared" si="2"/>
        <v>0</v>
      </c>
      <c r="J109" s="42">
        <f ca="1">IF(J$1="",0,COUNTIFS(工数管理!$AK$3:$AK$98,J$1,工数管理!$K$3:$K$98,"&lt;="&amp;$H109,工数管理!$L$3:$L$98,"&gt;="&amp;$H109)+COUNTIFS(工数管理!$AK$3:$AK$98,J$1,工数管理!$M$3:$M$98,"&lt;="&amp;$H109,工数管理!$N$3:$N$98,"&gt;="&amp;$H109)+COUNTIFS(工数管理!$AK$3:$AK$98,J$1,工数管理!$O$3:$O$98,"&lt;="&amp;$H109,工数管理!$P$3:$P$98,"&gt;="&amp;$H109)+COUNTIFS(工数管理!$AK$3:$AK$98,J$1,工数管理!$Q$3:$Q$98,"&lt;="&amp;$H109,工数管理!$R$3:$R$98,"&gt;="&amp;$H109)+COUNTIFS(工数管理!$AK$3:$AK$98,J$1,工数管理!$S$3:$S$98,"&lt;="&amp;$H109,工数管理!$T$3:$T$98,"&gt;="&amp;$H109)+COUNTIFS(工数管理!$AK$3:$AK$98,J$1,工数管理!$U$3:$U$98,"&lt;="&amp;$H109,工数管理!$V$3:$V$98,"&gt;="&amp;$H109)+COUNTIFS(工数管理!$AK$3:$AK$98,J$1,工数管理!$W$3:$W$98,"&lt;="&amp;$H109,工数管理!$X$3:$X$98,"&gt;="&amp;$H109)+COUNTIFS(工数管理!$AK$3:$AK$98,J$1,工数管理!$Y$3:$Y$98,"&lt;="&amp;$H109,工数管理!$Z$3:$Z$98,"&gt;="&amp;$H109)+COUNTIFS(工数管理!$AK$3:$AK$98,J$1,工数管理!$AA$3:$AA$98,"&lt;="&amp;$H109,工数管理!$AB$3:$AB$98,"&gt;="&amp;$H109)+COUNTIFS(工数管理!$AK$3:$AK$98,J$1,工数管理!$AC$3:$AC$98,"&lt;="&amp;$H109,工数管理!$AD$3:$AD$98,"&gt;="&amp;$H109)+COUNTIFS(工数管理!$AK$3:$AK$98,J$1,工数管理!$AE$3:$AE$98,"&lt;="&amp;$H109,工数管理!$AF$3:$AF$98,"&gt;="&amp;$H109)+COUNTIFS(工数管理!$AK$3:$AK$98,J$1,工数管理!$AG$3:$AG$98,"&lt;="&amp;$H109,工数管理!$AH$3:$AH$98,"&gt;="&amp;$H109)+(COUNTIFS(工数管理!$AK$3:$AK$98,J$1,工数管理!$K$3:$K$98,"&lt;="&amp;$H109,工数管理!$L$3:$L$98,"")+COUNTIFS(工数管理!$AK$3:$AK$98,J$1,工数管理!$M$3:$M$98,"&lt;="&amp;$H109,工数管理!$N$3:$N$98,"")+COUNTIFS(工数管理!$AK$3:$AK$98,J$1,工数管理!$O$3:$O$98,"&lt;="&amp;$H109,工数管理!$P$3:$P$98,"")+COUNTIFS(工数管理!$AK$3:$AK$98,J$1,工数管理!$Q$3:$Q$98,"&lt;="&amp;$H109,工数管理!$R$3:$R$98,"")+COUNTIFS(工数管理!$AK$3:$AK$98,J$1,工数管理!$S$3:$S$98,"&lt;="&amp;$H109,工数管理!$T$3:$T$98,"")+COUNTIFS(工数管理!$AK$3:$AK$98,J$1,工数管理!$U$3:$U$98,"&lt;="&amp;$H109,工数管理!$V$3:$V$98,"")+COUNTIFS(工数管理!$AK$3:$AK$98,J$1,工数管理!$W$3:$W$98,"&lt;="&amp;$H109,工数管理!$X$3:$X$98,"")+COUNTIFS(工数管理!$AK$3:$AK$98,J$1,工数管理!$Y$3:$Y$98,"&lt;="&amp;$H109,工数管理!$Z$3:$Z$98,"")+COUNTIFS(工数管理!$AK$3:$AK$98,J$1,工数管理!$AA$3:$AA$98,"&lt;="&amp;$H109,工数管理!$AB$3:$AB$98,"")+COUNTIFS(工数管理!$AK$3:$AK$98,J$1,工数管理!$AC$3:$AC$98,"&lt;="&amp;$H109,工数管理!$AD$3:$AD$98,"")+COUNTIFS(工数管理!$AK$3:$AK$98,J$1,工数管理!$AE$3:$AE$98,"&lt;="&amp;$H109,工数管理!$AF$3:$AF$98,"")+COUNTIFS(工数管理!$AK$3:$AK$98,J$1,工数管理!$AG$3:$AG$98,"&lt;="&amp;$H109,工数管理!$AH$3:$AH$98,""))*($H109&lt;=工数管理!$AI$1))</f>
        <v>0</v>
      </c>
      <c r="K109" s="42">
        <f ca="1">IF(K$1="",0,COUNTIFS(工数管理!$AK$3:$AK$98,K$1,工数管理!$K$3:$K$98,"&lt;="&amp;$H109,工数管理!$L$3:$L$98,"&gt;="&amp;$H109)+COUNTIFS(工数管理!$AK$3:$AK$98,K$1,工数管理!$M$3:$M$98,"&lt;="&amp;$H109,工数管理!$N$3:$N$98,"&gt;="&amp;$H109)+COUNTIFS(工数管理!$AK$3:$AK$98,K$1,工数管理!$O$3:$O$98,"&lt;="&amp;$H109,工数管理!$P$3:$P$98,"&gt;="&amp;$H109)+COUNTIFS(工数管理!$AK$3:$AK$98,K$1,工数管理!$Q$3:$Q$98,"&lt;="&amp;$H109,工数管理!$R$3:$R$98,"&gt;="&amp;$H109)+COUNTIFS(工数管理!$AK$3:$AK$98,K$1,工数管理!$S$3:$S$98,"&lt;="&amp;$H109,工数管理!$T$3:$T$98,"&gt;="&amp;$H109)+COUNTIFS(工数管理!$AK$3:$AK$98,K$1,工数管理!$U$3:$U$98,"&lt;="&amp;$H109,工数管理!$V$3:$V$98,"&gt;="&amp;$H109)+COUNTIFS(工数管理!$AK$3:$AK$98,K$1,工数管理!$W$3:$W$98,"&lt;="&amp;$H109,工数管理!$X$3:$X$98,"&gt;="&amp;$H109)+COUNTIFS(工数管理!$AK$3:$AK$98,K$1,工数管理!$Y$3:$Y$98,"&lt;="&amp;$H109,工数管理!$Z$3:$Z$98,"&gt;="&amp;$H109)+COUNTIFS(工数管理!$AK$3:$AK$98,K$1,工数管理!$AA$3:$AA$98,"&lt;="&amp;$H109,工数管理!$AB$3:$AB$98,"&gt;="&amp;$H109)+COUNTIFS(工数管理!$AK$3:$AK$98,K$1,工数管理!$AC$3:$AC$98,"&lt;="&amp;$H109,工数管理!$AD$3:$AD$98,"&gt;="&amp;$H109)+COUNTIFS(工数管理!$AK$3:$AK$98,K$1,工数管理!$AE$3:$AE$98,"&lt;="&amp;$H109,工数管理!$AF$3:$AF$98,"&gt;="&amp;$H109)+COUNTIFS(工数管理!$AK$3:$AK$98,K$1,工数管理!$AG$3:$AG$98,"&lt;="&amp;$H109,工数管理!$AH$3:$AH$98,"&gt;="&amp;$H109)+(COUNTIFS(工数管理!$AK$3:$AK$98,K$1,工数管理!$K$3:$K$98,"&lt;="&amp;$H109,工数管理!$L$3:$L$98,"")+COUNTIFS(工数管理!$AK$3:$AK$98,K$1,工数管理!$M$3:$M$98,"&lt;="&amp;$H109,工数管理!$N$3:$N$98,"")+COUNTIFS(工数管理!$AK$3:$AK$98,K$1,工数管理!$O$3:$O$98,"&lt;="&amp;$H109,工数管理!$P$3:$P$98,"")+COUNTIFS(工数管理!$AK$3:$AK$98,K$1,工数管理!$Q$3:$Q$98,"&lt;="&amp;$H109,工数管理!$R$3:$R$98,"")+COUNTIFS(工数管理!$AK$3:$AK$98,K$1,工数管理!$S$3:$S$98,"&lt;="&amp;$H109,工数管理!$T$3:$T$98,"")+COUNTIFS(工数管理!$AK$3:$AK$98,K$1,工数管理!$U$3:$U$98,"&lt;="&amp;$H109,工数管理!$V$3:$V$98,"")+COUNTIFS(工数管理!$AK$3:$AK$98,K$1,工数管理!$W$3:$W$98,"&lt;="&amp;$H109,工数管理!$X$3:$X$98,"")+COUNTIFS(工数管理!$AK$3:$AK$98,K$1,工数管理!$Y$3:$Y$98,"&lt;="&amp;$H109,工数管理!$Z$3:$Z$98,"")+COUNTIFS(工数管理!$AK$3:$AK$98,K$1,工数管理!$AA$3:$AA$98,"&lt;="&amp;$H109,工数管理!$AB$3:$AB$98,"")+COUNTIFS(工数管理!$AK$3:$AK$98,K$1,工数管理!$AC$3:$AC$98,"&lt;="&amp;$H109,工数管理!$AD$3:$AD$98,"")+COUNTIFS(工数管理!$AK$3:$AK$98,K$1,工数管理!$AE$3:$AE$98,"&lt;="&amp;$H109,工数管理!$AF$3:$AF$98,"")+COUNTIFS(工数管理!$AK$3:$AK$98,K$1,工数管理!$AG$3:$AG$98,"&lt;="&amp;$H109,工数管理!$AH$3:$AH$98,""))*($H109&lt;=工数管理!$AI$1))</f>
        <v>1</v>
      </c>
      <c r="L109" s="42">
        <f ca="1">IF(L$1="",0,COUNTIFS(工数管理!$AK$3:$AK$98,L$1,工数管理!$K$3:$K$98,"&lt;="&amp;$H109,工数管理!$L$3:$L$98,"&gt;="&amp;$H109)+COUNTIFS(工数管理!$AK$3:$AK$98,L$1,工数管理!$M$3:$M$98,"&lt;="&amp;$H109,工数管理!$N$3:$N$98,"&gt;="&amp;$H109)+COUNTIFS(工数管理!$AK$3:$AK$98,L$1,工数管理!$O$3:$O$98,"&lt;="&amp;$H109,工数管理!$P$3:$P$98,"&gt;="&amp;$H109)+COUNTIFS(工数管理!$AK$3:$AK$98,L$1,工数管理!$Q$3:$Q$98,"&lt;="&amp;$H109,工数管理!$R$3:$R$98,"&gt;="&amp;$H109)+COUNTIFS(工数管理!$AK$3:$AK$98,L$1,工数管理!$S$3:$S$98,"&lt;="&amp;$H109,工数管理!$T$3:$T$98,"&gt;="&amp;$H109)+COUNTIFS(工数管理!$AK$3:$AK$98,L$1,工数管理!$U$3:$U$98,"&lt;="&amp;$H109,工数管理!$V$3:$V$98,"&gt;="&amp;$H109)+COUNTIFS(工数管理!$AK$3:$AK$98,L$1,工数管理!$W$3:$W$98,"&lt;="&amp;$H109,工数管理!$X$3:$X$98,"&gt;="&amp;$H109)+COUNTIFS(工数管理!$AK$3:$AK$98,L$1,工数管理!$Y$3:$Y$98,"&lt;="&amp;$H109,工数管理!$Z$3:$Z$98,"&gt;="&amp;$H109)+COUNTIFS(工数管理!$AK$3:$AK$98,L$1,工数管理!$AA$3:$AA$98,"&lt;="&amp;$H109,工数管理!$AB$3:$AB$98,"&gt;="&amp;$H109)+COUNTIFS(工数管理!$AK$3:$AK$98,L$1,工数管理!$AC$3:$AC$98,"&lt;="&amp;$H109,工数管理!$AD$3:$AD$98,"&gt;="&amp;$H109)+COUNTIFS(工数管理!$AK$3:$AK$98,L$1,工数管理!$AE$3:$AE$98,"&lt;="&amp;$H109,工数管理!$AF$3:$AF$98,"&gt;="&amp;$H109)+COUNTIFS(工数管理!$AK$3:$AK$98,L$1,工数管理!$AG$3:$AG$98,"&lt;="&amp;$H109,工数管理!$AH$3:$AH$98,"&gt;="&amp;$H109)+(COUNTIFS(工数管理!$AK$3:$AK$98,L$1,工数管理!$K$3:$K$98,"&lt;="&amp;$H109,工数管理!$L$3:$L$98,"")+COUNTIFS(工数管理!$AK$3:$AK$98,L$1,工数管理!$M$3:$M$98,"&lt;="&amp;$H109,工数管理!$N$3:$N$98,"")+COUNTIFS(工数管理!$AK$3:$AK$98,L$1,工数管理!$O$3:$O$98,"&lt;="&amp;$H109,工数管理!$P$3:$P$98,"")+COUNTIFS(工数管理!$AK$3:$AK$98,L$1,工数管理!$Q$3:$Q$98,"&lt;="&amp;$H109,工数管理!$R$3:$R$98,"")+COUNTIFS(工数管理!$AK$3:$AK$98,L$1,工数管理!$S$3:$S$98,"&lt;="&amp;$H109,工数管理!$T$3:$T$98,"")+COUNTIFS(工数管理!$AK$3:$AK$98,L$1,工数管理!$U$3:$U$98,"&lt;="&amp;$H109,工数管理!$V$3:$V$98,"")+COUNTIFS(工数管理!$AK$3:$AK$98,L$1,工数管理!$W$3:$W$98,"&lt;="&amp;$H109,工数管理!$X$3:$X$98,"")+COUNTIFS(工数管理!$AK$3:$AK$98,L$1,工数管理!$Y$3:$Y$98,"&lt;="&amp;$H109,工数管理!$Z$3:$Z$98,"")+COUNTIFS(工数管理!$AK$3:$AK$98,L$1,工数管理!$AA$3:$AA$98,"&lt;="&amp;$H109,工数管理!$AB$3:$AB$98,"")+COUNTIFS(工数管理!$AK$3:$AK$98,L$1,工数管理!$AC$3:$AC$98,"&lt;="&amp;$H109,工数管理!$AD$3:$AD$98,"")+COUNTIFS(工数管理!$AK$3:$AK$98,L$1,工数管理!$AE$3:$AE$98,"&lt;="&amp;$H109,工数管理!$AF$3:$AF$98,"")+COUNTIFS(工数管理!$AK$3:$AK$98,L$1,工数管理!$AG$3:$AG$98,"&lt;="&amp;$H109,工数管理!$AH$3:$AH$98,""))*($H109&lt;=工数管理!$AI$1))</f>
        <v>0</v>
      </c>
    </row>
    <row r="110" spans="1:12" x14ac:dyDescent="0.15">
      <c r="A110" s="5"/>
      <c r="B110" s="6"/>
      <c r="H110" s="41">
        <f t="shared" si="3"/>
        <v>46278</v>
      </c>
      <c r="I110" s="42">
        <f t="shared" si="2"/>
        <v>0</v>
      </c>
      <c r="J110" s="42">
        <f ca="1">IF(J$1="",0,COUNTIFS(工数管理!$AK$3:$AK$98,J$1,工数管理!$K$3:$K$98,"&lt;="&amp;$H110,工数管理!$L$3:$L$98,"&gt;="&amp;$H110)+COUNTIFS(工数管理!$AK$3:$AK$98,J$1,工数管理!$M$3:$M$98,"&lt;="&amp;$H110,工数管理!$N$3:$N$98,"&gt;="&amp;$H110)+COUNTIFS(工数管理!$AK$3:$AK$98,J$1,工数管理!$O$3:$O$98,"&lt;="&amp;$H110,工数管理!$P$3:$P$98,"&gt;="&amp;$H110)+COUNTIFS(工数管理!$AK$3:$AK$98,J$1,工数管理!$Q$3:$Q$98,"&lt;="&amp;$H110,工数管理!$R$3:$R$98,"&gt;="&amp;$H110)+COUNTIFS(工数管理!$AK$3:$AK$98,J$1,工数管理!$S$3:$S$98,"&lt;="&amp;$H110,工数管理!$T$3:$T$98,"&gt;="&amp;$H110)+COUNTIFS(工数管理!$AK$3:$AK$98,J$1,工数管理!$U$3:$U$98,"&lt;="&amp;$H110,工数管理!$V$3:$V$98,"&gt;="&amp;$H110)+COUNTIFS(工数管理!$AK$3:$AK$98,J$1,工数管理!$W$3:$W$98,"&lt;="&amp;$H110,工数管理!$X$3:$X$98,"&gt;="&amp;$H110)+COUNTIFS(工数管理!$AK$3:$AK$98,J$1,工数管理!$Y$3:$Y$98,"&lt;="&amp;$H110,工数管理!$Z$3:$Z$98,"&gt;="&amp;$H110)+COUNTIFS(工数管理!$AK$3:$AK$98,J$1,工数管理!$AA$3:$AA$98,"&lt;="&amp;$H110,工数管理!$AB$3:$AB$98,"&gt;="&amp;$H110)+COUNTIFS(工数管理!$AK$3:$AK$98,J$1,工数管理!$AC$3:$AC$98,"&lt;="&amp;$H110,工数管理!$AD$3:$AD$98,"&gt;="&amp;$H110)+COUNTIFS(工数管理!$AK$3:$AK$98,J$1,工数管理!$AE$3:$AE$98,"&lt;="&amp;$H110,工数管理!$AF$3:$AF$98,"&gt;="&amp;$H110)+COUNTIFS(工数管理!$AK$3:$AK$98,J$1,工数管理!$AG$3:$AG$98,"&lt;="&amp;$H110,工数管理!$AH$3:$AH$98,"&gt;="&amp;$H110)+(COUNTIFS(工数管理!$AK$3:$AK$98,J$1,工数管理!$K$3:$K$98,"&lt;="&amp;$H110,工数管理!$L$3:$L$98,"")+COUNTIFS(工数管理!$AK$3:$AK$98,J$1,工数管理!$M$3:$M$98,"&lt;="&amp;$H110,工数管理!$N$3:$N$98,"")+COUNTIFS(工数管理!$AK$3:$AK$98,J$1,工数管理!$O$3:$O$98,"&lt;="&amp;$H110,工数管理!$P$3:$P$98,"")+COUNTIFS(工数管理!$AK$3:$AK$98,J$1,工数管理!$Q$3:$Q$98,"&lt;="&amp;$H110,工数管理!$R$3:$R$98,"")+COUNTIFS(工数管理!$AK$3:$AK$98,J$1,工数管理!$S$3:$S$98,"&lt;="&amp;$H110,工数管理!$T$3:$T$98,"")+COUNTIFS(工数管理!$AK$3:$AK$98,J$1,工数管理!$U$3:$U$98,"&lt;="&amp;$H110,工数管理!$V$3:$V$98,"")+COUNTIFS(工数管理!$AK$3:$AK$98,J$1,工数管理!$W$3:$W$98,"&lt;="&amp;$H110,工数管理!$X$3:$X$98,"")+COUNTIFS(工数管理!$AK$3:$AK$98,J$1,工数管理!$Y$3:$Y$98,"&lt;="&amp;$H110,工数管理!$Z$3:$Z$98,"")+COUNTIFS(工数管理!$AK$3:$AK$98,J$1,工数管理!$AA$3:$AA$98,"&lt;="&amp;$H110,工数管理!$AB$3:$AB$98,"")+COUNTIFS(工数管理!$AK$3:$AK$98,J$1,工数管理!$AC$3:$AC$98,"&lt;="&amp;$H110,工数管理!$AD$3:$AD$98,"")+COUNTIFS(工数管理!$AK$3:$AK$98,J$1,工数管理!$AE$3:$AE$98,"&lt;="&amp;$H110,工数管理!$AF$3:$AF$98,"")+COUNTIFS(工数管理!$AK$3:$AK$98,J$1,工数管理!$AG$3:$AG$98,"&lt;="&amp;$H110,工数管理!$AH$3:$AH$98,""))*($H110&lt;=工数管理!$AI$1))</f>
        <v>0</v>
      </c>
      <c r="K110" s="42">
        <f ca="1">IF(K$1="",0,COUNTIFS(工数管理!$AK$3:$AK$98,K$1,工数管理!$K$3:$K$98,"&lt;="&amp;$H110,工数管理!$L$3:$L$98,"&gt;="&amp;$H110)+COUNTIFS(工数管理!$AK$3:$AK$98,K$1,工数管理!$M$3:$M$98,"&lt;="&amp;$H110,工数管理!$N$3:$N$98,"&gt;="&amp;$H110)+COUNTIFS(工数管理!$AK$3:$AK$98,K$1,工数管理!$O$3:$O$98,"&lt;="&amp;$H110,工数管理!$P$3:$P$98,"&gt;="&amp;$H110)+COUNTIFS(工数管理!$AK$3:$AK$98,K$1,工数管理!$Q$3:$Q$98,"&lt;="&amp;$H110,工数管理!$R$3:$R$98,"&gt;="&amp;$H110)+COUNTIFS(工数管理!$AK$3:$AK$98,K$1,工数管理!$S$3:$S$98,"&lt;="&amp;$H110,工数管理!$T$3:$T$98,"&gt;="&amp;$H110)+COUNTIFS(工数管理!$AK$3:$AK$98,K$1,工数管理!$U$3:$U$98,"&lt;="&amp;$H110,工数管理!$V$3:$V$98,"&gt;="&amp;$H110)+COUNTIFS(工数管理!$AK$3:$AK$98,K$1,工数管理!$W$3:$W$98,"&lt;="&amp;$H110,工数管理!$X$3:$X$98,"&gt;="&amp;$H110)+COUNTIFS(工数管理!$AK$3:$AK$98,K$1,工数管理!$Y$3:$Y$98,"&lt;="&amp;$H110,工数管理!$Z$3:$Z$98,"&gt;="&amp;$H110)+COUNTIFS(工数管理!$AK$3:$AK$98,K$1,工数管理!$AA$3:$AA$98,"&lt;="&amp;$H110,工数管理!$AB$3:$AB$98,"&gt;="&amp;$H110)+COUNTIFS(工数管理!$AK$3:$AK$98,K$1,工数管理!$AC$3:$AC$98,"&lt;="&amp;$H110,工数管理!$AD$3:$AD$98,"&gt;="&amp;$H110)+COUNTIFS(工数管理!$AK$3:$AK$98,K$1,工数管理!$AE$3:$AE$98,"&lt;="&amp;$H110,工数管理!$AF$3:$AF$98,"&gt;="&amp;$H110)+COUNTIFS(工数管理!$AK$3:$AK$98,K$1,工数管理!$AG$3:$AG$98,"&lt;="&amp;$H110,工数管理!$AH$3:$AH$98,"&gt;="&amp;$H110)+(COUNTIFS(工数管理!$AK$3:$AK$98,K$1,工数管理!$K$3:$K$98,"&lt;="&amp;$H110,工数管理!$L$3:$L$98,"")+COUNTIFS(工数管理!$AK$3:$AK$98,K$1,工数管理!$M$3:$M$98,"&lt;="&amp;$H110,工数管理!$N$3:$N$98,"")+COUNTIFS(工数管理!$AK$3:$AK$98,K$1,工数管理!$O$3:$O$98,"&lt;="&amp;$H110,工数管理!$P$3:$P$98,"")+COUNTIFS(工数管理!$AK$3:$AK$98,K$1,工数管理!$Q$3:$Q$98,"&lt;="&amp;$H110,工数管理!$R$3:$R$98,"")+COUNTIFS(工数管理!$AK$3:$AK$98,K$1,工数管理!$S$3:$S$98,"&lt;="&amp;$H110,工数管理!$T$3:$T$98,"")+COUNTIFS(工数管理!$AK$3:$AK$98,K$1,工数管理!$U$3:$U$98,"&lt;="&amp;$H110,工数管理!$V$3:$V$98,"")+COUNTIFS(工数管理!$AK$3:$AK$98,K$1,工数管理!$W$3:$W$98,"&lt;="&amp;$H110,工数管理!$X$3:$X$98,"")+COUNTIFS(工数管理!$AK$3:$AK$98,K$1,工数管理!$Y$3:$Y$98,"&lt;="&amp;$H110,工数管理!$Z$3:$Z$98,"")+COUNTIFS(工数管理!$AK$3:$AK$98,K$1,工数管理!$AA$3:$AA$98,"&lt;="&amp;$H110,工数管理!$AB$3:$AB$98,"")+COUNTIFS(工数管理!$AK$3:$AK$98,K$1,工数管理!$AC$3:$AC$98,"&lt;="&amp;$H110,工数管理!$AD$3:$AD$98,"")+COUNTIFS(工数管理!$AK$3:$AK$98,K$1,工数管理!$AE$3:$AE$98,"&lt;="&amp;$H110,工数管理!$AF$3:$AF$98,"")+COUNTIFS(工数管理!$AK$3:$AK$98,K$1,工数管理!$AG$3:$AG$98,"&lt;="&amp;$H110,工数管理!$AH$3:$AH$98,""))*($H110&lt;=工数管理!$AI$1))</f>
        <v>1</v>
      </c>
      <c r="L110" s="42">
        <f ca="1">IF(L$1="",0,COUNTIFS(工数管理!$AK$3:$AK$98,L$1,工数管理!$K$3:$K$98,"&lt;="&amp;$H110,工数管理!$L$3:$L$98,"&gt;="&amp;$H110)+COUNTIFS(工数管理!$AK$3:$AK$98,L$1,工数管理!$M$3:$M$98,"&lt;="&amp;$H110,工数管理!$N$3:$N$98,"&gt;="&amp;$H110)+COUNTIFS(工数管理!$AK$3:$AK$98,L$1,工数管理!$O$3:$O$98,"&lt;="&amp;$H110,工数管理!$P$3:$P$98,"&gt;="&amp;$H110)+COUNTIFS(工数管理!$AK$3:$AK$98,L$1,工数管理!$Q$3:$Q$98,"&lt;="&amp;$H110,工数管理!$R$3:$R$98,"&gt;="&amp;$H110)+COUNTIFS(工数管理!$AK$3:$AK$98,L$1,工数管理!$S$3:$S$98,"&lt;="&amp;$H110,工数管理!$T$3:$T$98,"&gt;="&amp;$H110)+COUNTIFS(工数管理!$AK$3:$AK$98,L$1,工数管理!$U$3:$U$98,"&lt;="&amp;$H110,工数管理!$V$3:$V$98,"&gt;="&amp;$H110)+COUNTIFS(工数管理!$AK$3:$AK$98,L$1,工数管理!$W$3:$W$98,"&lt;="&amp;$H110,工数管理!$X$3:$X$98,"&gt;="&amp;$H110)+COUNTIFS(工数管理!$AK$3:$AK$98,L$1,工数管理!$Y$3:$Y$98,"&lt;="&amp;$H110,工数管理!$Z$3:$Z$98,"&gt;="&amp;$H110)+COUNTIFS(工数管理!$AK$3:$AK$98,L$1,工数管理!$AA$3:$AA$98,"&lt;="&amp;$H110,工数管理!$AB$3:$AB$98,"&gt;="&amp;$H110)+COUNTIFS(工数管理!$AK$3:$AK$98,L$1,工数管理!$AC$3:$AC$98,"&lt;="&amp;$H110,工数管理!$AD$3:$AD$98,"&gt;="&amp;$H110)+COUNTIFS(工数管理!$AK$3:$AK$98,L$1,工数管理!$AE$3:$AE$98,"&lt;="&amp;$H110,工数管理!$AF$3:$AF$98,"&gt;="&amp;$H110)+COUNTIFS(工数管理!$AK$3:$AK$98,L$1,工数管理!$AG$3:$AG$98,"&lt;="&amp;$H110,工数管理!$AH$3:$AH$98,"&gt;="&amp;$H110)+(COUNTIFS(工数管理!$AK$3:$AK$98,L$1,工数管理!$K$3:$K$98,"&lt;="&amp;$H110,工数管理!$L$3:$L$98,"")+COUNTIFS(工数管理!$AK$3:$AK$98,L$1,工数管理!$M$3:$M$98,"&lt;="&amp;$H110,工数管理!$N$3:$N$98,"")+COUNTIFS(工数管理!$AK$3:$AK$98,L$1,工数管理!$O$3:$O$98,"&lt;="&amp;$H110,工数管理!$P$3:$P$98,"")+COUNTIFS(工数管理!$AK$3:$AK$98,L$1,工数管理!$Q$3:$Q$98,"&lt;="&amp;$H110,工数管理!$R$3:$R$98,"")+COUNTIFS(工数管理!$AK$3:$AK$98,L$1,工数管理!$S$3:$S$98,"&lt;="&amp;$H110,工数管理!$T$3:$T$98,"")+COUNTIFS(工数管理!$AK$3:$AK$98,L$1,工数管理!$U$3:$U$98,"&lt;="&amp;$H110,工数管理!$V$3:$V$98,"")+COUNTIFS(工数管理!$AK$3:$AK$98,L$1,工数管理!$W$3:$W$98,"&lt;="&amp;$H110,工数管理!$X$3:$X$98,"")+COUNTIFS(工数管理!$AK$3:$AK$98,L$1,工数管理!$Y$3:$Y$98,"&lt;="&amp;$H110,工数管理!$Z$3:$Z$98,"")+COUNTIFS(工数管理!$AK$3:$AK$98,L$1,工数管理!$AA$3:$AA$98,"&lt;="&amp;$H110,工数管理!$AB$3:$AB$98,"")+COUNTIFS(工数管理!$AK$3:$AK$98,L$1,工数管理!$AC$3:$AC$98,"&lt;="&amp;$H110,工数管理!$AD$3:$AD$98,"")+COUNTIFS(工数管理!$AK$3:$AK$98,L$1,工数管理!$AE$3:$AE$98,"&lt;="&amp;$H110,工数管理!$AF$3:$AF$98,"")+COUNTIFS(工数管理!$AK$3:$AK$98,L$1,工数管理!$AG$3:$AG$98,"&lt;="&amp;$H110,工数管理!$AH$3:$AH$98,""))*($H110&lt;=工数管理!$AI$1))</f>
        <v>0</v>
      </c>
    </row>
    <row r="111" spans="1:12" x14ac:dyDescent="0.15">
      <c r="A111" s="5"/>
      <c r="B111" s="6"/>
      <c r="H111" s="41">
        <f t="shared" si="3"/>
        <v>46279</v>
      </c>
      <c r="I111" s="42">
        <f t="shared" si="2"/>
        <v>1</v>
      </c>
      <c r="J111" s="42">
        <f ca="1">IF(J$1="",0,COUNTIFS(工数管理!$AK$3:$AK$98,J$1,工数管理!$K$3:$K$98,"&lt;="&amp;$H111,工数管理!$L$3:$L$98,"&gt;="&amp;$H111)+COUNTIFS(工数管理!$AK$3:$AK$98,J$1,工数管理!$M$3:$M$98,"&lt;="&amp;$H111,工数管理!$N$3:$N$98,"&gt;="&amp;$H111)+COUNTIFS(工数管理!$AK$3:$AK$98,J$1,工数管理!$O$3:$O$98,"&lt;="&amp;$H111,工数管理!$P$3:$P$98,"&gt;="&amp;$H111)+COUNTIFS(工数管理!$AK$3:$AK$98,J$1,工数管理!$Q$3:$Q$98,"&lt;="&amp;$H111,工数管理!$R$3:$R$98,"&gt;="&amp;$H111)+COUNTIFS(工数管理!$AK$3:$AK$98,J$1,工数管理!$S$3:$S$98,"&lt;="&amp;$H111,工数管理!$T$3:$T$98,"&gt;="&amp;$H111)+COUNTIFS(工数管理!$AK$3:$AK$98,J$1,工数管理!$U$3:$U$98,"&lt;="&amp;$H111,工数管理!$V$3:$V$98,"&gt;="&amp;$H111)+COUNTIFS(工数管理!$AK$3:$AK$98,J$1,工数管理!$W$3:$W$98,"&lt;="&amp;$H111,工数管理!$X$3:$X$98,"&gt;="&amp;$H111)+COUNTIFS(工数管理!$AK$3:$AK$98,J$1,工数管理!$Y$3:$Y$98,"&lt;="&amp;$H111,工数管理!$Z$3:$Z$98,"&gt;="&amp;$H111)+COUNTIFS(工数管理!$AK$3:$AK$98,J$1,工数管理!$AA$3:$AA$98,"&lt;="&amp;$H111,工数管理!$AB$3:$AB$98,"&gt;="&amp;$H111)+COUNTIFS(工数管理!$AK$3:$AK$98,J$1,工数管理!$AC$3:$AC$98,"&lt;="&amp;$H111,工数管理!$AD$3:$AD$98,"&gt;="&amp;$H111)+COUNTIFS(工数管理!$AK$3:$AK$98,J$1,工数管理!$AE$3:$AE$98,"&lt;="&amp;$H111,工数管理!$AF$3:$AF$98,"&gt;="&amp;$H111)+COUNTIFS(工数管理!$AK$3:$AK$98,J$1,工数管理!$AG$3:$AG$98,"&lt;="&amp;$H111,工数管理!$AH$3:$AH$98,"&gt;="&amp;$H111)+(COUNTIFS(工数管理!$AK$3:$AK$98,J$1,工数管理!$K$3:$K$98,"&lt;="&amp;$H111,工数管理!$L$3:$L$98,"")+COUNTIFS(工数管理!$AK$3:$AK$98,J$1,工数管理!$M$3:$M$98,"&lt;="&amp;$H111,工数管理!$N$3:$N$98,"")+COUNTIFS(工数管理!$AK$3:$AK$98,J$1,工数管理!$O$3:$O$98,"&lt;="&amp;$H111,工数管理!$P$3:$P$98,"")+COUNTIFS(工数管理!$AK$3:$AK$98,J$1,工数管理!$Q$3:$Q$98,"&lt;="&amp;$H111,工数管理!$R$3:$R$98,"")+COUNTIFS(工数管理!$AK$3:$AK$98,J$1,工数管理!$S$3:$S$98,"&lt;="&amp;$H111,工数管理!$T$3:$T$98,"")+COUNTIFS(工数管理!$AK$3:$AK$98,J$1,工数管理!$U$3:$U$98,"&lt;="&amp;$H111,工数管理!$V$3:$V$98,"")+COUNTIFS(工数管理!$AK$3:$AK$98,J$1,工数管理!$W$3:$W$98,"&lt;="&amp;$H111,工数管理!$X$3:$X$98,"")+COUNTIFS(工数管理!$AK$3:$AK$98,J$1,工数管理!$Y$3:$Y$98,"&lt;="&amp;$H111,工数管理!$Z$3:$Z$98,"")+COUNTIFS(工数管理!$AK$3:$AK$98,J$1,工数管理!$AA$3:$AA$98,"&lt;="&amp;$H111,工数管理!$AB$3:$AB$98,"")+COUNTIFS(工数管理!$AK$3:$AK$98,J$1,工数管理!$AC$3:$AC$98,"&lt;="&amp;$H111,工数管理!$AD$3:$AD$98,"")+COUNTIFS(工数管理!$AK$3:$AK$98,J$1,工数管理!$AE$3:$AE$98,"&lt;="&amp;$H111,工数管理!$AF$3:$AF$98,"")+COUNTIFS(工数管理!$AK$3:$AK$98,J$1,工数管理!$AG$3:$AG$98,"&lt;="&amp;$H111,工数管理!$AH$3:$AH$98,""))*($H111&lt;=工数管理!$AI$1))</f>
        <v>0</v>
      </c>
      <c r="K111" s="42">
        <f ca="1">IF(K$1="",0,COUNTIFS(工数管理!$AK$3:$AK$98,K$1,工数管理!$K$3:$K$98,"&lt;="&amp;$H111,工数管理!$L$3:$L$98,"&gt;="&amp;$H111)+COUNTIFS(工数管理!$AK$3:$AK$98,K$1,工数管理!$M$3:$M$98,"&lt;="&amp;$H111,工数管理!$N$3:$N$98,"&gt;="&amp;$H111)+COUNTIFS(工数管理!$AK$3:$AK$98,K$1,工数管理!$O$3:$O$98,"&lt;="&amp;$H111,工数管理!$P$3:$P$98,"&gt;="&amp;$H111)+COUNTIFS(工数管理!$AK$3:$AK$98,K$1,工数管理!$Q$3:$Q$98,"&lt;="&amp;$H111,工数管理!$R$3:$R$98,"&gt;="&amp;$H111)+COUNTIFS(工数管理!$AK$3:$AK$98,K$1,工数管理!$S$3:$S$98,"&lt;="&amp;$H111,工数管理!$T$3:$T$98,"&gt;="&amp;$H111)+COUNTIFS(工数管理!$AK$3:$AK$98,K$1,工数管理!$U$3:$U$98,"&lt;="&amp;$H111,工数管理!$V$3:$V$98,"&gt;="&amp;$H111)+COUNTIFS(工数管理!$AK$3:$AK$98,K$1,工数管理!$W$3:$W$98,"&lt;="&amp;$H111,工数管理!$X$3:$X$98,"&gt;="&amp;$H111)+COUNTIFS(工数管理!$AK$3:$AK$98,K$1,工数管理!$Y$3:$Y$98,"&lt;="&amp;$H111,工数管理!$Z$3:$Z$98,"&gt;="&amp;$H111)+COUNTIFS(工数管理!$AK$3:$AK$98,K$1,工数管理!$AA$3:$AA$98,"&lt;="&amp;$H111,工数管理!$AB$3:$AB$98,"&gt;="&amp;$H111)+COUNTIFS(工数管理!$AK$3:$AK$98,K$1,工数管理!$AC$3:$AC$98,"&lt;="&amp;$H111,工数管理!$AD$3:$AD$98,"&gt;="&amp;$H111)+COUNTIFS(工数管理!$AK$3:$AK$98,K$1,工数管理!$AE$3:$AE$98,"&lt;="&amp;$H111,工数管理!$AF$3:$AF$98,"&gt;="&amp;$H111)+COUNTIFS(工数管理!$AK$3:$AK$98,K$1,工数管理!$AG$3:$AG$98,"&lt;="&amp;$H111,工数管理!$AH$3:$AH$98,"&gt;="&amp;$H111)+(COUNTIFS(工数管理!$AK$3:$AK$98,K$1,工数管理!$K$3:$K$98,"&lt;="&amp;$H111,工数管理!$L$3:$L$98,"")+COUNTIFS(工数管理!$AK$3:$AK$98,K$1,工数管理!$M$3:$M$98,"&lt;="&amp;$H111,工数管理!$N$3:$N$98,"")+COUNTIFS(工数管理!$AK$3:$AK$98,K$1,工数管理!$O$3:$O$98,"&lt;="&amp;$H111,工数管理!$P$3:$P$98,"")+COUNTIFS(工数管理!$AK$3:$AK$98,K$1,工数管理!$Q$3:$Q$98,"&lt;="&amp;$H111,工数管理!$R$3:$R$98,"")+COUNTIFS(工数管理!$AK$3:$AK$98,K$1,工数管理!$S$3:$S$98,"&lt;="&amp;$H111,工数管理!$T$3:$T$98,"")+COUNTIFS(工数管理!$AK$3:$AK$98,K$1,工数管理!$U$3:$U$98,"&lt;="&amp;$H111,工数管理!$V$3:$V$98,"")+COUNTIFS(工数管理!$AK$3:$AK$98,K$1,工数管理!$W$3:$W$98,"&lt;="&amp;$H111,工数管理!$X$3:$X$98,"")+COUNTIFS(工数管理!$AK$3:$AK$98,K$1,工数管理!$Y$3:$Y$98,"&lt;="&amp;$H111,工数管理!$Z$3:$Z$98,"")+COUNTIFS(工数管理!$AK$3:$AK$98,K$1,工数管理!$AA$3:$AA$98,"&lt;="&amp;$H111,工数管理!$AB$3:$AB$98,"")+COUNTIFS(工数管理!$AK$3:$AK$98,K$1,工数管理!$AC$3:$AC$98,"&lt;="&amp;$H111,工数管理!$AD$3:$AD$98,"")+COUNTIFS(工数管理!$AK$3:$AK$98,K$1,工数管理!$AE$3:$AE$98,"&lt;="&amp;$H111,工数管理!$AF$3:$AF$98,"")+COUNTIFS(工数管理!$AK$3:$AK$98,K$1,工数管理!$AG$3:$AG$98,"&lt;="&amp;$H111,工数管理!$AH$3:$AH$98,""))*($H111&lt;=工数管理!$AI$1))</f>
        <v>1</v>
      </c>
      <c r="L111" s="42">
        <f ca="1">IF(L$1="",0,COUNTIFS(工数管理!$AK$3:$AK$98,L$1,工数管理!$K$3:$K$98,"&lt;="&amp;$H111,工数管理!$L$3:$L$98,"&gt;="&amp;$H111)+COUNTIFS(工数管理!$AK$3:$AK$98,L$1,工数管理!$M$3:$M$98,"&lt;="&amp;$H111,工数管理!$N$3:$N$98,"&gt;="&amp;$H111)+COUNTIFS(工数管理!$AK$3:$AK$98,L$1,工数管理!$O$3:$O$98,"&lt;="&amp;$H111,工数管理!$P$3:$P$98,"&gt;="&amp;$H111)+COUNTIFS(工数管理!$AK$3:$AK$98,L$1,工数管理!$Q$3:$Q$98,"&lt;="&amp;$H111,工数管理!$R$3:$R$98,"&gt;="&amp;$H111)+COUNTIFS(工数管理!$AK$3:$AK$98,L$1,工数管理!$S$3:$S$98,"&lt;="&amp;$H111,工数管理!$T$3:$T$98,"&gt;="&amp;$H111)+COUNTIFS(工数管理!$AK$3:$AK$98,L$1,工数管理!$U$3:$U$98,"&lt;="&amp;$H111,工数管理!$V$3:$V$98,"&gt;="&amp;$H111)+COUNTIFS(工数管理!$AK$3:$AK$98,L$1,工数管理!$W$3:$W$98,"&lt;="&amp;$H111,工数管理!$X$3:$X$98,"&gt;="&amp;$H111)+COUNTIFS(工数管理!$AK$3:$AK$98,L$1,工数管理!$Y$3:$Y$98,"&lt;="&amp;$H111,工数管理!$Z$3:$Z$98,"&gt;="&amp;$H111)+COUNTIFS(工数管理!$AK$3:$AK$98,L$1,工数管理!$AA$3:$AA$98,"&lt;="&amp;$H111,工数管理!$AB$3:$AB$98,"&gt;="&amp;$H111)+COUNTIFS(工数管理!$AK$3:$AK$98,L$1,工数管理!$AC$3:$AC$98,"&lt;="&amp;$H111,工数管理!$AD$3:$AD$98,"&gt;="&amp;$H111)+COUNTIFS(工数管理!$AK$3:$AK$98,L$1,工数管理!$AE$3:$AE$98,"&lt;="&amp;$H111,工数管理!$AF$3:$AF$98,"&gt;="&amp;$H111)+COUNTIFS(工数管理!$AK$3:$AK$98,L$1,工数管理!$AG$3:$AG$98,"&lt;="&amp;$H111,工数管理!$AH$3:$AH$98,"&gt;="&amp;$H111)+(COUNTIFS(工数管理!$AK$3:$AK$98,L$1,工数管理!$K$3:$K$98,"&lt;="&amp;$H111,工数管理!$L$3:$L$98,"")+COUNTIFS(工数管理!$AK$3:$AK$98,L$1,工数管理!$M$3:$M$98,"&lt;="&amp;$H111,工数管理!$N$3:$N$98,"")+COUNTIFS(工数管理!$AK$3:$AK$98,L$1,工数管理!$O$3:$O$98,"&lt;="&amp;$H111,工数管理!$P$3:$P$98,"")+COUNTIFS(工数管理!$AK$3:$AK$98,L$1,工数管理!$Q$3:$Q$98,"&lt;="&amp;$H111,工数管理!$R$3:$R$98,"")+COUNTIFS(工数管理!$AK$3:$AK$98,L$1,工数管理!$S$3:$S$98,"&lt;="&amp;$H111,工数管理!$T$3:$T$98,"")+COUNTIFS(工数管理!$AK$3:$AK$98,L$1,工数管理!$U$3:$U$98,"&lt;="&amp;$H111,工数管理!$V$3:$V$98,"")+COUNTIFS(工数管理!$AK$3:$AK$98,L$1,工数管理!$W$3:$W$98,"&lt;="&amp;$H111,工数管理!$X$3:$X$98,"")+COUNTIFS(工数管理!$AK$3:$AK$98,L$1,工数管理!$Y$3:$Y$98,"&lt;="&amp;$H111,工数管理!$Z$3:$Z$98,"")+COUNTIFS(工数管理!$AK$3:$AK$98,L$1,工数管理!$AA$3:$AA$98,"&lt;="&amp;$H111,工数管理!$AB$3:$AB$98,"")+COUNTIFS(工数管理!$AK$3:$AK$98,L$1,工数管理!$AC$3:$AC$98,"&lt;="&amp;$H111,工数管理!$AD$3:$AD$98,"")+COUNTIFS(工数管理!$AK$3:$AK$98,L$1,工数管理!$AE$3:$AE$98,"&lt;="&amp;$H111,工数管理!$AF$3:$AF$98,"")+COUNTIFS(工数管理!$AK$3:$AK$98,L$1,工数管理!$AG$3:$AG$98,"&lt;="&amp;$H111,工数管理!$AH$3:$AH$98,""))*($H111&lt;=工数管理!$AI$1))</f>
        <v>1</v>
      </c>
    </row>
    <row r="112" spans="1:12" x14ac:dyDescent="0.15">
      <c r="A112" s="5"/>
      <c r="B112" s="6"/>
      <c r="H112" s="41">
        <f t="shared" si="3"/>
        <v>46280</v>
      </c>
      <c r="I112" s="42">
        <f t="shared" si="2"/>
        <v>1</v>
      </c>
      <c r="J112" s="42">
        <f ca="1">IF(J$1="",0,COUNTIFS(工数管理!$AK$3:$AK$98,J$1,工数管理!$K$3:$K$98,"&lt;="&amp;$H112,工数管理!$L$3:$L$98,"&gt;="&amp;$H112)+COUNTIFS(工数管理!$AK$3:$AK$98,J$1,工数管理!$M$3:$M$98,"&lt;="&amp;$H112,工数管理!$N$3:$N$98,"&gt;="&amp;$H112)+COUNTIFS(工数管理!$AK$3:$AK$98,J$1,工数管理!$O$3:$O$98,"&lt;="&amp;$H112,工数管理!$P$3:$P$98,"&gt;="&amp;$H112)+COUNTIFS(工数管理!$AK$3:$AK$98,J$1,工数管理!$Q$3:$Q$98,"&lt;="&amp;$H112,工数管理!$R$3:$R$98,"&gt;="&amp;$H112)+COUNTIFS(工数管理!$AK$3:$AK$98,J$1,工数管理!$S$3:$S$98,"&lt;="&amp;$H112,工数管理!$T$3:$T$98,"&gt;="&amp;$H112)+COUNTIFS(工数管理!$AK$3:$AK$98,J$1,工数管理!$U$3:$U$98,"&lt;="&amp;$H112,工数管理!$V$3:$V$98,"&gt;="&amp;$H112)+COUNTIFS(工数管理!$AK$3:$AK$98,J$1,工数管理!$W$3:$W$98,"&lt;="&amp;$H112,工数管理!$X$3:$X$98,"&gt;="&amp;$H112)+COUNTIFS(工数管理!$AK$3:$AK$98,J$1,工数管理!$Y$3:$Y$98,"&lt;="&amp;$H112,工数管理!$Z$3:$Z$98,"&gt;="&amp;$H112)+COUNTIFS(工数管理!$AK$3:$AK$98,J$1,工数管理!$AA$3:$AA$98,"&lt;="&amp;$H112,工数管理!$AB$3:$AB$98,"&gt;="&amp;$H112)+COUNTIFS(工数管理!$AK$3:$AK$98,J$1,工数管理!$AC$3:$AC$98,"&lt;="&amp;$H112,工数管理!$AD$3:$AD$98,"&gt;="&amp;$H112)+COUNTIFS(工数管理!$AK$3:$AK$98,J$1,工数管理!$AE$3:$AE$98,"&lt;="&amp;$H112,工数管理!$AF$3:$AF$98,"&gt;="&amp;$H112)+COUNTIFS(工数管理!$AK$3:$AK$98,J$1,工数管理!$AG$3:$AG$98,"&lt;="&amp;$H112,工数管理!$AH$3:$AH$98,"&gt;="&amp;$H112)+(COUNTIFS(工数管理!$AK$3:$AK$98,J$1,工数管理!$K$3:$K$98,"&lt;="&amp;$H112,工数管理!$L$3:$L$98,"")+COUNTIFS(工数管理!$AK$3:$AK$98,J$1,工数管理!$M$3:$M$98,"&lt;="&amp;$H112,工数管理!$N$3:$N$98,"")+COUNTIFS(工数管理!$AK$3:$AK$98,J$1,工数管理!$O$3:$O$98,"&lt;="&amp;$H112,工数管理!$P$3:$P$98,"")+COUNTIFS(工数管理!$AK$3:$AK$98,J$1,工数管理!$Q$3:$Q$98,"&lt;="&amp;$H112,工数管理!$R$3:$R$98,"")+COUNTIFS(工数管理!$AK$3:$AK$98,J$1,工数管理!$S$3:$S$98,"&lt;="&amp;$H112,工数管理!$T$3:$T$98,"")+COUNTIFS(工数管理!$AK$3:$AK$98,J$1,工数管理!$U$3:$U$98,"&lt;="&amp;$H112,工数管理!$V$3:$V$98,"")+COUNTIFS(工数管理!$AK$3:$AK$98,J$1,工数管理!$W$3:$W$98,"&lt;="&amp;$H112,工数管理!$X$3:$X$98,"")+COUNTIFS(工数管理!$AK$3:$AK$98,J$1,工数管理!$Y$3:$Y$98,"&lt;="&amp;$H112,工数管理!$Z$3:$Z$98,"")+COUNTIFS(工数管理!$AK$3:$AK$98,J$1,工数管理!$AA$3:$AA$98,"&lt;="&amp;$H112,工数管理!$AB$3:$AB$98,"")+COUNTIFS(工数管理!$AK$3:$AK$98,J$1,工数管理!$AC$3:$AC$98,"&lt;="&amp;$H112,工数管理!$AD$3:$AD$98,"")+COUNTIFS(工数管理!$AK$3:$AK$98,J$1,工数管理!$AE$3:$AE$98,"&lt;="&amp;$H112,工数管理!$AF$3:$AF$98,"")+COUNTIFS(工数管理!$AK$3:$AK$98,J$1,工数管理!$AG$3:$AG$98,"&lt;="&amp;$H112,工数管理!$AH$3:$AH$98,""))*($H112&lt;=工数管理!$AI$1))</f>
        <v>0</v>
      </c>
      <c r="K112" s="42">
        <f ca="1">IF(K$1="",0,COUNTIFS(工数管理!$AK$3:$AK$98,K$1,工数管理!$K$3:$K$98,"&lt;="&amp;$H112,工数管理!$L$3:$L$98,"&gt;="&amp;$H112)+COUNTIFS(工数管理!$AK$3:$AK$98,K$1,工数管理!$M$3:$M$98,"&lt;="&amp;$H112,工数管理!$N$3:$N$98,"&gt;="&amp;$H112)+COUNTIFS(工数管理!$AK$3:$AK$98,K$1,工数管理!$O$3:$O$98,"&lt;="&amp;$H112,工数管理!$P$3:$P$98,"&gt;="&amp;$H112)+COUNTIFS(工数管理!$AK$3:$AK$98,K$1,工数管理!$Q$3:$Q$98,"&lt;="&amp;$H112,工数管理!$R$3:$R$98,"&gt;="&amp;$H112)+COUNTIFS(工数管理!$AK$3:$AK$98,K$1,工数管理!$S$3:$S$98,"&lt;="&amp;$H112,工数管理!$T$3:$T$98,"&gt;="&amp;$H112)+COUNTIFS(工数管理!$AK$3:$AK$98,K$1,工数管理!$U$3:$U$98,"&lt;="&amp;$H112,工数管理!$V$3:$V$98,"&gt;="&amp;$H112)+COUNTIFS(工数管理!$AK$3:$AK$98,K$1,工数管理!$W$3:$W$98,"&lt;="&amp;$H112,工数管理!$X$3:$X$98,"&gt;="&amp;$H112)+COUNTIFS(工数管理!$AK$3:$AK$98,K$1,工数管理!$Y$3:$Y$98,"&lt;="&amp;$H112,工数管理!$Z$3:$Z$98,"&gt;="&amp;$H112)+COUNTIFS(工数管理!$AK$3:$AK$98,K$1,工数管理!$AA$3:$AA$98,"&lt;="&amp;$H112,工数管理!$AB$3:$AB$98,"&gt;="&amp;$H112)+COUNTIFS(工数管理!$AK$3:$AK$98,K$1,工数管理!$AC$3:$AC$98,"&lt;="&amp;$H112,工数管理!$AD$3:$AD$98,"&gt;="&amp;$H112)+COUNTIFS(工数管理!$AK$3:$AK$98,K$1,工数管理!$AE$3:$AE$98,"&lt;="&amp;$H112,工数管理!$AF$3:$AF$98,"&gt;="&amp;$H112)+COUNTIFS(工数管理!$AK$3:$AK$98,K$1,工数管理!$AG$3:$AG$98,"&lt;="&amp;$H112,工数管理!$AH$3:$AH$98,"&gt;="&amp;$H112)+(COUNTIFS(工数管理!$AK$3:$AK$98,K$1,工数管理!$K$3:$K$98,"&lt;="&amp;$H112,工数管理!$L$3:$L$98,"")+COUNTIFS(工数管理!$AK$3:$AK$98,K$1,工数管理!$M$3:$M$98,"&lt;="&amp;$H112,工数管理!$N$3:$N$98,"")+COUNTIFS(工数管理!$AK$3:$AK$98,K$1,工数管理!$O$3:$O$98,"&lt;="&amp;$H112,工数管理!$P$3:$P$98,"")+COUNTIFS(工数管理!$AK$3:$AK$98,K$1,工数管理!$Q$3:$Q$98,"&lt;="&amp;$H112,工数管理!$R$3:$R$98,"")+COUNTIFS(工数管理!$AK$3:$AK$98,K$1,工数管理!$S$3:$S$98,"&lt;="&amp;$H112,工数管理!$T$3:$T$98,"")+COUNTIFS(工数管理!$AK$3:$AK$98,K$1,工数管理!$U$3:$U$98,"&lt;="&amp;$H112,工数管理!$V$3:$V$98,"")+COUNTIFS(工数管理!$AK$3:$AK$98,K$1,工数管理!$W$3:$W$98,"&lt;="&amp;$H112,工数管理!$X$3:$X$98,"")+COUNTIFS(工数管理!$AK$3:$AK$98,K$1,工数管理!$Y$3:$Y$98,"&lt;="&amp;$H112,工数管理!$Z$3:$Z$98,"")+COUNTIFS(工数管理!$AK$3:$AK$98,K$1,工数管理!$AA$3:$AA$98,"&lt;="&amp;$H112,工数管理!$AB$3:$AB$98,"")+COUNTIFS(工数管理!$AK$3:$AK$98,K$1,工数管理!$AC$3:$AC$98,"&lt;="&amp;$H112,工数管理!$AD$3:$AD$98,"")+COUNTIFS(工数管理!$AK$3:$AK$98,K$1,工数管理!$AE$3:$AE$98,"&lt;="&amp;$H112,工数管理!$AF$3:$AF$98,"")+COUNTIFS(工数管理!$AK$3:$AK$98,K$1,工数管理!$AG$3:$AG$98,"&lt;="&amp;$H112,工数管理!$AH$3:$AH$98,""))*($H112&lt;=工数管理!$AI$1))</f>
        <v>1</v>
      </c>
      <c r="L112" s="42">
        <f ca="1">IF(L$1="",0,COUNTIFS(工数管理!$AK$3:$AK$98,L$1,工数管理!$K$3:$K$98,"&lt;="&amp;$H112,工数管理!$L$3:$L$98,"&gt;="&amp;$H112)+COUNTIFS(工数管理!$AK$3:$AK$98,L$1,工数管理!$M$3:$M$98,"&lt;="&amp;$H112,工数管理!$N$3:$N$98,"&gt;="&amp;$H112)+COUNTIFS(工数管理!$AK$3:$AK$98,L$1,工数管理!$O$3:$O$98,"&lt;="&amp;$H112,工数管理!$P$3:$P$98,"&gt;="&amp;$H112)+COUNTIFS(工数管理!$AK$3:$AK$98,L$1,工数管理!$Q$3:$Q$98,"&lt;="&amp;$H112,工数管理!$R$3:$R$98,"&gt;="&amp;$H112)+COUNTIFS(工数管理!$AK$3:$AK$98,L$1,工数管理!$S$3:$S$98,"&lt;="&amp;$H112,工数管理!$T$3:$T$98,"&gt;="&amp;$H112)+COUNTIFS(工数管理!$AK$3:$AK$98,L$1,工数管理!$U$3:$U$98,"&lt;="&amp;$H112,工数管理!$V$3:$V$98,"&gt;="&amp;$H112)+COUNTIFS(工数管理!$AK$3:$AK$98,L$1,工数管理!$W$3:$W$98,"&lt;="&amp;$H112,工数管理!$X$3:$X$98,"&gt;="&amp;$H112)+COUNTIFS(工数管理!$AK$3:$AK$98,L$1,工数管理!$Y$3:$Y$98,"&lt;="&amp;$H112,工数管理!$Z$3:$Z$98,"&gt;="&amp;$H112)+COUNTIFS(工数管理!$AK$3:$AK$98,L$1,工数管理!$AA$3:$AA$98,"&lt;="&amp;$H112,工数管理!$AB$3:$AB$98,"&gt;="&amp;$H112)+COUNTIFS(工数管理!$AK$3:$AK$98,L$1,工数管理!$AC$3:$AC$98,"&lt;="&amp;$H112,工数管理!$AD$3:$AD$98,"&gt;="&amp;$H112)+COUNTIFS(工数管理!$AK$3:$AK$98,L$1,工数管理!$AE$3:$AE$98,"&lt;="&amp;$H112,工数管理!$AF$3:$AF$98,"&gt;="&amp;$H112)+COUNTIFS(工数管理!$AK$3:$AK$98,L$1,工数管理!$AG$3:$AG$98,"&lt;="&amp;$H112,工数管理!$AH$3:$AH$98,"&gt;="&amp;$H112)+(COUNTIFS(工数管理!$AK$3:$AK$98,L$1,工数管理!$K$3:$K$98,"&lt;="&amp;$H112,工数管理!$L$3:$L$98,"")+COUNTIFS(工数管理!$AK$3:$AK$98,L$1,工数管理!$M$3:$M$98,"&lt;="&amp;$H112,工数管理!$N$3:$N$98,"")+COUNTIFS(工数管理!$AK$3:$AK$98,L$1,工数管理!$O$3:$O$98,"&lt;="&amp;$H112,工数管理!$P$3:$P$98,"")+COUNTIFS(工数管理!$AK$3:$AK$98,L$1,工数管理!$Q$3:$Q$98,"&lt;="&amp;$H112,工数管理!$R$3:$R$98,"")+COUNTIFS(工数管理!$AK$3:$AK$98,L$1,工数管理!$S$3:$S$98,"&lt;="&amp;$H112,工数管理!$T$3:$T$98,"")+COUNTIFS(工数管理!$AK$3:$AK$98,L$1,工数管理!$U$3:$U$98,"&lt;="&amp;$H112,工数管理!$V$3:$V$98,"")+COUNTIFS(工数管理!$AK$3:$AK$98,L$1,工数管理!$W$3:$W$98,"&lt;="&amp;$H112,工数管理!$X$3:$X$98,"")+COUNTIFS(工数管理!$AK$3:$AK$98,L$1,工数管理!$Y$3:$Y$98,"&lt;="&amp;$H112,工数管理!$Z$3:$Z$98,"")+COUNTIFS(工数管理!$AK$3:$AK$98,L$1,工数管理!$AA$3:$AA$98,"&lt;="&amp;$H112,工数管理!$AB$3:$AB$98,"")+COUNTIFS(工数管理!$AK$3:$AK$98,L$1,工数管理!$AC$3:$AC$98,"&lt;="&amp;$H112,工数管理!$AD$3:$AD$98,"")+COUNTIFS(工数管理!$AK$3:$AK$98,L$1,工数管理!$AE$3:$AE$98,"&lt;="&amp;$H112,工数管理!$AF$3:$AF$98,"")+COUNTIFS(工数管理!$AK$3:$AK$98,L$1,工数管理!$AG$3:$AG$98,"&lt;="&amp;$H112,工数管理!$AH$3:$AH$98,""))*($H112&lt;=工数管理!$AI$1))</f>
        <v>1</v>
      </c>
    </row>
    <row r="113" spans="1:12" x14ac:dyDescent="0.15">
      <c r="A113" s="5"/>
      <c r="B113" s="6"/>
      <c r="H113" s="41">
        <f t="shared" si="3"/>
        <v>46281</v>
      </c>
      <c r="I113" s="42">
        <f t="shared" si="2"/>
        <v>1</v>
      </c>
      <c r="J113" s="42">
        <f ca="1">IF(J$1="",0,COUNTIFS(工数管理!$AK$3:$AK$98,J$1,工数管理!$K$3:$K$98,"&lt;="&amp;$H113,工数管理!$L$3:$L$98,"&gt;="&amp;$H113)+COUNTIFS(工数管理!$AK$3:$AK$98,J$1,工数管理!$M$3:$M$98,"&lt;="&amp;$H113,工数管理!$N$3:$N$98,"&gt;="&amp;$H113)+COUNTIFS(工数管理!$AK$3:$AK$98,J$1,工数管理!$O$3:$O$98,"&lt;="&amp;$H113,工数管理!$P$3:$P$98,"&gt;="&amp;$H113)+COUNTIFS(工数管理!$AK$3:$AK$98,J$1,工数管理!$Q$3:$Q$98,"&lt;="&amp;$H113,工数管理!$R$3:$R$98,"&gt;="&amp;$H113)+COUNTIFS(工数管理!$AK$3:$AK$98,J$1,工数管理!$S$3:$S$98,"&lt;="&amp;$H113,工数管理!$T$3:$T$98,"&gt;="&amp;$H113)+COUNTIFS(工数管理!$AK$3:$AK$98,J$1,工数管理!$U$3:$U$98,"&lt;="&amp;$H113,工数管理!$V$3:$V$98,"&gt;="&amp;$H113)+COUNTIFS(工数管理!$AK$3:$AK$98,J$1,工数管理!$W$3:$W$98,"&lt;="&amp;$H113,工数管理!$X$3:$X$98,"&gt;="&amp;$H113)+COUNTIFS(工数管理!$AK$3:$AK$98,J$1,工数管理!$Y$3:$Y$98,"&lt;="&amp;$H113,工数管理!$Z$3:$Z$98,"&gt;="&amp;$H113)+COUNTIFS(工数管理!$AK$3:$AK$98,J$1,工数管理!$AA$3:$AA$98,"&lt;="&amp;$H113,工数管理!$AB$3:$AB$98,"&gt;="&amp;$H113)+COUNTIFS(工数管理!$AK$3:$AK$98,J$1,工数管理!$AC$3:$AC$98,"&lt;="&amp;$H113,工数管理!$AD$3:$AD$98,"&gt;="&amp;$H113)+COUNTIFS(工数管理!$AK$3:$AK$98,J$1,工数管理!$AE$3:$AE$98,"&lt;="&amp;$H113,工数管理!$AF$3:$AF$98,"&gt;="&amp;$H113)+COUNTIFS(工数管理!$AK$3:$AK$98,J$1,工数管理!$AG$3:$AG$98,"&lt;="&amp;$H113,工数管理!$AH$3:$AH$98,"&gt;="&amp;$H113)+(COUNTIFS(工数管理!$AK$3:$AK$98,J$1,工数管理!$K$3:$K$98,"&lt;="&amp;$H113,工数管理!$L$3:$L$98,"")+COUNTIFS(工数管理!$AK$3:$AK$98,J$1,工数管理!$M$3:$M$98,"&lt;="&amp;$H113,工数管理!$N$3:$N$98,"")+COUNTIFS(工数管理!$AK$3:$AK$98,J$1,工数管理!$O$3:$O$98,"&lt;="&amp;$H113,工数管理!$P$3:$P$98,"")+COUNTIFS(工数管理!$AK$3:$AK$98,J$1,工数管理!$Q$3:$Q$98,"&lt;="&amp;$H113,工数管理!$R$3:$R$98,"")+COUNTIFS(工数管理!$AK$3:$AK$98,J$1,工数管理!$S$3:$S$98,"&lt;="&amp;$H113,工数管理!$T$3:$T$98,"")+COUNTIFS(工数管理!$AK$3:$AK$98,J$1,工数管理!$U$3:$U$98,"&lt;="&amp;$H113,工数管理!$V$3:$V$98,"")+COUNTIFS(工数管理!$AK$3:$AK$98,J$1,工数管理!$W$3:$W$98,"&lt;="&amp;$H113,工数管理!$X$3:$X$98,"")+COUNTIFS(工数管理!$AK$3:$AK$98,J$1,工数管理!$Y$3:$Y$98,"&lt;="&amp;$H113,工数管理!$Z$3:$Z$98,"")+COUNTIFS(工数管理!$AK$3:$AK$98,J$1,工数管理!$AA$3:$AA$98,"&lt;="&amp;$H113,工数管理!$AB$3:$AB$98,"")+COUNTIFS(工数管理!$AK$3:$AK$98,J$1,工数管理!$AC$3:$AC$98,"&lt;="&amp;$H113,工数管理!$AD$3:$AD$98,"")+COUNTIFS(工数管理!$AK$3:$AK$98,J$1,工数管理!$AE$3:$AE$98,"&lt;="&amp;$H113,工数管理!$AF$3:$AF$98,"")+COUNTIFS(工数管理!$AK$3:$AK$98,J$1,工数管理!$AG$3:$AG$98,"&lt;="&amp;$H113,工数管理!$AH$3:$AH$98,""))*($H113&lt;=工数管理!$AI$1))</f>
        <v>0</v>
      </c>
      <c r="K113" s="42">
        <f ca="1">IF(K$1="",0,COUNTIFS(工数管理!$AK$3:$AK$98,K$1,工数管理!$K$3:$K$98,"&lt;="&amp;$H113,工数管理!$L$3:$L$98,"&gt;="&amp;$H113)+COUNTIFS(工数管理!$AK$3:$AK$98,K$1,工数管理!$M$3:$M$98,"&lt;="&amp;$H113,工数管理!$N$3:$N$98,"&gt;="&amp;$H113)+COUNTIFS(工数管理!$AK$3:$AK$98,K$1,工数管理!$O$3:$O$98,"&lt;="&amp;$H113,工数管理!$P$3:$P$98,"&gt;="&amp;$H113)+COUNTIFS(工数管理!$AK$3:$AK$98,K$1,工数管理!$Q$3:$Q$98,"&lt;="&amp;$H113,工数管理!$R$3:$R$98,"&gt;="&amp;$H113)+COUNTIFS(工数管理!$AK$3:$AK$98,K$1,工数管理!$S$3:$S$98,"&lt;="&amp;$H113,工数管理!$T$3:$T$98,"&gt;="&amp;$H113)+COUNTIFS(工数管理!$AK$3:$AK$98,K$1,工数管理!$U$3:$U$98,"&lt;="&amp;$H113,工数管理!$V$3:$V$98,"&gt;="&amp;$H113)+COUNTIFS(工数管理!$AK$3:$AK$98,K$1,工数管理!$W$3:$W$98,"&lt;="&amp;$H113,工数管理!$X$3:$X$98,"&gt;="&amp;$H113)+COUNTIFS(工数管理!$AK$3:$AK$98,K$1,工数管理!$Y$3:$Y$98,"&lt;="&amp;$H113,工数管理!$Z$3:$Z$98,"&gt;="&amp;$H113)+COUNTIFS(工数管理!$AK$3:$AK$98,K$1,工数管理!$AA$3:$AA$98,"&lt;="&amp;$H113,工数管理!$AB$3:$AB$98,"&gt;="&amp;$H113)+COUNTIFS(工数管理!$AK$3:$AK$98,K$1,工数管理!$AC$3:$AC$98,"&lt;="&amp;$H113,工数管理!$AD$3:$AD$98,"&gt;="&amp;$H113)+COUNTIFS(工数管理!$AK$3:$AK$98,K$1,工数管理!$AE$3:$AE$98,"&lt;="&amp;$H113,工数管理!$AF$3:$AF$98,"&gt;="&amp;$H113)+COUNTIFS(工数管理!$AK$3:$AK$98,K$1,工数管理!$AG$3:$AG$98,"&lt;="&amp;$H113,工数管理!$AH$3:$AH$98,"&gt;="&amp;$H113)+(COUNTIFS(工数管理!$AK$3:$AK$98,K$1,工数管理!$K$3:$K$98,"&lt;="&amp;$H113,工数管理!$L$3:$L$98,"")+COUNTIFS(工数管理!$AK$3:$AK$98,K$1,工数管理!$M$3:$M$98,"&lt;="&amp;$H113,工数管理!$N$3:$N$98,"")+COUNTIFS(工数管理!$AK$3:$AK$98,K$1,工数管理!$O$3:$O$98,"&lt;="&amp;$H113,工数管理!$P$3:$P$98,"")+COUNTIFS(工数管理!$AK$3:$AK$98,K$1,工数管理!$Q$3:$Q$98,"&lt;="&amp;$H113,工数管理!$R$3:$R$98,"")+COUNTIFS(工数管理!$AK$3:$AK$98,K$1,工数管理!$S$3:$S$98,"&lt;="&amp;$H113,工数管理!$T$3:$T$98,"")+COUNTIFS(工数管理!$AK$3:$AK$98,K$1,工数管理!$U$3:$U$98,"&lt;="&amp;$H113,工数管理!$V$3:$V$98,"")+COUNTIFS(工数管理!$AK$3:$AK$98,K$1,工数管理!$W$3:$W$98,"&lt;="&amp;$H113,工数管理!$X$3:$X$98,"")+COUNTIFS(工数管理!$AK$3:$AK$98,K$1,工数管理!$Y$3:$Y$98,"&lt;="&amp;$H113,工数管理!$Z$3:$Z$98,"")+COUNTIFS(工数管理!$AK$3:$AK$98,K$1,工数管理!$AA$3:$AA$98,"&lt;="&amp;$H113,工数管理!$AB$3:$AB$98,"")+COUNTIFS(工数管理!$AK$3:$AK$98,K$1,工数管理!$AC$3:$AC$98,"&lt;="&amp;$H113,工数管理!$AD$3:$AD$98,"")+COUNTIFS(工数管理!$AK$3:$AK$98,K$1,工数管理!$AE$3:$AE$98,"&lt;="&amp;$H113,工数管理!$AF$3:$AF$98,"")+COUNTIFS(工数管理!$AK$3:$AK$98,K$1,工数管理!$AG$3:$AG$98,"&lt;="&amp;$H113,工数管理!$AH$3:$AH$98,""))*($H113&lt;=工数管理!$AI$1))</f>
        <v>1</v>
      </c>
      <c r="L113" s="42">
        <f ca="1">IF(L$1="",0,COUNTIFS(工数管理!$AK$3:$AK$98,L$1,工数管理!$K$3:$K$98,"&lt;="&amp;$H113,工数管理!$L$3:$L$98,"&gt;="&amp;$H113)+COUNTIFS(工数管理!$AK$3:$AK$98,L$1,工数管理!$M$3:$M$98,"&lt;="&amp;$H113,工数管理!$N$3:$N$98,"&gt;="&amp;$H113)+COUNTIFS(工数管理!$AK$3:$AK$98,L$1,工数管理!$O$3:$O$98,"&lt;="&amp;$H113,工数管理!$P$3:$P$98,"&gt;="&amp;$H113)+COUNTIFS(工数管理!$AK$3:$AK$98,L$1,工数管理!$Q$3:$Q$98,"&lt;="&amp;$H113,工数管理!$R$3:$R$98,"&gt;="&amp;$H113)+COUNTIFS(工数管理!$AK$3:$AK$98,L$1,工数管理!$S$3:$S$98,"&lt;="&amp;$H113,工数管理!$T$3:$T$98,"&gt;="&amp;$H113)+COUNTIFS(工数管理!$AK$3:$AK$98,L$1,工数管理!$U$3:$U$98,"&lt;="&amp;$H113,工数管理!$V$3:$V$98,"&gt;="&amp;$H113)+COUNTIFS(工数管理!$AK$3:$AK$98,L$1,工数管理!$W$3:$W$98,"&lt;="&amp;$H113,工数管理!$X$3:$X$98,"&gt;="&amp;$H113)+COUNTIFS(工数管理!$AK$3:$AK$98,L$1,工数管理!$Y$3:$Y$98,"&lt;="&amp;$H113,工数管理!$Z$3:$Z$98,"&gt;="&amp;$H113)+COUNTIFS(工数管理!$AK$3:$AK$98,L$1,工数管理!$AA$3:$AA$98,"&lt;="&amp;$H113,工数管理!$AB$3:$AB$98,"&gt;="&amp;$H113)+COUNTIFS(工数管理!$AK$3:$AK$98,L$1,工数管理!$AC$3:$AC$98,"&lt;="&amp;$H113,工数管理!$AD$3:$AD$98,"&gt;="&amp;$H113)+COUNTIFS(工数管理!$AK$3:$AK$98,L$1,工数管理!$AE$3:$AE$98,"&lt;="&amp;$H113,工数管理!$AF$3:$AF$98,"&gt;="&amp;$H113)+COUNTIFS(工数管理!$AK$3:$AK$98,L$1,工数管理!$AG$3:$AG$98,"&lt;="&amp;$H113,工数管理!$AH$3:$AH$98,"&gt;="&amp;$H113)+(COUNTIFS(工数管理!$AK$3:$AK$98,L$1,工数管理!$K$3:$K$98,"&lt;="&amp;$H113,工数管理!$L$3:$L$98,"")+COUNTIFS(工数管理!$AK$3:$AK$98,L$1,工数管理!$M$3:$M$98,"&lt;="&amp;$H113,工数管理!$N$3:$N$98,"")+COUNTIFS(工数管理!$AK$3:$AK$98,L$1,工数管理!$O$3:$O$98,"&lt;="&amp;$H113,工数管理!$P$3:$P$98,"")+COUNTIFS(工数管理!$AK$3:$AK$98,L$1,工数管理!$Q$3:$Q$98,"&lt;="&amp;$H113,工数管理!$R$3:$R$98,"")+COUNTIFS(工数管理!$AK$3:$AK$98,L$1,工数管理!$S$3:$S$98,"&lt;="&amp;$H113,工数管理!$T$3:$T$98,"")+COUNTIFS(工数管理!$AK$3:$AK$98,L$1,工数管理!$U$3:$U$98,"&lt;="&amp;$H113,工数管理!$V$3:$V$98,"")+COUNTIFS(工数管理!$AK$3:$AK$98,L$1,工数管理!$W$3:$W$98,"&lt;="&amp;$H113,工数管理!$X$3:$X$98,"")+COUNTIFS(工数管理!$AK$3:$AK$98,L$1,工数管理!$Y$3:$Y$98,"&lt;="&amp;$H113,工数管理!$Z$3:$Z$98,"")+COUNTIFS(工数管理!$AK$3:$AK$98,L$1,工数管理!$AA$3:$AA$98,"&lt;="&amp;$H113,工数管理!$AB$3:$AB$98,"")+COUNTIFS(工数管理!$AK$3:$AK$98,L$1,工数管理!$AC$3:$AC$98,"&lt;="&amp;$H113,工数管理!$AD$3:$AD$98,"")+COUNTIFS(工数管理!$AK$3:$AK$98,L$1,工数管理!$AE$3:$AE$98,"&lt;="&amp;$H113,工数管理!$AF$3:$AF$98,"")+COUNTIFS(工数管理!$AK$3:$AK$98,L$1,工数管理!$AG$3:$AG$98,"&lt;="&amp;$H113,工数管理!$AH$3:$AH$98,""))*($H113&lt;=工数管理!$AI$1))</f>
        <v>1</v>
      </c>
    </row>
    <row r="114" spans="1:12" x14ac:dyDescent="0.15">
      <c r="A114" s="5"/>
      <c r="B114" s="6"/>
      <c r="H114" s="41">
        <f t="shared" si="3"/>
        <v>46282</v>
      </c>
      <c r="I114" s="42">
        <f t="shared" si="2"/>
        <v>1</v>
      </c>
      <c r="J114" s="42">
        <f ca="1">IF(J$1="",0,COUNTIFS(工数管理!$AK$3:$AK$98,J$1,工数管理!$K$3:$K$98,"&lt;="&amp;$H114,工数管理!$L$3:$L$98,"&gt;="&amp;$H114)+COUNTIFS(工数管理!$AK$3:$AK$98,J$1,工数管理!$M$3:$M$98,"&lt;="&amp;$H114,工数管理!$N$3:$N$98,"&gt;="&amp;$H114)+COUNTIFS(工数管理!$AK$3:$AK$98,J$1,工数管理!$O$3:$O$98,"&lt;="&amp;$H114,工数管理!$P$3:$P$98,"&gt;="&amp;$H114)+COUNTIFS(工数管理!$AK$3:$AK$98,J$1,工数管理!$Q$3:$Q$98,"&lt;="&amp;$H114,工数管理!$R$3:$R$98,"&gt;="&amp;$H114)+COUNTIFS(工数管理!$AK$3:$AK$98,J$1,工数管理!$S$3:$S$98,"&lt;="&amp;$H114,工数管理!$T$3:$T$98,"&gt;="&amp;$H114)+COUNTIFS(工数管理!$AK$3:$AK$98,J$1,工数管理!$U$3:$U$98,"&lt;="&amp;$H114,工数管理!$V$3:$V$98,"&gt;="&amp;$H114)+COUNTIFS(工数管理!$AK$3:$AK$98,J$1,工数管理!$W$3:$W$98,"&lt;="&amp;$H114,工数管理!$X$3:$X$98,"&gt;="&amp;$H114)+COUNTIFS(工数管理!$AK$3:$AK$98,J$1,工数管理!$Y$3:$Y$98,"&lt;="&amp;$H114,工数管理!$Z$3:$Z$98,"&gt;="&amp;$H114)+COUNTIFS(工数管理!$AK$3:$AK$98,J$1,工数管理!$AA$3:$AA$98,"&lt;="&amp;$H114,工数管理!$AB$3:$AB$98,"&gt;="&amp;$H114)+COUNTIFS(工数管理!$AK$3:$AK$98,J$1,工数管理!$AC$3:$AC$98,"&lt;="&amp;$H114,工数管理!$AD$3:$AD$98,"&gt;="&amp;$H114)+COUNTIFS(工数管理!$AK$3:$AK$98,J$1,工数管理!$AE$3:$AE$98,"&lt;="&amp;$H114,工数管理!$AF$3:$AF$98,"&gt;="&amp;$H114)+COUNTIFS(工数管理!$AK$3:$AK$98,J$1,工数管理!$AG$3:$AG$98,"&lt;="&amp;$H114,工数管理!$AH$3:$AH$98,"&gt;="&amp;$H114)+(COUNTIFS(工数管理!$AK$3:$AK$98,J$1,工数管理!$K$3:$K$98,"&lt;="&amp;$H114,工数管理!$L$3:$L$98,"")+COUNTIFS(工数管理!$AK$3:$AK$98,J$1,工数管理!$M$3:$M$98,"&lt;="&amp;$H114,工数管理!$N$3:$N$98,"")+COUNTIFS(工数管理!$AK$3:$AK$98,J$1,工数管理!$O$3:$O$98,"&lt;="&amp;$H114,工数管理!$P$3:$P$98,"")+COUNTIFS(工数管理!$AK$3:$AK$98,J$1,工数管理!$Q$3:$Q$98,"&lt;="&amp;$H114,工数管理!$R$3:$R$98,"")+COUNTIFS(工数管理!$AK$3:$AK$98,J$1,工数管理!$S$3:$S$98,"&lt;="&amp;$H114,工数管理!$T$3:$T$98,"")+COUNTIFS(工数管理!$AK$3:$AK$98,J$1,工数管理!$U$3:$U$98,"&lt;="&amp;$H114,工数管理!$V$3:$V$98,"")+COUNTIFS(工数管理!$AK$3:$AK$98,J$1,工数管理!$W$3:$W$98,"&lt;="&amp;$H114,工数管理!$X$3:$X$98,"")+COUNTIFS(工数管理!$AK$3:$AK$98,J$1,工数管理!$Y$3:$Y$98,"&lt;="&amp;$H114,工数管理!$Z$3:$Z$98,"")+COUNTIFS(工数管理!$AK$3:$AK$98,J$1,工数管理!$AA$3:$AA$98,"&lt;="&amp;$H114,工数管理!$AB$3:$AB$98,"")+COUNTIFS(工数管理!$AK$3:$AK$98,J$1,工数管理!$AC$3:$AC$98,"&lt;="&amp;$H114,工数管理!$AD$3:$AD$98,"")+COUNTIFS(工数管理!$AK$3:$AK$98,J$1,工数管理!$AE$3:$AE$98,"&lt;="&amp;$H114,工数管理!$AF$3:$AF$98,"")+COUNTIFS(工数管理!$AK$3:$AK$98,J$1,工数管理!$AG$3:$AG$98,"&lt;="&amp;$H114,工数管理!$AH$3:$AH$98,""))*($H114&lt;=工数管理!$AI$1))</f>
        <v>0</v>
      </c>
      <c r="K114" s="42">
        <f ca="1">IF(K$1="",0,COUNTIFS(工数管理!$AK$3:$AK$98,K$1,工数管理!$K$3:$K$98,"&lt;="&amp;$H114,工数管理!$L$3:$L$98,"&gt;="&amp;$H114)+COUNTIFS(工数管理!$AK$3:$AK$98,K$1,工数管理!$M$3:$M$98,"&lt;="&amp;$H114,工数管理!$N$3:$N$98,"&gt;="&amp;$H114)+COUNTIFS(工数管理!$AK$3:$AK$98,K$1,工数管理!$O$3:$O$98,"&lt;="&amp;$H114,工数管理!$P$3:$P$98,"&gt;="&amp;$H114)+COUNTIFS(工数管理!$AK$3:$AK$98,K$1,工数管理!$Q$3:$Q$98,"&lt;="&amp;$H114,工数管理!$R$3:$R$98,"&gt;="&amp;$H114)+COUNTIFS(工数管理!$AK$3:$AK$98,K$1,工数管理!$S$3:$S$98,"&lt;="&amp;$H114,工数管理!$T$3:$T$98,"&gt;="&amp;$H114)+COUNTIFS(工数管理!$AK$3:$AK$98,K$1,工数管理!$U$3:$U$98,"&lt;="&amp;$H114,工数管理!$V$3:$V$98,"&gt;="&amp;$H114)+COUNTIFS(工数管理!$AK$3:$AK$98,K$1,工数管理!$W$3:$W$98,"&lt;="&amp;$H114,工数管理!$X$3:$X$98,"&gt;="&amp;$H114)+COUNTIFS(工数管理!$AK$3:$AK$98,K$1,工数管理!$Y$3:$Y$98,"&lt;="&amp;$H114,工数管理!$Z$3:$Z$98,"&gt;="&amp;$H114)+COUNTIFS(工数管理!$AK$3:$AK$98,K$1,工数管理!$AA$3:$AA$98,"&lt;="&amp;$H114,工数管理!$AB$3:$AB$98,"&gt;="&amp;$H114)+COUNTIFS(工数管理!$AK$3:$AK$98,K$1,工数管理!$AC$3:$AC$98,"&lt;="&amp;$H114,工数管理!$AD$3:$AD$98,"&gt;="&amp;$H114)+COUNTIFS(工数管理!$AK$3:$AK$98,K$1,工数管理!$AE$3:$AE$98,"&lt;="&amp;$H114,工数管理!$AF$3:$AF$98,"&gt;="&amp;$H114)+COUNTIFS(工数管理!$AK$3:$AK$98,K$1,工数管理!$AG$3:$AG$98,"&lt;="&amp;$H114,工数管理!$AH$3:$AH$98,"&gt;="&amp;$H114)+(COUNTIFS(工数管理!$AK$3:$AK$98,K$1,工数管理!$K$3:$K$98,"&lt;="&amp;$H114,工数管理!$L$3:$L$98,"")+COUNTIFS(工数管理!$AK$3:$AK$98,K$1,工数管理!$M$3:$M$98,"&lt;="&amp;$H114,工数管理!$N$3:$N$98,"")+COUNTIFS(工数管理!$AK$3:$AK$98,K$1,工数管理!$O$3:$O$98,"&lt;="&amp;$H114,工数管理!$P$3:$P$98,"")+COUNTIFS(工数管理!$AK$3:$AK$98,K$1,工数管理!$Q$3:$Q$98,"&lt;="&amp;$H114,工数管理!$R$3:$R$98,"")+COUNTIFS(工数管理!$AK$3:$AK$98,K$1,工数管理!$S$3:$S$98,"&lt;="&amp;$H114,工数管理!$T$3:$T$98,"")+COUNTIFS(工数管理!$AK$3:$AK$98,K$1,工数管理!$U$3:$U$98,"&lt;="&amp;$H114,工数管理!$V$3:$V$98,"")+COUNTIFS(工数管理!$AK$3:$AK$98,K$1,工数管理!$W$3:$W$98,"&lt;="&amp;$H114,工数管理!$X$3:$X$98,"")+COUNTIFS(工数管理!$AK$3:$AK$98,K$1,工数管理!$Y$3:$Y$98,"&lt;="&amp;$H114,工数管理!$Z$3:$Z$98,"")+COUNTIFS(工数管理!$AK$3:$AK$98,K$1,工数管理!$AA$3:$AA$98,"&lt;="&amp;$H114,工数管理!$AB$3:$AB$98,"")+COUNTIFS(工数管理!$AK$3:$AK$98,K$1,工数管理!$AC$3:$AC$98,"&lt;="&amp;$H114,工数管理!$AD$3:$AD$98,"")+COUNTIFS(工数管理!$AK$3:$AK$98,K$1,工数管理!$AE$3:$AE$98,"&lt;="&amp;$H114,工数管理!$AF$3:$AF$98,"")+COUNTIFS(工数管理!$AK$3:$AK$98,K$1,工数管理!$AG$3:$AG$98,"&lt;="&amp;$H114,工数管理!$AH$3:$AH$98,""))*($H114&lt;=工数管理!$AI$1))</f>
        <v>1</v>
      </c>
      <c r="L114" s="42">
        <f ca="1">IF(L$1="",0,COUNTIFS(工数管理!$AK$3:$AK$98,L$1,工数管理!$K$3:$K$98,"&lt;="&amp;$H114,工数管理!$L$3:$L$98,"&gt;="&amp;$H114)+COUNTIFS(工数管理!$AK$3:$AK$98,L$1,工数管理!$M$3:$M$98,"&lt;="&amp;$H114,工数管理!$N$3:$N$98,"&gt;="&amp;$H114)+COUNTIFS(工数管理!$AK$3:$AK$98,L$1,工数管理!$O$3:$O$98,"&lt;="&amp;$H114,工数管理!$P$3:$P$98,"&gt;="&amp;$H114)+COUNTIFS(工数管理!$AK$3:$AK$98,L$1,工数管理!$Q$3:$Q$98,"&lt;="&amp;$H114,工数管理!$R$3:$R$98,"&gt;="&amp;$H114)+COUNTIFS(工数管理!$AK$3:$AK$98,L$1,工数管理!$S$3:$S$98,"&lt;="&amp;$H114,工数管理!$T$3:$T$98,"&gt;="&amp;$H114)+COUNTIFS(工数管理!$AK$3:$AK$98,L$1,工数管理!$U$3:$U$98,"&lt;="&amp;$H114,工数管理!$V$3:$V$98,"&gt;="&amp;$H114)+COUNTIFS(工数管理!$AK$3:$AK$98,L$1,工数管理!$W$3:$W$98,"&lt;="&amp;$H114,工数管理!$X$3:$X$98,"&gt;="&amp;$H114)+COUNTIFS(工数管理!$AK$3:$AK$98,L$1,工数管理!$Y$3:$Y$98,"&lt;="&amp;$H114,工数管理!$Z$3:$Z$98,"&gt;="&amp;$H114)+COUNTIFS(工数管理!$AK$3:$AK$98,L$1,工数管理!$AA$3:$AA$98,"&lt;="&amp;$H114,工数管理!$AB$3:$AB$98,"&gt;="&amp;$H114)+COUNTIFS(工数管理!$AK$3:$AK$98,L$1,工数管理!$AC$3:$AC$98,"&lt;="&amp;$H114,工数管理!$AD$3:$AD$98,"&gt;="&amp;$H114)+COUNTIFS(工数管理!$AK$3:$AK$98,L$1,工数管理!$AE$3:$AE$98,"&lt;="&amp;$H114,工数管理!$AF$3:$AF$98,"&gt;="&amp;$H114)+COUNTIFS(工数管理!$AK$3:$AK$98,L$1,工数管理!$AG$3:$AG$98,"&lt;="&amp;$H114,工数管理!$AH$3:$AH$98,"&gt;="&amp;$H114)+(COUNTIFS(工数管理!$AK$3:$AK$98,L$1,工数管理!$K$3:$K$98,"&lt;="&amp;$H114,工数管理!$L$3:$L$98,"")+COUNTIFS(工数管理!$AK$3:$AK$98,L$1,工数管理!$M$3:$M$98,"&lt;="&amp;$H114,工数管理!$N$3:$N$98,"")+COUNTIFS(工数管理!$AK$3:$AK$98,L$1,工数管理!$O$3:$O$98,"&lt;="&amp;$H114,工数管理!$P$3:$P$98,"")+COUNTIFS(工数管理!$AK$3:$AK$98,L$1,工数管理!$Q$3:$Q$98,"&lt;="&amp;$H114,工数管理!$R$3:$R$98,"")+COUNTIFS(工数管理!$AK$3:$AK$98,L$1,工数管理!$S$3:$S$98,"&lt;="&amp;$H114,工数管理!$T$3:$T$98,"")+COUNTIFS(工数管理!$AK$3:$AK$98,L$1,工数管理!$U$3:$U$98,"&lt;="&amp;$H114,工数管理!$V$3:$V$98,"")+COUNTIFS(工数管理!$AK$3:$AK$98,L$1,工数管理!$W$3:$W$98,"&lt;="&amp;$H114,工数管理!$X$3:$X$98,"")+COUNTIFS(工数管理!$AK$3:$AK$98,L$1,工数管理!$Y$3:$Y$98,"&lt;="&amp;$H114,工数管理!$Z$3:$Z$98,"")+COUNTIFS(工数管理!$AK$3:$AK$98,L$1,工数管理!$AA$3:$AA$98,"&lt;="&amp;$H114,工数管理!$AB$3:$AB$98,"")+COUNTIFS(工数管理!$AK$3:$AK$98,L$1,工数管理!$AC$3:$AC$98,"&lt;="&amp;$H114,工数管理!$AD$3:$AD$98,"")+COUNTIFS(工数管理!$AK$3:$AK$98,L$1,工数管理!$AE$3:$AE$98,"&lt;="&amp;$H114,工数管理!$AF$3:$AF$98,"")+COUNTIFS(工数管理!$AK$3:$AK$98,L$1,工数管理!$AG$3:$AG$98,"&lt;="&amp;$H114,工数管理!$AH$3:$AH$98,""))*($H114&lt;=工数管理!$AI$1))</f>
        <v>1</v>
      </c>
    </row>
    <row r="115" spans="1:12" x14ac:dyDescent="0.15">
      <c r="A115" s="5"/>
      <c r="B115" s="6"/>
      <c r="H115" s="41">
        <f t="shared" si="3"/>
        <v>46283</v>
      </c>
      <c r="I115" s="42">
        <f t="shared" si="2"/>
        <v>1</v>
      </c>
      <c r="J115" s="42">
        <f ca="1">IF(J$1="",0,COUNTIFS(工数管理!$AK$3:$AK$98,J$1,工数管理!$K$3:$K$98,"&lt;="&amp;$H115,工数管理!$L$3:$L$98,"&gt;="&amp;$H115)+COUNTIFS(工数管理!$AK$3:$AK$98,J$1,工数管理!$M$3:$M$98,"&lt;="&amp;$H115,工数管理!$N$3:$N$98,"&gt;="&amp;$H115)+COUNTIFS(工数管理!$AK$3:$AK$98,J$1,工数管理!$O$3:$O$98,"&lt;="&amp;$H115,工数管理!$P$3:$P$98,"&gt;="&amp;$H115)+COUNTIFS(工数管理!$AK$3:$AK$98,J$1,工数管理!$Q$3:$Q$98,"&lt;="&amp;$H115,工数管理!$R$3:$R$98,"&gt;="&amp;$H115)+COUNTIFS(工数管理!$AK$3:$AK$98,J$1,工数管理!$S$3:$S$98,"&lt;="&amp;$H115,工数管理!$T$3:$T$98,"&gt;="&amp;$H115)+COUNTIFS(工数管理!$AK$3:$AK$98,J$1,工数管理!$U$3:$U$98,"&lt;="&amp;$H115,工数管理!$V$3:$V$98,"&gt;="&amp;$H115)+COUNTIFS(工数管理!$AK$3:$AK$98,J$1,工数管理!$W$3:$W$98,"&lt;="&amp;$H115,工数管理!$X$3:$X$98,"&gt;="&amp;$H115)+COUNTIFS(工数管理!$AK$3:$AK$98,J$1,工数管理!$Y$3:$Y$98,"&lt;="&amp;$H115,工数管理!$Z$3:$Z$98,"&gt;="&amp;$H115)+COUNTIFS(工数管理!$AK$3:$AK$98,J$1,工数管理!$AA$3:$AA$98,"&lt;="&amp;$H115,工数管理!$AB$3:$AB$98,"&gt;="&amp;$H115)+COUNTIFS(工数管理!$AK$3:$AK$98,J$1,工数管理!$AC$3:$AC$98,"&lt;="&amp;$H115,工数管理!$AD$3:$AD$98,"&gt;="&amp;$H115)+COUNTIFS(工数管理!$AK$3:$AK$98,J$1,工数管理!$AE$3:$AE$98,"&lt;="&amp;$H115,工数管理!$AF$3:$AF$98,"&gt;="&amp;$H115)+COUNTIFS(工数管理!$AK$3:$AK$98,J$1,工数管理!$AG$3:$AG$98,"&lt;="&amp;$H115,工数管理!$AH$3:$AH$98,"&gt;="&amp;$H115)+(COUNTIFS(工数管理!$AK$3:$AK$98,J$1,工数管理!$K$3:$K$98,"&lt;="&amp;$H115,工数管理!$L$3:$L$98,"")+COUNTIFS(工数管理!$AK$3:$AK$98,J$1,工数管理!$M$3:$M$98,"&lt;="&amp;$H115,工数管理!$N$3:$N$98,"")+COUNTIFS(工数管理!$AK$3:$AK$98,J$1,工数管理!$O$3:$O$98,"&lt;="&amp;$H115,工数管理!$P$3:$P$98,"")+COUNTIFS(工数管理!$AK$3:$AK$98,J$1,工数管理!$Q$3:$Q$98,"&lt;="&amp;$H115,工数管理!$R$3:$R$98,"")+COUNTIFS(工数管理!$AK$3:$AK$98,J$1,工数管理!$S$3:$S$98,"&lt;="&amp;$H115,工数管理!$T$3:$T$98,"")+COUNTIFS(工数管理!$AK$3:$AK$98,J$1,工数管理!$U$3:$U$98,"&lt;="&amp;$H115,工数管理!$V$3:$V$98,"")+COUNTIFS(工数管理!$AK$3:$AK$98,J$1,工数管理!$W$3:$W$98,"&lt;="&amp;$H115,工数管理!$X$3:$X$98,"")+COUNTIFS(工数管理!$AK$3:$AK$98,J$1,工数管理!$Y$3:$Y$98,"&lt;="&amp;$H115,工数管理!$Z$3:$Z$98,"")+COUNTIFS(工数管理!$AK$3:$AK$98,J$1,工数管理!$AA$3:$AA$98,"&lt;="&amp;$H115,工数管理!$AB$3:$AB$98,"")+COUNTIFS(工数管理!$AK$3:$AK$98,J$1,工数管理!$AC$3:$AC$98,"&lt;="&amp;$H115,工数管理!$AD$3:$AD$98,"")+COUNTIFS(工数管理!$AK$3:$AK$98,J$1,工数管理!$AE$3:$AE$98,"&lt;="&amp;$H115,工数管理!$AF$3:$AF$98,"")+COUNTIFS(工数管理!$AK$3:$AK$98,J$1,工数管理!$AG$3:$AG$98,"&lt;="&amp;$H115,工数管理!$AH$3:$AH$98,""))*($H115&lt;=工数管理!$AI$1))</f>
        <v>1</v>
      </c>
      <c r="K115" s="42">
        <f ca="1">IF(K$1="",0,COUNTIFS(工数管理!$AK$3:$AK$98,K$1,工数管理!$K$3:$K$98,"&lt;="&amp;$H115,工数管理!$L$3:$L$98,"&gt;="&amp;$H115)+COUNTIFS(工数管理!$AK$3:$AK$98,K$1,工数管理!$M$3:$M$98,"&lt;="&amp;$H115,工数管理!$N$3:$N$98,"&gt;="&amp;$H115)+COUNTIFS(工数管理!$AK$3:$AK$98,K$1,工数管理!$O$3:$O$98,"&lt;="&amp;$H115,工数管理!$P$3:$P$98,"&gt;="&amp;$H115)+COUNTIFS(工数管理!$AK$3:$AK$98,K$1,工数管理!$Q$3:$Q$98,"&lt;="&amp;$H115,工数管理!$R$3:$R$98,"&gt;="&amp;$H115)+COUNTIFS(工数管理!$AK$3:$AK$98,K$1,工数管理!$S$3:$S$98,"&lt;="&amp;$H115,工数管理!$T$3:$T$98,"&gt;="&amp;$H115)+COUNTIFS(工数管理!$AK$3:$AK$98,K$1,工数管理!$U$3:$U$98,"&lt;="&amp;$H115,工数管理!$V$3:$V$98,"&gt;="&amp;$H115)+COUNTIFS(工数管理!$AK$3:$AK$98,K$1,工数管理!$W$3:$W$98,"&lt;="&amp;$H115,工数管理!$X$3:$X$98,"&gt;="&amp;$H115)+COUNTIFS(工数管理!$AK$3:$AK$98,K$1,工数管理!$Y$3:$Y$98,"&lt;="&amp;$H115,工数管理!$Z$3:$Z$98,"&gt;="&amp;$H115)+COUNTIFS(工数管理!$AK$3:$AK$98,K$1,工数管理!$AA$3:$AA$98,"&lt;="&amp;$H115,工数管理!$AB$3:$AB$98,"&gt;="&amp;$H115)+COUNTIFS(工数管理!$AK$3:$AK$98,K$1,工数管理!$AC$3:$AC$98,"&lt;="&amp;$H115,工数管理!$AD$3:$AD$98,"&gt;="&amp;$H115)+COUNTIFS(工数管理!$AK$3:$AK$98,K$1,工数管理!$AE$3:$AE$98,"&lt;="&amp;$H115,工数管理!$AF$3:$AF$98,"&gt;="&amp;$H115)+COUNTIFS(工数管理!$AK$3:$AK$98,K$1,工数管理!$AG$3:$AG$98,"&lt;="&amp;$H115,工数管理!$AH$3:$AH$98,"&gt;="&amp;$H115)+(COUNTIFS(工数管理!$AK$3:$AK$98,K$1,工数管理!$K$3:$K$98,"&lt;="&amp;$H115,工数管理!$L$3:$L$98,"")+COUNTIFS(工数管理!$AK$3:$AK$98,K$1,工数管理!$M$3:$M$98,"&lt;="&amp;$H115,工数管理!$N$3:$N$98,"")+COUNTIFS(工数管理!$AK$3:$AK$98,K$1,工数管理!$O$3:$O$98,"&lt;="&amp;$H115,工数管理!$P$3:$P$98,"")+COUNTIFS(工数管理!$AK$3:$AK$98,K$1,工数管理!$Q$3:$Q$98,"&lt;="&amp;$H115,工数管理!$R$3:$R$98,"")+COUNTIFS(工数管理!$AK$3:$AK$98,K$1,工数管理!$S$3:$S$98,"&lt;="&amp;$H115,工数管理!$T$3:$T$98,"")+COUNTIFS(工数管理!$AK$3:$AK$98,K$1,工数管理!$U$3:$U$98,"&lt;="&amp;$H115,工数管理!$V$3:$V$98,"")+COUNTIFS(工数管理!$AK$3:$AK$98,K$1,工数管理!$W$3:$W$98,"&lt;="&amp;$H115,工数管理!$X$3:$X$98,"")+COUNTIFS(工数管理!$AK$3:$AK$98,K$1,工数管理!$Y$3:$Y$98,"&lt;="&amp;$H115,工数管理!$Z$3:$Z$98,"")+COUNTIFS(工数管理!$AK$3:$AK$98,K$1,工数管理!$AA$3:$AA$98,"&lt;="&amp;$H115,工数管理!$AB$3:$AB$98,"")+COUNTIFS(工数管理!$AK$3:$AK$98,K$1,工数管理!$AC$3:$AC$98,"&lt;="&amp;$H115,工数管理!$AD$3:$AD$98,"")+COUNTIFS(工数管理!$AK$3:$AK$98,K$1,工数管理!$AE$3:$AE$98,"&lt;="&amp;$H115,工数管理!$AF$3:$AF$98,"")+COUNTIFS(工数管理!$AK$3:$AK$98,K$1,工数管理!$AG$3:$AG$98,"&lt;="&amp;$H115,工数管理!$AH$3:$AH$98,""))*($H115&lt;=工数管理!$AI$1))</f>
        <v>1</v>
      </c>
      <c r="L115" s="42">
        <f ca="1">IF(L$1="",0,COUNTIFS(工数管理!$AK$3:$AK$98,L$1,工数管理!$K$3:$K$98,"&lt;="&amp;$H115,工数管理!$L$3:$L$98,"&gt;="&amp;$H115)+COUNTIFS(工数管理!$AK$3:$AK$98,L$1,工数管理!$M$3:$M$98,"&lt;="&amp;$H115,工数管理!$N$3:$N$98,"&gt;="&amp;$H115)+COUNTIFS(工数管理!$AK$3:$AK$98,L$1,工数管理!$O$3:$O$98,"&lt;="&amp;$H115,工数管理!$P$3:$P$98,"&gt;="&amp;$H115)+COUNTIFS(工数管理!$AK$3:$AK$98,L$1,工数管理!$Q$3:$Q$98,"&lt;="&amp;$H115,工数管理!$R$3:$R$98,"&gt;="&amp;$H115)+COUNTIFS(工数管理!$AK$3:$AK$98,L$1,工数管理!$S$3:$S$98,"&lt;="&amp;$H115,工数管理!$T$3:$T$98,"&gt;="&amp;$H115)+COUNTIFS(工数管理!$AK$3:$AK$98,L$1,工数管理!$U$3:$U$98,"&lt;="&amp;$H115,工数管理!$V$3:$V$98,"&gt;="&amp;$H115)+COUNTIFS(工数管理!$AK$3:$AK$98,L$1,工数管理!$W$3:$W$98,"&lt;="&amp;$H115,工数管理!$X$3:$X$98,"&gt;="&amp;$H115)+COUNTIFS(工数管理!$AK$3:$AK$98,L$1,工数管理!$Y$3:$Y$98,"&lt;="&amp;$H115,工数管理!$Z$3:$Z$98,"&gt;="&amp;$H115)+COUNTIFS(工数管理!$AK$3:$AK$98,L$1,工数管理!$AA$3:$AA$98,"&lt;="&amp;$H115,工数管理!$AB$3:$AB$98,"&gt;="&amp;$H115)+COUNTIFS(工数管理!$AK$3:$AK$98,L$1,工数管理!$AC$3:$AC$98,"&lt;="&amp;$H115,工数管理!$AD$3:$AD$98,"&gt;="&amp;$H115)+COUNTIFS(工数管理!$AK$3:$AK$98,L$1,工数管理!$AE$3:$AE$98,"&lt;="&amp;$H115,工数管理!$AF$3:$AF$98,"&gt;="&amp;$H115)+COUNTIFS(工数管理!$AK$3:$AK$98,L$1,工数管理!$AG$3:$AG$98,"&lt;="&amp;$H115,工数管理!$AH$3:$AH$98,"&gt;="&amp;$H115)+(COUNTIFS(工数管理!$AK$3:$AK$98,L$1,工数管理!$K$3:$K$98,"&lt;="&amp;$H115,工数管理!$L$3:$L$98,"")+COUNTIFS(工数管理!$AK$3:$AK$98,L$1,工数管理!$M$3:$M$98,"&lt;="&amp;$H115,工数管理!$N$3:$N$98,"")+COUNTIFS(工数管理!$AK$3:$AK$98,L$1,工数管理!$O$3:$O$98,"&lt;="&amp;$H115,工数管理!$P$3:$P$98,"")+COUNTIFS(工数管理!$AK$3:$AK$98,L$1,工数管理!$Q$3:$Q$98,"&lt;="&amp;$H115,工数管理!$R$3:$R$98,"")+COUNTIFS(工数管理!$AK$3:$AK$98,L$1,工数管理!$S$3:$S$98,"&lt;="&amp;$H115,工数管理!$T$3:$T$98,"")+COUNTIFS(工数管理!$AK$3:$AK$98,L$1,工数管理!$U$3:$U$98,"&lt;="&amp;$H115,工数管理!$V$3:$V$98,"")+COUNTIFS(工数管理!$AK$3:$AK$98,L$1,工数管理!$W$3:$W$98,"&lt;="&amp;$H115,工数管理!$X$3:$X$98,"")+COUNTIFS(工数管理!$AK$3:$AK$98,L$1,工数管理!$Y$3:$Y$98,"&lt;="&amp;$H115,工数管理!$Z$3:$Z$98,"")+COUNTIFS(工数管理!$AK$3:$AK$98,L$1,工数管理!$AA$3:$AA$98,"&lt;="&amp;$H115,工数管理!$AB$3:$AB$98,"")+COUNTIFS(工数管理!$AK$3:$AK$98,L$1,工数管理!$AC$3:$AC$98,"&lt;="&amp;$H115,工数管理!$AD$3:$AD$98,"")+COUNTIFS(工数管理!$AK$3:$AK$98,L$1,工数管理!$AE$3:$AE$98,"&lt;="&amp;$H115,工数管理!$AF$3:$AF$98,"")+COUNTIFS(工数管理!$AK$3:$AK$98,L$1,工数管理!$AG$3:$AG$98,"&lt;="&amp;$H115,工数管理!$AH$3:$AH$98,""))*($H115&lt;=工数管理!$AI$1))</f>
        <v>1</v>
      </c>
    </row>
    <row r="116" spans="1:12" x14ac:dyDescent="0.15">
      <c r="A116" s="5"/>
      <c r="B116" s="6"/>
      <c r="H116" s="41">
        <f t="shared" si="3"/>
        <v>46284</v>
      </c>
      <c r="I116" s="42">
        <f t="shared" si="2"/>
        <v>0</v>
      </c>
      <c r="J116" s="42">
        <f ca="1">IF(J$1="",0,COUNTIFS(工数管理!$AK$3:$AK$98,J$1,工数管理!$K$3:$K$98,"&lt;="&amp;$H116,工数管理!$L$3:$L$98,"&gt;="&amp;$H116)+COUNTIFS(工数管理!$AK$3:$AK$98,J$1,工数管理!$M$3:$M$98,"&lt;="&amp;$H116,工数管理!$N$3:$N$98,"&gt;="&amp;$H116)+COUNTIFS(工数管理!$AK$3:$AK$98,J$1,工数管理!$O$3:$O$98,"&lt;="&amp;$H116,工数管理!$P$3:$P$98,"&gt;="&amp;$H116)+COUNTIFS(工数管理!$AK$3:$AK$98,J$1,工数管理!$Q$3:$Q$98,"&lt;="&amp;$H116,工数管理!$R$3:$R$98,"&gt;="&amp;$H116)+COUNTIFS(工数管理!$AK$3:$AK$98,J$1,工数管理!$S$3:$S$98,"&lt;="&amp;$H116,工数管理!$T$3:$T$98,"&gt;="&amp;$H116)+COUNTIFS(工数管理!$AK$3:$AK$98,J$1,工数管理!$U$3:$U$98,"&lt;="&amp;$H116,工数管理!$V$3:$V$98,"&gt;="&amp;$H116)+COUNTIFS(工数管理!$AK$3:$AK$98,J$1,工数管理!$W$3:$W$98,"&lt;="&amp;$H116,工数管理!$X$3:$X$98,"&gt;="&amp;$H116)+COUNTIFS(工数管理!$AK$3:$AK$98,J$1,工数管理!$Y$3:$Y$98,"&lt;="&amp;$H116,工数管理!$Z$3:$Z$98,"&gt;="&amp;$H116)+COUNTIFS(工数管理!$AK$3:$AK$98,J$1,工数管理!$AA$3:$AA$98,"&lt;="&amp;$H116,工数管理!$AB$3:$AB$98,"&gt;="&amp;$H116)+COUNTIFS(工数管理!$AK$3:$AK$98,J$1,工数管理!$AC$3:$AC$98,"&lt;="&amp;$H116,工数管理!$AD$3:$AD$98,"&gt;="&amp;$H116)+COUNTIFS(工数管理!$AK$3:$AK$98,J$1,工数管理!$AE$3:$AE$98,"&lt;="&amp;$H116,工数管理!$AF$3:$AF$98,"&gt;="&amp;$H116)+COUNTIFS(工数管理!$AK$3:$AK$98,J$1,工数管理!$AG$3:$AG$98,"&lt;="&amp;$H116,工数管理!$AH$3:$AH$98,"&gt;="&amp;$H116)+(COUNTIFS(工数管理!$AK$3:$AK$98,J$1,工数管理!$K$3:$K$98,"&lt;="&amp;$H116,工数管理!$L$3:$L$98,"")+COUNTIFS(工数管理!$AK$3:$AK$98,J$1,工数管理!$M$3:$M$98,"&lt;="&amp;$H116,工数管理!$N$3:$N$98,"")+COUNTIFS(工数管理!$AK$3:$AK$98,J$1,工数管理!$O$3:$O$98,"&lt;="&amp;$H116,工数管理!$P$3:$P$98,"")+COUNTIFS(工数管理!$AK$3:$AK$98,J$1,工数管理!$Q$3:$Q$98,"&lt;="&amp;$H116,工数管理!$R$3:$R$98,"")+COUNTIFS(工数管理!$AK$3:$AK$98,J$1,工数管理!$S$3:$S$98,"&lt;="&amp;$H116,工数管理!$T$3:$T$98,"")+COUNTIFS(工数管理!$AK$3:$AK$98,J$1,工数管理!$U$3:$U$98,"&lt;="&amp;$H116,工数管理!$V$3:$V$98,"")+COUNTIFS(工数管理!$AK$3:$AK$98,J$1,工数管理!$W$3:$W$98,"&lt;="&amp;$H116,工数管理!$X$3:$X$98,"")+COUNTIFS(工数管理!$AK$3:$AK$98,J$1,工数管理!$Y$3:$Y$98,"&lt;="&amp;$H116,工数管理!$Z$3:$Z$98,"")+COUNTIFS(工数管理!$AK$3:$AK$98,J$1,工数管理!$AA$3:$AA$98,"&lt;="&amp;$H116,工数管理!$AB$3:$AB$98,"")+COUNTIFS(工数管理!$AK$3:$AK$98,J$1,工数管理!$AC$3:$AC$98,"&lt;="&amp;$H116,工数管理!$AD$3:$AD$98,"")+COUNTIFS(工数管理!$AK$3:$AK$98,J$1,工数管理!$AE$3:$AE$98,"&lt;="&amp;$H116,工数管理!$AF$3:$AF$98,"")+COUNTIFS(工数管理!$AK$3:$AK$98,J$1,工数管理!$AG$3:$AG$98,"&lt;="&amp;$H116,工数管理!$AH$3:$AH$98,""))*($H116&lt;=工数管理!$AI$1))</f>
        <v>1</v>
      </c>
      <c r="K116" s="42">
        <f ca="1">IF(K$1="",0,COUNTIFS(工数管理!$AK$3:$AK$98,K$1,工数管理!$K$3:$K$98,"&lt;="&amp;$H116,工数管理!$L$3:$L$98,"&gt;="&amp;$H116)+COUNTIFS(工数管理!$AK$3:$AK$98,K$1,工数管理!$M$3:$M$98,"&lt;="&amp;$H116,工数管理!$N$3:$N$98,"&gt;="&amp;$H116)+COUNTIFS(工数管理!$AK$3:$AK$98,K$1,工数管理!$O$3:$O$98,"&lt;="&amp;$H116,工数管理!$P$3:$P$98,"&gt;="&amp;$H116)+COUNTIFS(工数管理!$AK$3:$AK$98,K$1,工数管理!$Q$3:$Q$98,"&lt;="&amp;$H116,工数管理!$R$3:$R$98,"&gt;="&amp;$H116)+COUNTIFS(工数管理!$AK$3:$AK$98,K$1,工数管理!$S$3:$S$98,"&lt;="&amp;$H116,工数管理!$T$3:$T$98,"&gt;="&amp;$H116)+COUNTIFS(工数管理!$AK$3:$AK$98,K$1,工数管理!$U$3:$U$98,"&lt;="&amp;$H116,工数管理!$V$3:$V$98,"&gt;="&amp;$H116)+COUNTIFS(工数管理!$AK$3:$AK$98,K$1,工数管理!$W$3:$W$98,"&lt;="&amp;$H116,工数管理!$X$3:$X$98,"&gt;="&amp;$H116)+COUNTIFS(工数管理!$AK$3:$AK$98,K$1,工数管理!$Y$3:$Y$98,"&lt;="&amp;$H116,工数管理!$Z$3:$Z$98,"&gt;="&amp;$H116)+COUNTIFS(工数管理!$AK$3:$AK$98,K$1,工数管理!$AA$3:$AA$98,"&lt;="&amp;$H116,工数管理!$AB$3:$AB$98,"&gt;="&amp;$H116)+COUNTIFS(工数管理!$AK$3:$AK$98,K$1,工数管理!$AC$3:$AC$98,"&lt;="&amp;$H116,工数管理!$AD$3:$AD$98,"&gt;="&amp;$H116)+COUNTIFS(工数管理!$AK$3:$AK$98,K$1,工数管理!$AE$3:$AE$98,"&lt;="&amp;$H116,工数管理!$AF$3:$AF$98,"&gt;="&amp;$H116)+COUNTIFS(工数管理!$AK$3:$AK$98,K$1,工数管理!$AG$3:$AG$98,"&lt;="&amp;$H116,工数管理!$AH$3:$AH$98,"&gt;="&amp;$H116)+(COUNTIFS(工数管理!$AK$3:$AK$98,K$1,工数管理!$K$3:$K$98,"&lt;="&amp;$H116,工数管理!$L$3:$L$98,"")+COUNTIFS(工数管理!$AK$3:$AK$98,K$1,工数管理!$M$3:$M$98,"&lt;="&amp;$H116,工数管理!$N$3:$N$98,"")+COUNTIFS(工数管理!$AK$3:$AK$98,K$1,工数管理!$O$3:$O$98,"&lt;="&amp;$H116,工数管理!$P$3:$P$98,"")+COUNTIFS(工数管理!$AK$3:$AK$98,K$1,工数管理!$Q$3:$Q$98,"&lt;="&amp;$H116,工数管理!$R$3:$R$98,"")+COUNTIFS(工数管理!$AK$3:$AK$98,K$1,工数管理!$S$3:$S$98,"&lt;="&amp;$H116,工数管理!$T$3:$T$98,"")+COUNTIFS(工数管理!$AK$3:$AK$98,K$1,工数管理!$U$3:$U$98,"&lt;="&amp;$H116,工数管理!$V$3:$V$98,"")+COUNTIFS(工数管理!$AK$3:$AK$98,K$1,工数管理!$W$3:$W$98,"&lt;="&amp;$H116,工数管理!$X$3:$X$98,"")+COUNTIFS(工数管理!$AK$3:$AK$98,K$1,工数管理!$Y$3:$Y$98,"&lt;="&amp;$H116,工数管理!$Z$3:$Z$98,"")+COUNTIFS(工数管理!$AK$3:$AK$98,K$1,工数管理!$AA$3:$AA$98,"&lt;="&amp;$H116,工数管理!$AB$3:$AB$98,"")+COUNTIFS(工数管理!$AK$3:$AK$98,K$1,工数管理!$AC$3:$AC$98,"&lt;="&amp;$H116,工数管理!$AD$3:$AD$98,"")+COUNTIFS(工数管理!$AK$3:$AK$98,K$1,工数管理!$AE$3:$AE$98,"&lt;="&amp;$H116,工数管理!$AF$3:$AF$98,"")+COUNTIFS(工数管理!$AK$3:$AK$98,K$1,工数管理!$AG$3:$AG$98,"&lt;="&amp;$H116,工数管理!$AH$3:$AH$98,""))*($H116&lt;=工数管理!$AI$1))</f>
        <v>1</v>
      </c>
      <c r="L116" s="42">
        <f ca="1">IF(L$1="",0,COUNTIFS(工数管理!$AK$3:$AK$98,L$1,工数管理!$K$3:$K$98,"&lt;="&amp;$H116,工数管理!$L$3:$L$98,"&gt;="&amp;$H116)+COUNTIFS(工数管理!$AK$3:$AK$98,L$1,工数管理!$M$3:$M$98,"&lt;="&amp;$H116,工数管理!$N$3:$N$98,"&gt;="&amp;$H116)+COUNTIFS(工数管理!$AK$3:$AK$98,L$1,工数管理!$O$3:$O$98,"&lt;="&amp;$H116,工数管理!$P$3:$P$98,"&gt;="&amp;$H116)+COUNTIFS(工数管理!$AK$3:$AK$98,L$1,工数管理!$Q$3:$Q$98,"&lt;="&amp;$H116,工数管理!$R$3:$R$98,"&gt;="&amp;$H116)+COUNTIFS(工数管理!$AK$3:$AK$98,L$1,工数管理!$S$3:$S$98,"&lt;="&amp;$H116,工数管理!$T$3:$T$98,"&gt;="&amp;$H116)+COUNTIFS(工数管理!$AK$3:$AK$98,L$1,工数管理!$U$3:$U$98,"&lt;="&amp;$H116,工数管理!$V$3:$V$98,"&gt;="&amp;$H116)+COUNTIFS(工数管理!$AK$3:$AK$98,L$1,工数管理!$W$3:$W$98,"&lt;="&amp;$H116,工数管理!$X$3:$X$98,"&gt;="&amp;$H116)+COUNTIFS(工数管理!$AK$3:$AK$98,L$1,工数管理!$Y$3:$Y$98,"&lt;="&amp;$H116,工数管理!$Z$3:$Z$98,"&gt;="&amp;$H116)+COUNTIFS(工数管理!$AK$3:$AK$98,L$1,工数管理!$AA$3:$AA$98,"&lt;="&amp;$H116,工数管理!$AB$3:$AB$98,"&gt;="&amp;$H116)+COUNTIFS(工数管理!$AK$3:$AK$98,L$1,工数管理!$AC$3:$AC$98,"&lt;="&amp;$H116,工数管理!$AD$3:$AD$98,"&gt;="&amp;$H116)+COUNTIFS(工数管理!$AK$3:$AK$98,L$1,工数管理!$AE$3:$AE$98,"&lt;="&amp;$H116,工数管理!$AF$3:$AF$98,"&gt;="&amp;$H116)+COUNTIFS(工数管理!$AK$3:$AK$98,L$1,工数管理!$AG$3:$AG$98,"&lt;="&amp;$H116,工数管理!$AH$3:$AH$98,"&gt;="&amp;$H116)+(COUNTIFS(工数管理!$AK$3:$AK$98,L$1,工数管理!$K$3:$K$98,"&lt;="&amp;$H116,工数管理!$L$3:$L$98,"")+COUNTIFS(工数管理!$AK$3:$AK$98,L$1,工数管理!$M$3:$M$98,"&lt;="&amp;$H116,工数管理!$N$3:$N$98,"")+COUNTIFS(工数管理!$AK$3:$AK$98,L$1,工数管理!$O$3:$O$98,"&lt;="&amp;$H116,工数管理!$P$3:$P$98,"")+COUNTIFS(工数管理!$AK$3:$AK$98,L$1,工数管理!$Q$3:$Q$98,"&lt;="&amp;$H116,工数管理!$R$3:$R$98,"")+COUNTIFS(工数管理!$AK$3:$AK$98,L$1,工数管理!$S$3:$S$98,"&lt;="&amp;$H116,工数管理!$T$3:$T$98,"")+COUNTIFS(工数管理!$AK$3:$AK$98,L$1,工数管理!$U$3:$U$98,"&lt;="&amp;$H116,工数管理!$V$3:$V$98,"")+COUNTIFS(工数管理!$AK$3:$AK$98,L$1,工数管理!$W$3:$W$98,"&lt;="&amp;$H116,工数管理!$X$3:$X$98,"")+COUNTIFS(工数管理!$AK$3:$AK$98,L$1,工数管理!$Y$3:$Y$98,"&lt;="&amp;$H116,工数管理!$Z$3:$Z$98,"")+COUNTIFS(工数管理!$AK$3:$AK$98,L$1,工数管理!$AA$3:$AA$98,"&lt;="&amp;$H116,工数管理!$AB$3:$AB$98,"")+COUNTIFS(工数管理!$AK$3:$AK$98,L$1,工数管理!$AC$3:$AC$98,"&lt;="&amp;$H116,工数管理!$AD$3:$AD$98,"")+COUNTIFS(工数管理!$AK$3:$AK$98,L$1,工数管理!$AE$3:$AE$98,"&lt;="&amp;$H116,工数管理!$AF$3:$AF$98,"")+COUNTIFS(工数管理!$AK$3:$AK$98,L$1,工数管理!$AG$3:$AG$98,"&lt;="&amp;$H116,工数管理!$AH$3:$AH$98,""))*($H116&lt;=工数管理!$AI$1))</f>
        <v>1</v>
      </c>
    </row>
    <row r="117" spans="1:12" x14ac:dyDescent="0.15">
      <c r="A117" s="5"/>
      <c r="B117" s="6"/>
      <c r="H117" s="41">
        <f t="shared" si="3"/>
        <v>46285</v>
      </c>
      <c r="I117" s="42">
        <f t="shared" si="2"/>
        <v>0</v>
      </c>
      <c r="J117" s="42">
        <f ca="1">IF(J$1="",0,COUNTIFS(工数管理!$AK$3:$AK$98,J$1,工数管理!$K$3:$K$98,"&lt;="&amp;$H117,工数管理!$L$3:$L$98,"&gt;="&amp;$H117)+COUNTIFS(工数管理!$AK$3:$AK$98,J$1,工数管理!$M$3:$M$98,"&lt;="&amp;$H117,工数管理!$N$3:$N$98,"&gt;="&amp;$H117)+COUNTIFS(工数管理!$AK$3:$AK$98,J$1,工数管理!$O$3:$O$98,"&lt;="&amp;$H117,工数管理!$P$3:$P$98,"&gt;="&amp;$H117)+COUNTIFS(工数管理!$AK$3:$AK$98,J$1,工数管理!$Q$3:$Q$98,"&lt;="&amp;$H117,工数管理!$R$3:$R$98,"&gt;="&amp;$H117)+COUNTIFS(工数管理!$AK$3:$AK$98,J$1,工数管理!$S$3:$S$98,"&lt;="&amp;$H117,工数管理!$T$3:$T$98,"&gt;="&amp;$H117)+COUNTIFS(工数管理!$AK$3:$AK$98,J$1,工数管理!$U$3:$U$98,"&lt;="&amp;$H117,工数管理!$V$3:$V$98,"&gt;="&amp;$H117)+COUNTIFS(工数管理!$AK$3:$AK$98,J$1,工数管理!$W$3:$W$98,"&lt;="&amp;$H117,工数管理!$X$3:$X$98,"&gt;="&amp;$H117)+COUNTIFS(工数管理!$AK$3:$AK$98,J$1,工数管理!$Y$3:$Y$98,"&lt;="&amp;$H117,工数管理!$Z$3:$Z$98,"&gt;="&amp;$H117)+COUNTIFS(工数管理!$AK$3:$AK$98,J$1,工数管理!$AA$3:$AA$98,"&lt;="&amp;$H117,工数管理!$AB$3:$AB$98,"&gt;="&amp;$H117)+COUNTIFS(工数管理!$AK$3:$AK$98,J$1,工数管理!$AC$3:$AC$98,"&lt;="&amp;$H117,工数管理!$AD$3:$AD$98,"&gt;="&amp;$H117)+COUNTIFS(工数管理!$AK$3:$AK$98,J$1,工数管理!$AE$3:$AE$98,"&lt;="&amp;$H117,工数管理!$AF$3:$AF$98,"&gt;="&amp;$H117)+COUNTIFS(工数管理!$AK$3:$AK$98,J$1,工数管理!$AG$3:$AG$98,"&lt;="&amp;$H117,工数管理!$AH$3:$AH$98,"&gt;="&amp;$H117)+(COUNTIFS(工数管理!$AK$3:$AK$98,J$1,工数管理!$K$3:$K$98,"&lt;="&amp;$H117,工数管理!$L$3:$L$98,"")+COUNTIFS(工数管理!$AK$3:$AK$98,J$1,工数管理!$M$3:$M$98,"&lt;="&amp;$H117,工数管理!$N$3:$N$98,"")+COUNTIFS(工数管理!$AK$3:$AK$98,J$1,工数管理!$O$3:$O$98,"&lt;="&amp;$H117,工数管理!$P$3:$P$98,"")+COUNTIFS(工数管理!$AK$3:$AK$98,J$1,工数管理!$Q$3:$Q$98,"&lt;="&amp;$H117,工数管理!$R$3:$R$98,"")+COUNTIFS(工数管理!$AK$3:$AK$98,J$1,工数管理!$S$3:$S$98,"&lt;="&amp;$H117,工数管理!$T$3:$T$98,"")+COUNTIFS(工数管理!$AK$3:$AK$98,J$1,工数管理!$U$3:$U$98,"&lt;="&amp;$H117,工数管理!$V$3:$V$98,"")+COUNTIFS(工数管理!$AK$3:$AK$98,J$1,工数管理!$W$3:$W$98,"&lt;="&amp;$H117,工数管理!$X$3:$X$98,"")+COUNTIFS(工数管理!$AK$3:$AK$98,J$1,工数管理!$Y$3:$Y$98,"&lt;="&amp;$H117,工数管理!$Z$3:$Z$98,"")+COUNTIFS(工数管理!$AK$3:$AK$98,J$1,工数管理!$AA$3:$AA$98,"&lt;="&amp;$H117,工数管理!$AB$3:$AB$98,"")+COUNTIFS(工数管理!$AK$3:$AK$98,J$1,工数管理!$AC$3:$AC$98,"&lt;="&amp;$H117,工数管理!$AD$3:$AD$98,"")+COUNTIFS(工数管理!$AK$3:$AK$98,J$1,工数管理!$AE$3:$AE$98,"&lt;="&amp;$H117,工数管理!$AF$3:$AF$98,"")+COUNTIFS(工数管理!$AK$3:$AK$98,J$1,工数管理!$AG$3:$AG$98,"&lt;="&amp;$H117,工数管理!$AH$3:$AH$98,""))*($H117&lt;=工数管理!$AI$1))</f>
        <v>1</v>
      </c>
      <c r="K117" s="42">
        <f ca="1">IF(K$1="",0,COUNTIFS(工数管理!$AK$3:$AK$98,K$1,工数管理!$K$3:$K$98,"&lt;="&amp;$H117,工数管理!$L$3:$L$98,"&gt;="&amp;$H117)+COUNTIFS(工数管理!$AK$3:$AK$98,K$1,工数管理!$M$3:$M$98,"&lt;="&amp;$H117,工数管理!$N$3:$N$98,"&gt;="&amp;$H117)+COUNTIFS(工数管理!$AK$3:$AK$98,K$1,工数管理!$O$3:$O$98,"&lt;="&amp;$H117,工数管理!$P$3:$P$98,"&gt;="&amp;$H117)+COUNTIFS(工数管理!$AK$3:$AK$98,K$1,工数管理!$Q$3:$Q$98,"&lt;="&amp;$H117,工数管理!$R$3:$R$98,"&gt;="&amp;$H117)+COUNTIFS(工数管理!$AK$3:$AK$98,K$1,工数管理!$S$3:$S$98,"&lt;="&amp;$H117,工数管理!$T$3:$T$98,"&gt;="&amp;$H117)+COUNTIFS(工数管理!$AK$3:$AK$98,K$1,工数管理!$U$3:$U$98,"&lt;="&amp;$H117,工数管理!$V$3:$V$98,"&gt;="&amp;$H117)+COUNTIFS(工数管理!$AK$3:$AK$98,K$1,工数管理!$W$3:$W$98,"&lt;="&amp;$H117,工数管理!$X$3:$X$98,"&gt;="&amp;$H117)+COUNTIFS(工数管理!$AK$3:$AK$98,K$1,工数管理!$Y$3:$Y$98,"&lt;="&amp;$H117,工数管理!$Z$3:$Z$98,"&gt;="&amp;$H117)+COUNTIFS(工数管理!$AK$3:$AK$98,K$1,工数管理!$AA$3:$AA$98,"&lt;="&amp;$H117,工数管理!$AB$3:$AB$98,"&gt;="&amp;$H117)+COUNTIFS(工数管理!$AK$3:$AK$98,K$1,工数管理!$AC$3:$AC$98,"&lt;="&amp;$H117,工数管理!$AD$3:$AD$98,"&gt;="&amp;$H117)+COUNTIFS(工数管理!$AK$3:$AK$98,K$1,工数管理!$AE$3:$AE$98,"&lt;="&amp;$H117,工数管理!$AF$3:$AF$98,"&gt;="&amp;$H117)+COUNTIFS(工数管理!$AK$3:$AK$98,K$1,工数管理!$AG$3:$AG$98,"&lt;="&amp;$H117,工数管理!$AH$3:$AH$98,"&gt;="&amp;$H117)+(COUNTIFS(工数管理!$AK$3:$AK$98,K$1,工数管理!$K$3:$K$98,"&lt;="&amp;$H117,工数管理!$L$3:$L$98,"")+COUNTIFS(工数管理!$AK$3:$AK$98,K$1,工数管理!$M$3:$M$98,"&lt;="&amp;$H117,工数管理!$N$3:$N$98,"")+COUNTIFS(工数管理!$AK$3:$AK$98,K$1,工数管理!$O$3:$O$98,"&lt;="&amp;$H117,工数管理!$P$3:$P$98,"")+COUNTIFS(工数管理!$AK$3:$AK$98,K$1,工数管理!$Q$3:$Q$98,"&lt;="&amp;$H117,工数管理!$R$3:$R$98,"")+COUNTIFS(工数管理!$AK$3:$AK$98,K$1,工数管理!$S$3:$S$98,"&lt;="&amp;$H117,工数管理!$T$3:$T$98,"")+COUNTIFS(工数管理!$AK$3:$AK$98,K$1,工数管理!$U$3:$U$98,"&lt;="&amp;$H117,工数管理!$V$3:$V$98,"")+COUNTIFS(工数管理!$AK$3:$AK$98,K$1,工数管理!$W$3:$W$98,"&lt;="&amp;$H117,工数管理!$X$3:$X$98,"")+COUNTIFS(工数管理!$AK$3:$AK$98,K$1,工数管理!$Y$3:$Y$98,"&lt;="&amp;$H117,工数管理!$Z$3:$Z$98,"")+COUNTIFS(工数管理!$AK$3:$AK$98,K$1,工数管理!$AA$3:$AA$98,"&lt;="&amp;$H117,工数管理!$AB$3:$AB$98,"")+COUNTIFS(工数管理!$AK$3:$AK$98,K$1,工数管理!$AC$3:$AC$98,"&lt;="&amp;$H117,工数管理!$AD$3:$AD$98,"")+COUNTIFS(工数管理!$AK$3:$AK$98,K$1,工数管理!$AE$3:$AE$98,"&lt;="&amp;$H117,工数管理!$AF$3:$AF$98,"")+COUNTIFS(工数管理!$AK$3:$AK$98,K$1,工数管理!$AG$3:$AG$98,"&lt;="&amp;$H117,工数管理!$AH$3:$AH$98,""))*($H117&lt;=工数管理!$AI$1))</f>
        <v>1</v>
      </c>
      <c r="L117" s="42">
        <f ca="1">IF(L$1="",0,COUNTIFS(工数管理!$AK$3:$AK$98,L$1,工数管理!$K$3:$K$98,"&lt;="&amp;$H117,工数管理!$L$3:$L$98,"&gt;="&amp;$H117)+COUNTIFS(工数管理!$AK$3:$AK$98,L$1,工数管理!$M$3:$M$98,"&lt;="&amp;$H117,工数管理!$N$3:$N$98,"&gt;="&amp;$H117)+COUNTIFS(工数管理!$AK$3:$AK$98,L$1,工数管理!$O$3:$O$98,"&lt;="&amp;$H117,工数管理!$P$3:$P$98,"&gt;="&amp;$H117)+COUNTIFS(工数管理!$AK$3:$AK$98,L$1,工数管理!$Q$3:$Q$98,"&lt;="&amp;$H117,工数管理!$R$3:$R$98,"&gt;="&amp;$H117)+COUNTIFS(工数管理!$AK$3:$AK$98,L$1,工数管理!$S$3:$S$98,"&lt;="&amp;$H117,工数管理!$T$3:$T$98,"&gt;="&amp;$H117)+COUNTIFS(工数管理!$AK$3:$AK$98,L$1,工数管理!$U$3:$U$98,"&lt;="&amp;$H117,工数管理!$V$3:$V$98,"&gt;="&amp;$H117)+COUNTIFS(工数管理!$AK$3:$AK$98,L$1,工数管理!$W$3:$W$98,"&lt;="&amp;$H117,工数管理!$X$3:$X$98,"&gt;="&amp;$H117)+COUNTIFS(工数管理!$AK$3:$AK$98,L$1,工数管理!$Y$3:$Y$98,"&lt;="&amp;$H117,工数管理!$Z$3:$Z$98,"&gt;="&amp;$H117)+COUNTIFS(工数管理!$AK$3:$AK$98,L$1,工数管理!$AA$3:$AA$98,"&lt;="&amp;$H117,工数管理!$AB$3:$AB$98,"&gt;="&amp;$H117)+COUNTIFS(工数管理!$AK$3:$AK$98,L$1,工数管理!$AC$3:$AC$98,"&lt;="&amp;$H117,工数管理!$AD$3:$AD$98,"&gt;="&amp;$H117)+COUNTIFS(工数管理!$AK$3:$AK$98,L$1,工数管理!$AE$3:$AE$98,"&lt;="&amp;$H117,工数管理!$AF$3:$AF$98,"&gt;="&amp;$H117)+COUNTIFS(工数管理!$AK$3:$AK$98,L$1,工数管理!$AG$3:$AG$98,"&lt;="&amp;$H117,工数管理!$AH$3:$AH$98,"&gt;="&amp;$H117)+(COUNTIFS(工数管理!$AK$3:$AK$98,L$1,工数管理!$K$3:$K$98,"&lt;="&amp;$H117,工数管理!$L$3:$L$98,"")+COUNTIFS(工数管理!$AK$3:$AK$98,L$1,工数管理!$M$3:$M$98,"&lt;="&amp;$H117,工数管理!$N$3:$N$98,"")+COUNTIFS(工数管理!$AK$3:$AK$98,L$1,工数管理!$O$3:$O$98,"&lt;="&amp;$H117,工数管理!$P$3:$P$98,"")+COUNTIFS(工数管理!$AK$3:$AK$98,L$1,工数管理!$Q$3:$Q$98,"&lt;="&amp;$H117,工数管理!$R$3:$R$98,"")+COUNTIFS(工数管理!$AK$3:$AK$98,L$1,工数管理!$S$3:$S$98,"&lt;="&amp;$H117,工数管理!$T$3:$T$98,"")+COUNTIFS(工数管理!$AK$3:$AK$98,L$1,工数管理!$U$3:$U$98,"&lt;="&amp;$H117,工数管理!$V$3:$V$98,"")+COUNTIFS(工数管理!$AK$3:$AK$98,L$1,工数管理!$W$3:$W$98,"&lt;="&amp;$H117,工数管理!$X$3:$X$98,"")+COUNTIFS(工数管理!$AK$3:$AK$98,L$1,工数管理!$Y$3:$Y$98,"&lt;="&amp;$H117,工数管理!$Z$3:$Z$98,"")+COUNTIFS(工数管理!$AK$3:$AK$98,L$1,工数管理!$AA$3:$AA$98,"&lt;="&amp;$H117,工数管理!$AB$3:$AB$98,"")+COUNTIFS(工数管理!$AK$3:$AK$98,L$1,工数管理!$AC$3:$AC$98,"&lt;="&amp;$H117,工数管理!$AD$3:$AD$98,"")+COUNTIFS(工数管理!$AK$3:$AK$98,L$1,工数管理!$AE$3:$AE$98,"&lt;="&amp;$H117,工数管理!$AF$3:$AF$98,"")+COUNTIFS(工数管理!$AK$3:$AK$98,L$1,工数管理!$AG$3:$AG$98,"&lt;="&amp;$H117,工数管理!$AH$3:$AH$98,""))*($H117&lt;=工数管理!$AI$1))</f>
        <v>1</v>
      </c>
    </row>
    <row r="118" spans="1:12" x14ac:dyDescent="0.15">
      <c r="A118" s="5"/>
      <c r="B118" s="6"/>
      <c r="H118" s="41">
        <f t="shared" si="3"/>
        <v>46286</v>
      </c>
      <c r="I118" s="42">
        <f t="shared" si="2"/>
        <v>0</v>
      </c>
      <c r="J118" s="42">
        <f ca="1">IF(J$1="",0,COUNTIFS(工数管理!$AK$3:$AK$98,J$1,工数管理!$K$3:$K$98,"&lt;="&amp;$H118,工数管理!$L$3:$L$98,"&gt;="&amp;$H118)+COUNTIFS(工数管理!$AK$3:$AK$98,J$1,工数管理!$M$3:$M$98,"&lt;="&amp;$H118,工数管理!$N$3:$N$98,"&gt;="&amp;$H118)+COUNTIFS(工数管理!$AK$3:$AK$98,J$1,工数管理!$O$3:$O$98,"&lt;="&amp;$H118,工数管理!$P$3:$P$98,"&gt;="&amp;$H118)+COUNTIFS(工数管理!$AK$3:$AK$98,J$1,工数管理!$Q$3:$Q$98,"&lt;="&amp;$H118,工数管理!$R$3:$R$98,"&gt;="&amp;$H118)+COUNTIFS(工数管理!$AK$3:$AK$98,J$1,工数管理!$S$3:$S$98,"&lt;="&amp;$H118,工数管理!$T$3:$T$98,"&gt;="&amp;$H118)+COUNTIFS(工数管理!$AK$3:$AK$98,J$1,工数管理!$U$3:$U$98,"&lt;="&amp;$H118,工数管理!$V$3:$V$98,"&gt;="&amp;$H118)+COUNTIFS(工数管理!$AK$3:$AK$98,J$1,工数管理!$W$3:$W$98,"&lt;="&amp;$H118,工数管理!$X$3:$X$98,"&gt;="&amp;$H118)+COUNTIFS(工数管理!$AK$3:$AK$98,J$1,工数管理!$Y$3:$Y$98,"&lt;="&amp;$H118,工数管理!$Z$3:$Z$98,"&gt;="&amp;$H118)+COUNTIFS(工数管理!$AK$3:$AK$98,J$1,工数管理!$AA$3:$AA$98,"&lt;="&amp;$H118,工数管理!$AB$3:$AB$98,"&gt;="&amp;$H118)+COUNTIFS(工数管理!$AK$3:$AK$98,J$1,工数管理!$AC$3:$AC$98,"&lt;="&amp;$H118,工数管理!$AD$3:$AD$98,"&gt;="&amp;$H118)+COUNTIFS(工数管理!$AK$3:$AK$98,J$1,工数管理!$AE$3:$AE$98,"&lt;="&amp;$H118,工数管理!$AF$3:$AF$98,"&gt;="&amp;$H118)+COUNTIFS(工数管理!$AK$3:$AK$98,J$1,工数管理!$AG$3:$AG$98,"&lt;="&amp;$H118,工数管理!$AH$3:$AH$98,"&gt;="&amp;$H118)+(COUNTIFS(工数管理!$AK$3:$AK$98,J$1,工数管理!$K$3:$K$98,"&lt;="&amp;$H118,工数管理!$L$3:$L$98,"")+COUNTIFS(工数管理!$AK$3:$AK$98,J$1,工数管理!$M$3:$M$98,"&lt;="&amp;$H118,工数管理!$N$3:$N$98,"")+COUNTIFS(工数管理!$AK$3:$AK$98,J$1,工数管理!$O$3:$O$98,"&lt;="&amp;$H118,工数管理!$P$3:$P$98,"")+COUNTIFS(工数管理!$AK$3:$AK$98,J$1,工数管理!$Q$3:$Q$98,"&lt;="&amp;$H118,工数管理!$R$3:$R$98,"")+COUNTIFS(工数管理!$AK$3:$AK$98,J$1,工数管理!$S$3:$S$98,"&lt;="&amp;$H118,工数管理!$T$3:$T$98,"")+COUNTIFS(工数管理!$AK$3:$AK$98,J$1,工数管理!$U$3:$U$98,"&lt;="&amp;$H118,工数管理!$V$3:$V$98,"")+COUNTIFS(工数管理!$AK$3:$AK$98,J$1,工数管理!$W$3:$W$98,"&lt;="&amp;$H118,工数管理!$X$3:$X$98,"")+COUNTIFS(工数管理!$AK$3:$AK$98,J$1,工数管理!$Y$3:$Y$98,"&lt;="&amp;$H118,工数管理!$Z$3:$Z$98,"")+COUNTIFS(工数管理!$AK$3:$AK$98,J$1,工数管理!$AA$3:$AA$98,"&lt;="&amp;$H118,工数管理!$AB$3:$AB$98,"")+COUNTIFS(工数管理!$AK$3:$AK$98,J$1,工数管理!$AC$3:$AC$98,"&lt;="&amp;$H118,工数管理!$AD$3:$AD$98,"")+COUNTIFS(工数管理!$AK$3:$AK$98,J$1,工数管理!$AE$3:$AE$98,"&lt;="&amp;$H118,工数管理!$AF$3:$AF$98,"")+COUNTIFS(工数管理!$AK$3:$AK$98,J$1,工数管理!$AG$3:$AG$98,"&lt;="&amp;$H118,工数管理!$AH$3:$AH$98,""))*($H118&lt;=工数管理!$AI$1))</f>
        <v>1</v>
      </c>
      <c r="K118" s="42">
        <f ca="1">IF(K$1="",0,COUNTIFS(工数管理!$AK$3:$AK$98,K$1,工数管理!$K$3:$K$98,"&lt;="&amp;$H118,工数管理!$L$3:$L$98,"&gt;="&amp;$H118)+COUNTIFS(工数管理!$AK$3:$AK$98,K$1,工数管理!$M$3:$M$98,"&lt;="&amp;$H118,工数管理!$N$3:$N$98,"&gt;="&amp;$H118)+COUNTIFS(工数管理!$AK$3:$AK$98,K$1,工数管理!$O$3:$O$98,"&lt;="&amp;$H118,工数管理!$P$3:$P$98,"&gt;="&amp;$H118)+COUNTIFS(工数管理!$AK$3:$AK$98,K$1,工数管理!$Q$3:$Q$98,"&lt;="&amp;$H118,工数管理!$R$3:$R$98,"&gt;="&amp;$H118)+COUNTIFS(工数管理!$AK$3:$AK$98,K$1,工数管理!$S$3:$S$98,"&lt;="&amp;$H118,工数管理!$T$3:$T$98,"&gt;="&amp;$H118)+COUNTIFS(工数管理!$AK$3:$AK$98,K$1,工数管理!$U$3:$U$98,"&lt;="&amp;$H118,工数管理!$V$3:$V$98,"&gt;="&amp;$H118)+COUNTIFS(工数管理!$AK$3:$AK$98,K$1,工数管理!$W$3:$W$98,"&lt;="&amp;$H118,工数管理!$X$3:$X$98,"&gt;="&amp;$H118)+COUNTIFS(工数管理!$AK$3:$AK$98,K$1,工数管理!$Y$3:$Y$98,"&lt;="&amp;$H118,工数管理!$Z$3:$Z$98,"&gt;="&amp;$H118)+COUNTIFS(工数管理!$AK$3:$AK$98,K$1,工数管理!$AA$3:$AA$98,"&lt;="&amp;$H118,工数管理!$AB$3:$AB$98,"&gt;="&amp;$H118)+COUNTIFS(工数管理!$AK$3:$AK$98,K$1,工数管理!$AC$3:$AC$98,"&lt;="&amp;$H118,工数管理!$AD$3:$AD$98,"&gt;="&amp;$H118)+COUNTIFS(工数管理!$AK$3:$AK$98,K$1,工数管理!$AE$3:$AE$98,"&lt;="&amp;$H118,工数管理!$AF$3:$AF$98,"&gt;="&amp;$H118)+COUNTIFS(工数管理!$AK$3:$AK$98,K$1,工数管理!$AG$3:$AG$98,"&lt;="&amp;$H118,工数管理!$AH$3:$AH$98,"&gt;="&amp;$H118)+(COUNTIFS(工数管理!$AK$3:$AK$98,K$1,工数管理!$K$3:$K$98,"&lt;="&amp;$H118,工数管理!$L$3:$L$98,"")+COUNTIFS(工数管理!$AK$3:$AK$98,K$1,工数管理!$M$3:$M$98,"&lt;="&amp;$H118,工数管理!$N$3:$N$98,"")+COUNTIFS(工数管理!$AK$3:$AK$98,K$1,工数管理!$O$3:$O$98,"&lt;="&amp;$H118,工数管理!$P$3:$P$98,"")+COUNTIFS(工数管理!$AK$3:$AK$98,K$1,工数管理!$Q$3:$Q$98,"&lt;="&amp;$H118,工数管理!$R$3:$R$98,"")+COUNTIFS(工数管理!$AK$3:$AK$98,K$1,工数管理!$S$3:$S$98,"&lt;="&amp;$H118,工数管理!$T$3:$T$98,"")+COUNTIFS(工数管理!$AK$3:$AK$98,K$1,工数管理!$U$3:$U$98,"&lt;="&amp;$H118,工数管理!$V$3:$V$98,"")+COUNTIFS(工数管理!$AK$3:$AK$98,K$1,工数管理!$W$3:$W$98,"&lt;="&amp;$H118,工数管理!$X$3:$X$98,"")+COUNTIFS(工数管理!$AK$3:$AK$98,K$1,工数管理!$Y$3:$Y$98,"&lt;="&amp;$H118,工数管理!$Z$3:$Z$98,"")+COUNTIFS(工数管理!$AK$3:$AK$98,K$1,工数管理!$AA$3:$AA$98,"&lt;="&amp;$H118,工数管理!$AB$3:$AB$98,"")+COUNTIFS(工数管理!$AK$3:$AK$98,K$1,工数管理!$AC$3:$AC$98,"&lt;="&amp;$H118,工数管理!$AD$3:$AD$98,"")+COUNTIFS(工数管理!$AK$3:$AK$98,K$1,工数管理!$AE$3:$AE$98,"&lt;="&amp;$H118,工数管理!$AF$3:$AF$98,"")+COUNTIFS(工数管理!$AK$3:$AK$98,K$1,工数管理!$AG$3:$AG$98,"&lt;="&amp;$H118,工数管理!$AH$3:$AH$98,""))*($H118&lt;=工数管理!$AI$1))</f>
        <v>1</v>
      </c>
      <c r="L118" s="42">
        <f ca="1">IF(L$1="",0,COUNTIFS(工数管理!$AK$3:$AK$98,L$1,工数管理!$K$3:$K$98,"&lt;="&amp;$H118,工数管理!$L$3:$L$98,"&gt;="&amp;$H118)+COUNTIFS(工数管理!$AK$3:$AK$98,L$1,工数管理!$M$3:$M$98,"&lt;="&amp;$H118,工数管理!$N$3:$N$98,"&gt;="&amp;$H118)+COUNTIFS(工数管理!$AK$3:$AK$98,L$1,工数管理!$O$3:$O$98,"&lt;="&amp;$H118,工数管理!$P$3:$P$98,"&gt;="&amp;$H118)+COUNTIFS(工数管理!$AK$3:$AK$98,L$1,工数管理!$Q$3:$Q$98,"&lt;="&amp;$H118,工数管理!$R$3:$R$98,"&gt;="&amp;$H118)+COUNTIFS(工数管理!$AK$3:$AK$98,L$1,工数管理!$S$3:$S$98,"&lt;="&amp;$H118,工数管理!$T$3:$T$98,"&gt;="&amp;$H118)+COUNTIFS(工数管理!$AK$3:$AK$98,L$1,工数管理!$U$3:$U$98,"&lt;="&amp;$H118,工数管理!$V$3:$V$98,"&gt;="&amp;$H118)+COUNTIFS(工数管理!$AK$3:$AK$98,L$1,工数管理!$W$3:$W$98,"&lt;="&amp;$H118,工数管理!$X$3:$X$98,"&gt;="&amp;$H118)+COUNTIFS(工数管理!$AK$3:$AK$98,L$1,工数管理!$Y$3:$Y$98,"&lt;="&amp;$H118,工数管理!$Z$3:$Z$98,"&gt;="&amp;$H118)+COUNTIFS(工数管理!$AK$3:$AK$98,L$1,工数管理!$AA$3:$AA$98,"&lt;="&amp;$H118,工数管理!$AB$3:$AB$98,"&gt;="&amp;$H118)+COUNTIFS(工数管理!$AK$3:$AK$98,L$1,工数管理!$AC$3:$AC$98,"&lt;="&amp;$H118,工数管理!$AD$3:$AD$98,"&gt;="&amp;$H118)+COUNTIFS(工数管理!$AK$3:$AK$98,L$1,工数管理!$AE$3:$AE$98,"&lt;="&amp;$H118,工数管理!$AF$3:$AF$98,"&gt;="&amp;$H118)+COUNTIFS(工数管理!$AK$3:$AK$98,L$1,工数管理!$AG$3:$AG$98,"&lt;="&amp;$H118,工数管理!$AH$3:$AH$98,"&gt;="&amp;$H118)+(COUNTIFS(工数管理!$AK$3:$AK$98,L$1,工数管理!$K$3:$K$98,"&lt;="&amp;$H118,工数管理!$L$3:$L$98,"")+COUNTIFS(工数管理!$AK$3:$AK$98,L$1,工数管理!$M$3:$M$98,"&lt;="&amp;$H118,工数管理!$N$3:$N$98,"")+COUNTIFS(工数管理!$AK$3:$AK$98,L$1,工数管理!$O$3:$O$98,"&lt;="&amp;$H118,工数管理!$P$3:$P$98,"")+COUNTIFS(工数管理!$AK$3:$AK$98,L$1,工数管理!$Q$3:$Q$98,"&lt;="&amp;$H118,工数管理!$R$3:$R$98,"")+COUNTIFS(工数管理!$AK$3:$AK$98,L$1,工数管理!$S$3:$S$98,"&lt;="&amp;$H118,工数管理!$T$3:$T$98,"")+COUNTIFS(工数管理!$AK$3:$AK$98,L$1,工数管理!$U$3:$U$98,"&lt;="&amp;$H118,工数管理!$V$3:$V$98,"")+COUNTIFS(工数管理!$AK$3:$AK$98,L$1,工数管理!$W$3:$W$98,"&lt;="&amp;$H118,工数管理!$X$3:$X$98,"")+COUNTIFS(工数管理!$AK$3:$AK$98,L$1,工数管理!$Y$3:$Y$98,"&lt;="&amp;$H118,工数管理!$Z$3:$Z$98,"")+COUNTIFS(工数管理!$AK$3:$AK$98,L$1,工数管理!$AA$3:$AA$98,"&lt;="&amp;$H118,工数管理!$AB$3:$AB$98,"")+COUNTIFS(工数管理!$AK$3:$AK$98,L$1,工数管理!$AC$3:$AC$98,"&lt;="&amp;$H118,工数管理!$AD$3:$AD$98,"")+COUNTIFS(工数管理!$AK$3:$AK$98,L$1,工数管理!$AE$3:$AE$98,"&lt;="&amp;$H118,工数管理!$AF$3:$AF$98,"")+COUNTIFS(工数管理!$AK$3:$AK$98,L$1,工数管理!$AG$3:$AG$98,"&lt;="&amp;$H118,工数管理!$AH$3:$AH$98,""))*($H118&lt;=工数管理!$AI$1))</f>
        <v>1</v>
      </c>
    </row>
    <row r="119" spans="1:12" x14ac:dyDescent="0.15">
      <c r="A119" s="5"/>
      <c r="B119" s="6"/>
      <c r="H119" s="41">
        <f t="shared" si="3"/>
        <v>46287</v>
      </c>
      <c r="I119" s="42">
        <f t="shared" si="2"/>
        <v>0</v>
      </c>
      <c r="J119" s="42">
        <f ca="1">IF(J$1="",0,COUNTIFS(工数管理!$AK$3:$AK$98,J$1,工数管理!$K$3:$K$98,"&lt;="&amp;$H119,工数管理!$L$3:$L$98,"&gt;="&amp;$H119)+COUNTIFS(工数管理!$AK$3:$AK$98,J$1,工数管理!$M$3:$M$98,"&lt;="&amp;$H119,工数管理!$N$3:$N$98,"&gt;="&amp;$H119)+COUNTIFS(工数管理!$AK$3:$AK$98,J$1,工数管理!$O$3:$O$98,"&lt;="&amp;$H119,工数管理!$P$3:$P$98,"&gt;="&amp;$H119)+COUNTIFS(工数管理!$AK$3:$AK$98,J$1,工数管理!$Q$3:$Q$98,"&lt;="&amp;$H119,工数管理!$R$3:$R$98,"&gt;="&amp;$H119)+COUNTIFS(工数管理!$AK$3:$AK$98,J$1,工数管理!$S$3:$S$98,"&lt;="&amp;$H119,工数管理!$T$3:$T$98,"&gt;="&amp;$H119)+COUNTIFS(工数管理!$AK$3:$AK$98,J$1,工数管理!$U$3:$U$98,"&lt;="&amp;$H119,工数管理!$V$3:$V$98,"&gt;="&amp;$H119)+COUNTIFS(工数管理!$AK$3:$AK$98,J$1,工数管理!$W$3:$W$98,"&lt;="&amp;$H119,工数管理!$X$3:$X$98,"&gt;="&amp;$H119)+COUNTIFS(工数管理!$AK$3:$AK$98,J$1,工数管理!$Y$3:$Y$98,"&lt;="&amp;$H119,工数管理!$Z$3:$Z$98,"&gt;="&amp;$H119)+COUNTIFS(工数管理!$AK$3:$AK$98,J$1,工数管理!$AA$3:$AA$98,"&lt;="&amp;$H119,工数管理!$AB$3:$AB$98,"&gt;="&amp;$H119)+COUNTIFS(工数管理!$AK$3:$AK$98,J$1,工数管理!$AC$3:$AC$98,"&lt;="&amp;$H119,工数管理!$AD$3:$AD$98,"&gt;="&amp;$H119)+COUNTIFS(工数管理!$AK$3:$AK$98,J$1,工数管理!$AE$3:$AE$98,"&lt;="&amp;$H119,工数管理!$AF$3:$AF$98,"&gt;="&amp;$H119)+COUNTIFS(工数管理!$AK$3:$AK$98,J$1,工数管理!$AG$3:$AG$98,"&lt;="&amp;$H119,工数管理!$AH$3:$AH$98,"&gt;="&amp;$H119)+(COUNTIFS(工数管理!$AK$3:$AK$98,J$1,工数管理!$K$3:$K$98,"&lt;="&amp;$H119,工数管理!$L$3:$L$98,"")+COUNTIFS(工数管理!$AK$3:$AK$98,J$1,工数管理!$M$3:$M$98,"&lt;="&amp;$H119,工数管理!$N$3:$N$98,"")+COUNTIFS(工数管理!$AK$3:$AK$98,J$1,工数管理!$O$3:$O$98,"&lt;="&amp;$H119,工数管理!$P$3:$P$98,"")+COUNTIFS(工数管理!$AK$3:$AK$98,J$1,工数管理!$Q$3:$Q$98,"&lt;="&amp;$H119,工数管理!$R$3:$R$98,"")+COUNTIFS(工数管理!$AK$3:$AK$98,J$1,工数管理!$S$3:$S$98,"&lt;="&amp;$H119,工数管理!$T$3:$T$98,"")+COUNTIFS(工数管理!$AK$3:$AK$98,J$1,工数管理!$U$3:$U$98,"&lt;="&amp;$H119,工数管理!$V$3:$V$98,"")+COUNTIFS(工数管理!$AK$3:$AK$98,J$1,工数管理!$W$3:$W$98,"&lt;="&amp;$H119,工数管理!$X$3:$X$98,"")+COUNTIFS(工数管理!$AK$3:$AK$98,J$1,工数管理!$Y$3:$Y$98,"&lt;="&amp;$H119,工数管理!$Z$3:$Z$98,"")+COUNTIFS(工数管理!$AK$3:$AK$98,J$1,工数管理!$AA$3:$AA$98,"&lt;="&amp;$H119,工数管理!$AB$3:$AB$98,"")+COUNTIFS(工数管理!$AK$3:$AK$98,J$1,工数管理!$AC$3:$AC$98,"&lt;="&amp;$H119,工数管理!$AD$3:$AD$98,"")+COUNTIFS(工数管理!$AK$3:$AK$98,J$1,工数管理!$AE$3:$AE$98,"&lt;="&amp;$H119,工数管理!$AF$3:$AF$98,"")+COUNTIFS(工数管理!$AK$3:$AK$98,J$1,工数管理!$AG$3:$AG$98,"&lt;="&amp;$H119,工数管理!$AH$3:$AH$98,""))*($H119&lt;=工数管理!$AI$1))</f>
        <v>1</v>
      </c>
      <c r="K119" s="42">
        <f ca="1">IF(K$1="",0,COUNTIFS(工数管理!$AK$3:$AK$98,K$1,工数管理!$K$3:$K$98,"&lt;="&amp;$H119,工数管理!$L$3:$L$98,"&gt;="&amp;$H119)+COUNTIFS(工数管理!$AK$3:$AK$98,K$1,工数管理!$M$3:$M$98,"&lt;="&amp;$H119,工数管理!$N$3:$N$98,"&gt;="&amp;$H119)+COUNTIFS(工数管理!$AK$3:$AK$98,K$1,工数管理!$O$3:$O$98,"&lt;="&amp;$H119,工数管理!$P$3:$P$98,"&gt;="&amp;$H119)+COUNTIFS(工数管理!$AK$3:$AK$98,K$1,工数管理!$Q$3:$Q$98,"&lt;="&amp;$H119,工数管理!$R$3:$R$98,"&gt;="&amp;$H119)+COUNTIFS(工数管理!$AK$3:$AK$98,K$1,工数管理!$S$3:$S$98,"&lt;="&amp;$H119,工数管理!$T$3:$T$98,"&gt;="&amp;$H119)+COUNTIFS(工数管理!$AK$3:$AK$98,K$1,工数管理!$U$3:$U$98,"&lt;="&amp;$H119,工数管理!$V$3:$V$98,"&gt;="&amp;$H119)+COUNTIFS(工数管理!$AK$3:$AK$98,K$1,工数管理!$W$3:$W$98,"&lt;="&amp;$H119,工数管理!$X$3:$X$98,"&gt;="&amp;$H119)+COUNTIFS(工数管理!$AK$3:$AK$98,K$1,工数管理!$Y$3:$Y$98,"&lt;="&amp;$H119,工数管理!$Z$3:$Z$98,"&gt;="&amp;$H119)+COUNTIFS(工数管理!$AK$3:$AK$98,K$1,工数管理!$AA$3:$AA$98,"&lt;="&amp;$H119,工数管理!$AB$3:$AB$98,"&gt;="&amp;$H119)+COUNTIFS(工数管理!$AK$3:$AK$98,K$1,工数管理!$AC$3:$AC$98,"&lt;="&amp;$H119,工数管理!$AD$3:$AD$98,"&gt;="&amp;$H119)+COUNTIFS(工数管理!$AK$3:$AK$98,K$1,工数管理!$AE$3:$AE$98,"&lt;="&amp;$H119,工数管理!$AF$3:$AF$98,"&gt;="&amp;$H119)+COUNTIFS(工数管理!$AK$3:$AK$98,K$1,工数管理!$AG$3:$AG$98,"&lt;="&amp;$H119,工数管理!$AH$3:$AH$98,"&gt;="&amp;$H119)+(COUNTIFS(工数管理!$AK$3:$AK$98,K$1,工数管理!$K$3:$K$98,"&lt;="&amp;$H119,工数管理!$L$3:$L$98,"")+COUNTIFS(工数管理!$AK$3:$AK$98,K$1,工数管理!$M$3:$M$98,"&lt;="&amp;$H119,工数管理!$N$3:$N$98,"")+COUNTIFS(工数管理!$AK$3:$AK$98,K$1,工数管理!$O$3:$O$98,"&lt;="&amp;$H119,工数管理!$P$3:$P$98,"")+COUNTIFS(工数管理!$AK$3:$AK$98,K$1,工数管理!$Q$3:$Q$98,"&lt;="&amp;$H119,工数管理!$R$3:$R$98,"")+COUNTIFS(工数管理!$AK$3:$AK$98,K$1,工数管理!$S$3:$S$98,"&lt;="&amp;$H119,工数管理!$T$3:$T$98,"")+COUNTIFS(工数管理!$AK$3:$AK$98,K$1,工数管理!$U$3:$U$98,"&lt;="&amp;$H119,工数管理!$V$3:$V$98,"")+COUNTIFS(工数管理!$AK$3:$AK$98,K$1,工数管理!$W$3:$W$98,"&lt;="&amp;$H119,工数管理!$X$3:$X$98,"")+COUNTIFS(工数管理!$AK$3:$AK$98,K$1,工数管理!$Y$3:$Y$98,"&lt;="&amp;$H119,工数管理!$Z$3:$Z$98,"")+COUNTIFS(工数管理!$AK$3:$AK$98,K$1,工数管理!$AA$3:$AA$98,"&lt;="&amp;$H119,工数管理!$AB$3:$AB$98,"")+COUNTIFS(工数管理!$AK$3:$AK$98,K$1,工数管理!$AC$3:$AC$98,"&lt;="&amp;$H119,工数管理!$AD$3:$AD$98,"")+COUNTIFS(工数管理!$AK$3:$AK$98,K$1,工数管理!$AE$3:$AE$98,"&lt;="&amp;$H119,工数管理!$AF$3:$AF$98,"")+COUNTIFS(工数管理!$AK$3:$AK$98,K$1,工数管理!$AG$3:$AG$98,"&lt;="&amp;$H119,工数管理!$AH$3:$AH$98,""))*($H119&lt;=工数管理!$AI$1))</f>
        <v>1</v>
      </c>
      <c r="L119" s="42">
        <f ca="1">IF(L$1="",0,COUNTIFS(工数管理!$AK$3:$AK$98,L$1,工数管理!$K$3:$K$98,"&lt;="&amp;$H119,工数管理!$L$3:$L$98,"&gt;="&amp;$H119)+COUNTIFS(工数管理!$AK$3:$AK$98,L$1,工数管理!$M$3:$M$98,"&lt;="&amp;$H119,工数管理!$N$3:$N$98,"&gt;="&amp;$H119)+COUNTIFS(工数管理!$AK$3:$AK$98,L$1,工数管理!$O$3:$O$98,"&lt;="&amp;$H119,工数管理!$P$3:$P$98,"&gt;="&amp;$H119)+COUNTIFS(工数管理!$AK$3:$AK$98,L$1,工数管理!$Q$3:$Q$98,"&lt;="&amp;$H119,工数管理!$R$3:$R$98,"&gt;="&amp;$H119)+COUNTIFS(工数管理!$AK$3:$AK$98,L$1,工数管理!$S$3:$S$98,"&lt;="&amp;$H119,工数管理!$T$3:$T$98,"&gt;="&amp;$H119)+COUNTIFS(工数管理!$AK$3:$AK$98,L$1,工数管理!$U$3:$U$98,"&lt;="&amp;$H119,工数管理!$V$3:$V$98,"&gt;="&amp;$H119)+COUNTIFS(工数管理!$AK$3:$AK$98,L$1,工数管理!$W$3:$W$98,"&lt;="&amp;$H119,工数管理!$X$3:$X$98,"&gt;="&amp;$H119)+COUNTIFS(工数管理!$AK$3:$AK$98,L$1,工数管理!$Y$3:$Y$98,"&lt;="&amp;$H119,工数管理!$Z$3:$Z$98,"&gt;="&amp;$H119)+COUNTIFS(工数管理!$AK$3:$AK$98,L$1,工数管理!$AA$3:$AA$98,"&lt;="&amp;$H119,工数管理!$AB$3:$AB$98,"&gt;="&amp;$H119)+COUNTIFS(工数管理!$AK$3:$AK$98,L$1,工数管理!$AC$3:$AC$98,"&lt;="&amp;$H119,工数管理!$AD$3:$AD$98,"&gt;="&amp;$H119)+COUNTIFS(工数管理!$AK$3:$AK$98,L$1,工数管理!$AE$3:$AE$98,"&lt;="&amp;$H119,工数管理!$AF$3:$AF$98,"&gt;="&amp;$H119)+COUNTIFS(工数管理!$AK$3:$AK$98,L$1,工数管理!$AG$3:$AG$98,"&lt;="&amp;$H119,工数管理!$AH$3:$AH$98,"&gt;="&amp;$H119)+(COUNTIFS(工数管理!$AK$3:$AK$98,L$1,工数管理!$K$3:$K$98,"&lt;="&amp;$H119,工数管理!$L$3:$L$98,"")+COUNTIFS(工数管理!$AK$3:$AK$98,L$1,工数管理!$M$3:$M$98,"&lt;="&amp;$H119,工数管理!$N$3:$N$98,"")+COUNTIFS(工数管理!$AK$3:$AK$98,L$1,工数管理!$O$3:$O$98,"&lt;="&amp;$H119,工数管理!$P$3:$P$98,"")+COUNTIFS(工数管理!$AK$3:$AK$98,L$1,工数管理!$Q$3:$Q$98,"&lt;="&amp;$H119,工数管理!$R$3:$R$98,"")+COUNTIFS(工数管理!$AK$3:$AK$98,L$1,工数管理!$S$3:$S$98,"&lt;="&amp;$H119,工数管理!$T$3:$T$98,"")+COUNTIFS(工数管理!$AK$3:$AK$98,L$1,工数管理!$U$3:$U$98,"&lt;="&amp;$H119,工数管理!$V$3:$V$98,"")+COUNTIFS(工数管理!$AK$3:$AK$98,L$1,工数管理!$W$3:$W$98,"&lt;="&amp;$H119,工数管理!$X$3:$X$98,"")+COUNTIFS(工数管理!$AK$3:$AK$98,L$1,工数管理!$Y$3:$Y$98,"&lt;="&amp;$H119,工数管理!$Z$3:$Z$98,"")+COUNTIFS(工数管理!$AK$3:$AK$98,L$1,工数管理!$AA$3:$AA$98,"&lt;="&amp;$H119,工数管理!$AB$3:$AB$98,"")+COUNTIFS(工数管理!$AK$3:$AK$98,L$1,工数管理!$AC$3:$AC$98,"&lt;="&amp;$H119,工数管理!$AD$3:$AD$98,"")+COUNTIFS(工数管理!$AK$3:$AK$98,L$1,工数管理!$AE$3:$AE$98,"&lt;="&amp;$H119,工数管理!$AF$3:$AF$98,"")+COUNTIFS(工数管理!$AK$3:$AK$98,L$1,工数管理!$AG$3:$AG$98,"&lt;="&amp;$H119,工数管理!$AH$3:$AH$98,""))*($H119&lt;=工数管理!$AI$1))</f>
        <v>1</v>
      </c>
    </row>
    <row r="120" spans="1:12" x14ac:dyDescent="0.15">
      <c r="A120" s="5"/>
      <c r="B120" s="6"/>
      <c r="H120" s="41">
        <f t="shared" si="3"/>
        <v>46288</v>
      </c>
      <c r="I120" s="42">
        <f t="shared" si="2"/>
        <v>0</v>
      </c>
      <c r="J120" s="42">
        <f ca="1">IF(J$1="",0,COUNTIFS(工数管理!$AK$3:$AK$98,J$1,工数管理!$K$3:$K$98,"&lt;="&amp;$H120,工数管理!$L$3:$L$98,"&gt;="&amp;$H120)+COUNTIFS(工数管理!$AK$3:$AK$98,J$1,工数管理!$M$3:$M$98,"&lt;="&amp;$H120,工数管理!$N$3:$N$98,"&gt;="&amp;$H120)+COUNTIFS(工数管理!$AK$3:$AK$98,J$1,工数管理!$O$3:$O$98,"&lt;="&amp;$H120,工数管理!$P$3:$P$98,"&gt;="&amp;$H120)+COUNTIFS(工数管理!$AK$3:$AK$98,J$1,工数管理!$Q$3:$Q$98,"&lt;="&amp;$H120,工数管理!$R$3:$R$98,"&gt;="&amp;$H120)+COUNTIFS(工数管理!$AK$3:$AK$98,J$1,工数管理!$S$3:$S$98,"&lt;="&amp;$H120,工数管理!$T$3:$T$98,"&gt;="&amp;$H120)+COUNTIFS(工数管理!$AK$3:$AK$98,J$1,工数管理!$U$3:$U$98,"&lt;="&amp;$H120,工数管理!$V$3:$V$98,"&gt;="&amp;$H120)+COUNTIFS(工数管理!$AK$3:$AK$98,J$1,工数管理!$W$3:$W$98,"&lt;="&amp;$H120,工数管理!$X$3:$X$98,"&gt;="&amp;$H120)+COUNTIFS(工数管理!$AK$3:$AK$98,J$1,工数管理!$Y$3:$Y$98,"&lt;="&amp;$H120,工数管理!$Z$3:$Z$98,"&gt;="&amp;$H120)+COUNTIFS(工数管理!$AK$3:$AK$98,J$1,工数管理!$AA$3:$AA$98,"&lt;="&amp;$H120,工数管理!$AB$3:$AB$98,"&gt;="&amp;$H120)+COUNTIFS(工数管理!$AK$3:$AK$98,J$1,工数管理!$AC$3:$AC$98,"&lt;="&amp;$H120,工数管理!$AD$3:$AD$98,"&gt;="&amp;$H120)+COUNTIFS(工数管理!$AK$3:$AK$98,J$1,工数管理!$AE$3:$AE$98,"&lt;="&amp;$H120,工数管理!$AF$3:$AF$98,"&gt;="&amp;$H120)+COUNTIFS(工数管理!$AK$3:$AK$98,J$1,工数管理!$AG$3:$AG$98,"&lt;="&amp;$H120,工数管理!$AH$3:$AH$98,"&gt;="&amp;$H120)+(COUNTIFS(工数管理!$AK$3:$AK$98,J$1,工数管理!$K$3:$K$98,"&lt;="&amp;$H120,工数管理!$L$3:$L$98,"")+COUNTIFS(工数管理!$AK$3:$AK$98,J$1,工数管理!$M$3:$M$98,"&lt;="&amp;$H120,工数管理!$N$3:$N$98,"")+COUNTIFS(工数管理!$AK$3:$AK$98,J$1,工数管理!$O$3:$O$98,"&lt;="&amp;$H120,工数管理!$P$3:$P$98,"")+COUNTIFS(工数管理!$AK$3:$AK$98,J$1,工数管理!$Q$3:$Q$98,"&lt;="&amp;$H120,工数管理!$R$3:$R$98,"")+COUNTIFS(工数管理!$AK$3:$AK$98,J$1,工数管理!$S$3:$S$98,"&lt;="&amp;$H120,工数管理!$T$3:$T$98,"")+COUNTIFS(工数管理!$AK$3:$AK$98,J$1,工数管理!$U$3:$U$98,"&lt;="&amp;$H120,工数管理!$V$3:$V$98,"")+COUNTIFS(工数管理!$AK$3:$AK$98,J$1,工数管理!$W$3:$W$98,"&lt;="&amp;$H120,工数管理!$X$3:$X$98,"")+COUNTIFS(工数管理!$AK$3:$AK$98,J$1,工数管理!$Y$3:$Y$98,"&lt;="&amp;$H120,工数管理!$Z$3:$Z$98,"")+COUNTIFS(工数管理!$AK$3:$AK$98,J$1,工数管理!$AA$3:$AA$98,"&lt;="&amp;$H120,工数管理!$AB$3:$AB$98,"")+COUNTIFS(工数管理!$AK$3:$AK$98,J$1,工数管理!$AC$3:$AC$98,"&lt;="&amp;$H120,工数管理!$AD$3:$AD$98,"")+COUNTIFS(工数管理!$AK$3:$AK$98,J$1,工数管理!$AE$3:$AE$98,"&lt;="&amp;$H120,工数管理!$AF$3:$AF$98,"")+COUNTIFS(工数管理!$AK$3:$AK$98,J$1,工数管理!$AG$3:$AG$98,"&lt;="&amp;$H120,工数管理!$AH$3:$AH$98,""))*($H120&lt;=工数管理!$AI$1))</f>
        <v>1</v>
      </c>
      <c r="K120" s="42">
        <f ca="1">IF(K$1="",0,COUNTIFS(工数管理!$AK$3:$AK$98,K$1,工数管理!$K$3:$K$98,"&lt;="&amp;$H120,工数管理!$L$3:$L$98,"&gt;="&amp;$H120)+COUNTIFS(工数管理!$AK$3:$AK$98,K$1,工数管理!$M$3:$M$98,"&lt;="&amp;$H120,工数管理!$N$3:$N$98,"&gt;="&amp;$H120)+COUNTIFS(工数管理!$AK$3:$AK$98,K$1,工数管理!$O$3:$O$98,"&lt;="&amp;$H120,工数管理!$P$3:$P$98,"&gt;="&amp;$H120)+COUNTIFS(工数管理!$AK$3:$AK$98,K$1,工数管理!$Q$3:$Q$98,"&lt;="&amp;$H120,工数管理!$R$3:$R$98,"&gt;="&amp;$H120)+COUNTIFS(工数管理!$AK$3:$AK$98,K$1,工数管理!$S$3:$S$98,"&lt;="&amp;$H120,工数管理!$T$3:$T$98,"&gt;="&amp;$H120)+COUNTIFS(工数管理!$AK$3:$AK$98,K$1,工数管理!$U$3:$U$98,"&lt;="&amp;$H120,工数管理!$V$3:$V$98,"&gt;="&amp;$H120)+COUNTIFS(工数管理!$AK$3:$AK$98,K$1,工数管理!$W$3:$W$98,"&lt;="&amp;$H120,工数管理!$X$3:$X$98,"&gt;="&amp;$H120)+COUNTIFS(工数管理!$AK$3:$AK$98,K$1,工数管理!$Y$3:$Y$98,"&lt;="&amp;$H120,工数管理!$Z$3:$Z$98,"&gt;="&amp;$H120)+COUNTIFS(工数管理!$AK$3:$AK$98,K$1,工数管理!$AA$3:$AA$98,"&lt;="&amp;$H120,工数管理!$AB$3:$AB$98,"&gt;="&amp;$H120)+COUNTIFS(工数管理!$AK$3:$AK$98,K$1,工数管理!$AC$3:$AC$98,"&lt;="&amp;$H120,工数管理!$AD$3:$AD$98,"&gt;="&amp;$H120)+COUNTIFS(工数管理!$AK$3:$AK$98,K$1,工数管理!$AE$3:$AE$98,"&lt;="&amp;$H120,工数管理!$AF$3:$AF$98,"&gt;="&amp;$H120)+COUNTIFS(工数管理!$AK$3:$AK$98,K$1,工数管理!$AG$3:$AG$98,"&lt;="&amp;$H120,工数管理!$AH$3:$AH$98,"&gt;="&amp;$H120)+(COUNTIFS(工数管理!$AK$3:$AK$98,K$1,工数管理!$K$3:$K$98,"&lt;="&amp;$H120,工数管理!$L$3:$L$98,"")+COUNTIFS(工数管理!$AK$3:$AK$98,K$1,工数管理!$M$3:$M$98,"&lt;="&amp;$H120,工数管理!$N$3:$N$98,"")+COUNTIFS(工数管理!$AK$3:$AK$98,K$1,工数管理!$O$3:$O$98,"&lt;="&amp;$H120,工数管理!$P$3:$P$98,"")+COUNTIFS(工数管理!$AK$3:$AK$98,K$1,工数管理!$Q$3:$Q$98,"&lt;="&amp;$H120,工数管理!$R$3:$R$98,"")+COUNTIFS(工数管理!$AK$3:$AK$98,K$1,工数管理!$S$3:$S$98,"&lt;="&amp;$H120,工数管理!$T$3:$T$98,"")+COUNTIFS(工数管理!$AK$3:$AK$98,K$1,工数管理!$U$3:$U$98,"&lt;="&amp;$H120,工数管理!$V$3:$V$98,"")+COUNTIFS(工数管理!$AK$3:$AK$98,K$1,工数管理!$W$3:$W$98,"&lt;="&amp;$H120,工数管理!$X$3:$X$98,"")+COUNTIFS(工数管理!$AK$3:$AK$98,K$1,工数管理!$Y$3:$Y$98,"&lt;="&amp;$H120,工数管理!$Z$3:$Z$98,"")+COUNTIFS(工数管理!$AK$3:$AK$98,K$1,工数管理!$AA$3:$AA$98,"&lt;="&amp;$H120,工数管理!$AB$3:$AB$98,"")+COUNTIFS(工数管理!$AK$3:$AK$98,K$1,工数管理!$AC$3:$AC$98,"&lt;="&amp;$H120,工数管理!$AD$3:$AD$98,"")+COUNTIFS(工数管理!$AK$3:$AK$98,K$1,工数管理!$AE$3:$AE$98,"&lt;="&amp;$H120,工数管理!$AF$3:$AF$98,"")+COUNTIFS(工数管理!$AK$3:$AK$98,K$1,工数管理!$AG$3:$AG$98,"&lt;="&amp;$H120,工数管理!$AH$3:$AH$98,""))*($H120&lt;=工数管理!$AI$1))</f>
        <v>1</v>
      </c>
      <c r="L120" s="42">
        <f ca="1">IF(L$1="",0,COUNTIFS(工数管理!$AK$3:$AK$98,L$1,工数管理!$K$3:$K$98,"&lt;="&amp;$H120,工数管理!$L$3:$L$98,"&gt;="&amp;$H120)+COUNTIFS(工数管理!$AK$3:$AK$98,L$1,工数管理!$M$3:$M$98,"&lt;="&amp;$H120,工数管理!$N$3:$N$98,"&gt;="&amp;$H120)+COUNTIFS(工数管理!$AK$3:$AK$98,L$1,工数管理!$O$3:$O$98,"&lt;="&amp;$H120,工数管理!$P$3:$P$98,"&gt;="&amp;$H120)+COUNTIFS(工数管理!$AK$3:$AK$98,L$1,工数管理!$Q$3:$Q$98,"&lt;="&amp;$H120,工数管理!$R$3:$R$98,"&gt;="&amp;$H120)+COUNTIFS(工数管理!$AK$3:$AK$98,L$1,工数管理!$S$3:$S$98,"&lt;="&amp;$H120,工数管理!$T$3:$T$98,"&gt;="&amp;$H120)+COUNTIFS(工数管理!$AK$3:$AK$98,L$1,工数管理!$U$3:$U$98,"&lt;="&amp;$H120,工数管理!$V$3:$V$98,"&gt;="&amp;$H120)+COUNTIFS(工数管理!$AK$3:$AK$98,L$1,工数管理!$W$3:$W$98,"&lt;="&amp;$H120,工数管理!$X$3:$X$98,"&gt;="&amp;$H120)+COUNTIFS(工数管理!$AK$3:$AK$98,L$1,工数管理!$Y$3:$Y$98,"&lt;="&amp;$H120,工数管理!$Z$3:$Z$98,"&gt;="&amp;$H120)+COUNTIFS(工数管理!$AK$3:$AK$98,L$1,工数管理!$AA$3:$AA$98,"&lt;="&amp;$H120,工数管理!$AB$3:$AB$98,"&gt;="&amp;$H120)+COUNTIFS(工数管理!$AK$3:$AK$98,L$1,工数管理!$AC$3:$AC$98,"&lt;="&amp;$H120,工数管理!$AD$3:$AD$98,"&gt;="&amp;$H120)+COUNTIFS(工数管理!$AK$3:$AK$98,L$1,工数管理!$AE$3:$AE$98,"&lt;="&amp;$H120,工数管理!$AF$3:$AF$98,"&gt;="&amp;$H120)+COUNTIFS(工数管理!$AK$3:$AK$98,L$1,工数管理!$AG$3:$AG$98,"&lt;="&amp;$H120,工数管理!$AH$3:$AH$98,"&gt;="&amp;$H120)+(COUNTIFS(工数管理!$AK$3:$AK$98,L$1,工数管理!$K$3:$K$98,"&lt;="&amp;$H120,工数管理!$L$3:$L$98,"")+COUNTIFS(工数管理!$AK$3:$AK$98,L$1,工数管理!$M$3:$M$98,"&lt;="&amp;$H120,工数管理!$N$3:$N$98,"")+COUNTIFS(工数管理!$AK$3:$AK$98,L$1,工数管理!$O$3:$O$98,"&lt;="&amp;$H120,工数管理!$P$3:$P$98,"")+COUNTIFS(工数管理!$AK$3:$AK$98,L$1,工数管理!$Q$3:$Q$98,"&lt;="&amp;$H120,工数管理!$R$3:$R$98,"")+COUNTIFS(工数管理!$AK$3:$AK$98,L$1,工数管理!$S$3:$S$98,"&lt;="&amp;$H120,工数管理!$T$3:$T$98,"")+COUNTIFS(工数管理!$AK$3:$AK$98,L$1,工数管理!$U$3:$U$98,"&lt;="&amp;$H120,工数管理!$V$3:$V$98,"")+COUNTIFS(工数管理!$AK$3:$AK$98,L$1,工数管理!$W$3:$W$98,"&lt;="&amp;$H120,工数管理!$X$3:$X$98,"")+COUNTIFS(工数管理!$AK$3:$AK$98,L$1,工数管理!$Y$3:$Y$98,"&lt;="&amp;$H120,工数管理!$Z$3:$Z$98,"")+COUNTIFS(工数管理!$AK$3:$AK$98,L$1,工数管理!$AA$3:$AA$98,"&lt;="&amp;$H120,工数管理!$AB$3:$AB$98,"")+COUNTIFS(工数管理!$AK$3:$AK$98,L$1,工数管理!$AC$3:$AC$98,"&lt;="&amp;$H120,工数管理!$AD$3:$AD$98,"")+COUNTIFS(工数管理!$AK$3:$AK$98,L$1,工数管理!$AE$3:$AE$98,"&lt;="&amp;$H120,工数管理!$AF$3:$AF$98,"")+COUNTIFS(工数管理!$AK$3:$AK$98,L$1,工数管理!$AG$3:$AG$98,"&lt;="&amp;$H120,工数管理!$AH$3:$AH$98,""))*($H120&lt;=工数管理!$AI$1))</f>
        <v>1</v>
      </c>
    </row>
    <row r="121" spans="1:12" x14ac:dyDescent="0.15">
      <c r="A121" s="5"/>
      <c r="B121" s="6"/>
      <c r="H121" s="41">
        <f t="shared" si="3"/>
        <v>46289</v>
      </c>
      <c r="I121" s="42">
        <f t="shared" si="2"/>
        <v>1</v>
      </c>
      <c r="J121" s="42">
        <f ca="1">IF(J$1="",0,COUNTIFS(工数管理!$AK$3:$AK$98,J$1,工数管理!$K$3:$K$98,"&lt;="&amp;$H121,工数管理!$L$3:$L$98,"&gt;="&amp;$H121)+COUNTIFS(工数管理!$AK$3:$AK$98,J$1,工数管理!$M$3:$M$98,"&lt;="&amp;$H121,工数管理!$N$3:$N$98,"&gt;="&amp;$H121)+COUNTIFS(工数管理!$AK$3:$AK$98,J$1,工数管理!$O$3:$O$98,"&lt;="&amp;$H121,工数管理!$P$3:$P$98,"&gt;="&amp;$H121)+COUNTIFS(工数管理!$AK$3:$AK$98,J$1,工数管理!$Q$3:$Q$98,"&lt;="&amp;$H121,工数管理!$R$3:$R$98,"&gt;="&amp;$H121)+COUNTIFS(工数管理!$AK$3:$AK$98,J$1,工数管理!$S$3:$S$98,"&lt;="&amp;$H121,工数管理!$T$3:$T$98,"&gt;="&amp;$H121)+COUNTIFS(工数管理!$AK$3:$AK$98,J$1,工数管理!$U$3:$U$98,"&lt;="&amp;$H121,工数管理!$V$3:$V$98,"&gt;="&amp;$H121)+COUNTIFS(工数管理!$AK$3:$AK$98,J$1,工数管理!$W$3:$W$98,"&lt;="&amp;$H121,工数管理!$X$3:$X$98,"&gt;="&amp;$H121)+COUNTIFS(工数管理!$AK$3:$AK$98,J$1,工数管理!$Y$3:$Y$98,"&lt;="&amp;$H121,工数管理!$Z$3:$Z$98,"&gt;="&amp;$H121)+COUNTIFS(工数管理!$AK$3:$AK$98,J$1,工数管理!$AA$3:$AA$98,"&lt;="&amp;$H121,工数管理!$AB$3:$AB$98,"&gt;="&amp;$H121)+COUNTIFS(工数管理!$AK$3:$AK$98,J$1,工数管理!$AC$3:$AC$98,"&lt;="&amp;$H121,工数管理!$AD$3:$AD$98,"&gt;="&amp;$H121)+COUNTIFS(工数管理!$AK$3:$AK$98,J$1,工数管理!$AE$3:$AE$98,"&lt;="&amp;$H121,工数管理!$AF$3:$AF$98,"&gt;="&amp;$H121)+COUNTIFS(工数管理!$AK$3:$AK$98,J$1,工数管理!$AG$3:$AG$98,"&lt;="&amp;$H121,工数管理!$AH$3:$AH$98,"&gt;="&amp;$H121)+(COUNTIFS(工数管理!$AK$3:$AK$98,J$1,工数管理!$K$3:$K$98,"&lt;="&amp;$H121,工数管理!$L$3:$L$98,"")+COUNTIFS(工数管理!$AK$3:$AK$98,J$1,工数管理!$M$3:$M$98,"&lt;="&amp;$H121,工数管理!$N$3:$N$98,"")+COUNTIFS(工数管理!$AK$3:$AK$98,J$1,工数管理!$O$3:$O$98,"&lt;="&amp;$H121,工数管理!$P$3:$P$98,"")+COUNTIFS(工数管理!$AK$3:$AK$98,J$1,工数管理!$Q$3:$Q$98,"&lt;="&amp;$H121,工数管理!$R$3:$R$98,"")+COUNTIFS(工数管理!$AK$3:$AK$98,J$1,工数管理!$S$3:$S$98,"&lt;="&amp;$H121,工数管理!$T$3:$T$98,"")+COUNTIFS(工数管理!$AK$3:$AK$98,J$1,工数管理!$U$3:$U$98,"&lt;="&amp;$H121,工数管理!$V$3:$V$98,"")+COUNTIFS(工数管理!$AK$3:$AK$98,J$1,工数管理!$W$3:$W$98,"&lt;="&amp;$H121,工数管理!$X$3:$X$98,"")+COUNTIFS(工数管理!$AK$3:$AK$98,J$1,工数管理!$Y$3:$Y$98,"&lt;="&amp;$H121,工数管理!$Z$3:$Z$98,"")+COUNTIFS(工数管理!$AK$3:$AK$98,J$1,工数管理!$AA$3:$AA$98,"&lt;="&amp;$H121,工数管理!$AB$3:$AB$98,"")+COUNTIFS(工数管理!$AK$3:$AK$98,J$1,工数管理!$AC$3:$AC$98,"&lt;="&amp;$H121,工数管理!$AD$3:$AD$98,"")+COUNTIFS(工数管理!$AK$3:$AK$98,J$1,工数管理!$AE$3:$AE$98,"&lt;="&amp;$H121,工数管理!$AF$3:$AF$98,"")+COUNTIFS(工数管理!$AK$3:$AK$98,J$1,工数管理!$AG$3:$AG$98,"&lt;="&amp;$H121,工数管理!$AH$3:$AH$98,""))*($H121&lt;=工数管理!$AI$1))</f>
        <v>1</v>
      </c>
      <c r="K121" s="42">
        <f ca="1">IF(K$1="",0,COUNTIFS(工数管理!$AK$3:$AK$98,K$1,工数管理!$K$3:$K$98,"&lt;="&amp;$H121,工数管理!$L$3:$L$98,"&gt;="&amp;$H121)+COUNTIFS(工数管理!$AK$3:$AK$98,K$1,工数管理!$M$3:$M$98,"&lt;="&amp;$H121,工数管理!$N$3:$N$98,"&gt;="&amp;$H121)+COUNTIFS(工数管理!$AK$3:$AK$98,K$1,工数管理!$O$3:$O$98,"&lt;="&amp;$H121,工数管理!$P$3:$P$98,"&gt;="&amp;$H121)+COUNTIFS(工数管理!$AK$3:$AK$98,K$1,工数管理!$Q$3:$Q$98,"&lt;="&amp;$H121,工数管理!$R$3:$R$98,"&gt;="&amp;$H121)+COUNTIFS(工数管理!$AK$3:$AK$98,K$1,工数管理!$S$3:$S$98,"&lt;="&amp;$H121,工数管理!$T$3:$T$98,"&gt;="&amp;$H121)+COUNTIFS(工数管理!$AK$3:$AK$98,K$1,工数管理!$U$3:$U$98,"&lt;="&amp;$H121,工数管理!$V$3:$V$98,"&gt;="&amp;$H121)+COUNTIFS(工数管理!$AK$3:$AK$98,K$1,工数管理!$W$3:$W$98,"&lt;="&amp;$H121,工数管理!$X$3:$X$98,"&gt;="&amp;$H121)+COUNTIFS(工数管理!$AK$3:$AK$98,K$1,工数管理!$Y$3:$Y$98,"&lt;="&amp;$H121,工数管理!$Z$3:$Z$98,"&gt;="&amp;$H121)+COUNTIFS(工数管理!$AK$3:$AK$98,K$1,工数管理!$AA$3:$AA$98,"&lt;="&amp;$H121,工数管理!$AB$3:$AB$98,"&gt;="&amp;$H121)+COUNTIFS(工数管理!$AK$3:$AK$98,K$1,工数管理!$AC$3:$AC$98,"&lt;="&amp;$H121,工数管理!$AD$3:$AD$98,"&gt;="&amp;$H121)+COUNTIFS(工数管理!$AK$3:$AK$98,K$1,工数管理!$AE$3:$AE$98,"&lt;="&amp;$H121,工数管理!$AF$3:$AF$98,"&gt;="&amp;$H121)+COUNTIFS(工数管理!$AK$3:$AK$98,K$1,工数管理!$AG$3:$AG$98,"&lt;="&amp;$H121,工数管理!$AH$3:$AH$98,"&gt;="&amp;$H121)+(COUNTIFS(工数管理!$AK$3:$AK$98,K$1,工数管理!$K$3:$K$98,"&lt;="&amp;$H121,工数管理!$L$3:$L$98,"")+COUNTIFS(工数管理!$AK$3:$AK$98,K$1,工数管理!$M$3:$M$98,"&lt;="&amp;$H121,工数管理!$N$3:$N$98,"")+COUNTIFS(工数管理!$AK$3:$AK$98,K$1,工数管理!$O$3:$O$98,"&lt;="&amp;$H121,工数管理!$P$3:$P$98,"")+COUNTIFS(工数管理!$AK$3:$AK$98,K$1,工数管理!$Q$3:$Q$98,"&lt;="&amp;$H121,工数管理!$R$3:$R$98,"")+COUNTIFS(工数管理!$AK$3:$AK$98,K$1,工数管理!$S$3:$S$98,"&lt;="&amp;$H121,工数管理!$T$3:$T$98,"")+COUNTIFS(工数管理!$AK$3:$AK$98,K$1,工数管理!$U$3:$U$98,"&lt;="&amp;$H121,工数管理!$V$3:$V$98,"")+COUNTIFS(工数管理!$AK$3:$AK$98,K$1,工数管理!$W$3:$W$98,"&lt;="&amp;$H121,工数管理!$X$3:$X$98,"")+COUNTIFS(工数管理!$AK$3:$AK$98,K$1,工数管理!$Y$3:$Y$98,"&lt;="&amp;$H121,工数管理!$Z$3:$Z$98,"")+COUNTIFS(工数管理!$AK$3:$AK$98,K$1,工数管理!$AA$3:$AA$98,"&lt;="&amp;$H121,工数管理!$AB$3:$AB$98,"")+COUNTIFS(工数管理!$AK$3:$AK$98,K$1,工数管理!$AC$3:$AC$98,"&lt;="&amp;$H121,工数管理!$AD$3:$AD$98,"")+COUNTIFS(工数管理!$AK$3:$AK$98,K$1,工数管理!$AE$3:$AE$98,"&lt;="&amp;$H121,工数管理!$AF$3:$AF$98,"")+COUNTIFS(工数管理!$AK$3:$AK$98,K$1,工数管理!$AG$3:$AG$98,"&lt;="&amp;$H121,工数管理!$AH$3:$AH$98,""))*($H121&lt;=工数管理!$AI$1))</f>
        <v>1</v>
      </c>
      <c r="L121" s="42">
        <f ca="1">IF(L$1="",0,COUNTIFS(工数管理!$AK$3:$AK$98,L$1,工数管理!$K$3:$K$98,"&lt;="&amp;$H121,工数管理!$L$3:$L$98,"&gt;="&amp;$H121)+COUNTIFS(工数管理!$AK$3:$AK$98,L$1,工数管理!$M$3:$M$98,"&lt;="&amp;$H121,工数管理!$N$3:$N$98,"&gt;="&amp;$H121)+COUNTIFS(工数管理!$AK$3:$AK$98,L$1,工数管理!$O$3:$O$98,"&lt;="&amp;$H121,工数管理!$P$3:$P$98,"&gt;="&amp;$H121)+COUNTIFS(工数管理!$AK$3:$AK$98,L$1,工数管理!$Q$3:$Q$98,"&lt;="&amp;$H121,工数管理!$R$3:$R$98,"&gt;="&amp;$H121)+COUNTIFS(工数管理!$AK$3:$AK$98,L$1,工数管理!$S$3:$S$98,"&lt;="&amp;$H121,工数管理!$T$3:$T$98,"&gt;="&amp;$H121)+COUNTIFS(工数管理!$AK$3:$AK$98,L$1,工数管理!$U$3:$U$98,"&lt;="&amp;$H121,工数管理!$V$3:$V$98,"&gt;="&amp;$H121)+COUNTIFS(工数管理!$AK$3:$AK$98,L$1,工数管理!$W$3:$W$98,"&lt;="&amp;$H121,工数管理!$X$3:$X$98,"&gt;="&amp;$H121)+COUNTIFS(工数管理!$AK$3:$AK$98,L$1,工数管理!$Y$3:$Y$98,"&lt;="&amp;$H121,工数管理!$Z$3:$Z$98,"&gt;="&amp;$H121)+COUNTIFS(工数管理!$AK$3:$AK$98,L$1,工数管理!$AA$3:$AA$98,"&lt;="&amp;$H121,工数管理!$AB$3:$AB$98,"&gt;="&amp;$H121)+COUNTIFS(工数管理!$AK$3:$AK$98,L$1,工数管理!$AC$3:$AC$98,"&lt;="&amp;$H121,工数管理!$AD$3:$AD$98,"&gt;="&amp;$H121)+COUNTIFS(工数管理!$AK$3:$AK$98,L$1,工数管理!$AE$3:$AE$98,"&lt;="&amp;$H121,工数管理!$AF$3:$AF$98,"&gt;="&amp;$H121)+COUNTIFS(工数管理!$AK$3:$AK$98,L$1,工数管理!$AG$3:$AG$98,"&lt;="&amp;$H121,工数管理!$AH$3:$AH$98,"&gt;="&amp;$H121)+(COUNTIFS(工数管理!$AK$3:$AK$98,L$1,工数管理!$K$3:$K$98,"&lt;="&amp;$H121,工数管理!$L$3:$L$98,"")+COUNTIFS(工数管理!$AK$3:$AK$98,L$1,工数管理!$M$3:$M$98,"&lt;="&amp;$H121,工数管理!$N$3:$N$98,"")+COUNTIFS(工数管理!$AK$3:$AK$98,L$1,工数管理!$O$3:$O$98,"&lt;="&amp;$H121,工数管理!$P$3:$P$98,"")+COUNTIFS(工数管理!$AK$3:$AK$98,L$1,工数管理!$Q$3:$Q$98,"&lt;="&amp;$H121,工数管理!$R$3:$R$98,"")+COUNTIFS(工数管理!$AK$3:$AK$98,L$1,工数管理!$S$3:$S$98,"&lt;="&amp;$H121,工数管理!$T$3:$T$98,"")+COUNTIFS(工数管理!$AK$3:$AK$98,L$1,工数管理!$U$3:$U$98,"&lt;="&amp;$H121,工数管理!$V$3:$V$98,"")+COUNTIFS(工数管理!$AK$3:$AK$98,L$1,工数管理!$W$3:$W$98,"&lt;="&amp;$H121,工数管理!$X$3:$X$98,"")+COUNTIFS(工数管理!$AK$3:$AK$98,L$1,工数管理!$Y$3:$Y$98,"&lt;="&amp;$H121,工数管理!$Z$3:$Z$98,"")+COUNTIFS(工数管理!$AK$3:$AK$98,L$1,工数管理!$AA$3:$AA$98,"&lt;="&amp;$H121,工数管理!$AB$3:$AB$98,"")+COUNTIFS(工数管理!$AK$3:$AK$98,L$1,工数管理!$AC$3:$AC$98,"&lt;="&amp;$H121,工数管理!$AD$3:$AD$98,"")+COUNTIFS(工数管理!$AK$3:$AK$98,L$1,工数管理!$AE$3:$AE$98,"&lt;="&amp;$H121,工数管理!$AF$3:$AF$98,"")+COUNTIFS(工数管理!$AK$3:$AK$98,L$1,工数管理!$AG$3:$AG$98,"&lt;="&amp;$H121,工数管理!$AH$3:$AH$98,""))*($H121&lt;=工数管理!$AI$1))</f>
        <v>1</v>
      </c>
    </row>
    <row r="122" spans="1:12" x14ac:dyDescent="0.15">
      <c r="A122" s="5"/>
      <c r="B122" s="6"/>
      <c r="H122" s="41">
        <f t="shared" si="3"/>
        <v>46290</v>
      </c>
      <c r="I122" s="42">
        <f t="shared" si="2"/>
        <v>1</v>
      </c>
      <c r="J122" s="42">
        <f ca="1">IF(J$1="",0,COUNTIFS(工数管理!$AK$3:$AK$98,J$1,工数管理!$K$3:$K$98,"&lt;="&amp;$H122,工数管理!$L$3:$L$98,"&gt;="&amp;$H122)+COUNTIFS(工数管理!$AK$3:$AK$98,J$1,工数管理!$M$3:$M$98,"&lt;="&amp;$H122,工数管理!$N$3:$N$98,"&gt;="&amp;$H122)+COUNTIFS(工数管理!$AK$3:$AK$98,J$1,工数管理!$O$3:$O$98,"&lt;="&amp;$H122,工数管理!$P$3:$P$98,"&gt;="&amp;$H122)+COUNTIFS(工数管理!$AK$3:$AK$98,J$1,工数管理!$Q$3:$Q$98,"&lt;="&amp;$H122,工数管理!$R$3:$R$98,"&gt;="&amp;$H122)+COUNTIFS(工数管理!$AK$3:$AK$98,J$1,工数管理!$S$3:$S$98,"&lt;="&amp;$H122,工数管理!$T$3:$T$98,"&gt;="&amp;$H122)+COUNTIFS(工数管理!$AK$3:$AK$98,J$1,工数管理!$U$3:$U$98,"&lt;="&amp;$H122,工数管理!$V$3:$V$98,"&gt;="&amp;$H122)+COUNTIFS(工数管理!$AK$3:$AK$98,J$1,工数管理!$W$3:$W$98,"&lt;="&amp;$H122,工数管理!$X$3:$X$98,"&gt;="&amp;$H122)+COUNTIFS(工数管理!$AK$3:$AK$98,J$1,工数管理!$Y$3:$Y$98,"&lt;="&amp;$H122,工数管理!$Z$3:$Z$98,"&gt;="&amp;$H122)+COUNTIFS(工数管理!$AK$3:$AK$98,J$1,工数管理!$AA$3:$AA$98,"&lt;="&amp;$H122,工数管理!$AB$3:$AB$98,"&gt;="&amp;$H122)+COUNTIFS(工数管理!$AK$3:$AK$98,J$1,工数管理!$AC$3:$AC$98,"&lt;="&amp;$H122,工数管理!$AD$3:$AD$98,"&gt;="&amp;$H122)+COUNTIFS(工数管理!$AK$3:$AK$98,J$1,工数管理!$AE$3:$AE$98,"&lt;="&amp;$H122,工数管理!$AF$3:$AF$98,"&gt;="&amp;$H122)+COUNTIFS(工数管理!$AK$3:$AK$98,J$1,工数管理!$AG$3:$AG$98,"&lt;="&amp;$H122,工数管理!$AH$3:$AH$98,"&gt;="&amp;$H122)+(COUNTIFS(工数管理!$AK$3:$AK$98,J$1,工数管理!$K$3:$K$98,"&lt;="&amp;$H122,工数管理!$L$3:$L$98,"")+COUNTIFS(工数管理!$AK$3:$AK$98,J$1,工数管理!$M$3:$M$98,"&lt;="&amp;$H122,工数管理!$N$3:$N$98,"")+COUNTIFS(工数管理!$AK$3:$AK$98,J$1,工数管理!$O$3:$O$98,"&lt;="&amp;$H122,工数管理!$P$3:$P$98,"")+COUNTIFS(工数管理!$AK$3:$AK$98,J$1,工数管理!$Q$3:$Q$98,"&lt;="&amp;$H122,工数管理!$R$3:$R$98,"")+COUNTIFS(工数管理!$AK$3:$AK$98,J$1,工数管理!$S$3:$S$98,"&lt;="&amp;$H122,工数管理!$T$3:$T$98,"")+COUNTIFS(工数管理!$AK$3:$AK$98,J$1,工数管理!$U$3:$U$98,"&lt;="&amp;$H122,工数管理!$V$3:$V$98,"")+COUNTIFS(工数管理!$AK$3:$AK$98,J$1,工数管理!$W$3:$W$98,"&lt;="&amp;$H122,工数管理!$X$3:$X$98,"")+COUNTIFS(工数管理!$AK$3:$AK$98,J$1,工数管理!$Y$3:$Y$98,"&lt;="&amp;$H122,工数管理!$Z$3:$Z$98,"")+COUNTIFS(工数管理!$AK$3:$AK$98,J$1,工数管理!$AA$3:$AA$98,"&lt;="&amp;$H122,工数管理!$AB$3:$AB$98,"")+COUNTIFS(工数管理!$AK$3:$AK$98,J$1,工数管理!$AC$3:$AC$98,"&lt;="&amp;$H122,工数管理!$AD$3:$AD$98,"")+COUNTIFS(工数管理!$AK$3:$AK$98,J$1,工数管理!$AE$3:$AE$98,"&lt;="&amp;$H122,工数管理!$AF$3:$AF$98,"")+COUNTIFS(工数管理!$AK$3:$AK$98,J$1,工数管理!$AG$3:$AG$98,"&lt;="&amp;$H122,工数管理!$AH$3:$AH$98,""))*($H122&lt;=工数管理!$AI$1))</f>
        <v>1</v>
      </c>
      <c r="K122" s="42">
        <f ca="1">IF(K$1="",0,COUNTIFS(工数管理!$AK$3:$AK$98,K$1,工数管理!$K$3:$K$98,"&lt;="&amp;$H122,工数管理!$L$3:$L$98,"&gt;="&amp;$H122)+COUNTIFS(工数管理!$AK$3:$AK$98,K$1,工数管理!$M$3:$M$98,"&lt;="&amp;$H122,工数管理!$N$3:$N$98,"&gt;="&amp;$H122)+COUNTIFS(工数管理!$AK$3:$AK$98,K$1,工数管理!$O$3:$O$98,"&lt;="&amp;$H122,工数管理!$P$3:$P$98,"&gt;="&amp;$H122)+COUNTIFS(工数管理!$AK$3:$AK$98,K$1,工数管理!$Q$3:$Q$98,"&lt;="&amp;$H122,工数管理!$R$3:$R$98,"&gt;="&amp;$H122)+COUNTIFS(工数管理!$AK$3:$AK$98,K$1,工数管理!$S$3:$S$98,"&lt;="&amp;$H122,工数管理!$T$3:$T$98,"&gt;="&amp;$H122)+COUNTIFS(工数管理!$AK$3:$AK$98,K$1,工数管理!$U$3:$U$98,"&lt;="&amp;$H122,工数管理!$V$3:$V$98,"&gt;="&amp;$H122)+COUNTIFS(工数管理!$AK$3:$AK$98,K$1,工数管理!$W$3:$W$98,"&lt;="&amp;$H122,工数管理!$X$3:$X$98,"&gt;="&amp;$H122)+COUNTIFS(工数管理!$AK$3:$AK$98,K$1,工数管理!$Y$3:$Y$98,"&lt;="&amp;$H122,工数管理!$Z$3:$Z$98,"&gt;="&amp;$H122)+COUNTIFS(工数管理!$AK$3:$AK$98,K$1,工数管理!$AA$3:$AA$98,"&lt;="&amp;$H122,工数管理!$AB$3:$AB$98,"&gt;="&amp;$H122)+COUNTIFS(工数管理!$AK$3:$AK$98,K$1,工数管理!$AC$3:$AC$98,"&lt;="&amp;$H122,工数管理!$AD$3:$AD$98,"&gt;="&amp;$H122)+COUNTIFS(工数管理!$AK$3:$AK$98,K$1,工数管理!$AE$3:$AE$98,"&lt;="&amp;$H122,工数管理!$AF$3:$AF$98,"&gt;="&amp;$H122)+COUNTIFS(工数管理!$AK$3:$AK$98,K$1,工数管理!$AG$3:$AG$98,"&lt;="&amp;$H122,工数管理!$AH$3:$AH$98,"&gt;="&amp;$H122)+(COUNTIFS(工数管理!$AK$3:$AK$98,K$1,工数管理!$K$3:$K$98,"&lt;="&amp;$H122,工数管理!$L$3:$L$98,"")+COUNTIFS(工数管理!$AK$3:$AK$98,K$1,工数管理!$M$3:$M$98,"&lt;="&amp;$H122,工数管理!$N$3:$N$98,"")+COUNTIFS(工数管理!$AK$3:$AK$98,K$1,工数管理!$O$3:$O$98,"&lt;="&amp;$H122,工数管理!$P$3:$P$98,"")+COUNTIFS(工数管理!$AK$3:$AK$98,K$1,工数管理!$Q$3:$Q$98,"&lt;="&amp;$H122,工数管理!$R$3:$R$98,"")+COUNTIFS(工数管理!$AK$3:$AK$98,K$1,工数管理!$S$3:$S$98,"&lt;="&amp;$H122,工数管理!$T$3:$T$98,"")+COUNTIFS(工数管理!$AK$3:$AK$98,K$1,工数管理!$U$3:$U$98,"&lt;="&amp;$H122,工数管理!$V$3:$V$98,"")+COUNTIFS(工数管理!$AK$3:$AK$98,K$1,工数管理!$W$3:$W$98,"&lt;="&amp;$H122,工数管理!$X$3:$X$98,"")+COUNTIFS(工数管理!$AK$3:$AK$98,K$1,工数管理!$Y$3:$Y$98,"&lt;="&amp;$H122,工数管理!$Z$3:$Z$98,"")+COUNTIFS(工数管理!$AK$3:$AK$98,K$1,工数管理!$AA$3:$AA$98,"&lt;="&amp;$H122,工数管理!$AB$3:$AB$98,"")+COUNTIFS(工数管理!$AK$3:$AK$98,K$1,工数管理!$AC$3:$AC$98,"&lt;="&amp;$H122,工数管理!$AD$3:$AD$98,"")+COUNTIFS(工数管理!$AK$3:$AK$98,K$1,工数管理!$AE$3:$AE$98,"&lt;="&amp;$H122,工数管理!$AF$3:$AF$98,"")+COUNTIFS(工数管理!$AK$3:$AK$98,K$1,工数管理!$AG$3:$AG$98,"&lt;="&amp;$H122,工数管理!$AH$3:$AH$98,""))*($H122&lt;=工数管理!$AI$1))</f>
        <v>1</v>
      </c>
      <c r="L122" s="42">
        <f ca="1">IF(L$1="",0,COUNTIFS(工数管理!$AK$3:$AK$98,L$1,工数管理!$K$3:$K$98,"&lt;="&amp;$H122,工数管理!$L$3:$L$98,"&gt;="&amp;$H122)+COUNTIFS(工数管理!$AK$3:$AK$98,L$1,工数管理!$M$3:$M$98,"&lt;="&amp;$H122,工数管理!$N$3:$N$98,"&gt;="&amp;$H122)+COUNTIFS(工数管理!$AK$3:$AK$98,L$1,工数管理!$O$3:$O$98,"&lt;="&amp;$H122,工数管理!$P$3:$P$98,"&gt;="&amp;$H122)+COUNTIFS(工数管理!$AK$3:$AK$98,L$1,工数管理!$Q$3:$Q$98,"&lt;="&amp;$H122,工数管理!$R$3:$R$98,"&gt;="&amp;$H122)+COUNTIFS(工数管理!$AK$3:$AK$98,L$1,工数管理!$S$3:$S$98,"&lt;="&amp;$H122,工数管理!$T$3:$T$98,"&gt;="&amp;$H122)+COUNTIFS(工数管理!$AK$3:$AK$98,L$1,工数管理!$U$3:$U$98,"&lt;="&amp;$H122,工数管理!$V$3:$V$98,"&gt;="&amp;$H122)+COUNTIFS(工数管理!$AK$3:$AK$98,L$1,工数管理!$W$3:$W$98,"&lt;="&amp;$H122,工数管理!$X$3:$X$98,"&gt;="&amp;$H122)+COUNTIFS(工数管理!$AK$3:$AK$98,L$1,工数管理!$Y$3:$Y$98,"&lt;="&amp;$H122,工数管理!$Z$3:$Z$98,"&gt;="&amp;$H122)+COUNTIFS(工数管理!$AK$3:$AK$98,L$1,工数管理!$AA$3:$AA$98,"&lt;="&amp;$H122,工数管理!$AB$3:$AB$98,"&gt;="&amp;$H122)+COUNTIFS(工数管理!$AK$3:$AK$98,L$1,工数管理!$AC$3:$AC$98,"&lt;="&amp;$H122,工数管理!$AD$3:$AD$98,"&gt;="&amp;$H122)+COUNTIFS(工数管理!$AK$3:$AK$98,L$1,工数管理!$AE$3:$AE$98,"&lt;="&amp;$H122,工数管理!$AF$3:$AF$98,"&gt;="&amp;$H122)+COUNTIFS(工数管理!$AK$3:$AK$98,L$1,工数管理!$AG$3:$AG$98,"&lt;="&amp;$H122,工数管理!$AH$3:$AH$98,"&gt;="&amp;$H122)+(COUNTIFS(工数管理!$AK$3:$AK$98,L$1,工数管理!$K$3:$K$98,"&lt;="&amp;$H122,工数管理!$L$3:$L$98,"")+COUNTIFS(工数管理!$AK$3:$AK$98,L$1,工数管理!$M$3:$M$98,"&lt;="&amp;$H122,工数管理!$N$3:$N$98,"")+COUNTIFS(工数管理!$AK$3:$AK$98,L$1,工数管理!$O$3:$O$98,"&lt;="&amp;$H122,工数管理!$P$3:$P$98,"")+COUNTIFS(工数管理!$AK$3:$AK$98,L$1,工数管理!$Q$3:$Q$98,"&lt;="&amp;$H122,工数管理!$R$3:$R$98,"")+COUNTIFS(工数管理!$AK$3:$AK$98,L$1,工数管理!$S$3:$S$98,"&lt;="&amp;$H122,工数管理!$T$3:$T$98,"")+COUNTIFS(工数管理!$AK$3:$AK$98,L$1,工数管理!$U$3:$U$98,"&lt;="&amp;$H122,工数管理!$V$3:$V$98,"")+COUNTIFS(工数管理!$AK$3:$AK$98,L$1,工数管理!$W$3:$W$98,"&lt;="&amp;$H122,工数管理!$X$3:$X$98,"")+COUNTIFS(工数管理!$AK$3:$AK$98,L$1,工数管理!$Y$3:$Y$98,"&lt;="&amp;$H122,工数管理!$Z$3:$Z$98,"")+COUNTIFS(工数管理!$AK$3:$AK$98,L$1,工数管理!$AA$3:$AA$98,"&lt;="&amp;$H122,工数管理!$AB$3:$AB$98,"")+COUNTIFS(工数管理!$AK$3:$AK$98,L$1,工数管理!$AC$3:$AC$98,"&lt;="&amp;$H122,工数管理!$AD$3:$AD$98,"")+COUNTIFS(工数管理!$AK$3:$AK$98,L$1,工数管理!$AE$3:$AE$98,"&lt;="&amp;$H122,工数管理!$AF$3:$AF$98,"")+COUNTIFS(工数管理!$AK$3:$AK$98,L$1,工数管理!$AG$3:$AG$98,"&lt;="&amp;$H122,工数管理!$AH$3:$AH$98,""))*($H122&lt;=工数管理!$AI$1))</f>
        <v>1</v>
      </c>
    </row>
    <row r="123" spans="1:12" x14ac:dyDescent="0.15">
      <c r="A123" s="5"/>
      <c r="B123" s="6"/>
      <c r="H123" s="41">
        <f t="shared" si="3"/>
        <v>46291</v>
      </c>
      <c r="I123" s="42">
        <f t="shared" si="2"/>
        <v>0</v>
      </c>
      <c r="J123" s="42">
        <f ca="1">IF(J$1="",0,COUNTIFS(工数管理!$AK$3:$AK$98,J$1,工数管理!$K$3:$K$98,"&lt;="&amp;$H123,工数管理!$L$3:$L$98,"&gt;="&amp;$H123)+COUNTIFS(工数管理!$AK$3:$AK$98,J$1,工数管理!$M$3:$M$98,"&lt;="&amp;$H123,工数管理!$N$3:$N$98,"&gt;="&amp;$H123)+COUNTIFS(工数管理!$AK$3:$AK$98,J$1,工数管理!$O$3:$O$98,"&lt;="&amp;$H123,工数管理!$P$3:$P$98,"&gt;="&amp;$H123)+COUNTIFS(工数管理!$AK$3:$AK$98,J$1,工数管理!$Q$3:$Q$98,"&lt;="&amp;$H123,工数管理!$R$3:$R$98,"&gt;="&amp;$H123)+COUNTIFS(工数管理!$AK$3:$AK$98,J$1,工数管理!$S$3:$S$98,"&lt;="&amp;$H123,工数管理!$T$3:$T$98,"&gt;="&amp;$H123)+COUNTIFS(工数管理!$AK$3:$AK$98,J$1,工数管理!$U$3:$U$98,"&lt;="&amp;$H123,工数管理!$V$3:$V$98,"&gt;="&amp;$H123)+COUNTIFS(工数管理!$AK$3:$AK$98,J$1,工数管理!$W$3:$W$98,"&lt;="&amp;$H123,工数管理!$X$3:$X$98,"&gt;="&amp;$H123)+COUNTIFS(工数管理!$AK$3:$AK$98,J$1,工数管理!$Y$3:$Y$98,"&lt;="&amp;$H123,工数管理!$Z$3:$Z$98,"&gt;="&amp;$H123)+COUNTIFS(工数管理!$AK$3:$AK$98,J$1,工数管理!$AA$3:$AA$98,"&lt;="&amp;$H123,工数管理!$AB$3:$AB$98,"&gt;="&amp;$H123)+COUNTIFS(工数管理!$AK$3:$AK$98,J$1,工数管理!$AC$3:$AC$98,"&lt;="&amp;$H123,工数管理!$AD$3:$AD$98,"&gt;="&amp;$H123)+COUNTIFS(工数管理!$AK$3:$AK$98,J$1,工数管理!$AE$3:$AE$98,"&lt;="&amp;$H123,工数管理!$AF$3:$AF$98,"&gt;="&amp;$H123)+COUNTIFS(工数管理!$AK$3:$AK$98,J$1,工数管理!$AG$3:$AG$98,"&lt;="&amp;$H123,工数管理!$AH$3:$AH$98,"&gt;="&amp;$H123)+(COUNTIFS(工数管理!$AK$3:$AK$98,J$1,工数管理!$K$3:$K$98,"&lt;="&amp;$H123,工数管理!$L$3:$L$98,"")+COUNTIFS(工数管理!$AK$3:$AK$98,J$1,工数管理!$M$3:$M$98,"&lt;="&amp;$H123,工数管理!$N$3:$N$98,"")+COUNTIFS(工数管理!$AK$3:$AK$98,J$1,工数管理!$O$3:$O$98,"&lt;="&amp;$H123,工数管理!$P$3:$P$98,"")+COUNTIFS(工数管理!$AK$3:$AK$98,J$1,工数管理!$Q$3:$Q$98,"&lt;="&amp;$H123,工数管理!$R$3:$R$98,"")+COUNTIFS(工数管理!$AK$3:$AK$98,J$1,工数管理!$S$3:$S$98,"&lt;="&amp;$H123,工数管理!$T$3:$T$98,"")+COUNTIFS(工数管理!$AK$3:$AK$98,J$1,工数管理!$U$3:$U$98,"&lt;="&amp;$H123,工数管理!$V$3:$V$98,"")+COUNTIFS(工数管理!$AK$3:$AK$98,J$1,工数管理!$W$3:$W$98,"&lt;="&amp;$H123,工数管理!$X$3:$X$98,"")+COUNTIFS(工数管理!$AK$3:$AK$98,J$1,工数管理!$Y$3:$Y$98,"&lt;="&amp;$H123,工数管理!$Z$3:$Z$98,"")+COUNTIFS(工数管理!$AK$3:$AK$98,J$1,工数管理!$AA$3:$AA$98,"&lt;="&amp;$H123,工数管理!$AB$3:$AB$98,"")+COUNTIFS(工数管理!$AK$3:$AK$98,J$1,工数管理!$AC$3:$AC$98,"&lt;="&amp;$H123,工数管理!$AD$3:$AD$98,"")+COUNTIFS(工数管理!$AK$3:$AK$98,J$1,工数管理!$AE$3:$AE$98,"&lt;="&amp;$H123,工数管理!$AF$3:$AF$98,"")+COUNTIFS(工数管理!$AK$3:$AK$98,J$1,工数管理!$AG$3:$AG$98,"&lt;="&amp;$H123,工数管理!$AH$3:$AH$98,""))*($H123&lt;=工数管理!$AI$1))</f>
        <v>1</v>
      </c>
      <c r="K123" s="42">
        <f ca="1">IF(K$1="",0,COUNTIFS(工数管理!$AK$3:$AK$98,K$1,工数管理!$K$3:$K$98,"&lt;="&amp;$H123,工数管理!$L$3:$L$98,"&gt;="&amp;$H123)+COUNTIFS(工数管理!$AK$3:$AK$98,K$1,工数管理!$M$3:$M$98,"&lt;="&amp;$H123,工数管理!$N$3:$N$98,"&gt;="&amp;$H123)+COUNTIFS(工数管理!$AK$3:$AK$98,K$1,工数管理!$O$3:$O$98,"&lt;="&amp;$H123,工数管理!$P$3:$P$98,"&gt;="&amp;$H123)+COUNTIFS(工数管理!$AK$3:$AK$98,K$1,工数管理!$Q$3:$Q$98,"&lt;="&amp;$H123,工数管理!$R$3:$R$98,"&gt;="&amp;$H123)+COUNTIFS(工数管理!$AK$3:$AK$98,K$1,工数管理!$S$3:$S$98,"&lt;="&amp;$H123,工数管理!$T$3:$T$98,"&gt;="&amp;$H123)+COUNTIFS(工数管理!$AK$3:$AK$98,K$1,工数管理!$U$3:$U$98,"&lt;="&amp;$H123,工数管理!$V$3:$V$98,"&gt;="&amp;$H123)+COUNTIFS(工数管理!$AK$3:$AK$98,K$1,工数管理!$W$3:$W$98,"&lt;="&amp;$H123,工数管理!$X$3:$X$98,"&gt;="&amp;$H123)+COUNTIFS(工数管理!$AK$3:$AK$98,K$1,工数管理!$Y$3:$Y$98,"&lt;="&amp;$H123,工数管理!$Z$3:$Z$98,"&gt;="&amp;$H123)+COUNTIFS(工数管理!$AK$3:$AK$98,K$1,工数管理!$AA$3:$AA$98,"&lt;="&amp;$H123,工数管理!$AB$3:$AB$98,"&gt;="&amp;$H123)+COUNTIFS(工数管理!$AK$3:$AK$98,K$1,工数管理!$AC$3:$AC$98,"&lt;="&amp;$H123,工数管理!$AD$3:$AD$98,"&gt;="&amp;$H123)+COUNTIFS(工数管理!$AK$3:$AK$98,K$1,工数管理!$AE$3:$AE$98,"&lt;="&amp;$H123,工数管理!$AF$3:$AF$98,"&gt;="&amp;$H123)+COUNTIFS(工数管理!$AK$3:$AK$98,K$1,工数管理!$AG$3:$AG$98,"&lt;="&amp;$H123,工数管理!$AH$3:$AH$98,"&gt;="&amp;$H123)+(COUNTIFS(工数管理!$AK$3:$AK$98,K$1,工数管理!$K$3:$K$98,"&lt;="&amp;$H123,工数管理!$L$3:$L$98,"")+COUNTIFS(工数管理!$AK$3:$AK$98,K$1,工数管理!$M$3:$M$98,"&lt;="&amp;$H123,工数管理!$N$3:$N$98,"")+COUNTIFS(工数管理!$AK$3:$AK$98,K$1,工数管理!$O$3:$O$98,"&lt;="&amp;$H123,工数管理!$P$3:$P$98,"")+COUNTIFS(工数管理!$AK$3:$AK$98,K$1,工数管理!$Q$3:$Q$98,"&lt;="&amp;$H123,工数管理!$R$3:$R$98,"")+COUNTIFS(工数管理!$AK$3:$AK$98,K$1,工数管理!$S$3:$S$98,"&lt;="&amp;$H123,工数管理!$T$3:$T$98,"")+COUNTIFS(工数管理!$AK$3:$AK$98,K$1,工数管理!$U$3:$U$98,"&lt;="&amp;$H123,工数管理!$V$3:$V$98,"")+COUNTIFS(工数管理!$AK$3:$AK$98,K$1,工数管理!$W$3:$W$98,"&lt;="&amp;$H123,工数管理!$X$3:$X$98,"")+COUNTIFS(工数管理!$AK$3:$AK$98,K$1,工数管理!$Y$3:$Y$98,"&lt;="&amp;$H123,工数管理!$Z$3:$Z$98,"")+COUNTIFS(工数管理!$AK$3:$AK$98,K$1,工数管理!$AA$3:$AA$98,"&lt;="&amp;$H123,工数管理!$AB$3:$AB$98,"")+COUNTIFS(工数管理!$AK$3:$AK$98,K$1,工数管理!$AC$3:$AC$98,"&lt;="&amp;$H123,工数管理!$AD$3:$AD$98,"")+COUNTIFS(工数管理!$AK$3:$AK$98,K$1,工数管理!$AE$3:$AE$98,"&lt;="&amp;$H123,工数管理!$AF$3:$AF$98,"")+COUNTIFS(工数管理!$AK$3:$AK$98,K$1,工数管理!$AG$3:$AG$98,"&lt;="&amp;$H123,工数管理!$AH$3:$AH$98,""))*($H123&lt;=工数管理!$AI$1))</f>
        <v>0</v>
      </c>
      <c r="L123" s="42">
        <f ca="1">IF(L$1="",0,COUNTIFS(工数管理!$AK$3:$AK$98,L$1,工数管理!$K$3:$K$98,"&lt;="&amp;$H123,工数管理!$L$3:$L$98,"&gt;="&amp;$H123)+COUNTIFS(工数管理!$AK$3:$AK$98,L$1,工数管理!$M$3:$M$98,"&lt;="&amp;$H123,工数管理!$N$3:$N$98,"&gt;="&amp;$H123)+COUNTIFS(工数管理!$AK$3:$AK$98,L$1,工数管理!$O$3:$O$98,"&lt;="&amp;$H123,工数管理!$P$3:$P$98,"&gt;="&amp;$H123)+COUNTIFS(工数管理!$AK$3:$AK$98,L$1,工数管理!$Q$3:$Q$98,"&lt;="&amp;$H123,工数管理!$R$3:$R$98,"&gt;="&amp;$H123)+COUNTIFS(工数管理!$AK$3:$AK$98,L$1,工数管理!$S$3:$S$98,"&lt;="&amp;$H123,工数管理!$T$3:$T$98,"&gt;="&amp;$H123)+COUNTIFS(工数管理!$AK$3:$AK$98,L$1,工数管理!$U$3:$U$98,"&lt;="&amp;$H123,工数管理!$V$3:$V$98,"&gt;="&amp;$H123)+COUNTIFS(工数管理!$AK$3:$AK$98,L$1,工数管理!$W$3:$W$98,"&lt;="&amp;$H123,工数管理!$X$3:$X$98,"&gt;="&amp;$H123)+COUNTIFS(工数管理!$AK$3:$AK$98,L$1,工数管理!$Y$3:$Y$98,"&lt;="&amp;$H123,工数管理!$Z$3:$Z$98,"&gt;="&amp;$H123)+COUNTIFS(工数管理!$AK$3:$AK$98,L$1,工数管理!$AA$3:$AA$98,"&lt;="&amp;$H123,工数管理!$AB$3:$AB$98,"&gt;="&amp;$H123)+COUNTIFS(工数管理!$AK$3:$AK$98,L$1,工数管理!$AC$3:$AC$98,"&lt;="&amp;$H123,工数管理!$AD$3:$AD$98,"&gt;="&amp;$H123)+COUNTIFS(工数管理!$AK$3:$AK$98,L$1,工数管理!$AE$3:$AE$98,"&lt;="&amp;$H123,工数管理!$AF$3:$AF$98,"&gt;="&amp;$H123)+COUNTIFS(工数管理!$AK$3:$AK$98,L$1,工数管理!$AG$3:$AG$98,"&lt;="&amp;$H123,工数管理!$AH$3:$AH$98,"&gt;="&amp;$H123)+(COUNTIFS(工数管理!$AK$3:$AK$98,L$1,工数管理!$K$3:$K$98,"&lt;="&amp;$H123,工数管理!$L$3:$L$98,"")+COUNTIFS(工数管理!$AK$3:$AK$98,L$1,工数管理!$M$3:$M$98,"&lt;="&amp;$H123,工数管理!$N$3:$N$98,"")+COUNTIFS(工数管理!$AK$3:$AK$98,L$1,工数管理!$O$3:$O$98,"&lt;="&amp;$H123,工数管理!$P$3:$P$98,"")+COUNTIFS(工数管理!$AK$3:$AK$98,L$1,工数管理!$Q$3:$Q$98,"&lt;="&amp;$H123,工数管理!$R$3:$R$98,"")+COUNTIFS(工数管理!$AK$3:$AK$98,L$1,工数管理!$S$3:$S$98,"&lt;="&amp;$H123,工数管理!$T$3:$T$98,"")+COUNTIFS(工数管理!$AK$3:$AK$98,L$1,工数管理!$U$3:$U$98,"&lt;="&amp;$H123,工数管理!$V$3:$V$98,"")+COUNTIFS(工数管理!$AK$3:$AK$98,L$1,工数管理!$W$3:$W$98,"&lt;="&amp;$H123,工数管理!$X$3:$X$98,"")+COUNTIFS(工数管理!$AK$3:$AK$98,L$1,工数管理!$Y$3:$Y$98,"&lt;="&amp;$H123,工数管理!$Z$3:$Z$98,"")+COUNTIFS(工数管理!$AK$3:$AK$98,L$1,工数管理!$AA$3:$AA$98,"&lt;="&amp;$H123,工数管理!$AB$3:$AB$98,"")+COUNTIFS(工数管理!$AK$3:$AK$98,L$1,工数管理!$AC$3:$AC$98,"&lt;="&amp;$H123,工数管理!$AD$3:$AD$98,"")+COUNTIFS(工数管理!$AK$3:$AK$98,L$1,工数管理!$AE$3:$AE$98,"&lt;="&amp;$H123,工数管理!$AF$3:$AF$98,"")+COUNTIFS(工数管理!$AK$3:$AK$98,L$1,工数管理!$AG$3:$AG$98,"&lt;="&amp;$H123,工数管理!$AH$3:$AH$98,""))*($H123&lt;=工数管理!$AI$1))</f>
        <v>1</v>
      </c>
    </row>
    <row r="124" spans="1:12" x14ac:dyDescent="0.15">
      <c r="A124" s="5"/>
      <c r="B124" s="6"/>
      <c r="H124" s="41">
        <f t="shared" si="3"/>
        <v>46292</v>
      </c>
      <c r="I124" s="42">
        <f t="shared" si="2"/>
        <v>0</v>
      </c>
      <c r="J124" s="42">
        <f ca="1">IF(J$1="",0,COUNTIFS(工数管理!$AK$3:$AK$98,J$1,工数管理!$K$3:$K$98,"&lt;="&amp;$H124,工数管理!$L$3:$L$98,"&gt;="&amp;$H124)+COUNTIFS(工数管理!$AK$3:$AK$98,J$1,工数管理!$M$3:$M$98,"&lt;="&amp;$H124,工数管理!$N$3:$N$98,"&gt;="&amp;$H124)+COUNTIFS(工数管理!$AK$3:$AK$98,J$1,工数管理!$O$3:$O$98,"&lt;="&amp;$H124,工数管理!$P$3:$P$98,"&gt;="&amp;$H124)+COUNTIFS(工数管理!$AK$3:$AK$98,J$1,工数管理!$Q$3:$Q$98,"&lt;="&amp;$H124,工数管理!$R$3:$R$98,"&gt;="&amp;$H124)+COUNTIFS(工数管理!$AK$3:$AK$98,J$1,工数管理!$S$3:$S$98,"&lt;="&amp;$H124,工数管理!$T$3:$T$98,"&gt;="&amp;$H124)+COUNTIFS(工数管理!$AK$3:$AK$98,J$1,工数管理!$U$3:$U$98,"&lt;="&amp;$H124,工数管理!$V$3:$V$98,"&gt;="&amp;$H124)+COUNTIFS(工数管理!$AK$3:$AK$98,J$1,工数管理!$W$3:$W$98,"&lt;="&amp;$H124,工数管理!$X$3:$X$98,"&gt;="&amp;$H124)+COUNTIFS(工数管理!$AK$3:$AK$98,J$1,工数管理!$Y$3:$Y$98,"&lt;="&amp;$H124,工数管理!$Z$3:$Z$98,"&gt;="&amp;$H124)+COUNTIFS(工数管理!$AK$3:$AK$98,J$1,工数管理!$AA$3:$AA$98,"&lt;="&amp;$H124,工数管理!$AB$3:$AB$98,"&gt;="&amp;$H124)+COUNTIFS(工数管理!$AK$3:$AK$98,J$1,工数管理!$AC$3:$AC$98,"&lt;="&amp;$H124,工数管理!$AD$3:$AD$98,"&gt;="&amp;$H124)+COUNTIFS(工数管理!$AK$3:$AK$98,J$1,工数管理!$AE$3:$AE$98,"&lt;="&amp;$H124,工数管理!$AF$3:$AF$98,"&gt;="&amp;$H124)+COUNTIFS(工数管理!$AK$3:$AK$98,J$1,工数管理!$AG$3:$AG$98,"&lt;="&amp;$H124,工数管理!$AH$3:$AH$98,"&gt;="&amp;$H124)+(COUNTIFS(工数管理!$AK$3:$AK$98,J$1,工数管理!$K$3:$K$98,"&lt;="&amp;$H124,工数管理!$L$3:$L$98,"")+COUNTIFS(工数管理!$AK$3:$AK$98,J$1,工数管理!$M$3:$M$98,"&lt;="&amp;$H124,工数管理!$N$3:$N$98,"")+COUNTIFS(工数管理!$AK$3:$AK$98,J$1,工数管理!$O$3:$O$98,"&lt;="&amp;$H124,工数管理!$P$3:$P$98,"")+COUNTIFS(工数管理!$AK$3:$AK$98,J$1,工数管理!$Q$3:$Q$98,"&lt;="&amp;$H124,工数管理!$R$3:$R$98,"")+COUNTIFS(工数管理!$AK$3:$AK$98,J$1,工数管理!$S$3:$S$98,"&lt;="&amp;$H124,工数管理!$T$3:$T$98,"")+COUNTIFS(工数管理!$AK$3:$AK$98,J$1,工数管理!$U$3:$U$98,"&lt;="&amp;$H124,工数管理!$V$3:$V$98,"")+COUNTIFS(工数管理!$AK$3:$AK$98,J$1,工数管理!$W$3:$W$98,"&lt;="&amp;$H124,工数管理!$X$3:$X$98,"")+COUNTIFS(工数管理!$AK$3:$AK$98,J$1,工数管理!$Y$3:$Y$98,"&lt;="&amp;$H124,工数管理!$Z$3:$Z$98,"")+COUNTIFS(工数管理!$AK$3:$AK$98,J$1,工数管理!$AA$3:$AA$98,"&lt;="&amp;$H124,工数管理!$AB$3:$AB$98,"")+COUNTIFS(工数管理!$AK$3:$AK$98,J$1,工数管理!$AC$3:$AC$98,"&lt;="&amp;$H124,工数管理!$AD$3:$AD$98,"")+COUNTIFS(工数管理!$AK$3:$AK$98,J$1,工数管理!$AE$3:$AE$98,"&lt;="&amp;$H124,工数管理!$AF$3:$AF$98,"")+COUNTIFS(工数管理!$AK$3:$AK$98,J$1,工数管理!$AG$3:$AG$98,"&lt;="&amp;$H124,工数管理!$AH$3:$AH$98,""))*($H124&lt;=工数管理!$AI$1))</f>
        <v>1</v>
      </c>
      <c r="K124" s="42">
        <f ca="1">IF(K$1="",0,COUNTIFS(工数管理!$AK$3:$AK$98,K$1,工数管理!$K$3:$K$98,"&lt;="&amp;$H124,工数管理!$L$3:$L$98,"&gt;="&amp;$H124)+COUNTIFS(工数管理!$AK$3:$AK$98,K$1,工数管理!$M$3:$M$98,"&lt;="&amp;$H124,工数管理!$N$3:$N$98,"&gt;="&amp;$H124)+COUNTIFS(工数管理!$AK$3:$AK$98,K$1,工数管理!$O$3:$O$98,"&lt;="&amp;$H124,工数管理!$P$3:$P$98,"&gt;="&amp;$H124)+COUNTIFS(工数管理!$AK$3:$AK$98,K$1,工数管理!$Q$3:$Q$98,"&lt;="&amp;$H124,工数管理!$R$3:$R$98,"&gt;="&amp;$H124)+COUNTIFS(工数管理!$AK$3:$AK$98,K$1,工数管理!$S$3:$S$98,"&lt;="&amp;$H124,工数管理!$T$3:$T$98,"&gt;="&amp;$H124)+COUNTIFS(工数管理!$AK$3:$AK$98,K$1,工数管理!$U$3:$U$98,"&lt;="&amp;$H124,工数管理!$V$3:$V$98,"&gt;="&amp;$H124)+COUNTIFS(工数管理!$AK$3:$AK$98,K$1,工数管理!$W$3:$W$98,"&lt;="&amp;$H124,工数管理!$X$3:$X$98,"&gt;="&amp;$H124)+COUNTIFS(工数管理!$AK$3:$AK$98,K$1,工数管理!$Y$3:$Y$98,"&lt;="&amp;$H124,工数管理!$Z$3:$Z$98,"&gt;="&amp;$H124)+COUNTIFS(工数管理!$AK$3:$AK$98,K$1,工数管理!$AA$3:$AA$98,"&lt;="&amp;$H124,工数管理!$AB$3:$AB$98,"&gt;="&amp;$H124)+COUNTIFS(工数管理!$AK$3:$AK$98,K$1,工数管理!$AC$3:$AC$98,"&lt;="&amp;$H124,工数管理!$AD$3:$AD$98,"&gt;="&amp;$H124)+COUNTIFS(工数管理!$AK$3:$AK$98,K$1,工数管理!$AE$3:$AE$98,"&lt;="&amp;$H124,工数管理!$AF$3:$AF$98,"&gt;="&amp;$H124)+COUNTIFS(工数管理!$AK$3:$AK$98,K$1,工数管理!$AG$3:$AG$98,"&lt;="&amp;$H124,工数管理!$AH$3:$AH$98,"&gt;="&amp;$H124)+(COUNTIFS(工数管理!$AK$3:$AK$98,K$1,工数管理!$K$3:$K$98,"&lt;="&amp;$H124,工数管理!$L$3:$L$98,"")+COUNTIFS(工数管理!$AK$3:$AK$98,K$1,工数管理!$M$3:$M$98,"&lt;="&amp;$H124,工数管理!$N$3:$N$98,"")+COUNTIFS(工数管理!$AK$3:$AK$98,K$1,工数管理!$O$3:$O$98,"&lt;="&amp;$H124,工数管理!$P$3:$P$98,"")+COUNTIFS(工数管理!$AK$3:$AK$98,K$1,工数管理!$Q$3:$Q$98,"&lt;="&amp;$H124,工数管理!$R$3:$R$98,"")+COUNTIFS(工数管理!$AK$3:$AK$98,K$1,工数管理!$S$3:$S$98,"&lt;="&amp;$H124,工数管理!$T$3:$T$98,"")+COUNTIFS(工数管理!$AK$3:$AK$98,K$1,工数管理!$U$3:$U$98,"&lt;="&amp;$H124,工数管理!$V$3:$V$98,"")+COUNTIFS(工数管理!$AK$3:$AK$98,K$1,工数管理!$W$3:$W$98,"&lt;="&amp;$H124,工数管理!$X$3:$X$98,"")+COUNTIFS(工数管理!$AK$3:$AK$98,K$1,工数管理!$Y$3:$Y$98,"&lt;="&amp;$H124,工数管理!$Z$3:$Z$98,"")+COUNTIFS(工数管理!$AK$3:$AK$98,K$1,工数管理!$AA$3:$AA$98,"&lt;="&amp;$H124,工数管理!$AB$3:$AB$98,"")+COUNTIFS(工数管理!$AK$3:$AK$98,K$1,工数管理!$AC$3:$AC$98,"&lt;="&amp;$H124,工数管理!$AD$3:$AD$98,"")+COUNTIFS(工数管理!$AK$3:$AK$98,K$1,工数管理!$AE$3:$AE$98,"&lt;="&amp;$H124,工数管理!$AF$3:$AF$98,"")+COUNTIFS(工数管理!$AK$3:$AK$98,K$1,工数管理!$AG$3:$AG$98,"&lt;="&amp;$H124,工数管理!$AH$3:$AH$98,""))*($H124&lt;=工数管理!$AI$1))</f>
        <v>0</v>
      </c>
      <c r="L124" s="42">
        <f ca="1">IF(L$1="",0,COUNTIFS(工数管理!$AK$3:$AK$98,L$1,工数管理!$K$3:$K$98,"&lt;="&amp;$H124,工数管理!$L$3:$L$98,"&gt;="&amp;$H124)+COUNTIFS(工数管理!$AK$3:$AK$98,L$1,工数管理!$M$3:$M$98,"&lt;="&amp;$H124,工数管理!$N$3:$N$98,"&gt;="&amp;$H124)+COUNTIFS(工数管理!$AK$3:$AK$98,L$1,工数管理!$O$3:$O$98,"&lt;="&amp;$H124,工数管理!$P$3:$P$98,"&gt;="&amp;$H124)+COUNTIFS(工数管理!$AK$3:$AK$98,L$1,工数管理!$Q$3:$Q$98,"&lt;="&amp;$H124,工数管理!$R$3:$R$98,"&gt;="&amp;$H124)+COUNTIFS(工数管理!$AK$3:$AK$98,L$1,工数管理!$S$3:$S$98,"&lt;="&amp;$H124,工数管理!$T$3:$T$98,"&gt;="&amp;$H124)+COUNTIFS(工数管理!$AK$3:$AK$98,L$1,工数管理!$U$3:$U$98,"&lt;="&amp;$H124,工数管理!$V$3:$V$98,"&gt;="&amp;$H124)+COUNTIFS(工数管理!$AK$3:$AK$98,L$1,工数管理!$W$3:$W$98,"&lt;="&amp;$H124,工数管理!$X$3:$X$98,"&gt;="&amp;$H124)+COUNTIFS(工数管理!$AK$3:$AK$98,L$1,工数管理!$Y$3:$Y$98,"&lt;="&amp;$H124,工数管理!$Z$3:$Z$98,"&gt;="&amp;$H124)+COUNTIFS(工数管理!$AK$3:$AK$98,L$1,工数管理!$AA$3:$AA$98,"&lt;="&amp;$H124,工数管理!$AB$3:$AB$98,"&gt;="&amp;$H124)+COUNTIFS(工数管理!$AK$3:$AK$98,L$1,工数管理!$AC$3:$AC$98,"&lt;="&amp;$H124,工数管理!$AD$3:$AD$98,"&gt;="&amp;$H124)+COUNTIFS(工数管理!$AK$3:$AK$98,L$1,工数管理!$AE$3:$AE$98,"&lt;="&amp;$H124,工数管理!$AF$3:$AF$98,"&gt;="&amp;$H124)+COUNTIFS(工数管理!$AK$3:$AK$98,L$1,工数管理!$AG$3:$AG$98,"&lt;="&amp;$H124,工数管理!$AH$3:$AH$98,"&gt;="&amp;$H124)+(COUNTIFS(工数管理!$AK$3:$AK$98,L$1,工数管理!$K$3:$K$98,"&lt;="&amp;$H124,工数管理!$L$3:$L$98,"")+COUNTIFS(工数管理!$AK$3:$AK$98,L$1,工数管理!$M$3:$M$98,"&lt;="&amp;$H124,工数管理!$N$3:$N$98,"")+COUNTIFS(工数管理!$AK$3:$AK$98,L$1,工数管理!$O$3:$O$98,"&lt;="&amp;$H124,工数管理!$P$3:$P$98,"")+COUNTIFS(工数管理!$AK$3:$AK$98,L$1,工数管理!$Q$3:$Q$98,"&lt;="&amp;$H124,工数管理!$R$3:$R$98,"")+COUNTIFS(工数管理!$AK$3:$AK$98,L$1,工数管理!$S$3:$S$98,"&lt;="&amp;$H124,工数管理!$T$3:$T$98,"")+COUNTIFS(工数管理!$AK$3:$AK$98,L$1,工数管理!$U$3:$U$98,"&lt;="&amp;$H124,工数管理!$V$3:$V$98,"")+COUNTIFS(工数管理!$AK$3:$AK$98,L$1,工数管理!$W$3:$W$98,"&lt;="&amp;$H124,工数管理!$X$3:$X$98,"")+COUNTIFS(工数管理!$AK$3:$AK$98,L$1,工数管理!$Y$3:$Y$98,"&lt;="&amp;$H124,工数管理!$Z$3:$Z$98,"")+COUNTIFS(工数管理!$AK$3:$AK$98,L$1,工数管理!$AA$3:$AA$98,"&lt;="&amp;$H124,工数管理!$AB$3:$AB$98,"")+COUNTIFS(工数管理!$AK$3:$AK$98,L$1,工数管理!$AC$3:$AC$98,"&lt;="&amp;$H124,工数管理!$AD$3:$AD$98,"")+COUNTIFS(工数管理!$AK$3:$AK$98,L$1,工数管理!$AE$3:$AE$98,"&lt;="&amp;$H124,工数管理!$AF$3:$AF$98,"")+COUNTIFS(工数管理!$AK$3:$AK$98,L$1,工数管理!$AG$3:$AG$98,"&lt;="&amp;$H124,工数管理!$AH$3:$AH$98,""))*($H124&lt;=工数管理!$AI$1))</f>
        <v>1</v>
      </c>
    </row>
    <row r="125" spans="1:12" x14ac:dyDescent="0.15">
      <c r="A125" s="5"/>
      <c r="B125" s="6"/>
      <c r="H125" s="41">
        <f t="shared" si="3"/>
        <v>46293</v>
      </c>
      <c r="I125" s="42">
        <f t="shared" si="2"/>
        <v>1</v>
      </c>
      <c r="J125" s="42">
        <f ca="1">IF(J$1="",0,COUNTIFS(工数管理!$AK$3:$AK$98,J$1,工数管理!$K$3:$K$98,"&lt;="&amp;$H125,工数管理!$L$3:$L$98,"&gt;="&amp;$H125)+COUNTIFS(工数管理!$AK$3:$AK$98,J$1,工数管理!$M$3:$M$98,"&lt;="&amp;$H125,工数管理!$N$3:$N$98,"&gt;="&amp;$H125)+COUNTIFS(工数管理!$AK$3:$AK$98,J$1,工数管理!$O$3:$O$98,"&lt;="&amp;$H125,工数管理!$P$3:$P$98,"&gt;="&amp;$H125)+COUNTIFS(工数管理!$AK$3:$AK$98,J$1,工数管理!$Q$3:$Q$98,"&lt;="&amp;$H125,工数管理!$R$3:$R$98,"&gt;="&amp;$H125)+COUNTIFS(工数管理!$AK$3:$AK$98,J$1,工数管理!$S$3:$S$98,"&lt;="&amp;$H125,工数管理!$T$3:$T$98,"&gt;="&amp;$H125)+COUNTIFS(工数管理!$AK$3:$AK$98,J$1,工数管理!$U$3:$U$98,"&lt;="&amp;$H125,工数管理!$V$3:$V$98,"&gt;="&amp;$H125)+COUNTIFS(工数管理!$AK$3:$AK$98,J$1,工数管理!$W$3:$W$98,"&lt;="&amp;$H125,工数管理!$X$3:$X$98,"&gt;="&amp;$H125)+COUNTIFS(工数管理!$AK$3:$AK$98,J$1,工数管理!$Y$3:$Y$98,"&lt;="&amp;$H125,工数管理!$Z$3:$Z$98,"&gt;="&amp;$H125)+COUNTIFS(工数管理!$AK$3:$AK$98,J$1,工数管理!$AA$3:$AA$98,"&lt;="&amp;$H125,工数管理!$AB$3:$AB$98,"&gt;="&amp;$H125)+COUNTIFS(工数管理!$AK$3:$AK$98,J$1,工数管理!$AC$3:$AC$98,"&lt;="&amp;$H125,工数管理!$AD$3:$AD$98,"&gt;="&amp;$H125)+COUNTIFS(工数管理!$AK$3:$AK$98,J$1,工数管理!$AE$3:$AE$98,"&lt;="&amp;$H125,工数管理!$AF$3:$AF$98,"&gt;="&amp;$H125)+COUNTIFS(工数管理!$AK$3:$AK$98,J$1,工数管理!$AG$3:$AG$98,"&lt;="&amp;$H125,工数管理!$AH$3:$AH$98,"&gt;="&amp;$H125)+(COUNTIFS(工数管理!$AK$3:$AK$98,J$1,工数管理!$K$3:$K$98,"&lt;="&amp;$H125,工数管理!$L$3:$L$98,"")+COUNTIFS(工数管理!$AK$3:$AK$98,J$1,工数管理!$M$3:$M$98,"&lt;="&amp;$H125,工数管理!$N$3:$N$98,"")+COUNTIFS(工数管理!$AK$3:$AK$98,J$1,工数管理!$O$3:$O$98,"&lt;="&amp;$H125,工数管理!$P$3:$P$98,"")+COUNTIFS(工数管理!$AK$3:$AK$98,J$1,工数管理!$Q$3:$Q$98,"&lt;="&amp;$H125,工数管理!$R$3:$R$98,"")+COUNTIFS(工数管理!$AK$3:$AK$98,J$1,工数管理!$S$3:$S$98,"&lt;="&amp;$H125,工数管理!$T$3:$T$98,"")+COUNTIFS(工数管理!$AK$3:$AK$98,J$1,工数管理!$U$3:$U$98,"&lt;="&amp;$H125,工数管理!$V$3:$V$98,"")+COUNTIFS(工数管理!$AK$3:$AK$98,J$1,工数管理!$W$3:$W$98,"&lt;="&amp;$H125,工数管理!$X$3:$X$98,"")+COUNTIFS(工数管理!$AK$3:$AK$98,J$1,工数管理!$Y$3:$Y$98,"&lt;="&amp;$H125,工数管理!$Z$3:$Z$98,"")+COUNTIFS(工数管理!$AK$3:$AK$98,J$1,工数管理!$AA$3:$AA$98,"&lt;="&amp;$H125,工数管理!$AB$3:$AB$98,"")+COUNTIFS(工数管理!$AK$3:$AK$98,J$1,工数管理!$AC$3:$AC$98,"&lt;="&amp;$H125,工数管理!$AD$3:$AD$98,"")+COUNTIFS(工数管理!$AK$3:$AK$98,J$1,工数管理!$AE$3:$AE$98,"&lt;="&amp;$H125,工数管理!$AF$3:$AF$98,"")+COUNTIFS(工数管理!$AK$3:$AK$98,J$1,工数管理!$AG$3:$AG$98,"&lt;="&amp;$H125,工数管理!$AH$3:$AH$98,""))*($H125&lt;=工数管理!$AI$1))</f>
        <v>1</v>
      </c>
      <c r="K125" s="42">
        <f ca="1">IF(K$1="",0,COUNTIFS(工数管理!$AK$3:$AK$98,K$1,工数管理!$K$3:$K$98,"&lt;="&amp;$H125,工数管理!$L$3:$L$98,"&gt;="&amp;$H125)+COUNTIFS(工数管理!$AK$3:$AK$98,K$1,工数管理!$M$3:$M$98,"&lt;="&amp;$H125,工数管理!$N$3:$N$98,"&gt;="&amp;$H125)+COUNTIFS(工数管理!$AK$3:$AK$98,K$1,工数管理!$O$3:$O$98,"&lt;="&amp;$H125,工数管理!$P$3:$P$98,"&gt;="&amp;$H125)+COUNTIFS(工数管理!$AK$3:$AK$98,K$1,工数管理!$Q$3:$Q$98,"&lt;="&amp;$H125,工数管理!$R$3:$R$98,"&gt;="&amp;$H125)+COUNTIFS(工数管理!$AK$3:$AK$98,K$1,工数管理!$S$3:$S$98,"&lt;="&amp;$H125,工数管理!$T$3:$T$98,"&gt;="&amp;$H125)+COUNTIFS(工数管理!$AK$3:$AK$98,K$1,工数管理!$U$3:$U$98,"&lt;="&amp;$H125,工数管理!$V$3:$V$98,"&gt;="&amp;$H125)+COUNTIFS(工数管理!$AK$3:$AK$98,K$1,工数管理!$W$3:$W$98,"&lt;="&amp;$H125,工数管理!$X$3:$X$98,"&gt;="&amp;$H125)+COUNTIFS(工数管理!$AK$3:$AK$98,K$1,工数管理!$Y$3:$Y$98,"&lt;="&amp;$H125,工数管理!$Z$3:$Z$98,"&gt;="&amp;$H125)+COUNTIFS(工数管理!$AK$3:$AK$98,K$1,工数管理!$AA$3:$AA$98,"&lt;="&amp;$H125,工数管理!$AB$3:$AB$98,"&gt;="&amp;$H125)+COUNTIFS(工数管理!$AK$3:$AK$98,K$1,工数管理!$AC$3:$AC$98,"&lt;="&amp;$H125,工数管理!$AD$3:$AD$98,"&gt;="&amp;$H125)+COUNTIFS(工数管理!$AK$3:$AK$98,K$1,工数管理!$AE$3:$AE$98,"&lt;="&amp;$H125,工数管理!$AF$3:$AF$98,"&gt;="&amp;$H125)+COUNTIFS(工数管理!$AK$3:$AK$98,K$1,工数管理!$AG$3:$AG$98,"&lt;="&amp;$H125,工数管理!$AH$3:$AH$98,"&gt;="&amp;$H125)+(COUNTIFS(工数管理!$AK$3:$AK$98,K$1,工数管理!$K$3:$K$98,"&lt;="&amp;$H125,工数管理!$L$3:$L$98,"")+COUNTIFS(工数管理!$AK$3:$AK$98,K$1,工数管理!$M$3:$M$98,"&lt;="&amp;$H125,工数管理!$N$3:$N$98,"")+COUNTIFS(工数管理!$AK$3:$AK$98,K$1,工数管理!$O$3:$O$98,"&lt;="&amp;$H125,工数管理!$P$3:$P$98,"")+COUNTIFS(工数管理!$AK$3:$AK$98,K$1,工数管理!$Q$3:$Q$98,"&lt;="&amp;$H125,工数管理!$R$3:$R$98,"")+COUNTIFS(工数管理!$AK$3:$AK$98,K$1,工数管理!$S$3:$S$98,"&lt;="&amp;$H125,工数管理!$T$3:$T$98,"")+COUNTIFS(工数管理!$AK$3:$AK$98,K$1,工数管理!$U$3:$U$98,"&lt;="&amp;$H125,工数管理!$V$3:$V$98,"")+COUNTIFS(工数管理!$AK$3:$AK$98,K$1,工数管理!$W$3:$W$98,"&lt;="&amp;$H125,工数管理!$X$3:$X$98,"")+COUNTIFS(工数管理!$AK$3:$AK$98,K$1,工数管理!$Y$3:$Y$98,"&lt;="&amp;$H125,工数管理!$Z$3:$Z$98,"")+COUNTIFS(工数管理!$AK$3:$AK$98,K$1,工数管理!$AA$3:$AA$98,"&lt;="&amp;$H125,工数管理!$AB$3:$AB$98,"")+COUNTIFS(工数管理!$AK$3:$AK$98,K$1,工数管理!$AC$3:$AC$98,"&lt;="&amp;$H125,工数管理!$AD$3:$AD$98,"")+COUNTIFS(工数管理!$AK$3:$AK$98,K$1,工数管理!$AE$3:$AE$98,"&lt;="&amp;$H125,工数管理!$AF$3:$AF$98,"")+COUNTIFS(工数管理!$AK$3:$AK$98,K$1,工数管理!$AG$3:$AG$98,"&lt;="&amp;$H125,工数管理!$AH$3:$AH$98,""))*($H125&lt;=工数管理!$AI$1))</f>
        <v>1</v>
      </c>
      <c r="L125" s="42">
        <f ca="1">IF(L$1="",0,COUNTIFS(工数管理!$AK$3:$AK$98,L$1,工数管理!$K$3:$K$98,"&lt;="&amp;$H125,工数管理!$L$3:$L$98,"&gt;="&amp;$H125)+COUNTIFS(工数管理!$AK$3:$AK$98,L$1,工数管理!$M$3:$M$98,"&lt;="&amp;$H125,工数管理!$N$3:$N$98,"&gt;="&amp;$H125)+COUNTIFS(工数管理!$AK$3:$AK$98,L$1,工数管理!$O$3:$O$98,"&lt;="&amp;$H125,工数管理!$P$3:$P$98,"&gt;="&amp;$H125)+COUNTIFS(工数管理!$AK$3:$AK$98,L$1,工数管理!$Q$3:$Q$98,"&lt;="&amp;$H125,工数管理!$R$3:$R$98,"&gt;="&amp;$H125)+COUNTIFS(工数管理!$AK$3:$AK$98,L$1,工数管理!$S$3:$S$98,"&lt;="&amp;$H125,工数管理!$T$3:$T$98,"&gt;="&amp;$H125)+COUNTIFS(工数管理!$AK$3:$AK$98,L$1,工数管理!$U$3:$U$98,"&lt;="&amp;$H125,工数管理!$V$3:$V$98,"&gt;="&amp;$H125)+COUNTIFS(工数管理!$AK$3:$AK$98,L$1,工数管理!$W$3:$W$98,"&lt;="&amp;$H125,工数管理!$X$3:$X$98,"&gt;="&amp;$H125)+COUNTIFS(工数管理!$AK$3:$AK$98,L$1,工数管理!$Y$3:$Y$98,"&lt;="&amp;$H125,工数管理!$Z$3:$Z$98,"&gt;="&amp;$H125)+COUNTIFS(工数管理!$AK$3:$AK$98,L$1,工数管理!$AA$3:$AA$98,"&lt;="&amp;$H125,工数管理!$AB$3:$AB$98,"&gt;="&amp;$H125)+COUNTIFS(工数管理!$AK$3:$AK$98,L$1,工数管理!$AC$3:$AC$98,"&lt;="&amp;$H125,工数管理!$AD$3:$AD$98,"&gt;="&amp;$H125)+COUNTIFS(工数管理!$AK$3:$AK$98,L$1,工数管理!$AE$3:$AE$98,"&lt;="&amp;$H125,工数管理!$AF$3:$AF$98,"&gt;="&amp;$H125)+COUNTIFS(工数管理!$AK$3:$AK$98,L$1,工数管理!$AG$3:$AG$98,"&lt;="&amp;$H125,工数管理!$AH$3:$AH$98,"&gt;="&amp;$H125)+(COUNTIFS(工数管理!$AK$3:$AK$98,L$1,工数管理!$K$3:$K$98,"&lt;="&amp;$H125,工数管理!$L$3:$L$98,"")+COUNTIFS(工数管理!$AK$3:$AK$98,L$1,工数管理!$M$3:$M$98,"&lt;="&amp;$H125,工数管理!$N$3:$N$98,"")+COUNTIFS(工数管理!$AK$3:$AK$98,L$1,工数管理!$O$3:$O$98,"&lt;="&amp;$H125,工数管理!$P$3:$P$98,"")+COUNTIFS(工数管理!$AK$3:$AK$98,L$1,工数管理!$Q$3:$Q$98,"&lt;="&amp;$H125,工数管理!$R$3:$R$98,"")+COUNTIFS(工数管理!$AK$3:$AK$98,L$1,工数管理!$S$3:$S$98,"&lt;="&amp;$H125,工数管理!$T$3:$T$98,"")+COUNTIFS(工数管理!$AK$3:$AK$98,L$1,工数管理!$U$3:$U$98,"&lt;="&amp;$H125,工数管理!$V$3:$V$98,"")+COUNTIFS(工数管理!$AK$3:$AK$98,L$1,工数管理!$W$3:$W$98,"&lt;="&amp;$H125,工数管理!$X$3:$X$98,"")+COUNTIFS(工数管理!$AK$3:$AK$98,L$1,工数管理!$Y$3:$Y$98,"&lt;="&amp;$H125,工数管理!$Z$3:$Z$98,"")+COUNTIFS(工数管理!$AK$3:$AK$98,L$1,工数管理!$AA$3:$AA$98,"&lt;="&amp;$H125,工数管理!$AB$3:$AB$98,"")+COUNTIFS(工数管理!$AK$3:$AK$98,L$1,工数管理!$AC$3:$AC$98,"&lt;="&amp;$H125,工数管理!$AD$3:$AD$98,"")+COUNTIFS(工数管理!$AK$3:$AK$98,L$1,工数管理!$AE$3:$AE$98,"&lt;="&amp;$H125,工数管理!$AF$3:$AF$98,"")+COUNTIFS(工数管理!$AK$3:$AK$98,L$1,工数管理!$AG$3:$AG$98,"&lt;="&amp;$H125,工数管理!$AH$3:$AH$98,""))*($H125&lt;=工数管理!$AI$1))</f>
        <v>1</v>
      </c>
    </row>
    <row r="126" spans="1:12" x14ac:dyDescent="0.15">
      <c r="A126" s="5"/>
      <c r="B126" s="6"/>
      <c r="H126" s="41">
        <f t="shared" si="3"/>
        <v>46294</v>
      </c>
      <c r="I126" s="42">
        <f t="shared" si="2"/>
        <v>1</v>
      </c>
      <c r="J126" s="42">
        <f ca="1">IF(J$1="",0,COUNTIFS(工数管理!$AK$3:$AK$98,J$1,工数管理!$K$3:$K$98,"&lt;="&amp;$H126,工数管理!$L$3:$L$98,"&gt;="&amp;$H126)+COUNTIFS(工数管理!$AK$3:$AK$98,J$1,工数管理!$M$3:$M$98,"&lt;="&amp;$H126,工数管理!$N$3:$N$98,"&gt;="&amp;$H126)+COUNTIFS(工数管理!$AK$3:$AK$98,J$1,工数管理!$O$3:$O$98,"&lt;="&amp;$H126,工数管理!$P$3:$P$98,"&gt;="&amp;$H126)+COUNTIFS(工数管理!$AK$3:$AK$98,J$1,工数管理!$Q$3:$Q$98,"&lt;="&amp;$H126,工数管理!$R$3:$R$98,"&gt;="&amp;$H126)+COUNTIFS(工数管理!$AK$3:$AK$98,J$1,工数管理!$S$3:$S$98,"&lt;="&amp;$H126,工数管理!$T$3:$T$98,"&gt;="&amp;$H126)+COUNTIFS(工数管理!$AK$3:$AK$98,J$1,工数管理!$U$3:$U$98,"&lt;="&amp;$H126,工数管理!$V$3:$V$98,"&gt;="&amp;$H126)+COUNTIFS(工数管理!$AK$3:$AK$98,J$1,工数管理!$W$3:$W$98,"&lt;="&amp;$H126,工数管理!$X$3:$X$98,"&gt;="&amp;$H126)+COUNTIFS(工数管理!$AK$3:$AK$98,J$1,工数管理!$Y$3:$Y$98,"&lt;="&amp;$H126,工数管理!$Z$3:$Z$98,"&gt;="&amp;$H126)+COUNTIFS(工数管理!$AK$3:$AK$98,J$1,工数管理!$AA$3:$AA$98,"&lt;="&amp;$H126,工数管理!$AB$3:$AB$98,"&gt;="&amp;$H126)+COUNTIFS(工数管理!$AK$3:$AK$98,J$1,工数管理!$AC$3:$AC$98,"&lt;="&amp;$H126,工数管理!$AD$3:$AD$98,"&gt;="&amp;$H126)+COUNTIFS(工数管理!$AK$3:$AK$98,J$1,工数管理!$AE$3:$AE$98,"&lt;="&amp;$H126,工数管理!$AF$3:$AF$98,"&gt;="&amp;$H126)+COUNTIFS(工数管理!$AK$3:$AK$98,J$1,工数管理!$AG$3:$AG$98,"&lt;="&amp;$H126,工数管理!$AH$3:$AH$98,"&gt;="&amp;$H126)+(COUNTIFS(工数管理!$AK$3:$AK$98,J$1,工数管理!$K$3:$K$98,"&lt;="&amp;$H126,工数管理!$L$3:$L$98,"")+COUNTIFS(工数管理!$AK$3:$AK$98,J$1,工数管理!$M$3:$M$98,"&lt;="&amp;$H126,工数管理!$N$3:$N$98,"")+COUNTIFS(工数管理!$AK$3:$AK$98,J$1,工数管理!$O$3:$O$98,"&lt;="&amp;$H126,工数管理!$P$3:$P$98,"")+COUNTIFS(工数管理!$AK$3:$AK$98,J$1,工数管理!$Q$3:$Q$98,"&lt;="&amp;$H126,工数管理!$R$3:$R$98,"")+COUNTIFS(工数管理!$AK$3:$AK$98,J$1,工数管理!$S$3:$S$98,"&lt;="&amp;$H126,工数管理!$T$3:$T$98,"")+COUNTIFS(工数管理!$AK$3:$AK$98,J$1,工数管理!$U$3:$U$98,"&lt;="&amp;$H126,工数管理!$V$3:$V$98,"")+COUNTIFS(工数管理!$AK$3:$AK$98,J$1,工数管理!$W$3:$W$98,"&lt;="&amp;$H126,工数管理!$X$3:$X$98,"")+COUNTIFS(工数管理!$AK$3:$AK$98,J$1,工数管理!$Y$3:$Y$98,"&lt;="&amp;$H126,工数管理!$Z$3:$Z$98,"")+COUNTIFS(工数管理!$AK$3:$AK$98,J$1,工数管理!$AA$3:$AA$98,"&lt;="&amp;$H126,工数管理!$AB$3:$AB$98,"")+COUNTIFS(工数管理!$AK$3:$AK$98,J$1,工数管理!$AC$3:$AC$98,"&lt;="&amp;$H126,工数管理!$AD$3:$AD$98,"")+COUNTIFS(工数管理!$AK$3:$AK$98,J$1,工数管理!$AE$3:$AE$98,"&lt;="&amp;$H126,工数管理!$AF$3:$AF$98,"")+COUNTIFS(工数管理!$AK$3:$AK$98,J$1,工数管理!$AG$3:$AG$98,"&lt;="&amp;$H126,工数管理!$AH$3:$AH$98,""))*($H126&lt;=工数管理!$AI$1))</f>
        <v>1</v>
      </c>
      <c r="K126" s="42">
        <f ca="1">IF(K$1="",0,COUNTIFS(工数管理!$AK$3:$AK$98,K$1,工数管理!$K$3:$K$98,"&lt;="&amp;$H126,工数管理!$L$3:$L$98,"&gt;="&amp;$H126)+COUNTIFS(工数管理!$AK$3:$AK$98,K$1,工数管理!$M$3:$M$98,"&lt;="&amp;$H126,工数管理!$N$3:$N$98,"&gt;="&amp;$H126)+COUNTIFS(工数管理!$AK$3:$AK$98,K$1,工数管理!$O$3:$O$98,"&lt;="&amp;$H126,工数管理!$P$3:$P$98,"&gt;="&amp;$H126)+COUNTIFS(工数管理!$AK$3:$AK$98,K$1,工数管理!$Q$3:$Q$98,"&lt;="&amp;$H126,工数管理!$R$3:$R$98,"&gt;="&amp;$H126)+COUNTIFS(工数管理!$AK$3:$AK$98,K$1,工数管理!$S$3:$S$98,"&lt;="&amp;$H126,工数管理!$T$3:$T$98,"&gt;="&amp;$H126)+COUNTIFS(工数管理!$AK$3:$AK$98,K$1,工数管理!$U$3:$U$98,"&lt;="&amp;$H126,工数管理!$V$3:$V$98,"&gt;="&amp;$H126)+COUNTIFS(工数管理!$AK$3:$AK$98,K$1,工数管理!$W$3:$W$98,"&lt;="&amp;$H126,工数管理!$X$3:$X$98,"&gt;="&amp;$H126)+COUNTIFS(工数管理!$AK$3:$AK$98,K$1,工数管理!$Y$3:$Y$98,"&lt;="&amp;$H126,工数管理!$Z$3:$Z$98,"&gt;="&amp;$H126)+COUNTIFS(工数管理!$AK$3:$AK$98,K$1,工数管理!$AA$3:$AA$98,"&lt;="&amp;$H126,工数管理!$AB$3:$AB$98,"&gt;="&amp;$H126)+COUNTIFS(工数管理!$AK$3:$AK$98,K$1,工数管理!$AC$3:$AC$98,"&lt;="&amp;$H126,工数管理!$AD$3:$AD$98,"&gt;="&amp;$H126)+COUNTIFS(工数管理!$AK$3:$AK$98,K$1,工数管理!$AE$3:$AE$98,"&lt;="&amp;$H126,工数管理!$AF$3:$AF$98,"&gt;="&amp;$H126)+COUNTIFS(工数管理!$AK$3:$AK$98,K$1,工数管理!$AG$3:$AG$98,"&lt;="&amp;$H126,工数管理!$AH$3:$AH$98,"&gt;="&amp;$H126)+(COUNTIFS(工数管理!$AK$3:$AK$98,K$1,工数管理!$K$3:$K$98,"&lt;="&amp;$H126,工数管理!$L$3:$L$98,"")+COUNTIFS(工数管理!$AK$3:$AK$98,K$1,工数管理!$M$3:$M$98,"&lt;="&amp;$H126,工数管理!$N$3:$N$98,"")+COUNTIFS(工数管理!$AK$3:$AK$98,K$1,工数管理!$O$3:$O$98,"&lt;="&amp;$H126,工数管理!$P$3:$P$98,"")+COUNTIFS(工数管理!$AK$3:$AK$98,K$1,工数管理!$Q$3:$Q$98,"&lt;="&amp;$H126,工数管理!$R$3:$R$98,"")+COUNTIFS(工数管理!$AK$3:$AK$98,K$1,工数管理!$S$3:$S$98,"&lt;="&amp;$H126,工数管理!$T$3:$T$98,"")+COUNTIFS(工数管理!$AK$3:$AK$98,K$1,工数管理!$U$3:$U$98,"&lt;="&amp;$H126,工数管理!$V$3:$V$98,"")+COUNTIFS(工数管理!$AK$3:$AK$98,K$1,工数管理!$W$3:$W$98,"&lt;="&amp;$H126,工数管理!$X$3:$X$98,"")+COUNTIFS(工数管理!$AK$3:$AK$98,K$1,工数管理!$Y$3:$Y$98,"&lt;="&amp;$H126,工数管理!$Z$3:$Z$98,"")+COUNTIFS(工数管理!$AK$3:$AK$98,K$1,工数管理!$AA$3:$AA$98,"&lt;="&amp;$H126,工数管理!$AB$3:$AB$98,"")+COUNTIFS(工数管理!$AK$3:$AK$98,K$1,工数管理!$AC$3:$AC$98,"&lt;="&amp;$H126,工数管理!$AD$3:$AD$98,"")+COUNTIFS(工数管理!$AK$3:$AK$98,K$1,工数管理!$AE$3:$AE$98,"&lt;="&amp;$H126,工数管理!$AF$3:$AF$98,"")+COUNTIFS(工数管理!$AK$3:$AK$98,K$1,工数管理!$AG$3:$AG$98,"&lt;="&amp;$H126,工数管理!$AH$3:$AH$98,""))*($H126&lt;=工数管理!$AI$1))</f>
        <v>1</v>
      </c>
      <c r="L126" s="42">
        <f ca="1">IF(L$1="",0,COUNTIFS(工数管理!$AK$3:$AK$98,L$1,工数管理!$K$3:$K$98,"&lt;="&amp;$H126,工数管理!$L$3:$L$98,"&gt;="&amp;$H126)+COUNTIFS(工数管理!$AK$3:$AK$98,L$1,工数管理!$M$3:$M$98,"&lt;="&amp;$H126,工数管理!$N$3:$N$98,"&gt;="&amp;$H126)+COUNTIFS(工数管理!$AK$3:$AK$98,L$1,工数管理!$O$3:$O$98,"&lt;="&amp;$H126,工数管理!$P$3:$P$98,"&gt;="&amp;$H126)+COUNTIFS(工数管理!$AK$3:$AK$98,L$1,工数管理!$Q$3:$Q$98,"&lt;="&amp;$H126,工数管理!$R$3:$R$98,"&gt;="&amp;$H126)+COUNTIFS(工数管理!$AK$3:$AK$98,L$1,工数管理!$S$3:$S$98,"&lt;="&amp;$H126,工数管理!$T$3:$T$98,"&gt;="&amp;$H126)+COUNTIFS(工数管理!$AK$3:$AK$98,L$1,工数管理!$U$3:$U$98,"&lt;="&amp;$H126,工数管理!$V$3:$V$98,"&gt;="&amp;$H126)+COUNTIFS(工数管理!$AK$3:$AK$98,L$1,工数管理!$W$3:$W$98,"&lt;="&amp;$H126,工数管理!$X$3:$X$98,"&gt;="&amp;$H126)+COUNTIFS(工数管理!$AK$3:$AK$98,L$1,工数管理!$Y$3:$Y$98,"&lt;="&amp;$H126,工数管理!$Z$3:$Z$98,"&gt;="&amp;$H126)+COUNTIFS(工数管理!$AK$3:$AK$98,L$1,工数管理!$AA$3:$AA$98,"&lt;="&amp;$H126,工数管理!$AB$3:$AB$98,"&gt;="&amp;$H126)+COUNTIFS(工数管理!$AK$3:$AK$98,L$1,工数管理!$AC$3:$AC$98,"&lt;="&amp;$H126,工数管理!$AD$3:$AD$98,"&gt;="&amp;$H126)+COUNTIFS(工数管理!$AK$3:$AK$98,L$1,工数管理!$AE$3:$AE$98,"&lt;="&amp;$H126,工数管理!$AF$3:$AF$98,"&gt;="&amp;$H126)+COUNTIFS(工数管理!$AK$3:$AK$98,L$1,工数管理!$AG$3:$AG$98,"&lt;="&amp;$H126,工数管理!$AH$3:$AH$98,"&gt;="&amp;$H126)+(COUNTIFS(工数管理!$AK$3:$AK$98,L$1,工数管理!$K$3:$K$98,"&lt;="&amp;$H126,工数管理!$L$3:$L$98,"")+COUNTIFS(工数管理!$AK$3:$AK$98,L$1,工数管理!$M$3:$M$98,"&lt;="&amp;$H126,工数管理!$N$3:$N$98,"")+COUNTIFS(工数管理!$AK$3:$AK$98,L$1,工数管理!$O$3:$O$98,"&lt;="&amp;$H126,工数管理!$P$3:$P$98,"")+COUNTIFS(工数管理!$AK$3:$AK$98,L$1,工数管理!$Q$3:$Q$98,"&lt;="&amp;$H126,工数管理!$R$3:$R$98,"")+COUNTIFS(工数管理!$AK$3:$AK$98,L$1,工数管理!$S$3:$S$98,"&lt;="&amp;$H126,工数管理!$T$3:$T$98,"")+COUNTIFS(工数管理!$AK$3:$AK$98,L$1,工数管理!$U$3:$U$98,"&lt;="&amp;$H126,工数管理!$V$3:$V$98,"")+COUNTIFS(工数管理!$AK$3:$AK$98,L$1,工数管理!$W$3:$W$98,"&lt;="&amp;$H126,工数管理!$X$3:$X$98,"")+COUNTIFS(工数管理!$AK$3:$AK$98,L$1,工数管理!$Y$3:$Y$98,"&lt;="&amp;$H126,工数管理!$Z$3:$Z$98,"")+COUNTIFS(工数管理!$AK$3:$AK$98,L$1,工数管理!$AA$3:$AA$98,"&lt;="&amp;$H126,工数管理!$AB$3:$AB$98,"")+COUNTIFS(工数管理!$AK$3:$AK$98,L$1,工数管理!$AC$3:$AC$98,"&lt;="&amp;$H126,工数管理!$AD$3:$AD$98,"")+COUNTIFS(工数管理!$AK$3:$AK$98,L$1,工数管理!$AE$3:$AE$98,"&lt;="&amp;$H126,工数管理!$AF$3:$AF$98,"")+COUNTIFS(工数管理!$AK$3:$AK$98,L$1,工数管理!$AG$3:$AG$98,"&lt;="&amp;$H126,工数管理!$AH$3:$AH$98,""))*($H126&lt;=工数管理!$AI$1))</f>
        <v>1</v>
      </c>
    </row>
    <row r="127" spans="1:12" x14ac:dyDescent="0.15">
      <c r="A127" s="5"/>
      <c r="B127" s="6"/>
      <c r="H127" s="41">
        <f t="shared" si="3"/>
        <v>46295</v>
      </c>
      <c r="I127" s="42">
        <f t="shared" si="2"/>
        <v>1</v>
      </c>
      <c r="J127" s="42">
        <f ca="1">IF(J$1="",0,COUNTIFS(工数管理!$AK$3:$AK$98,J$1,工数管理!$K$3:$K$98,"&lt;="&amp;$H127,工数管理!$L$3:$L$98,"&gt;="&amp;$H127)+COUNTIFS(工数管理!$AK$3:$AK$98,J$1,工数管理!$M$3:$M$98,"&lt;="&amp;$H127,工数管理!$N$3:$N$98,"&gt;="&amp;$H127)+COUNTIFS(工数管理!$AK$3:$AK$98,J$1,工数管理!$O$3:$O$98,"&lt;="&amp;$H127,工数管理!$P$3:$P$98,"&gt;="&amp;$H127)+COUNTIFS(工数管理!$AK$3:$AK$98,J$1,工数管理!$Q$3:$Q$98,"&lt;="&amp;$H127,工数管理!$R$3:$R$98,"&gt;="&amp;$H127)+COUNTIFS(工数管理!$AK$3:$AK$98,J$1,工数管理!$S$3:$S$98,"&lt;="&amp;$H127,工数管理!$T$3:$T$98,"&gt;="&amp;$H127)+COUNTIFS(工数管理!$AK$3:$AK$98,J$1,工数管理!$U$3:$U$98,"&lt;="&amp;$H127,工数管理!$V$3:$V$98,"&gt;="&amp;$H127)+COUNTIFS(工数管理!$AK$3:$AK$98,J$1,工数管理!$W$3:$W$98,"&lt;="&amp;$H127,工数管理!$X$3:$X$98,"&gt;="&amp;$H127)+COUNTIFS(工数管理!$AK$3:$AK$98,J$1,工数管理!$Y$3:$Y$98,"&lt;="&amp;$H127,工数管理!$Z$3:$Z$98,"&gt;="&amp;$H127)+COUNTIFS(工数管理!$AK$3:$AK$98,J$1,工数管理!$AA$3:$AA$98,"&lt;="&amp;$H127,工数管理!$AB$3:$AB$98,"&gt;="&amp;$H127)+COUNTIFS(工数管理!$AK$3:$AK$98,J$1,工数管理!$AC$3:$AC$98,"&lt;="&amp;$H127,工数管理!$AD$3:$AD$98,"&gt;="&amp;$H127)+COUNTIFS(工数管理!$AK$3:$AK$98,J$1,工数管理!$AE$3:$AE$98,"&lt;="&amp;$H127,工数管理!$AF$3:$AF$98,"&gt;="&amp;$H127)+COUNTIFS(工数管理!$AK$3:$AK$98,J$1,工数管理!$AG$3:$AG$98,"&lt;="&amp;$H127,工数管理!$AH$3:$AH$98,"&gt;="&amp;$H127)+(COUNTIFS(工数管理!$AK$3:$AK$98,J$1,工数管理!$K$3:$K$98,"&lt;="&amp;$H127,工数管理!$L$3:$L$98,"")+COUNTIFS(工数管理!$AK$3:$AK$98,J$1,工数管理!$M$3:$M$98,"&lt;="&amp;$H127,工数管理!$N$3:$N$98,"")+COUNTIFS(工数管理!$AK$3:$AK$98,J$1,工数管理!$O$3:$O$98,"&lt;="&amp;$H127,工数管理!$P$3:$P$98,"")+COUNTIFS(工数管理!$AK$3:$AK$98,J$1,工数管理!$Q$3:$Q$98,"&lt;="&amp;$H127,工数管理!$R$3:$R$98,"")+COUNTIFS(工数管理!$AK$3:$AK$98,J$1,工数管理!$S$3:$S$98,"&lt;="&amp;$H127,工数管理!$T$3:$T$98,"")+COUNTIFS(工数管理!$AK$3:$AK$98,J$1,工数管理!$U$3:$U$98,"&lt;="&amp;$H127,工数管理!$V$3:$V$98,"")+COUNTIFS(工数管理!$AK$3:$AK$98,J$1,工数管理!$W$3:$W$98,"&lt;="&amp;$H127,工数管理!$X$3:$X$98,"")+COUNTIFS(工数管理!$AK$3:$AK$98,J$1,工数管理!$Y$3:$Y$98,"&lt;="&amp;$H127,工数管理!$Z$3:$Z$98,"")+COUNTIFS(工数管理!$AK$3:$AK$98,J$1,工数管理!$AA$3:$AA$98,"&lt;="&amp;$H127,工数管理!$AB$3:$AB$98,"")+COUNTIFS(工数管理!$AK$3:$AK$98,J$1,工数管理!$AC$3:$AC$98,"&lt;="&amp;$H127,工数管理!$AD$3:$AD$98,"")+COUNTIFS(工数管理!$AK$3:$AK$98,J$1,工数管理!$AE$3:$AE$98,"&lt;="&amp;$H127,工数管理!$AF$3:$AF$98,"")+COUNTIFS(工数管理!$AK$3:$AK$98,J$1,工数管理!$AG$3:$AG$98,"&lt;="&amp;$H127,工数管理!$AH$3:$AH$98,""))*($H127&lt;=工数管理!$AI$1))</f>
        <v>1</v>
      </c>
      <c r="K127" s="42">
        <f ca="1">IF(K$1="",0,COUNTIFS(工数管理!$AK$3:$AK$98,K$1,工数管理!$K$3:$K$98,"&lt;="&amp;$H127,工数管理!$L$3:$L$98,"&gt;="&amp;$H127)+COUNTIFS(工数管理!$AK$3:$AK$98,K$1,工数管理!$M$3:$M$98,"&lt;="&amp;$H127,工数管理!$N$3:$N$98,"&gt;="&amp;$H127)+COUNTIFS(工数管理!$AK$3:$AK$98,K$1,工数管理!$O$3:$O$98,"&lt;="&amp;$H127,工数管理!$P$3:$P$98,"&gt;="&amp;$H127)+COUNTIFS(工数管理!$AK$3:$AK$98,K$1,工数管理!$Q$3:$Q$98,"&lt;="&amp;$H127,工数管理!$R$3:$R$98,"&gt;="&amp;$H127)+COUNTIFS(工数管理!$AK$3:$AK$98,K$1,工数管理!$S$3:$S$98,"&lt;="&amp;$H127,工数管理!$T$3:$T$98,"&gt;="&amp;$H127)+COUNTIFS(工数管理!$AK$3:$AK$98,K$1,工数管理!$U$3:$U$98,"&lt;="&amp;$H127,工数管理!$V$3:$V$98,"&gt;="&amp;$H127)+COUNTIFS(工数管理!$AK$3:$AK$98,K$1,工数管理!$W$3:$W$98,"&lt;="&amp;$H127,工数管理!$X$3:$X$98,"&gt;="&amp;$H127)+COUNTIFS(工数管理!$AK$3:$AK$98,K$1,工数管理!$Y$3:$Y$98,"&lt;="&amp;$H127,工数管理!$Z$3:$Z$98,"&gt;="&amp;$H127)+COUNTIFS(工数管理!$AK$3:$AK$98,K$1,工数管理!$AA$3:$AA$98,"&lt;="&amp;$H127,工数管理!$AB$3:$AB$98,"&gt;="&amp;$H127)+COUNTIFS(工数管理!$AK$3:$AK$98,K$1,工数管理!$AC$3:$AC$98,"&lt;="&amp;$H127,工数管理!$AD$3:$AD$98,"&gt;="&amp;$H127)+COUNTIFS(工数管理!$AK$3:$AK$98,K$1,工数管理!$AE$3:$AE$98,"&lt;="&amp;$H127,工数管理!$AF$3:$AF$98,"&gt;="&amp;$H127)+COUNTIFS(工数管理!$AK$3:$AK$98,K$1,工数管理!$AG$3:$AG$98,"&lt;="&amp;$H127,工数管理!$AH$3:$AH$98,"&gt;="&amp;$H127)+(COUNTIFS(工数管理!$AK$3:$AK$98,K$1,工数管理!$K$3:$K$98,"&lt;="&amp;$H127,工数管理!$L$3:$L$98,"")+COUNTIFS(工数管理!$AK$3:$AK$98,K$1,工数管理!$M$3:$M$98,"&lt;="&amp;$H127,工数管理!$N$3:$N$98,"")+COUNTIFS(工数管理!$AK$3:$AK$98,K$1,工数管理!$O$3:$O$98,"&lt;="&amp;$H127,工数管理!$P$3:$P$98,"")+COUNTIFS(工数管理!$AK$3:$AK$98,K$1,工数管理!$Q$3:$Q$98,"&lt;="&amp;$H127,工数管理!$R$3:$R$98,"")+COUNTIFS(工数管理!$AK$3:$AK$98,K$1,工数管理!$S$3:$S$98,"&lt;="&amp;$H127,工数管理!$T$3:$T$98,"")+COUNTIFS(工数管理!$AK$3:$AK$98,K$1,工数管理!$U$3:$U$98,"&lt;="&amp;$H127,工数管理!$V$3:$V$98,"")+COUNTIFS(工数管理!$AK$3:$AK$98,K$1,工数管理!$W$3:$W$98,"&lt;="&amp;$H127,工数管理!$X$3:$X$98,"")+COUNTIFS(工数管理!$AK$3:$AK$98,K$1,工数管理!$Y$3:$Y$98,"&lt;="&amp;$H127,工数管理!$Z$3:$Z$98,"")+COUNTIFS(工数管理!$AK$3:$AK$98,K$1,工数管理!$AA$3:$AA$98,"&lt;="&amp;$H127,工数管理!$AB$3:$AB$98,"")+COUNTIFS(工数管理!$AK$3:$AK$98,K$1,工数管理!$AC$3:$AC$98,"&lt;="&amp;$H127,工数管理!$AD$3:$AD$98,"")+COUNTIFS(工数管理!$AK$3:$AK$98,K$1,工数管理!$AE$3:$AE$98,"&lt;="&amp;$H127,工数管理!$AF$3:$AF$98,"")+COUNTIFS(工数管理!$AK$3:$AK$98,K$1,工数管理!$AG$3:$AG$98,"&lt;="&amp;$H127,工数管理!$AH$3:$AH$98,""))*($H127&lt;=工数管理!$AI$1))</f>
        <v>1</v>
      </c>
      <c r="L127" s="42">
        <f ca="1">IF(L$1="",0,COUNTIFS(工数管理!$AK$3:$AK$98,L$1,工数管理!$K$3:$K$98,"&lt;="&amp;$H127,工数管理!$L$3:$L$98,"&gt;="&amp;$H127)+COUNTIFS(工数管理!$AK$3:$AK$98,L$1,工数管理!$M$3:$M$98,"&lt;="&amp;$H127,工数管理!$N$3:$N$98,"&gt;="&amp;$H127)+COUNTIFS(工数管理!$AK$3:$AK$98,L$1,工数管理!$O$3:$O$98,"&lt;="&amp;$H127,工数管理!$P$3:$P$98,"&gt;="&amp;$H127)+COUNTIFS(工数管理!$AK$3:$AK$98,L$1,工数管理!$Q$3:$Q$98,"&lt;="&amp;$H127,工数管理!$R$3:$R$98,"&gt;="&amp;$H127)+COUNTIFS(工数管理!$AK$3:$AK$98,L$1,工数管理!$S$3:$S$98,"&lt;="&amp;$H127,工数管理!$T$3:$T$98,"&gt;="&amp;$H127)+COUNTIFS(工数管理!$AK$3:$AK$98,L$1,工数管理!$U$3:$U$98,"&lt;="&amp;$H127,工数管理!$V$3:$V$98,"&gt;="&amp;$H127)+COUNTIFS(工数管理!$AK$3:$AK$98,L$1,工数管理!$W$3:$W$98,"&lt;="&amp;$H127,工数管理!$X$3:$X$98,"&gt;="&amp;$H127)+COUNTIFS(工数管理!$AK$3:$AK$98,L$1,工数管理!$Y$3:$Y$98,"&lt;="&amp;$H127,工数管理!$Z$3:$Z$98,"&gt;="&amp;$H127)+COUNTIFS(工数管理!$AK$3:$AK$98,L$1,工数管理!$AA$3:$AA$98,"&lt;="&amp;$H127,工数管理!$AB$3:$AB$98,"&gt;="&amp;$H127)+COUNTIFS(工数管理!$AK$3:$AK$98,L$1,工数管理!$AC$3:$AC$98,"&lt;="&amp;$H127,工数管理!$AD$3:$AD$98,"&gt;="&amp;$H127)+COUNTIFS(工数管理!$AK$3:$AK$98,L$1,工数管理!$AE$3:$AE$98,"&lt;="&amp;$H127,工数管理!$AF$3:$AF$98,"&gt;="&amp;$H127)+COUNTIFS(工数管理!$AK$3:$AK$98,L$1,工数管理!$AG$3:$AG$98,"&lt;="&amp;$H127,工数管理!$AH$3:$AH$98,"&gt;="&amp;$H127)+(COUNTIFS(工数管理!$AK$3:$AK$98,L$1,工数管理!$K$3:$K$98,"&lt;="&amp;$H127,工数管理!$L$3:$L$98,"")+COUNTIFS(工数管理!$AK$3:$AK$98,L$1,工数管理!$M$3:$M$98,"&lt;="&amp;$H127,工数管理!$N$3:$N$98,"")+COUNTIFS(工数管理!$AK$3:$AK$98,L$1,工数管理!$O$3:$O$98,"&lt;="&amp;$H127,工数管理!$P$3:$P$98,"")+COUNTIFS(工数管理!$AK$3:$AK$98,L$1,工数管理!$Q$3:$Q$98,"&lt;="&amp;$H127,工数管理!$R$3:$R$98,"")+COUNTIFS(工数管理!$AK$3:$AK$98,L$1,工数管理!$S$3:$S$98,"&lt;="&amp;$H127,工数管理!$T$3:$T$98,"")+COUNTIFS(工数管理!$AK$3:$AK$98,L$1,工数管理!$U$3:$U$98,"&lt;="&amp;$H127,工数管理!$V$3:$V$98,"")+COUNTIFS(工数管理!$AK$3:$AK$98,L$1,工数管理!$W$3:$W$98,"&lt;="&amp;$H127,工数管理!$X$3:$X$98,"")+COUNTIFS(工数管理!$AK$3:$AK$98,L$1,工数管理!$Y$3:$Y$98,"&lt;="&amp;$H127,工数管理!$Z$3:$Z$98,"")+COUNTIFS(工数管理!$AK$3:$AK$98,L$1,工数管理!$AA$3:$AA$98,"&lt;="&amp;$H127,工数管理!$AB$3:$AB$98,"")+COUNTIFS(工数管理!$AK$3:$AK$98,L$1,工数管理!$AC$3:$AC$98,"&lt;="&amp;$H127,工数管理!$AD$3:$AD$98,"")+COUNTIFS(工数管理!$AK$3:$AK$98,L$1,工数管理!$AE$3:$AE$98,"&lt;="&amp;$H127,工数管理!$AF$3:$AF$98,"")+COUNTIFS(工数管理!$AK$3:$AK$98,L$1,工数管理!$AG$3:$AG$98,"&lt;="&amp;$H127,工数管理!$AH$3:$AH$98,""))*($H127&lt;=工数管理!$AI$1))</f>
        <v>1</v>
      </c>
    </row>
    <row r="128" spans="1:12" x14ac:dyDescent="0.15">
      <c r="A128" s="5"/>
      <c r="B128" s="6"/>
      <c r="H128" s="41">
        <f t="shared" si="3"/>
        <v>46296</v>
      </c>
      <c r="I128" s="42">
        <f t="shared" si="2"/>
        <v>1</v>
      </c>
      <c r="J128" s="42">
        <f ca="1">IF(J$1="",0,COUNTIFS(工数管理!$AK$3:$AK$98,J$1,工数管理!$K$3:$K$98,"&lt;="&amp;$H128,工数管理!$L$3:$L$98,"&gt;="&amp;$H128)+COUNTIFS(工数管理!$AK$3:$AK$98,J$1,工数管理!$M$3:$M$98,"&lt;="&amp;$H128,工数管理!$N$3:$N$98,"&gt;="&amp;$H128)+COUNTIFS(工数管理!$AK$3:$AK$98,J$1,工数管理!$O$3:$O$98,"&lt;="&amp;$H128,工数管理!$P$3:$P$98,"&gt;="&amp;$H128)+COUNTIFS(工数管理!$AK$3:$AK$98,J$1,工数管理!$Q$3:$Q$98,"&lt;="&amp;$H128,工数管理!$R$3:$R$98,"&gt;="&amp;$H128)+COUNTIFS(工数管理!$AK$3:$AK$98,J$1,工数管理!$S$3:$S$98,"&lt;="&amp;$H128,工数管理!$T$3:$T$98,"&gt;="&amp;$H128)+COUNTIFS(工数管理!$AK$3:$AK$98,J$1,工数管理!$U$3:$U$98,"&lt;="&amp;$H128,工数管理!$V$3:$V$98,"&gt;="&amp;$H128)+COUNTIFS(工数管理!$AK$3:$AK$98,J$1,工数管理!$W$3:$W$98,"&lt;="&amp;$H128,工数管理!$X$3:$X$98,"&gt;="&amp;$H128)+COUNTIFS(工数管理!$AK$3:$AK$98,J$1,工数管理!$Y$3:$Y$98,"&lt;="&amp;$H128,工数管理!$Z$3:$Z$98,"&gt;="&amp;$H128)+COUNTIFS(工数管理!$AK$3:$AK$98,J$1,工数管理!$AA$3:$AA$98,"&lt;="&amp;$H128,工数管理!$AB$3:$AB$98,"&gt;="&amp;$H128)+COUNTIFS(工数管理!$AK$3:$AK$98,J$1,工数管理!$AC$3:$AC$98,"&lt;="&amp;$H128,工数管理!$AD$3:$AD$98,"&gt;="&amp;$H128)+COUNTIFS(工数管理!$AK$3:$AK$98,J$1,工数管理!$AE$3:$AE$98,"&lt;="&amp;$H128,工数管理!$AF$3:$AF$98,"&gt;="&amp;$H128)+COUNTIFS(工数管理!$AK$3:$AK$98,J$1,工数管理!$AG$3:$AG$98,"&lt;="&amp;$H128,工数管理!$AH$3:$AH$98,"&gt;="&amp;$H128)+(COUNTIFS(工数管理!$AK$3:$AK$98,J$1,工数管理!$K$3:$K$98,"&lt;="&amp;$H128,工数管理!$L$3:$L$98,"")+COUNTIFS(工数管理!$AK$3:$AK$98,J$1,工数管理!$M$3:$M$98,"&lt;="&amp;$H128,工数管理!$N$3:$N$98,"")+COUNTIFS(工数管理!$AK$3:$AK$98,J$1,工数管理!$O$3:$O$98,"&lt;="&amp;$H128,工数管理!$P$3:$P$98,"")+COUNTIFS(工数管理!$AK$3:$AK$98,J$1,工数管理!$Q$3:$Q$98,"&lt;="&amp;$H128,工数管理!$R$3:$R$98,"")+COUNTIFS(工数管理!$AK$3:$AK$98,J$1,工数管理!$S$3:$S$98,"&lt;="&amp;$H128,工数管理!$T$3:$T$98,"")+COUNTIFS(工数管理!$AK$3:$AK$98,J$1,工数管理!$U$3:$U$98,"&lt;="&amp;$H128,工数管理!$V$3:$V$98,"")+COUNTIFS(工数管理!$AK$3:$AK$98,J$1,工数管理!$W$3:$W$98,"&lt;="&amp;$H128,工数管理!$X$3:$X$98,"")+COUNTIFS(工数管理!$AK$3:$AK$98,J$1,工数管理!$Y$3:$Y$98,"&lt;="&amp;$H128,工数管理!$Z$3:$Z$98,"")+COUNTIFS(工数管理!$AK$3:$AK$98,J$1,工数管理!$AA$3:$AA$98,"&lt;="&amp;$H128,工数管理!$AB$3:$AB$98,"")+COUNTIFS(工数管理!$AK$3:$AK$98,J$1,工数管理!$AC$3:$AC$98,"&lt;="&amp;$H128,工数管理!$AD$3:$AD$98,"")+COUNTIFS(工数管理!$AK$3:$AK$98,J$1,工数管理!$AE$3:$AE$98,"&lt;="&amp;$H128,工数管理!$AF$3:$AF$98,"")+COUNTIFS(工数管理!$AK$3:$AK$98,J$1,工数管理!$AG$3:$AG$98,"&lt;="&amp;$H128,工数管理!$AH$3:$AH$98,""))*($H128&lt;=工数管理!$AI$1))</f>
        <v>1</v>
      </c>
      <c r="K128" s="42">
        <f ca="1">IF(K$1="",0,COUNTIFS(工数管理!$AK$3:$AK$98,K$1,工数管理!$K$3:$K$98,"&lt;="&amp;$H128,工数管理!$L$3:$L$98,"&gt;="&amp;$H128)+COUNTIFS(工数管理!$AK$3:$AK$98,K$1,工数管理!$M$3:$M$98,"&lt;="&amp;$H128,工数管理!$N$3:$N$98,"&gt;="&amp;$H128)+COUNTIFS(工数管理!$AK$3:$AK$98,K$1,工数管理!$O$3:$O$98,"&lt;="&amp;$H128,工数管理!$P$3:$P$98,"&gt;="&amp;$H128)+COUNTIFS(工数管理!$AK$3:$AK$98,K$1,工数管理!$Q$3:$Q$98,"&lt;="&amp;$H128,工数管理!$R$3:$R$98,"&gt;="&amp;$H128)+COUNTIFS(工数管理!$AK$3:$AK$98,K$1,工数管理!$S$3:$S$98,"&lt;="&amp;$H128,工数管理!$T$3:$T$98,"&gt;="&amp;$H128)+COUNTIFS(工数管理!$AK$3:$AK$98,K$1,工数管理!$U$3:$U$98,"&lt;="&amp;$H128,工数管理!$V$3:$V$98,"&gt;="&amp;$H128)+COUNTIFS(工数管理!$AK$3:$AK$98,K$1,工数管理!$W$3:$W$98,"&lt;="&amp;$H128,工数管理!$X$3:$X$98,"&gt;="&amp;$H128)+COUNTIFS(工数管理!$AK$3:$AK$98,K$1,工数管理!$Y$3:$Y$98,"&lt;="&amp;$H128,工数管理!$Z$3:$Z$98,"&gt;="&amp;$H128)+COUNTIFS(工数管理!$AK$3:$AK$98,K$1,工数管理!$AA$3:$AA$98,"&lt;="&amp;$H128,工数管理!$AB$3:$AB$98,"&gt;="&amp;$H128)+COUNTIFS(工数管理!$AK$3:$AK$98,K$1,工数管理!$AC$3:$AC$98,"&lt;="&amp;$H128,工数管理!$AD$3:$AD$98,"&gt;="&amp;$H128)+COUNTIFS(工数管理!$AK$3:$AK$98,K$1,工数管理!$AE$3:$AE$98,"&lt;="&amp;$H128,工数管理!$AF$3:$AF$98,"&gt;="&amp;$H128)+COUNTIFS(工数管理!$AK$3:$AK$98,K$1,工数管理!$AG$3:$AG$98,"&lt;="&amp;$H128,工数管理!$AH$3:$AH$98,"&gt;="&amp;$H128)+(COUNTIFS(工数管理!$AK$3:$AK$98,K$1,工数管理!$K$3:$K$98,"&lt;="&amp;$H128,工数管理!$L$3:$L$98,"")+COUNTIFS(工数管理!$AK$3:$AK$98,K$1,工数管理!$M$3:$M$98,"&lt;="&amp;$H128,工数管理!$N$3:$N$98,"")+COUNTIFS(工数管理!$AK$3:$AK$98,K$1,工数管理!$O$3:$O$98,"&lt;="&amp;$H128,工数管理!$P$3:$P$98,"")+COUNTIFS(工数管理!$AK$3:$AK$98,K$1,工数管理!$Q$3:$Q$98,"&lt;="&amp;$H128,工数管理!$R$3:$R$98,"")+COUNTIFS(工数管理!$AK$3:$AK$98,K$1,工数管理!$S$3:$S$98,"&lt;="&amp;$H128,工数管理!$T$3:$T$98,"")+COUNTIFS(工数管理!$AK$3:$AK$98,K$1,工数管理!$U$3:$U$98,"&lt;="&amp;$H128,工数管理!$V$3:$V$98,"")+COUNTIFS(工数管理!$AK$3:$AK$98,K$1,工数管理!$W$3:$W$98,"&lt;="&amp;$H128,工数管理!$X$3:$X$98,"")+COUNTIFS(工数管理!$AK$3:$AK$98,K$1,工数管理!$Y$3:$Y$98,"&lt;="&amp;$H128,工数管理!$Z$3:$Z$98,"")+COUNTIFS(工数管理!$AK$3:$AK$98,K$1,工数管理!$AA$3:$AA$98,"&lt;="&amp;$H128,工数管理!$AB$3:$AB$98,"")+COUNTIFS(工数管理!$AK$3:$AK$98,K$1,工数管理!$AC$3:$AC$98,"&lt;="&amp;$H128,工数管理!$AD$3:$AD$98,"")+COUNTIFS(工数管理!$AK$3:$AK$98,K$1,工数管理!$AE$3:$AE$98,"&lt;="&amp;$H128,工数管理!$AF$3:$AF$98,"")+COUNTIFS(工数管理!$AK$3:$AK$98,K$1,工数管理!$AG$3:$AG$98,"&lt;="&amp;$H128,工数管理!$AH$3:$AH$98,""))*($H128&lt;=工数管理!$AI$1))</f>
        <v>1</v>
      </c>
      <c r="L128" s="42">
        <f ca="1">IF(L$1="",0,COUNTIFS(工数管理!$AK$3:$AK$98,L$1,工数管理!$K$3:$K$98,"&lt;="&amp;$H128,工数管理!$L$3:$L$98,"&gt;="&amp;$H128)+COUNTIFS(工数管理!$AK$3:$AK$98,L$1,工数管理!$M$3:$M$98,"&lt;="&amp;$H128,工数管理!$N$3:$N$98,"&gt;="&amp;$H128)+COUNTIFS(工数管理!$AK$3:$AK$98,L$1,工数管理!$O$3:$O$98,"&lt;="&amp;$H128,工数管理!$P$3:$P$98,"&gt;="&amp;$H128)+COUNTIFS(工数管理!$AK$3:$AK$98,L$1,工数管理!$Q$3:$Q$98,"&lt;="&amp;$H128,工数管理!$R$3:$R$98,"&gt;="&amp;$H128)+COUNTIFS(工数管理!$AK$3:$AK$98,L$1,工数管理!$S$3:$S$98,"&lt;="&amp;$H128,工数管理!$T$3:$T$98,"&gt;="&amp;$H128)+COUNTIFS(工数管理!$AK$3:$AK$98,L$1,工数管理!$U$3:$U$98,"&lt;="&amp;$H128,工数管理!$V$3:$V$98,"&gt;="&amp;$H128)+COUNTIFS(工数管理!$AK$3:$AK$98,L$1,工数管理!$W$3:$W$98,"&lt;="&amp;$H128,工数管理!$X$3:$X$98,"&gt;="&amp;$H128)+COUNTIFS(工数管理!$AK$3:$AK$98,L$1,工数管理!$Y$3:$Y$98,"&lt;="&amp;$H128,工数管理!$Z$3:$Z$98,"&gt;="&amp;$H128)+COUNTIFS(工数管理!$AK$3:$AK$98,L$1,工数管理!$AA$3:$AA$98,"&lt;="&amp;$H128,工数管理!$AB$3:$AB$98,"&gt;="&amp;$H128)+COUNTIFS(工数管理!$AK$3:$AK$98,L$1,工数管理!$AC$3:$AC$98,"&lt;="&amp;$H128,工数管理!$AD$3:$AD$98,"&gt;="&amp;$H128)+COUNTIFS(工数管理!$AK$3:$AK$98,L$1,工数管理!$AE$3:$AE$98,"&lt;="&amp;$H128,工数管理!$AF$3:$AF$98,"&gt;="&amp;$H128)+COUNTIFS(工数管理!$AK$3:$AK$98,L$1,工数管理!$AG$3:$AG$98,"&lt;="&amp;$H128,工数管理!$AH$3:$AH$98,"&gt;="&amp;$H128)+(COUNTIFS(工数管理!$AK$3:$AK$98,L$1,工数管理!$K$3:$K$98,"&lt;="&amp;$H128,工数管理!$L$3:$L$98,"")+COUNTIFS(工数管理!$AK$3:$AK$98,L$1,工数管理!$M$3:$M$98,"&lt;="&amp;$H128,工数管理!$N$3:$N$98,"")+COUNTIFS(工数管理!$AK$3:$AK$98,L$1,工数管理!$O$3:$O$98,"&lt;="&amp;$H128,工数管理!$P$3:$P$98,"")+COUNTIFS(工数管理!$AK$3:$AK$98,L$1,工数管理!$Q$3:$Q$98,"&lt;="&amp;$H128,工数管理!$R$3:$R$98,"")+COUNTIFS(工数管理!$AK$3:$AK$98,L$1,工数管理!$S$3:$S$98,"&lt;="&amp;$H128,工数管理!$T$3:$T$98,"")+COUNTIFS(工数管理!$AK$3:$AK$98,L$1,工数管理!$U$3:$U$98,"&lt;="&amp;$H128,工数管理!$V$3:$V$98,"")+COUNTIFS(工数管理!$AK$3:$AK$98,L$1,工数管理!$W$3:$W$98,"&lt;="&amp;$H128,工数管理!$X$3:$X$98,"")+COUNTIFS(工数管理!$AK$3:$AK$98,L$1,工数管理!$Y$3:$Y$98,"&lt;="&amp;$H128,工数管理!$Z$3:$Z$98,"")+COUNTIFS(工数管理!$AK$3:$AK$98,L$1,工数管理!$AA$3:$AA$98,"&lt;="&amp;$H128,工数管理!$AB$3:$AB$98,"")+COUNTIFS(工数管理!$AK$3:$AK$98,L$1,工数管理!$AC$3:$AC$98,"&lt;="&amp;$H128,工数管理!$AD$3:$AD$98,"")+COUNTIFS(工数管理!$AK$3:$AK$98,L$1,工数管理!$AE$3:$AE$98,"&lt;="&amp;$H128,工数管理!$AF$3:$AF$98,"")+COUNTIFS(工数管理!$AK$3:$AK$98,L$1,工数管理!$AG$3:$AG$98,"&lt;="&amp;$H128,工数管理!$AH$3:$AH$98,""))*($H128&lt;=工数管理!$AI$1))</f>
        <v>1</v>
      </c>
    </row>
    <row r="129" spans="1:12" x14ac:dyDescent="0.15">
      <c r="A129" s="5"/>
      <c r="B129" s="6"/>
      <c r="H129" s="41">
        <f t="shared" si="3"/>
        <v>46297</v>
      </c>
      <c r="I129" s="42">
        <f t="shared" si="2"/>
        <v>1</v>
      </c>
      <c r="J129" s="42">
        <f ca="1">IF(J$1="",0,COUNTIFS(工数管理!$AK$3:$AK$98,J$1,工数管理!$K$3:$K$98,"&lt;="&amp;$H129,工数管理!$L$3:$L$98,"&gt;="&amp;$H129)+COUNTIFS(工数管理!$AK$3:$AK$98,J$1,工数管理!$M$3:$M$98,"&lt;="&amp;$H129,工数管理!$N$3:$N$98,"&gt;="&amp;$H129)+COUNTIFS(工数管理!$AK$3:$AK$98,J$1,工数管理!$O$3:$O$98,"&lt;="&amp;$H129,工数管理!$P$3:$P$98,"&gt;="&amp;$H129)+COUNTIFS(工数管理!$AK$3:$AK$98,J$1,工数管理!$Q$3:$Q$98,"&lt;="&amp;$H129,工数管理!$R$3:$R$98,"&gt;="&amp;$H129)+COUNTIFS(工数管理!$AK$3:$AK$98,J$1,工数管理!$S$3:$S$98,"&lt;="&amp;$H129,工数管理!$T$3:$T$98,"&gt;="&amp;$H129)+COUNTIFS(工数管理!$AK$3:$AK$98,J$1,工数管理!$U$3:$U$98,"&lt;="&amp;$H129,工数管理!$V$3:$V$98,"&gt;="&amp;$H129)+COUNTIFS(工数管理!$AK$3:$AK$98,J$1,工数管理!$W$3:$W$98,"&lt;="&amp;$H129,工数管理!$X$3:$X$98,"&gt;="&amp;$H129)+COUNTIFS(工数管理!$AK$3:$AK$98,J$1,工数管理!$Y$3:$Y$98,"&lt;="&amp;$H129,工数管理!$Z$3:$Z$98,"&gt;="&amp;$H129)+COUNTIFS(工数管理!$AK$3:$AK$98,J$1,工数管理!$AA$3:$AA$98,"&lt;="&amp;$H129,工数管理!$AB$3:$AB$98,"&gt;="&amp;$H129)+COUNTIFS(工数管理!$AK$3:$AK$98,J$1,工数管理!$AC$3:$AC$98,"&lt;="&amp;$H129,工数管理!$AD$3:$AD$98,"&gt;="&amp;$H129)+COUNTIFS(工数管理!$AK$3:$AK$98,J$1,工数管理!$AE$3:$AE$98,"&lt;="&amp;$H129,工数管理!$AF$3:$AF$98,"&gt;="&amp;$H129)+COUNTIFS(工数管理!$AK$3:$AK$98,J$1,工数管理!$AG$3:$AG$98,"&lt;="&amp;$H129,工数管理!$AH$3:$AH$98,"&gt;="&amp;$H129)+(COUNTIFS(工数管理!$AK$3:$AK$98,J$1,工数管理!$K$3:$K$98,"&lt;="&amp;$H129,工数管理!$L$3:$L$98,"")+COUNTIFS(工数管理!$AK$3:$AK$98,J$1,工数管理!$M$3:$M$98,"&lt;="&amp;$H129,工数管理!$N$3:$N$98,"")+COUNTIFS(工数管理!$AK$3:$AK$98,J$1,工数管理!$O$3:$O$98,"&lt;="&amp;$H129,工数管理!$P$3:$P$98,"")+COUNTIFS(工数管理!$AK$3:$AK$98,J$1,工数管理!$Q$3:$Q$98,"&lt;="&amp;$H129,工数管理!$R$3:$R$98,"")+COUNTIFS(工数管理!$AK$3:$AK$98,J$1,工数管理!$S$3:$S$98,"&lt;="&amp;$H129,工数管理!$T$3:$T$98,"")+COUNTIFS(工数管理!$AK$3:$AK$98,J$1,工数管理!$U$3:$U$98,"&lt;="&amp;$H129,工数管理!$V$3:$V$98,"")+COUNTIFS(工数管理!$AK$3:$AK$98,J$1,工数管理!$W$3:$W$98,"&lt;="&amp;$H129,工数管理!$X$3:$X$98,"")+COUNTIFS(工数管理!$AK$3:$AK$98,J$1,工数管理!$Y$3:$Y$98,"&lt;="&amp;$H129,工数管理!$Z$3:$Z$98,"")+COUNTIFS(工数管理!$AK$3:$AK$98,J$1,工数管理!$AA$3:$AA$98,"&lt;="&amp;$H129,工数管理!$AB$3:$AB$98,"")+COUNTIFS(工数管理!$AK$3:$AK$98,J$1,工数管理!$AC$3:$AC$98,"&lt;="&amp;$H129,工数管理!$AD$3:$AD$98,"")+COUNTIFS(工数管理!$AK$3:$AK$98,J$1,工数管理!$AE$3:$AE$98,"&lt;="&amp;$H129,工数管理!$AF$3:$AF$98,"")+COUNTIFS(工数管理!$AK$3:$AK$98,J$1,工数管理!$AG$3:$AG$98,"&lt;="&amp;$H129,工数管理!$AH$3:$AH$98,""))*($H129&lt;=工数管理!$AI$1))</f>
        <v>1</v>
      </c>
      <c r="K129" s="42">
        <f ca="1">IF(K$1="",0,COUNTIFS(工数管理!$AK$3:$AK$98,K$1,工数管理!$K$3:$K$98,"&lt;="&amp;$H129,工数管理!$L$3:$L$98,"&gt;="&amp;$H129)+COUNTIFS(工数管理!$AK$3:$AK$98,K$1,工数管理!$M$3:$M$98,"&lt;="&amp;$H129,工数管理!$N$3:$N$98,"&gt;="&amp;$H129)+COUNTIFS(工数管理!$AK$3:$AK$98,K$1,工数管理!$O$3:$O$98,"&lt;="&amp;$H129,工数管理!$P$3:$P$98,"&gt;="&amp;$H129)+COUNTIFS(工数管理!$AK$3:$AK$98,K$1,工数管理!$Q$3:$Q$98,"&lt;="&amp;$H129,工数管理!$R$3:$R$98,"&gt;="&amp;$H129)+COUNTIFS(工数管理!$AK$3:$AK$98,K$1,工数管理!$S$3:$S$98,"&lt;="&amp;$H129,工数管理!$T$3:$T$98,"&gt;="&amp;$H129)+COUNTIFS(工数管理!$AK$3:$AK$98,K$1,工数管理!$U$3:$U$98,"&lt;="&amp;$H129,工数管理!$V$3:$V$98,"&gt;="&amp;$H129)+COUNTIFS(工数管理!$AK$3:$AK$98,K$1,工数管理!$W$3:$W$98,"&lt;="&amp;$H129,工数管理!$X$3:$X$98,"&gt;="&amp;$H129)+COUNTIFS(工数管理!$AK$3:$AK$98,K$1,工数管理!$Y$3:$Y$98,"&lt;="&amp;$H129,工数管理!$Z$3:$Z$98,"&gt;="&amp;$H129)+COUNTIFS(工数管理!$AK$3:$AK$98,K$1,工数管理!$AA$3:$AA$98,"&lt;="&amp;$H129,工数管理!$AB$3:$AB$98,"&gt;="&amp;$H129)+COUNTIFS(工数管理!$AK$3:$AK$98,K$1,工数管理!$AC$3:$AC$98,"&lt;="&amp;$H129,工数管理!$AD$3:$AD$98,"&gt;="&amp;$H129)+COUNTIFS(工数管理!$AK$3:$AK$98,K$1,工数管理!$AE$3:$AE$98,"&lt;="&amp;$H129,工数管理!$AF$3:$AF$98,"&gt;="&amp;$H129)+COUNTIFS(工数管理!$AK$3:$AK$98,K$1,工数管理!$AG$3:$AG$98,"&lt;="&amp;$H129,工数管理!$AH$3:$AH$98,"&gt;="&amp;$H129)+(COUNTIFS(工数管理!$AK$3:$AK$98,K$1,工数管理!$K$3:$K$98,"&lt;="&amp;$H129,工数管理!$L$3:$L$98,"")+COUNTIFS(工数管理!$AK$3:$AK$98,K$1,工数管理!$M$3:$M$98,"&lt;="&amp;$H129,工数管理!$N$3:$N$98,"")+COUNTIFS(工数管理!$AK$3:$AK$98,K$1,工数管理!$O$3:$O$98,"&lt;="&amp;$H129,工数管理!$P$3:$P$98,"")+COUNTIFS(工数管理!$AK$3:$AK$98,K$1,工数管理!$Q$3:$Q$98,"&lt;="&amp;$H129,工数管理!$R$3:$R$98,"")+COUNTIFS(工数管理!$AK$3:$AK$98,K$1,工数管理!$S$3:$S$98,"&lt;="&amp;$H129,工数管理!$T$3:$T$98,"")+COUNTIFS(工数管理!$AK$3:$AK$98,K$1,工数管理!$U$3:$U$98,"&lt;="&amp;$H129,工数管理!$V$3:$V$98,"")+COUNTIFS(工数管理!$AK$3:$AK$98,K$1,工数管理!$W$3:$W$98,"&lt;="&amp;$H129,工数管理!$X$3:$X$98,"")+COUNTIFS(工数管理!$AK$3:$AK$98,K$1,工数管理!$Y$3:$Y$98,"&lt;="&amp;$H129,工数管理!$Z$3:$Z$98,"")+COUNTIFS(工数管理!$AK$3:$AK$98,K$1,工数管理!$AA$3:$AA$98,"&lt;="&amp;$H129,工数管理!$AB$3:$AB$98,"")+COUNTIFS(工数管理!$AK$3:$AK$98,K$1,工数管理!$AC$3:$AC$98,"&lt;="&amp;$H129,工数管理!$AD$3:$AD$98,"")+COUNTIFS(工数管理!$AK$3:$AK$98,K$1,工数管理!$AE$3:$AE$98,"&lt;="&amp;$H129,工数管理!$AF$3:$AF$98,"")+COUNTIFS(工数管理!$AK$3:$AK$98,K$1,工数管理!$AG$3:$AG$98,"&lt;="&amp;$H129,工数管理!$AH$3:$AH$98,""))*($H129&lt;=工数管理!$AI$1))</f>
        <v>1</v>
      </c>
      <c r="L129" s="42">
        <f ca="1">IF(L$1="",0,COUNTIFS(工数管理!$AK$3:$AK$98,L$1,工数管理!$K$3:$K$98,"&lt;="&amp;$H129,工数管理!$L$3:$L$98,"&gt;="&amp;$H129)+COUNTIFS(工数管理!$AK$3:$AK$98,L$1,工数管理!$M$3:$M$98,"&lt;="&amp;$H129,工数管理!$N$3:$N$98,"&gt;="&amp;$H129)+COUNTIFS(工数管理!$AK$3:$AK$98,L$1,工数管理!$O$3:$O$98,"&lt;="&amp;$H129,工数管理!$P$3:$P$98,"&gt;="&amp;$H129)+COUNTIFS(工数管理!$AK$3:$AK$98,L$1,工数管理!$Q$3:$Q$98,"&lt;="&amp;$H129,工数管理!$R$3:$R$98,"&gt;="&amp;$H129)+COUNTIFS(工数管理!$AK$3:$AK$98,L$1,工数管理!$S$3:$S$98,"&lt;="&amp;$H129,工数管理!$T$3:$T$98,"&gt;="&amp;$H129)+COUNTIFS(工数管理!$AK$3:$AK$98,L$1,工数管理!$U$3:$U$98,"&lt;="&amp;$H129,工数管理!$V$3:$V$98,"&gt;="&amp;$H129)+COUNTIFS(工数管理!$AK$3:$AK$98,L$1,工数管理!$W$3:$W$98,"&lt;="&amp;$H129,工数管理!$X$3:$X$98,"&gt;="&amp;$H129)+COUNTIFS(工数管理!$AK$3:$AK$98,L$1,工数管理!$Y$3:$Y$98,"&lt;="&amp;$H129,工数管理!$Z$3:$Z$98,"&gt;="&amp;$H129)+COUNTIFS(工数管理!$AK$3:$AK$98,L$1,工数管理!$AA$3:$AA$98,"&lt;="&amp;$H129,工数管理!$AB$3:$AB$98,"&gt;="&amp;$H129)+COUNTIFS(工数管理!$AK$3:$AK$98,L$1,工数管理!$AC$3:$AC$98,"&lt;="&amp;$H129,工数管理!$AD$3:$AD$98,"&gt;="&amp;$H129)+COUNTIFS(工数管理!$AK$3:$AK$98,L$1,工数管理!$AE$3:$AE$98,"&lt;="&amp;$H129,工数管理!$AF$3:$AF$98,"&gt;="&amp;$H129)+COUNTIFS(工数管理!$AK$3:$AK$98,L$1,工数管理!$AG$3:$AG$98,"&lt;="&amp;$H129,工数管理!$AH$3:$AH$98,"&gt;="&amp;$H129)+(COUNTIFS(工数管理!$AK$3:$AK$98,L$1,工数管理!$K$3:$K$98,"&lt;="&amp;$H129,工数管理!$L$3:$L$98,"")+COUNTIFS(工数管理!$AK$3:$AK$98,L$1,工数管理!$M$3:$M$98,"&lt;="&amp;$H129,工数管理!$N$3:$N$98,"")+COUNTIFS(工数管理!$AK$3:$AK$98,L$1,工数管理!$O$3:$O$98,"&lt;="&amp;$H129,工数管理!$P$3:$P$98,"")+COUNTIFS(工数管理!$AK$3:$AK$98,L$1,工数管理!$Q$3:$Q$98,"&lt;="&amp;$H129,工数管理!$R$3:$R$98,"")+COUNTIFS(工数管理!$AK$3:$AK$98,L$1,工数管理!$S$3:$S$98,"&lt;="&amp;$H129,工数管理!$T$3:$T$98,"")+COUNTIFS(工数管理!$AK$3:$AK$98,L$1,工数管理!$U$3:$U$98,"&lt;="&amp;$H129,工数管理!$V$3:$V$98,"")+COUNTIFS(工数管理!$AK$3:$AK$98,L$1,工数管理!$W$3:$W$98,"&lt;="&amp;$H129,工数管理!$X$3:$X$98,"")+COUNTIFS(工数管理!$AK$3:$AK$98,L$1,工数管理!$Y$3:$Y$98,"&lt;="&amp;$H129,工数管理!$Z$3:$Z$98,"")+COUNTIFS(工数管理!$AK$3:$AK$98,L$1,工数管理!$AA$3:$AA$98,"&lt;="&amp;$H129,工数管理!$AB$3:$AB$98,"")+COUNTIFS(工数管理!$AK$3:$AK$98,L$1,工数管理!$AC$3:$AC$98,"&lt;="&amp;$H129,工数管理!$AD$3:$AD$98,"")+COUNTIFS(工数管理!$AK$3:$AK$98,L$1,工数管理!$AE$3:$AE$98,"&lt;="&amp;$H129,工数管理!$AF$3:$AF$98,"")+COUNTIFS(工数管理!$AK$3:$AK$98,L$1,工数管理!$AG$3:$AG$98,"&lt;="&amp;$H129,工数管理!$AH$3:$AH$98,""))*($H129&lt;=工数管理!$AI$1))</f>
        <v>1</v>
      </c>
    </row>
    <row r="130" spans="1:12" x14ac:dyDescent="0.15">
      <c r="A130" s="5"/>
      <c r="B130" s="6"/>
      <c r="H130" s="41">
        <f t="shared" si="3"/>
        <v>46298</v>
      </c>
      <c r="I130" s="42">
        <f t="shared" si="2"/>
        <v>0</v>
      </c>
      <c r="J130" s="42">
        <f ca="1">IF(J$1="",0,COUNTIFS(工数管理!$AK$3:$AK$98,J$1,工数管理!$K$3:$K$98,"&lt;="&amp;$H130,工数管理!$L$3:$L$98,"&gt;="&amp;$H130)+COUNTIFS(工数管理!$AK$3:$AK$98,J$1,工数管理!$M$3:$M$98,"&lt;="&amp;$H130,工数管理!$N$3:$N$98,"&gt;="&amp;$H130)+COUNTIFS(工数管理!$AK$3:$AK$98,J$1,工数管理!$O$3:$O$98,"&lt;="&amp;$H130,工数管理!$P$3:$P$98,"&gt;="&amp;$H130)+COUNTIFS(工数管理!$AK$3:$AK$98,J$1,工数管理!$Q$3:$Q$98,"&lt;="&amp;$H130,工数管理!$R$3:$R$98,"&gt;="&amp;$H130)+COUNTIFS(工数管理!$AK$3:$AK$98,J$1,工数管理!$S$3:$S$98,"&lt;="&amp;$H130,工数管理!$T$3:$T$98,"&gt;="&amp;$H130)+COUNTIFS(工数管理!$AK$3:$AK$98,J$1,工数管理!$U$3:$U$98,"&lt;="&amp;$H130,工数管理!$V$3:$V$98,"&gt;="&amp;$H130)+COUNTIFS(工数管理!$AK$3:$AK$98,J$1,工数管理!$W$3:$W$98,"&lt;="&amp;$H130,工数管理!$X$3:$X$98,"&gt;="&amp;$H130)+COUNTIFS(工数管理!$AK$3:$AK$98,J$1,工数管理!$Y$3:$Y$98,"&lt;="&amp;$H130,工数管理!$Z$3:$Z$98,"&gt;="&amp;$H130)+COUNTIFS(工数管理!$AK$3:$AK$98,J$1,工数管理!$AA$3:$AA$98,"&lt;="&amp;$H130,工数管理!$AB$3:$AB$98,"&gt;="&amp;$H130)+COUNTIFS(工数管理!$AK$3:$AK$98,J$1,工数管理!$AC$3:$AC$98,"&lt;="&amp;$H130,工数管理!$AD$3:$AD$98,"&gt;="&amp;$H130)+COUNTIFS(工数管理!$AK$3:$AK$98,J$1,工数管理!$AE$3:$AE$98,"&lt;="&amp;$H130,工数管理!$AF$3:$AF$98,"&gt;="&amp;$H130)+COUNTIFS(工数管理!$AK$3:$AK$98,J$1,工数管理!$AG$3:$AG$98,"&lt;="&amp;$H130,工数管理!$AH$3:$AH$98,"&gt;="&amp;$H130)+(COUNTIFS(工数管理!$AK$3:$AK$98,J$1,工数管理!$K$3:$K$98,"&lt;="&amp;$H130,工数管理!$L$3:$L$98,"")+COUNTIFS(工数管理!$AK$3:$AK$98,J$1,工数管理!$M$3:$M$98,"&lt;="&amp;$H130,工数管理!$N$3:$N$98,"")+COUNTIFS(工数管理!$AK$3:$AK$98,J$1,工数管理!$O$3:$O$98,"&lt;="&amp;$H130,工数管理!$P$3:$P$98,"")+COUNTIFS(工数管理!$AK$3:$AK$98,J$1,工数管理!$Q$3:$Q$98,"&lt;="&amp;$H130,工数管理!$R$3:$R$98,"")+COUNTIFS(工数管理!$AK$3:$AK$98,J$1,工数管理!$S$3:$S$98,"&lt;="&amp;$H130,工数管理!$T$3:$T$98,"")+COUNTIFS(工数管理!$AK$3:$AK$98,J$1,工数管理!$U$3:$U$98,"&lt;="&amp;$H130,工数管理!$V$3:$V$98,"")+COUNTIFS(工数管理!$AK$3:$AK$98,J$1,工数管理!$W$3:$W$98,"&lt;="&amp;$H130,工数管理!$X$3:$X$98,"")+COUNTIFS(工数管理!$AK$3:$AK$98,J$1,工数管理!$Y$3:$Y$98,"&lt;="&amp;$H130,工数管理!$Z$3:$Z$98,"")+COUNTIFS(工数管理!$AK$3:$AK$98,J$1,工数管理!$AA$3:$AA$98,"&lt;="&amp;$H130,工数管理!$AB$3:$AB$98,"")+COUNTIFS(工数管理!$AK$3:$AK$98,J$1,工数管理!$AC$3:$AC$98,"&lt;="&amp;$H130,工数管理!$AD$3:$AD$98,"")+COUNTIFS(工数管理!$AK$3:$AK$98,J$1,工数管理!$AE$3:$AE$98,"&lt;="&amp;$H130,工数管理!$AF$3:$AF$98,"")+COUNTIFS(工数管理!$AK$3:$AK$98,J$1,工数管理!$AG$3:$AG$98,"&lt;="&amp;$H130,工数管理!$AH$3:$AH$98,""))*($H130&lt;=工数管理!$AI$1))</f>
        <v>1</v>
      </c>
      <c r="K130" s="42">
        <f ca="1">IF(K$1="",0,COUNTIFS(工数管理!$AK$3:$AK$98,K$1,工数管理!$K$3:$K$98,"&lt;="&amp;$H130,工数管理!$L$3:$L$98,"&gt;="&amp;$H130)+COUNTIFS(工数管理!$AK$3:$AK$98,K$1,工数管理!$M$3:$M$98,"&lt;="&amp;$H130,工数管理!$N$3:$N$98,"&gt;="&amp;$H130)+COUNTIFS(工数管理!$AK$3:$AK$98,K$1,工数管理!$O$3:$O$98,"&lt;="&amp;$H130,工数管理!$P$3:$P$98,"&gt;="&amp;$H130)+COUNTIFS(工数管理!$AK$3:$AK$98,K$1,工数管理!$Q$3:$Q$98,"&lt;="&amp;$H130,工数管理!$R$3:$R$98,"&gt;="&amp;$H130)+COUNTIFS(工数管理!$AK$3:$AK$98,K$1,工数管理!$S$3:$S$98,"&lt;="&amp;$H130,工数管理!$T$3:$T$98,"&gt;="&amp;$H130)+COUNTIFS(工数管理!$AK$3:$AK$98,K$1,工数管理!$U$3:$U$98,"&lt;="&amp;$H130,工数管理!$V$3:$V$98,"&gt;="&amp;$H130)+COUNTIFS(工数管理!$AK$3:$AK$98,K$1,工数管理!$W$3:$W$98,"&lt;="&amp;$H130,工数管理!$X$3:$X$98,"&gt;="&amp;$H130)+COUNTIFS(工数管理!$AK$3:$AK$98,K$1,工数管理!$Y$3:$Y$98,"&lt;="&amp;$H130,工数管理!$Z$3:$Z$98,"&gt;="&amp;$H130)+COUNTIFS(工数管理!$AK$3:$AK$98,K$1,工数管理!$AA$3:$AA$98,"&lt;="&amp;$H130,工数管理!$AB$3:$AB$98,"&gt;="&amp;$H130)+COUNTIFS(工数管理!$AK$3:$AK$98,K$1,工数管理!$AC$3:$AC$98,"&lt;="&amp;$H130,工数管理!$AD$3:$AD$98,"&gt;="&amp;$H130)+COUNTIFS(工数管理!$AK$3:$AK$98,K$1,工数管理!$AE$3:$AE$98,"&lt;="&amp;$H130,工数管理!$AF$3:$AF$98,"&gt;="&amp;$H130)+COUNTIFS(工数管理!$AK$3:$AK$98,K$1,工数管理!$AG$3:$AG$98,"&lt;="&amp;$H130,工数管理!$AH$3:$AH$98,"&gt;="&amp;$H130)+(COUNTIFS(工数管理!$AK$3:$AK$98,K$1,工数管理!$K$3:$K$98,"&lt;="&amp;$H130,工数管理!$L$3:$L$98,"")+COUNTIFS(工数管理!$AK$3:$AK$98,K$1,工数管理!$M$3:$M$98,"&lt;="&amp;$H130,工数管理!$N$3:$N$98,"")+COUNTIFS(工数管理!$AK$3:$AK$98,K$1,工数管理!$O$3:$O$98,"&lt;="&amp;$H130,工数管理!$P$3:$P$98,"")+COUNTIFS(工数管理!$AK$3:$AK$98,K$1,工数管理!$Q$3:$Q$98,"&lt;="&amp;$H130,工数管理!$R$3:$R$98,"")+COUNTIFS(工数管理!$AK$3:$AK$98,K$1,工数管理!$S$3:$S$98,"&lt;="&amp;$H130,工数管理!$T$3:$T$98,"")+COUNTIFS(工数管理!$AK$3:$AK$98,K$1,工数管理!$U$3:$U$98,"&lt;="&amp;$H130,工数管理!$V$3:$V$98,"")+COUNTIFS(工数管理!$AK$3:$AK$98,K$1,工数管理!$W$3:$W$98,"&lt;="&amp;$H130,工数管理!$X$3:$X$98,"")+COUNTIFS(工数管理!$AK$3:$AK$98,K$1,工数管理!$Y$3:$Y$98,"&lt;="&amp;$H130,工数管理!$Z$3:$Z$98,"")+COUNTIFS(工数管理!$AK$3:$AK$98,K$1,工数管理!$AA$3:$AA$98,"&lt;="&amp;$H130,工数管理!$AB$3:$AB$98,"")+COUNTIFS(工数管理!$AK$3:$AK$98,K$1,工数管理!$AC$3:$AC$98,"&lt;="&amp;$H130,工数管理!$AD$3:$AD$98,"")+COUNTIFS(工数管理!$AK$3:$AK$98,K$1,工数管理!$AE$3:$AE$98,"&lt;="&amp;$H130,工数管理!$AF$3:$AF$98,"")+COUNTIFS(工数管理!$AK$3:$AK$98,K$1,工数管理!$AG$3:$AG$98,"&lt;="&amp;$H130,工数管理!$AH$3:$AH$98,""))*($H130&lt;=工数管理!$AI$1))</f>
        <v>1</v>
      </c>
      <c r="L130" s="42">
        <f ca="1">IF(L$1="",0,COUNTIFS(工数管理!$AK$3:$AK$98,L$1,工数管理!$K$3:$K$98,"&lt;="&amp;$H130,工数管理!$L$3:$L$98,"&gt;="&amp;$H130)+COUNTIFS(工数管理!$AK$3:$AK$98,L$1,工数管理!$M$3:$M$98,"&lt;="&amp;$H130,工数管理!$N$3:$N$98,"&gt;="&amp;$H130)+COUNTIFS(工数管理!$AK$3:$AK$98,L$1,工数管理!$O$3:$O$98,"&lt;="&amp;$H130,工数管理!$P$3:$P$98,"&gt;="&amp;$H130)+COUNTIFS(工数管理!$AK$3:$AK$98,L$1,工数管理!$Q$3:$Q$98,"&lt;="&amp;$H130,工数管理!$R$3:$R$98,"&gt;="&amp;$H130)+COUNTIFS(工数管理!$AK$3:$AK$98,L$1,工数管理!$S$3:$S$98,"&lt;="&amp;$H130,工数管理!$T$3:$T$98,"&gt;="&amp;$H130)+COUNTIFS(工数管理!$AK$3:$AK$98,L$1,工数管理!$U$3:$U$98,"&lt;="&amp;$H130,工数管理!$V$3:$V$98,"&gt;="&amp;$H130)+COUNTIFS(工数管理!$AK$3:$AK$98,L$1,工数管理!$W$3:$W$98,"&lt;="&amp;$H130,工数管理!$X$3:$X$98,"&gt;="&amp;$H130)+COUNTIFS(工数管理!$AK$3:$AK$98,L$1,工数管理!$Y$3:$Y$98,"&lt;="&amp;$H130,工数管理!$Z$3:$Z$98,"&gt;="&amp;$H130)+COUNTIFS(工数管理!$AK$3:$AK$98,L$1,工数管理!$AA$3:$AA$98,"&lt;="&amp;$H130,工数管理!$AB$3:$AB$98,"&gt;="&amp;$H130)+COUNTIFS(工数管理!$AK$3:$AK$98,L$1,工数管理!$AC$3:$AC$98,"&lt;="&amp;$H130,工数管理!$AD$3:$AD$98,"&gt;="&amp;$H130)+COUNTIFS(工数管理!$AK$3:$AK$98,L$1,工数管理!$AE$3:$AE$98,"&lt;="&amp;$H130,工数管理!$AF$3:$AF$98,"&gt;="&amp;$H130)+COUNTIFS(工数管理!$AK$3:$AK$98,L$1,工数管理!$AG$3:$AG$98,"&lt;="&amp;$H130,工数管理!$AH$3:$AH$98,"&gt;="&amp;$H130)+(COUNTIFS(工数管理!$AK$3:$AK$98,L$1,工数管理!$K$3:$K$98,"&lt;="&amp;$H130,工数管理!$L$3:$L$98,"")+COUNTIFS(工数管理!$AK$3:$AK$98,L$1,工数管理!$M$3:$M$98,"&lt;="&amp;$H130,工数管理!$N$3:$N$98,"")+COUNTIFS(工数管理!$AK$3:$AK$98,L$1,工数管理!$O$3:$O$98,"&lt;="&amp;$H130,工数管理!$P$3:$P$98,"")+COUNTIFS(工数管理!$AK$3:$AK$98,L$1,工数管理!$Q$3:$Q$98,"&lt;="&amp;$H130,工数管理!$R$3:$R$98,"")+COUNTIFS(工数管理!$AK$3:$AK$98,L$1,工数管理!$S$3:$S$98,"&lt;="&amp;$H130,工数管理!$T$3:$T$98,"")+COUNTIFS(工数管理!$AK$3:$AK$98,L$1,工数管理!$U$3:$U$98,"&lt;="&amp;$H130,工数管理!$V$3:$V$98,"")+COUNTIFS(工数管理!$AK$3:$AK$98,L$1,工数管理!$W$3:$W$98,"&lt;="&amp;$H130,工数管理!$X$3:$X$98,"")+COUNTIFS(工数管理!$AK$3:$AK$98,L$1,工数管理!$Y$3:$Y$98,"&lt;="&amp;$H130,工数管理!$Z$3:$Z$98,"")+COUNTIFS(工数管理!$AK$3:$AK$98,L$1,工数管理!$AA$3:$AA$98,"&lt;="&amp;$H130,工数管理!$AB$3:$AB$98,"")+COUNTIFS(工数管理!$AK$3:$AK$98,L$1,工数管理!$AC$3:$AC$98,"&lt;="&amp;$H130,工数管理!$AD$3:$AD$98,"")+COUNTIFS(工数管理!$AK$3:$AK$98,L$1,工数管理!$AE$3:$AE$98,"&lt;="&amp;$H130,工数管理!$AF$3:$AF$98,"")+COUNTIFS(工数管理!$AK$3:$AK$98,L$1,工数管理!$AG$3:$AG$98,"&lt;="&amp;$H130,工数管理!$AH$3:$AH$98,""))*($H130&lt;=工数管理!$AI$1))</f>
        <v>1</v>
      </c>
    </row>
    <row r="131" spans="1:12" x14ac:dyDescent="0.15">
      <c r="A131" s="5"/>
      <c r="B131" s="6"/>
      <c r="H131" s="41">
        <f t="shared" si="3"/>
        <v>46299</v>
      </c>
      <c r="I131" s="42">
        <f t="shared" si="2"/>
        <v>0</v>
      </c>
      <c r="J131" s="42">
        <f ca="1">IF(J$1="",0,COUNTIFS(工数管理!$AK$3:$AK$98,J$1,工数管理!$K$3:$K$98,"&lt;="&amp;$H131,工数管理!$L$3:$L$98,"&gt;="&amp;$H131)+COUNTIFS(工数管理!$AK$3:$AK$98,J$1,工数管理!$M$3:$M$98,"&lt;="&amp;$H131,工数管理!$N$3:$N$98,"&gt;="&amp;$H131)+COUNTIFS(工数管理!$AK$3:$AK$98,J$1,工数管理!$O$3:$O$98,"&lt;="&amp;$H131,工数管理!$P$3:$P$98,"&gt;="&amp;$H131)+COUNTIFS(工数管理!$AK$3:$AK$98,J$1,工数管理!$Q$3:$Q$98,"&lt;="&amp;$H131,工数管理!$R$3:$R$98,"&gt;="&amp;$H131)+COUNTIFS(工数管理!$AK$3:$AK$98,J$1,工数管理!$S$3:$S$98,"&lt;="&amp;$H131,工数管理!$T$3:$T$98,"&gt;="&amp;$H131)+COUNTIFS(工数管理!$AK$3:$AK$98,J$1,工数管理!$U$3:$U$98,"&lt;="&amp;$H131,工数管理!$V$3:$V$98,"&gt;="&amp;$H131)+COUNTIFS(工数管理!$AK$3:$AK$98,J$1,工数管理!$W$3:$W$98,"&lt;="&amp;$H131,工数管理!$X$3:$X$98,"&gt;="&amp;$H131)+COUNTIFS(工数管理!$AK$3:$AK$98,J$1,工数管理!$Y$3:$Y$98,"&lt;="&amp;$H131,工数管理!$Z$3:$Z$98,"&gt;="&amp;$H131)+COUNTIFS(工数管理!$AK$3:$AK$98,J$1,工数管理!$AA$3:$AA$98,"&lt;="&amp;$H131,工数管理!$AB$3:$AB$98,"&gt;="&amp;$H131)+COUNTIFS(工数管理!$AK$3:$AK$98,J$1,工数管理!$AC$3:$AC$98,"&lt;="&amp;$H131,工数管理!$AD$3:$AD$98,"&gt;="&amp;$H131)+COUNTIFS(工数管理!$AK$3:$AK$98,J$1,工数管理!$AE$3:$AE$98,"&lt;="&amp;$H131,工数管理!$AF$3:$AF$98,"&gt;="&amp;$H131)+COUNTIFS(工数管理!$AK$3:$AK$98,J$1,工数管理!$AG$3:$AG$98,"&lt;="&amp;$H131,工数管理!$AH$3:$AH$98,"&gt;="&amp;$H131)+(COUNTIFS(工数管理!$AK$3:$AK$98,J$1,工数管理!$K$3:$K$98,"&lt;="&amp;$H131,工数管理!$L$3:$L$98,"")+COUNTIFS(工数管理!$AK$3:$AK$98,J$1,工数管理!$M$3:$M$98,"&lt;="&amp;$H131,工数管理!$N$3:$N$98,"")+COUNTIFS(工数管理!$AK$3:$AK$98,J$1,工数管理!$O$3:$O$98,"&lt;="&amp;$H131,工数管理!$P$3:$P$98,"")+COUNTIFS(工数管理!$AK$3:$AK$98,J$1,工数管理!$Q$3:$Q$98,"&lt;="&amp;$H131,工数管理!$R$3:$R$98,"")+COUNTIFS(工数管理!$AK$3:$AK$98,J$1,工数管理!$S$3:$S$98,"&lt;="&amp;$H131,工数管理!$T$3:$T$98,"")+COUNTIFS(工数管理!$AK$3:$AK$98,J$1,工数管理!$U$3:$U$98,"&lt;="&amp;$H131,工数管理!$V$3:$V$98,"")+COUNTIFS(工数管理!$AK$3:$AK$98,J$1,工数管理!$W$3:$W$98,"&lt;="&amp;$H131,工数管理!$X$3:$X$98,"")+COUNTIFS(工数管理!$AK$3:$AK$98,J$1,工数管理!$Y$3:$Y$98,"&lt;="&amp;$H131,工数管理!$Z$3:$Z$98,"")+COUNTIFS(工数管理!$AK$3:$AK$98,J$1,工数管理!$AA$3:$AA$98,"&lt;="&amp;$H131,工数管理!$AB$3:$AB$98,"")+COUNTIFS(工数管理!$AK$3:$AK$98,J$1,工数管理!$AC$3:$AC$98,"&lt;="&amp;$H131,工数管理!$AD$3:$AD$98,"")+COUNTIFS(工数管理!$AK$3:$AK$98,J$1,工数管理!$AE$3:$AE$98,"&lt;="&amp;$H131,工数管理!$AF$3:$AF$98,"")+COUNTIFS(工数管理!$AK$3:$AK$98,J$1,工数管理!$AG$3:$AG$98,"&lt;="&amp;$H131,工数管理!$AH$3:$AH$98,""))*($H131&lt;=工数管理!$AI$1))</f>
        <v>1</v>
      </c>
      <c r="K131" s="42">
        <f ca="1">IF(K$1="",0,COUNTIFS(工数管理!$AK$3:$AK$98,K$1,工数管理!$K$3:$K$98,"&lt;="&amp;$H131,工数管理!$L$3:$L$98,"&gt;="&amp;$H131)+COUNTIFS(工数管理!$AK$3:$AK$98,K$1,工数管理!$M$3:$M$98,"&lt;="&amp;$H131,工数管理!$N$3:$N$98,"&gt;="&amp;$H131)+COUNTIFS(工数管理!$AK$3:$AK$98,K$1,工数管理!$O$3:$O$98,"&lt;="&amp;$H131,工数管理!$P$3:$P$98,"&gt;="&amp;$H131)+COUNTIFS(工数管理!$AK$3:$AK$98,K$1,工数管理!$Q$3:$Q$98,"&lt;="&amp;$H131,工数管理!$R$3:$R$98,"&gt;="&amp;$H131)+COUNTIFS(工数管理!$AK$3:$AK$98,K$1,工数管理!$S$3:$S$98,"&lt;="&amp;$H131,工数管理!$T$3:$T$98,"&gt;="&amp;$H131)+COUNTIFS(工数管理!$AK$3:$AK$98,K$1,工数管理!$U$3:$U$98,"&lt;="&amp;$H131,工数管理!$V$3:$V$98,"&gt;="&amp;$H131)+COUNTIFS(工数管理!$AK$3:$AK$98,K$1,工数管理!$W$3:$W$98,"&lt;="&amp;$H131,工数管理!$X$3:$X$98,"&gt;="&amp;$H131)+COUNTIFS(工数管理!$AK$3:$AK$98,K$1,工数管理!$Y$3:$Y$98,"&lt;="&amp;$H131,工数管理!$Z$3:$Z$98,"&gt;="&amp;$H131)+COUNTIFS(工数管理!$AK$3:$AK$98,K$1,工数管理!$AA$3:$AA$98,"&lt;="&amp;$H131,工数管理!$AB$3:$AB$98,"&gt;="&amp;$H131)+COUNTIFS(工数管理!$AK$3:$AK$98,K$1,工数管理!$AC$3:$AC$98,"&lt;="&amp;$H131,工数管理!$AD$3:$AD$98,"&gt;="&amp;$H131)+COUNTIFS(工数管理!$AK$3:$AK$98,K$1,工数管理!$AE$3:$AE$98,"&lt;="&amp;$H131,工数管理!$AF$3:$AF$98,"&gt;="&amp;$H131)+COUNTIFS(工数管理!$AK$3:$AK$98,K$1,工数管理!$AG$3:$AG$98,"&lt;="&amp;$H131,工数管理!$AH$3:$AH$98,"&gt;="&amp;$H131)+(COUNTIFS(工数管理!$AK$3:$AK$98,K$1,工数管理!$K$3:$K$98,"&lt;="&amp;$H131,工数管理!$L$3:$L$98,"")+COUNTIFS(工数管理!$AK$3:$AK$98,K$1,工数管理!$M$3:$M$98,"&lt;="&amp;$H131,工数管理!$N$3:$N$98,"")+COUNTIFS(工数管理!$AK$3:$AK$98,K$1,工数管理!$O$3:$O$98,"&lt;="&amp;$H131,工数管理!$P$3:$P$98,"")+COUNTIFS(工数管理!$AK$3:$AK$98,K$1,工数管理!$Q$3:$Q$98,"&lt;="&amp;$H131,工数管理!$R$3:$R$98,"")+COUNTIFS(工数管理!$AK$3:$AK$98,K$1,工数管理!$S$3:$S$98,"&lt;="&amp;$H131,工数管理!$T$3:$T$98,"")+COUNTIFS(工数管理!$AK$3:$AK$98,K$1,工数管理!$U$3:$U$98,"&lt;="&amp;$H131,工数管理!$V$3:$V$98,"")+COUNTIFS(工数管理!$AK$3:$AK$98,K$1,工数管理!$W$3:$W$98,"&lt;="&amp;$H131,工数管理!$X$3:$X$98,"")+COUNTIFS(工数管理!$AK$3:$AK$98,K$1,工数管理!$Y$3:$Y$98,"&lt;="&amp;$H131,工数管理!$Z$3:$Z$98,"")+COUNTIFS(工数管理!$AK$3:$AK$98,K$1,工数管理!$AA$3:$AA$98,"&lt;="&amp;$H131,工数管理!$AB$3:$AB$98,"")+COUNTIFS(工数管理!$AK$3:$AK$98,K$1,工数管理!$AC$3:$AC$98,"&lt;="&amp;$H131,工数管理!$AD$3:$AD$98,"")+COUNTIFS(工数管理!$AK$3:$AK$98,K$1,工数管理!$AE$3:$AE$98,"&lt;="&amp;$H131,工数管理!$AF$3:$AF$98,"")+COUNTIFS(工数管理!$AK$3:$AK$98,K$1,工数管理!$AG$3:$AG$98,"&lt;="&amp;$H131,工数管理!$AH$3:$AH$98,""))*($H131&lt;=工数管理!$AI$1))</f>
        <v>1</v>
      </c>
      <c r="L131" s="42">
        <f ca="1">IF(L$1="",0,COUNTIFS(工数管理!$AK$3:$AK$98,L$1,工数管理!$K$3:$K$98,"&lt;="&amp;$H131,工数管理!$L$3:$L$98,"&gt;="&amp;$H131)+COUNTIFS(工数管理!$AK$3:$AK$98,L$1,工数管理!$M$3:$M$98,"&lt;="&amp;$H131,工数管理!$N$3:$N$98,"&gt;="&amp;$H131)+COUNTIFS(工数管理!$AK$3:$AK$98,L$1,工数管理!$O$3:$O$98,"&lt;="&amp;$H131,工数管理!$P$3:$P$98,"&gt;="&amp;$H131)+COUNTIFS(工数管理!$AK$3:$AK$98,L$1,工数管理!$Q$3:$Q$98,"&lt;="&amp;$H131,工数管理!$R$3:$R$98,"&gt;="&amp;$H131)+COUNTIFS(工数管理!$AK$3:$AK$98,L$1,工数管理!$S$3:$S$98,"&lt;="&amp;$H131,工数管理!$T$3:$T$98,"&gt;="&amp;$H131)+COUNTIFS(工数管理!$AK$3:$AK$98,L$1,工数管理!$U$3:$U$98,"&lt;="&amp;$H131,工数管理!$V$3:$V$98,"&gt;="&amp;$H131)+COUNTIFS(工数管理!$AK$3:$AK$98,L$1,工数管理!$W$3:$W$98,"&lt;="&amp;$H131,工数管理!$X$3:$X$98,"&gt;="&amp;$H131)+COUNTIFS(工数管理!$AK$3:$AK$98,L$1,工数管理!$Y$3:$Y$98,"&lt;="&amp;$H131,工数管理!$Z$3:$Z$98,"&gt;="&amp;$H131)+COUNTIFS(工数管理!$AK$3:$AK$98,L$1,工数管理!$AA$3:$AA$98,"&lt;="&amp;$H131,工数管理!$AB$3:$AB$98,"&gt;="&amp;$H131)+COUNTIFS(工数管理!$AK$3:$AK$98,L$1,工数管理!$AC$3:$AC$98,"&lt;="&amp;$H131,工数管理!$AD$3:$AD$98,"&gt;="&amp;$H131)+COUNTIFS(工数管理!$AK$3:$AK$98,L$1,工数管理!$AE$3:$AE$98,"&lt;="&amp;$H131,工数管理!$AF$3:$AF$98,"&gt;="&amp;$H131)+COUNTIFS(工数管理!$AK$3:$AK$98,L$1,工数管理!$AG$3:$AG$98,"&lt;="&amp;$H131,工数管理!$AH$3:$AH$98,"&gt;="&amp;$H131)+(COUNTIFS(工数管理!$AK$3:$AK$98,L$1,工数管理!$K$3:$K$98,"&lt;="&amp;$H131,工数管理!$L$3:$L$98,"")+COUNTIFS(工数管理!$AK$3:$AK$98,L$1,工数管理!$M$3:$M$98,"&lt;="&amp;$H131,工数管理!$N$3:$N$98,"")+COUNTIFS(工数管理!$AK$3:$AK$98,L$1,工数管理!$O$3:$O$98,"&lt;="&amp;$H131,工数管理!$P$3:$P$98,"")+COUNTIFS(工数管理!$AK$3:$AK$98,L$1,工数管理!$Q$3:$Q$98,"&lt;="&amp;$H131,工数管理!$R$3:$R$98,"")+COUNTIFS(工数管理!$AK$3:$AK$98,L$1,工数管理!$S$3:$S$98,"&lt;="&amp;$H131,工数管理!$T$3:$T$98,"")+COUNTIFS(工数管理!$AK$3:$AK$98,L$1,工数管理!$U$3:$U$98,"&lt;="&amp;$H131,工数管理!$V$3:$V$98,"")+COUNTIFS(工数管理!$AK$3:$AK$98,L$1,工数管理!$W$3:$W$98,"&lt;="&amp;$H131,工数管理!$X$3:$X$98,"")+COUNTIFS(工数管理!$AK$3:$AK$98,L$1,工数管理!$Y$3:$Y$98,"&lt;="&amp;$H131,工数管理!$Z$3:$Z$98,"")+COUNTIFS(工数管理!$AK$3:$AK$98,L$1,工数管理!$AA$3:$AA$98,"&lt;="&amp;$H131,工数管理!$AB$3:$AB$98,"")+COUNTIFS(工数管理!$AK$3:$AK$98,L$1,工数管理!$AC$3:$AC$98,"&lt;="&amp;$H131,工数管理!$AD$3:$AD$98,"")+COUNTIFS(工数管理!$AK$3:$AK$98,L$1,工数管理!$AE$3:$AE$98,"&lt;="&amp;$H131,工数管理!$AF$3:$AF$98,"")+COUNTIFS(工数管理!$AK$3:$AK$98,L$1,工数管理!$AG$3:$AG$98,"&lt;="&amp;$H131,工数管理!$AH$3:$AH$98,""))*($H131&lt;=工数管理!$AI$1))</f>
        <v>1</v>
      </c>
    </row>
    <row r="132" spans="1:12" x14ac:dyDescent="0.15">
      <c r="A132" s="5"/>
      <c r="B132" s="6"/>
      <c r="H132" s="41">
        <f t="shared" si="3"/>
        <v>46300</v>
      </c>
      <c r="I132" s="42">
        <f t="shared" si="2"/>
        <v>1</v>
      </c>
      <c r="J132" s="42">
        <f ca="1">IF(J$1="",0,COUNTIFS(工数管理!$AK$3:$AK$98,J$1,工数管理!$K$3:$K$98,"&lt;="&amp;$H132,工数管理!$L$3:$L$98,"&gt;="&amp;$H132)+COUNTIFS(工数管理!$AK$3:$AK$98,J$1,工数管理!$M$3:$M$98,"&lt;="&amp;$H132,工数管理!$N$3:$N$98,"&gt;="&amp;$H132)+COUNTIFS(工数管理!$AK$3:$AK$98,J$1,工数管理!$O$3:$O$98,"&lt;="&amp;$H132,工数管理!$P$3:$P$98,"&gt;="&amp;$H132)+COUNTIFS(工数管理!$AK$3:$AK$98,J$1,工数管理!$Q$3:$Q$98,"&lt;="&amp;$H132,工数管理!$R$3:$R$98,"&gt;="&amp;$H132)+COUNTIFS(工数管理!$AK$3:$AK$98,J$1,工数管理!$S$3:$S$98,"&lt;="&amp;$H132,工数管理!$T$3:$T$98,"&gt;="&amp;$H132)+COUNTIFS(工数管理!$AK$3:$AK$98,J$1,工数管理!$U$3:$U$98,"&lt;="&amp;$H132,工数管理!$V$3:$V$98,"&gt;="&amp;$H132)+COUNTIFS(工数管理!$AK$3:$AK$98,J$1,工数管理!$W$3:$W$98,"&lt;="&amp;$H132,工数管理!$X$3:$X$98,"&gt;="&amp;$H132)+COUNTIFS(工数管理!$AK$3:$AK$98,J$1,工数管理!$Y$3:$Y$98,"&lt;="&amp;$H132,工数管理!$Z$3:$Z$98,"&gt;="&amp;$H132)+COUNTIFS(工数管理!$AK$3:$AK$98,J$1,工数管理!$AA$3:$AA$98,"&lt;="&amp;$H132,工数管理!$AB$3:$AB$98,"&gt;="&amp;$H132)+COUNTIFS(工数管理!$AK$3:$AK$98,J$1,工数管理!$AC$3:$AC$98,"&lt;="&amp;$H132,工数管理!$AD$3:$AD$98,"&gt;="&amp;$H132)+COUNTIFS(工数管理!$AK$3:$AK$98,J$1,工数管理!$AE$3:$AE$98,"&lt;="&amp;$H132,工数管理!$AF$3:$AF$98,"&gt;="&amp;$H132)+COUNTIFS(工数管理!$AK$3:$AK$98,J$1,工数管理!$AG$3:$AG$98,"&lt;="&amp;$H132,工数管理!$AH$3:$AH$98,"&gt;="&amp;$H132)+(COUNTIFS(工数管理!$AK$3:$AK$98,J$1,工数管理!$K$3:$K$98,"&lt;="&amp;$H132,工数管理!$L$3:$L$98,"")+COUNTIFS(工数管理!$AK$3:$AK$98,J$1,工数管理!$M$3:$M$98,"&lt;="&amp;$H132,工数管理!$N$3:$N$98,"")+COUNTIFS(工数管理!$AK$3:$AK$98,J$1,工数管理!$O$3:$O$98,"&lt;="&amp;$H132,工数管理!$P$3:$P$98,"")+COUNTIFS(工数管理!$AK$3:$AK$98,J$1,工数管理!$Q$3:$Q$98,"&lt;="&amp;$H132,工数管理!$R$3:$R$98,"")+COUNTIFS(工数管理!$AK$3:$AK$98,J$1,工数管理!$S$3:$S$98,"&lt;="&amp;$H132,工数管理!$T$3:$T$98,"")+COUNTIFS(工数管理!$AK$3:$AK$98,J$1,工数管理!$U$3:$U$98,"&lt;="&amp;$H132,工数管理!$V$3:$V$98,"")+COUNTIFS(工数管理!$AK$3:$AK$98,J$1,工数管理!$W$3:$W$98,"&lt;="&amp;$H132,工数管理!$X$3:$X$98,"")+COUNTIFS(工数管理!$AK$3:$AK$98,J$1,工数管理!$Y$3:$Y$98,"&lt;="&amp;$H132,工数管理!$Z$3:$Z$98,"")+COUNTIFS(工数管理!$AK$3:$AK$98,J$1,工数管理!$AA$3:$AA$98,"&lt;="&amp;$H132,工数管理!$AB$3:$AB$98,"")+COUNTIFS(工数管理!$AK$3:$AK$98,J$1,工数管理!$AC$3:$AC$98,"&lt;="&amp;$H132,工数管理!$AD$3:$AD$98,"")+COUNTIFS(工数管理!$AK$3:$AK$98,J$1,工数管理!$AE$3:$AE$98,"&lt;="&amp;$H132,工数管理!$AF$3:$AF$98,"")+COUNTIFS(工数管理!$AK$3:$AK$98,J$1,工数管理!$AG$3:$AG$98,"&lt;="&amp;$H132,工数管理!$AH$3:$AH$98,""))*($H132&lt;=工数管理!$AI$1))</f>
        <v>1</v>
      </c>
      <c r="K132" s="42">
        <f ca="1">IF(K$1="",0,COUNTIFS(工数管理!$AK$3:$AK$98,K$1,工数管理!$K$3:$K$98,"&lt;="&amp;$H132,工数管理!$L$3:$L$98,"&gt;="&amp;$H132)+COUNTIFS(工数管理!$AK$3:$AK$98,K$1,工数管理!$M$3:$M$98,"&lt;="&amp;$H132,工数管理!$N$3:$N$98,"&gt;="&amp;$H132)+COUNTIFS(工数管理!$AK$3:$AK$98,K$1,工数管理!$O$3:$O$98,"&lt;="&amp;$H132,工数管理!$P$3:$P$98,"&gt;="&amp;$H132)+COUNTIFS(工数管理!$AK$3:$AK$98,K$1,工数管理!$Q$3:$Q$98,"&lt;="&amp;$H132,工数管理!$R$3:$R$98,"&gt;="&amp;$H132)+COUNTIFS(工数管理!$AK$3:$AK$98,K$1,工数管理!$S$3:$S$98,"&lt;="&amp;$H132,工数管理!$T$3:$T$98,"&gt;="&amp;$H132)+COUNTIFS(工数管理!$AK$3:$AK$98,K$1,工数管理!$U$3:$U$98,"&lt;="&amp;$H132,工数管理!$V$3:$V$98,"&gt;="&amp;$H132)+COUNTIFS(工数管理!$AK$3:$AK$98,K$1,工数管理!$W$3:$W$98,"&lt;="&amp;$H132,工数管理!$X$3:$X$98,"&gt;="&amp;$H132)+COUNTIFS(工数管理!$AK$3:$AK$98,K$1,工数管理!$Y$3:$Y$98,"&lt;="&amp;$H132,工数管理!$Z$3:$Z$98,"&gt;="&amp;$H132)+COUNTIFS(工数管理!$AK$3:$AK$98,K$1,工数管理!$AA$3:$AA$98,"&lt;="&amp;$H132,工数管理!$AB$3:$AB$98,"&gt;="&amp;$H132)+COUNTIFS(工数管理!$AK$3:$AK$98,K$1,工数管理!$AC$3:$AC$98,"&lt;="&amp;$H132,工数管理!$AD$3:$AD$98,"&gt;="&amp;$H132)+COUNTIFS(工数管理!$AK$3:$AK$98,K$1,工数管理!$AE$3:$AE$98,"&lt;="&amp;$H132,工数管理!$AF$3:$AF$98,"&gt;="&amp;$H132)+COUNTIFS(工数管理!$AK$3:$AK$98,K$1,工数管理!$AG$3:$AG$98,"&lt;="&amp;$H132,工数管理!$AH$3:$AH$98,"&gt;="&amp;$H132)+(COUNTIFS(工数管理!$AK$3:$AK$98,K$1,工数管理!$K$3:$K$98,"&lt;="&amp;$H132,工数管理!$L$3:$L$98,"")+COUNTIFS(工数管理!$AK$3:$AK$98,K$1,工数管理!$M$3:$M$98,"&lt;="&amp;$H132,工数管理!$N$3:$N$98,"")+COUNTIFS(工数管理!$AK$3:$AK$98,K$1,工数管理!$O$3:$O$98,"&lt;="&amp;$H132,工数管理!$P$3:$P$98,"")+COUNTIFS(工数管理!$AK$3:$AK$98,K$1,工数管理!$Q$3:$Q$98,"&lt;="&amp;$H132,工数管理!$R$3:$R$98,"")+COUNTIFS(工数管理!$AK$3:$AK$98,K$1,工数管理!$S$3:$S$98,"&lt;="&amp;$H132,工数管理!$T$3:$T$98,"")+COUNTIFS(工数管理!$AK$3:$AK$98,K$1,工数管理!$U$3:$U$98,"&lt;="&amp;$H132,工数管理!$V$3:$V$98,"")+COUNTIFS(工数管理!$AK$3:$AK$98,K$1,工数管理!$W$3:$W$98,"&lt;="&amp;$H132,工数管理!$X$3:$X$98,"")+COUNTIFS(工数管理!$AK$3:$AK$98,K$1,工数管理!$Y$3:$Y$98,"&lt;="&amp;$H132,工数管理!$Z$3:$Z$98,"")+COUNTIFS(工数管理!$AK$3:$AK$98,K$1,工数管理!$AA$3:$AA$98,"&lt;="&amp;$H132,工数管理!$AB$3:$AB$98,"")+COUNTIFS(工数管理!$AK$3:$AK$98,K$1,工数管理!$AC$3:$AC$98,"&lt;="&amp;$H132,工数管理!$AD$3:$AD$98,"")+COUNTIFS(工数管理!$AK$3:$AK$98,K$1,工数管理!$AE$3:$AE$98,"&lt;="&amp;$H132,工数管理!$AF$3:$AF$98,"")+COUNTIFS(工数管理!$AK$3:$AK$98,K$1,工数管理!$AG$3:$AG$98,"&lt;="&amp;$H132,工数管理!$AH$3:$AH$98,""))*($H132&lt;=工数管理!$AI$1))</f>
        <v>1</v>
      </c>
      <c r="L132" s="42">
        <f ca="1">IF(L$1="",0,COUNTIFS(工数管理!$AK$3:$AK$98,L$1,工数管理!$K$3:$K$98,"&lt;="&amp;$H132,工数管理!$L$3:$L$98,"&gt;="&amp;$H132)+COUNTIFS(工数管理!$AK$3:$AK$98,L$1,工数管理!$M$3:$M$98,"&lt;="&amp;$H132,工数管理!$N$3:$N$98,"&gt;="&amp;$H132)+COUNTIFS(工数管理!$AK$3:$AK$98,L$1,工数管理!$O$3:$O$98,"&lt;="&amp;$H132,工数管理!$P$3:$P$98,"&gt;="&amp;$H132)+COUNTIFS(工数管理!$AK$3:$AK$98,L$1,工数管理!$Q$3:$Q$98,"&lt;="&amp;$H132,工数管理!$R$3:$R$98,"&gt;="&amp;$H132)+COUNTIFS(工数管理!$AK$3:$AK$98,L$1,工数管理!$S$3:$S$98,"&lt;="&amp;$H132,工数管理!$T$3:$T$98,"&gt;="&amp;$H132)+COUNTIFS(工数管理!$AK$3:$AK$98,L$1,工数管理!$U$3:$U$98,"&lt;="&amp;$H132,工数管理!$V$3:$V$98,"&gt;="&amp;$H132)+COUNTIFS(工数管理!$AK$3:$AK$98,L$1,工数管理!$W$3:$W$98,"&lt;="&amp;$H132,工数管理!$X$3:$X$98,"&gt;="&amp;$H132)+COUNTIFS(工数管理!$AK$3:$AK$98,L$1,工数管理!$Y$3:$Y$98,"&lt;="&amp;$H132,工数管理!$Z$3:$Z$98,"&gt;="&amp;$H132)+COUNTIFS(工数管理!$AK$3:$AK$98,L$1,工数管理!$AA$3:$AA$98,"&lt;="&amp;$H132,工数管理!$AB$3:$AB$98,"&gt;="&amp;$H132)+COUNTIFS(工数管理!$AK$3:$AK$98,L$1,工数管理!$AC$3:$AC$98,"&lt;="&amp;$H132,工数管理!$AD$3:$AD$98,"&gt;="&amp;$H132)+COUNTIFS(工数管理!$AK$3:$AK$98,L$1,工数管理!$AE$3:$AE$98,"&lt;="&amp;$H132,工数管理!$AF$3:$AF$98,"&gt;="&amp;$H132)+COUNTIFS(工数管理!$AK$3:$AK$98,L$1,工数管理!$AG$3:$AG$98,"&lt;="&amp;$H132,工数管理!$AH$3:$AH$98,"&gt;="&amp;$H132)+(COUNTIFS(工数管理!$AK$3:$AK$98,L$1,工数管理!$K$3:$K$98,"&lt;="&amp;$H132,工数管理!$L$3:$L$98,"")+COUNTIFS(工数管理!$AK$3:$AK$98,L$1,工数管理!$M$3:$M$98,"&lt;="&amp;$H132,工数管理!$N$3:$N$98,"")+COUNTIFS(工数管理!$AK$3:$AK$98,L$1,工数管理!$O$3:$O$98,"&lt;="&amp;$H132,工数管理!$P$3:$P$98,"")+COUNTIFS(工数管理!$AK$3:$AK$98,L$1,工数管理!$Q$3:$Q$98,"&lt;="&amp;$H132,工数管理!$R$3:$R$98,"")+COUNTIFS(工数管理!$AK$3:$AK$98,L$1,工数管理!$S$3:$S$98,"&lt;="&amp;$H132,工数管理!$T$3:$T$98,"")+COUNTIFS(工数管理!$AK$3:$AK$98,L$1,工数管理!$U$3:$U$98,"&lt;="&amp;$H132,工数管理!$V$3:$V$98,"")+COUNTIFS(工数管理!$AK$3:$AK$98,L$1,工数管理!$W$3:$W$98,"&lt;="&amp;$H132,工数管理!$X$3:$X$98,"")+COUNTIFS(工数管理!$AK$3:$AK$98,L$1,工数管理!$Y$3:$Y$98,"&lt;="&amp;$H132,工数管理!$Z$3:$Z$98,"")+COUNTIFS(工数管理!$AK$3:$AK$98,L$1,工数管理!$AA$3:$AA$98,"&lt;="&amp;$H132,工数管理!$AB$3:$AB$98,"")+COUNTIFS(工数管理!$AK$3:$AK$98,L$1,工数管理!$AC$3:$AC$98,"&lt;="&amp;$H132,工数管理!$AD$3:$AD$98,"")+COUNTIFS(工数管理!$AK$3:$AK$98,L$1,工数管理!$AE$3:$AE$98,"&lt;="&amp;$H132,工数管理!$AF$3:$AF$98,"")+COUNTIFS(工数管理!$AK$3:$AK$98,L$1,工数管理!$AG$3:$AG$98,"&lt;="&amp;$H132,工数管理!$AH$3:$AH$98,""))*($H132&lt;=工数管理!$AI$1))</f>
        <v>1</v>
      </c>
    </row>
    <row r="133" spans="1:12" x14ac:dyDescent="0.15">
      <c r="A133" s="5"/>
      <c r="B133" s="6"/>
      <c r="H133" s="41">
        <f t="shared" si="3"/>
        <v>46301</v>
      </c>
      <c r="I133" s="42">
        <f t="shared" si="2"/>
        <v>1</v>
      </c>
      <c r="J133" s="42">
        <f ca="1">IF(J$1="",0,COUNTIFS(工数管理!$AK$3:$AK$98,J$1,工数管理!$K$3:$K$98,"&lt;="&amp;$H133,工数管理!$L$3:$L$98,"&gt;="&amp;$H133)+COUNTIFS(工数管理!$AK$3:$AK$98,J$1,工数管理!$M$3:$M$98,"&lt;="&amp;$H133,工数管理!$N$3:$N$98,"&gt;="&amp;$H133)+COUNTIFS(工数管理!$AK$3:$AK$98,J$1,工数管理!$O$3:$O$98,"&lt;="&amp;$H133,工数管理!$P$3:$P$98,"&gt;="&amp;$H133)+COUNTIFS(工数管理!$AK$3:$AK$98,J$1,工数管理!$Q$3:$Q$98,"&lt;="&amp;$H133,工数管理!$R$3:$R$98,"&gt;="&amp;$H133)+COUNTIFS(工数管理!$AK$3:$AK$98,J$1,工数管理!$S$3:$S$98,"&lt;="&amp;$H133,工数管理!$T$3:$T$98,"&gt;="&amp;$H133)+COUNTIFS(工数管理!$AK$3:$AK$98,J$1,工数管理!$U$3:$U$98,"&lt;="&amp;$H133,工数管理!$V$3:$V$98,"&gt;="&amp;$H133)+COUNTIFS(工数管理!$AK$3:$AK$98,J$1,工数管理!$W$3:$W$98,"&lt;="&amp;$H133,工数管理!$X$3:$X$98,"&gt;="&amp;$H133)+COUNTIFS(工数管理!$AK$3:$AK$98,J$1,工数管理!$Y$3:$Y$98,"&lt;="&amp;$H133,工数管理!$Z$3:$Z$98,"&gt;="&amp;$H133)+COUNTIFS(工数管理!$AK$3:$AK$98,J$1,工数管理!$AA$3:$AA$98,"&lt;="&amp;$H133,工数管理!$AB$3:$AB$98,"&gt;="&amp;$H133)+COUNTIFS(工数管理!$AK$3:$AK$98,J$1,工数管理!$AC$3:$AC$98,"&lt;="&amp;$H133,工数管理!$AD$3:$AD$98,"&gt;="&amp;$H133)+COUNTIFS(工数管理!$AK$3:$AK$98,J$1,工数管理!$AE$3:$AE$98,"&lt;="&amp;$H133,工数管理!$AF$3:$AF$98,"&gt;="&amp;$H133)+COUNTIFS(工数管理!$AK$3:$AK$98,J$1,工数管理!$AG$3:$AG$98,"&lt;="&amp;$H133,工数管理!$AH$3:$AH$98,"&gt;="&amp;$H133)+(COUNTIFS(工数管理!$AK$3:$AK$98,J$1,工数管理!$K$3:$K$98,"&lt;="&amp;$H133,工数管理!$L$3:$L$98,"")+COUNTIFS(工数管理!$AK$3:$AK$98,J$1,工数管理!$M$3:$M$98,"&lt;="&amp;$H133,工数管理!$N$3:$N$98,"")+COUNTIFS(工数管理!$AK$3:$AK$98,J$1,工数管理!$O$3:$O$98,"&lt;="&amp;$H133,工数管理!$P$3:$P$98,"")+COUNTIFS(工数管理!$AK$3:$AK$98,J$1,工数管理!$Q$3:$Q$98,"&lt;="&amp;$H133,工数管理!$R$3:$R$98,"")+COUNTIFS(工数管理!$AK$3:$AK$98,J$1,工数管理!$S$3:$S$98,"&lt;="&amp;$H133,工数管理!$T$3:$T$98,"")+COUNTIFS(工数管理!$AK$3:$AK$98,J$1,工数管理!$U$3:$U$98,"&lt;="&amp;$H133,工数管理!$V$3:$V$98,"")+COUNTIFS(工数管理!$AK$3:$AK$98,J$1,工数管理!$W$3:$W$98,"&lt;="&amp;$H133,工数管理!$X$3:$X$98,"")+COUNTIFS(工数管理!$AK$3:$AK$98,J$1,工数管理!$Y$3:$Y$98,"&lt;="&amp;$H133,工数管理!$Z$3:$Z$98,"")+COUNTIFS(工数管理!$AK$3:$AK$98,J$1,工数管理!$AA$3:$AA$98,"&lt;="&amp;$H133,工数管理!$AB$3:$AB$98,"")+COUNTIFS(工数管理!$AK$3:$AK$98,J$1,工数管理!$AC$3:$AC$98,"&lt;="&amp;$H133,工数管理!$AD$3:$AD$98,"")+COUNTIFS(工数管理!$AK$3:$AK$98,J$1,工数管理!$AE$3:$AE$98,"&lt;="&amp;$H133,工数管理!$AF$3:$AF$98,"")+COUNTIFS(工数管理!$AK$3:$AK$98,J$1,工数管理!$AG$3:$AG$98,"&lt;="&amp;$H133,工数管理!$AH$3:$AH$98,""))*($H133&lt;=工数管理!$AI$1))</f>
        <v>1</v>
      </c>
      <c r="K133" s="42">
        <f ca="1">IF(K$1="",0,COUNTIFS(工数管理!$AK$3:$AK$98,K$1,工数管理!$K$3:$K$98,"&lt;="&amp;$H133,工数管理!$L$3:$L$98,"&gt;="&amp;$H133)+COUNTIFS(工数管理!$AK$3:$AK$98,K$1,工数管理!$M$3:$M$98,"&lt;="&amp;$H133,工数管理!$N$3:$N$98,"&gt;="&amp;$H133)+COUNTIFS(工数管理!$AK$3:$AK$98,K$1,工数管理!$O$3:$O$98,"&lt;="&amp;$H133,工数管理!$P$3:$P$98,"&gt;="&amp;$H133)+COUNTIFS(工数管理!$AK$3:$AK$98,K$1,工数管理!$Q$3:$Q$98,"&lt;="&amp;$H133,工数管理!$R$3:$R$98,"&gt;="&amp;$H133)+COUNTIFS(工数管理!$AK$3:$AK$98,K$1,工数管理!$S$3:$S$98,"&lt;="&amp;$H133,工数管理!$T$3:$T$98,"&gt;="&amp;$H133)+COUNTIFS(工数管理!$AK$3:$AK$98,K$1,工数管理!$U$3:$U$98,"&lt;="&amp;$H133,工数管理!$V$3:$V$98,"&gt;="&amp;$H133)+COUNTIFS(工数管理!$AK$3:$AK$98,K$1,工数管理!$W$3:$W$98,"&lt;="&amp;$H133,工数管理!$X$3:$X$98,"&gt;="&amp;$H133)+COUNTIFS(工数管理!$AK$3:$AK$98,K$1,工数管理!$Y$3:$Y$98,"&lt;="&amp;$H133,工数管理!$Z$3:$Z$98,"&gt;="&amp;$H133)+COUNTIFS(工数管理!$AK$3:$AK$98,K$1,工数管理!$AA$3:$AA$98,"&lt;="&amp;$H133,工数管理!$AB$3:$AB$98,"&gt;="&amp;$H133)+COUNTIFS(工数管理!$AK$3:$AK$98,K$1,工数管理!$AC$3:$AC$98,"&lt;="&amp;$H133,工数管理!$AD$3:$AD$98,"&gt;="&amp;$H133)+COUNTIFS(工数管理!$AK$3:$AK$98,K$1,工数管理!$AE$3:$AE$98,"&lt;="&amp;$H133,工数管理!$AF$3:$AF$98,"&gt;="&amp;$H133)+COUNTIFS(工数管理!$AK$3:$AK$98,K$1,工数管理!$AG$3:$AG$98,"&lt;="&amp;$H133,工数管理!$AH$3:$AH$98,"&gt;="&amp;$H133)+(COUNTIFS(工数管理!$AK$3:$AK$98,K$1,工数管理!$K$3:$K$98,"&lt;="&amp;$H133,工数管理!$L$3:$L$98,"")+COUNTIFS(工数管理!$AK$3:$AK$98,K$1,工数管理!$M$3:$M$98,"&lt;="&amp;$H133,工数管理!$N$3:$N$98,"")+COUNTIFS(工数管理!$AK$3:$AK$98,K$1,工数管理!$O$3:$O$98,"&lt;="&amp;$H133,工数管理!$P$3:$P$98,"")+COUNTIFS(工数管理!$AK$3:$AK$98,K$1,工数管理!$Q$3:$Q$98,"&lt;="&amp;$H133,工数管理!$R$3:$R$98,"")+COUNTIFS(工数管理!$AK$3:$AK$98,K$1,工数管理!$S$3:$S$98,"&lt;="&amp;$H133,工数管理!$T$3:$T$98,"")+COUNTIFS(工数管理!$AK$3:$AK$98,K$1,工数管理!$U$3:$U$98,"&lt;="&amp;$H133,工数管理!$V$3:$V$98,"")+COUNTIFS(工数管理!$AK$3:$AK$98,K$1,工数管理!$W$3:$W$98,"&lt;="&amp;$H133,工数管理!$X$3:$X$98,"")+COUNTIFS(工数管理!$AK$3:$AK$98,K$1,工数管理!$Y$3:$Y$98,"&lt;="&amp;$H133,工数管理!$Z$3:$Z$98,"")+COUNTIFS(工数管理!$AK$3:$AK$98,K$1,工数管理!$AA$3:$AA$98,"&lt;="&amp;$H133,工数管理!$AB$3:$AB$98,"")+COUNTIFS(工数管理!$AK$3:$AK$98,K$1,工数管理!$AC$3:$AC$98,"&lt;="&amp;$H133,工数管理!$AD$3:$AD$98,"")+COUNTIFS(工数管理!$AK$3:$AK$98,K$1,工数管理!$AE$3:$AE$98,"&lt;="&amp;$H133,工数管理!$AF$3:$AF$98,"")+COUNTIFS(工数管理!$AK$3:$AK$98,K$1,工数管理!$AG$3:$AG$98,"&lt;="&amp;$H133,工数管理!$AH$3:$AH$98,""))*($H133&lt;=工数管理!$AI$1))</f>
        <v>1</v>
      </c>
      <c r="L133" s="42">
        <f ca="1">IF(L$1="",0,COUNTIFS(工数管理!$AK$3:$AK$98,L$1,工数管理!$K$3:$K$98,"&lt;="&amp;$H133,工数管理!$L$3:$L$98,"&gt;="&amp;$H133)+COUNTIFS(工数管理!$AK$3:$AK$98,L$1,工数管理!$M$3:$M$98,"&lt;="&amp;$H133,工数管理!$N$3:$N$98,"&gt;="&amp;$H133)+COUNTIFS(工数管理!$AK$3:$AK$98,L$1,工数管理!$O$3:$O$98,"&lt;="&amp;$H133,工数管理!$P$3:$P$98,"&gt;="&amp;$H133)+COUNTIFS(工数管理!$AK$3:$AK$98,L$1,工数管理!$Q$3:$Q$98,"&lt;="&amp;$H133,工数管理!$R$3:$R$98,"&gt;="&amp;$H133)+COUNTIFS(工数管理!$AK$3:$AK$98,L$1,工数管理!$S$3:$S$98,"&lt;="&amp;$H133,工数管理!$T$3:$T$98,"&gt;="&amp;$H133)+COUNTIFS(工数管理!$AK$3:$AK$98,L$1,工数管理!$U$3:$U$98,"&lt;="&amp;$H133,工数管理!$V$3:$V$98,"&gt;="&amp;$H133)+COUNTIFS(工数管理!$AK$3:$AK$98,L$1,工数管理!$W$3:$W$98,"&lt;="&amp;$H133,工数管理!$X$3:$X$98,"&gt;="&amp;$H133)+COUNTIFS(工数管理!$AK$3:$AK$98,L$1,工数管理!$Y$3:$Y$98,"&lt;="&amp;$H133,工数管理!$Z$3:$Z$98,"&gt;="&amp;$H133)+COUNTIFS(工数管理!$AK$3:$AK$98,L$1,工数管理!$AA$3:$AA$98,"&lt;="&amp;$H133,工数管理!$AB$3:$AB$98,"&gt;="&amp;$H133)+COUNTIFS(工数管理!$AK$3:$AK$98,L$1,工数管理!$AC$3:$AC$98,"&lt;="&amp;$H133,工数管理!$AD$3:$AD$98,"&gt;="&amp;$H133)+COUNTIFS(工数管理!$AK$3:$AK$98,L$1,工数管理!$AE$3:$AE$98,"&lt;="&amp;$H133,工数管理!$AF$3:$AF$98,"&gt;="&amp;$H133)+COUNTIFS(工数管理!$AK$3:$AK$98,L$1,工数管理!$AG$3:$AG$98,"&lt;="&amp;$H133,工数管理!$AH$3:$AH$98,"&gt;="&amp;$H133)+(COUNTIFS(工数管理!$AK$3:$AK$98,L$1,工数管理!$K$3:$K$98,"&lt;="&amp;$H133,工数管理!$L$3:$L$98,"")+COUNTIFS(工数管理!$AK$3:$AK$98,L$1,工数管理!$M$3:$M$98,"&lt;="&amp;$H133,工数管理!$N$3:$N$98,"")+COUNTIFS(工数管理!$AK$3:$AK$98,L$1,工数管理!$O$3:$O$98,"&lt;="&amp;$H133,工数管理!$P$3:$P$98,"")+COUNTIFS(工数管理!$AK$3:$AK$98,L$1,工数管理!$Q$3:$Q$98,"&lt;="&amp;$H133,工数管理!$R$3:$R$98,"")+COUNTIFS(工数管理!$AK$3:$AK$98,L$1,工数管理!$S$3:$S$98,"&lt;="&amp;$H133,工数管理!$T$3:$T$98,"")+COUNTIFS(工数管理!$AK$3:$AK$98,L$1,工数管理!$U$3:$U$98,"&lt;="&amp;$H133,工数管理!$V$3:$V$98,"")+COUNTIFS(工数管理!$AK$3:$AK$98,L$1,工数管理!$W$3:$W$98,"&lt;="&amp;$H133,工数管理!$X$3:$X$98,"")+COUNTIFS(工数管理!$AK$3:$AK$98,L$1,工数管理!$Y$3:$Y$98,"&lt;="&amp;$H133,工数管理!$Z$3:$Z$98,"")+COUNTIFS(工数管理!$AK$3:$AK$98,L$1,工数管理!$AA$3:$AA$98,"&lt;="&amp;$H133,工数管理!$AB$3:$AB$98,"")+COUNTIFS(工数管理!$AK$3:$AK$98,L$1,工数管理!$AC$3:$AC$98,"&lt;="&amp;$H133,工数管理!$AD$3:$AD$98,"")+COUNTIFS(工数管理!$AK$3:$AK$98,L$1,工数管理!$AE$3:$AE$98,"&lt;="&amp;$H133,工数管理!$AF$3:$AF$98,"")+COUNTIFS(工数管理!$AK$3:$AK$98,L$1,工数管理!$AG$3:$AG$98,"&lt;="&amp;$H133,工数管理!$AH$3:$AH$98,""))*($H133&lt;=工数管理!$AI$1))</f>
        <v>1</v>
      </c>
    </row>
    <row r="134" spans="1:12" x14ac:dyDescent="0.15">
      <c r="A134" s="5"/>
      <c r="B134" s="6"/>
      <c r="H134" s="41">
        <f t="shared" si="3"/>
        <v>46302</v>
      </c>
      <c r="I134" s="42">
        <f t="shared" ref="I134:I197" si="4">IF(NETWORKDAYS(H134,H134,$A$2:$A$200)=1,1,0)</f>
        <v>1</v>
      </c>
      <c r="J134" s="42">
        <f ca="1">IF(J$1="",0,COUNTIFS(工数管理!$AK$3:$AK$98,J$1,工数管理!$K$3:$K$98,"&lt;="&amp;$H134,工数管理!$L$3:$L$98,"&gt;="&amp;$H134)+COUNTIFS(工数管理!$AK$3:$AK$98,J$1,工数管理!$M$3:$M$98,"&lt;="&amp;$H134,工数管理!$N$3:$N$98,"&gt;="&amp;$H134)+COUNTIFS(工数管理!$AK$3:$AK$98,J$1,工数管理!$O$3:$O$98,"&lt;="&amp;$H134,工数管理!$P$3:$P$98,"&gt;="&amp;$H134)+COUNTIFS(工数管理!$AK$3:$AK$98,J$1,工数管理!$Q$3:$Q$98,"&lt;="&amp;$H134,工数管理!$R$3:$R$98,"&gt;="&amp;$H134)+COUNTIFS(工数管理!$AK$3:$AK$98,J$1,工数管理!$S$3:$S$98,"&lt;="&amp;$H134,工数管理!$T$3:$T$98,"&gt;="&amp;$H134)+COUNTIFS(工数管理!$AK$3:$AK$98,J$1,工数管理!$U$3:$U$98,"&lt;="&amp;$H134,工数管理!$V$3:$V$98,"&gt;="&amp;$H134)+COUNTIFS(工数管理!$AK$3:$AK$98,J$1,工数管理!$W$3:$W$98,"&lt;="&amp;$H134,工数管理!$X$3:$X$98,"&gt;="&amp;$H134)+COUNTIFS(工数管理!$AK$3:$AK$98,J$1,工数管理!$Y$3:$Y$98,"&lt;="&amp;$H134,工数管理!$Z$3:$Z$98,"&gt;="&amp;$H134)+COUNTIFS(工数管理!$AK$3:$AK$98,J$1,工数管理!$AA$3:$AA$98,"&lt;="&amp;$H134,工数管理!$AB$3:$AB$98,"&gt;="&amp;$H134)+COUNTIFS(工数管理!$AK$3:$AK$98,J$1,工数管理!$AC$3:$AC$98,"&lt;="&amp;$H134,工数管理!$AD$3:$AD$98,"&gt;="&amp;$H134)+COUNTIFS(工数管理!$AK$3:$AK$98,J$1,工数管理!$AE$3:$AE$98,"&lt;="&amp;$H134,工数管理!$AF$3:$AF$98,"&gt;="&amp;$H134)+COUNTIFS(工数管理!$AK$3:$AK$98,J$1,工数管理!$AG$3:$AG$98,"&lt;="&amp;$H134,工数管理!$AH$3:$AH$98,"&gt;="&amp;$H134)+(COUNTIFS(工数管理!$AK$3:$AK$98,J$1,工数管理!$K$3:$K$98,"&lt;="&amp;$H134,工数管理!$L$3:$L$98,"")+COUNTIFS(工数管理!$AK$3:$AK$98,J$1,工数管理!$M$3:$M$98,"&lt;="&amp;$H134,工数管理!$N$3:$N$98,"")+COUNTIFS(工数管理!$AK$3:$AK$98,J$1,工数管理!$O$3:$O$98,"&lt;="&amp;$H134,工数管理!$P$3:$P$98,"")+COUNTIFS(工数管理!$AK$3:$AK$98,J$1,工数管理!$Q$3:$Q$98,"&lt;="&amp;$H134,工数管理!$R$3:$R$98,"")+COUNTIFS(工数管理!$AK$3:$AK$98,J$1,工数管理!$S$3:$S$98,"&lt;="&amp;$H134,工数管理!$T$3:$T$98,"")+COUNTIFS(工数管理!$AK$3:$AK$98,J$1,工数管理!$U$3:$U$98,"&lt;="&amp;$H134,工数管理!$V$3:$V$98,"")+COUNTIFS(工数管理!$AK$3:$AK$98,J$1,工数管理!$W$3:$W$98,"&lt;="&amp;$H134,工数管理!$X$3:$X$98,"")+COUNTIFS(工数管理!$AK$3:$AK$98,J$1,工数管理!$Y$3:$Y$98,"&lt;="&amp;$H134,工数管理!$Z$3:$Z$98,"")+COUNTIFS(工数管理!$AK$3:$AK$98,J$1,工数管理!$AA$3:$AA$98,"&lt;="&amp;$H134,工数管理!$AB$3:$AB$98,"")+COUNTIFS(工数管理!$AK$3:$AK$98,J$1,工数管理!$AC$3:$AC$98,"&lt;="&amp;$H134,工数管理!$AD$3:$AD$98,"")+COUNTIFS(工数管理!$AK$3:$AK$98,J$1,工数管理!$AE$3:$AE$98,"&lt;="&amp;$H134,工数管理!$AF$3:$AF$98,"")+COUNTIFS(工数管理!$AK$3:$AK$98,J$1,工数管理!$AG$3:$AG$98,"&lt;="&amp;$H134,工数管理!$AH$3:$AH$98,""))*($H134&lt;=工数管理!$AI$1))</f>
        <v>1</v>
      </c>
      <c r="K134" s="42">
        <f ca="1">IF(K$1="",0,COUNTIFS(工数管理!$AK$3:$AK$98,K$1,工数管理!$K$3:$K$98,"&lt;="&amp;$H134,工数管理!$L$3:$L$98,"&gt;="&amp;$H134)+COUNTIFS(工数管理!$AK$3:$AK$98,K$1,工数管理!$M$3:$M$98,"&lt;="&amp;$H134,工数管理!$N$3:$N$98,"&gt;="&amp;$H134)+COUNTIFS(工数管理!$AK$3:$AK$98,K$1,工数管理!$O$3:$O$98,"&lt;="&amp;$H134,工数管理!$P$3:$P$98,"&gt;="&amp;$H134)+COUNTIFS(工数管理!$AK$3:$AK$98,K$1,工数管理!$Q$3:$Q$98,"&lt;="&amp;$H134,工数管理!$R$3:$R$98,"&gt;="&amp;$H134)+COUNTIFS(工数管理!$AK$3:$AK$98,K$1,工数管理!$S$3:$S$98,"&lt;="&amp;$H134,工数管理!$T$3:$T$98,"&gt;="&amp;$H134)+COUNTIFS(工数管理!$AK$3:$AK$98,K$1,工数管理!$U$3:$U$98,"&lt;="&amp;$H134,工数管理!$V$3:$V$98,"&gt;="&amp;$H134)+COUNTIFS(工数管理!$AK$3:$AK$98,K$1,工数管理!$W$3:$W$98,"&lt;="&amp;$H134,工数管理!$X$3:$X$98,"&gt;="&amp;$H134)+COUNTIFS(工数管理!$AK$3:$AK$98,K$1,工数管理!$Y$3:$Y$98,"&lt;="&amp;$H134,工数管理!$Z$3:$Z$98,"&gt;="&amp;$H134)+COUNTIFS(工数管理!$AK$3:$AK$98,K$1,工数管理!$AA$3:$AA$98,"&lt;="&amp;$H134,工数管理!$AB$3:$AB$98,"&gt;="&amp;$H134)+COUNTIFS(工数管理!$AK$3:$AK$98,K$1,工数管理!$AC$3:$AC$98,"&lt;="&amp;$H134,工数管理!$AD$3:$AD$98,"&gt;="&amp;$H134)+COUNTIFS(工数管理!$AK$3:$AK$98,K$1,工数管理!$AE$3:$AE$98,"&lt;="&amp;$H134,工数管理!$AF$3:$AF$98,"&gt;="&amp;$H134)+COUNTIFS(工数管理!$AK$3:$AK$98,K$1,工数管理!$AG$3:$AG$98,"&lt;="&amp;$H134,工数管理!$AH$3:$AH$98,"&gt;="&amp;$H134)+(COUNTIFS(工数管理!$AK$3:$AK$98,K$1,工数管理!$K$3:$K$98,"&lt;="&amp;$H134,工数管理!$L$3:$L$98,"")+COUNTIFS(工数管理!$AK$3:$AK$98,K$1,工数管理!$M$3:$M$98,"&lt;="&amp;$H134,工数管理!$N$3:$N$98,"")+COUNTIFS(工数管理!$AK$3:$AK$98,K$1,工数管理!$O$3:$O$98,"&lt;="&amp;$H134,工数管理!$P$3:$P$98,"")+COUNTIFS(工数管理!$AK$3:$AK$98,K$1,工数管理!$Q$3:$Q$98,"&lt;="&amp;$H134,工数管理!$R$3:$R$98,"")+COUNTIFS(工数管理!$AK$3:$AK$98,K$1,工数管理!$S$3:$S$98,"&lt;="&amp;$H134,工数管理!$T$3:$T$98,"")+COUNTIFS(工数管理!$AK$3:$AK$98,K$1,工数管理!$U$3:$U$98,"&lt;="&amp;$H134,工数管理!$V$3:$V$98,"")+COUNTIFS(工数管理!$AK$3:$AK$98,K$1,工数管理!$W$3:$W$98,"&lt;="&amp;$H134,工数管理!$X$3:$X$98,"")+COUNTIFS(工数管理!$AK$3:$AK$98,K$1,工数管理!$Y$3:$Y$98,"&lt;="&amp;$H134,工数管理!$Z$3:$Z$98,"")+COUNTIFS(工数管理!$AK$3:$AK$98,K$1,工数管理!$AA$3:$AA$98,"&lt;="&amp;$H134,工数管理!$AB$3:$AB$98,"")+COUNTIFS(工数管理!$AK$3:$AK$98,K$1,工数管理!$AC$3:$AC$98,"&lt;="&amp;$H134,工数管理!$AD$3:$AD$98,"")+COUNTIFS(工数管理!$AK$3:$AK$98,K$1,工数管理!$AE$3:$AE$98,"&lt;="&amp;$H134,工数管理!$AF$3:$AF$98,"")+COUNTIFS(工数管理!$AK$3:$AK$98,K$1,工数管理!$AG$3:$AG$98,"&lt;="&amp;$H134,工数管理!$AH$3:$AH$98,""))*($H134&lt;=工数管理!$AI$1))</f>
        <v>1</v>
      </c>
      <c r="L134" s="42">
        <f ca="1">IF(L$1="",0,COUNTIFS(工数管理!$AK$3:$AK$98,L$1,工数管理!$K$3:$K$98,"&lt;="&amp;$H134,工数管理!$L$3:$L$98,"&gt;="&amp;$H134)+COUNTIFS(工数管理!$AK$3:$AK$98,L$1,工数管理!$M$3:$M$98,"&lt;="&amp;$H134,工数管理!$N$3:$N$98,"&gt;="&amp;$H134)+COUNTIFS(工数管理!$AK$3:$AK$98,L$1,工数管理!$O$3:$O$98,"&lt;="&amp;$H134,工数管理!$P$3:$P$98,"&gt;="&amp;$H134)+COUNTIFS(工数管理!$AK$3:$AK$98,L$1,工数管理!$Q$3:$Q$98,"&lt;="&amp;$H134,工数管理!$R$3:$R$98,"&gt;="&amp;$H134)+COUNTIFS(工数管理!$AK$3:$AK$98,L$1,工数管理!$S$3:$S$98,"&lt;="&amp;$H134,工数管理!$T$3:$T$98,"&gt;="&amp;$H134)+COUNTIFS(工数管理!$AK$3:$AK$98,L$1,工数管理!$U$3:$U$98,"&lt;="&amp;$H134,工数管理!$V$3:$V$98,"&gt;="&amp;$H134)+COUNTIFS(工数管理!$AK$3:$AK$98,L$1,工数管理!$W$3:$W$98,"&lt;="&amp;$H134,工数管理!$X$3:$X$98,"&gt;="&amp;$H134)+COUNTIFS(工数管理!$AK$3:$AK$98,L$1,工数管理!$Y$3:$Y$98,"&lt;="&amp;$H134,工数管理!$Z$3:$Z$98,"&gt;="&amp;$H134)+COUNTIFS(工数管理!$AK$3:$AK$98,L$1,工数管理!$AA$3:$AA$98,"&lt;="&amp;$H134,工数管理!$AB$3:$AB$98,"&gt;="&amp;$H134)+COUNTIFS(工数管理!$AK$3:$AK$98,L$1,工数管理!$AC$3:$AC$98,"&lt;="&amp;$H134,工数管理!$AD$3:$AD$98,"&gt;="&amp;$H134)+COUNTIFS(工数管理!$AK$3:$AK$98,L$1,工数管理!$AE$3:$AE$98,"&lt;="&amp;$H134,工数管理!$AF$3:$AF$98,"&gt;="&amp;$H134)+COUNTIFS(工数管理!$AK$3:$AK$98,L$1,工数管理!$AG$3:$AG$98,"&lt;="&amp;$H134,工数管理!$AH$3:$AH$98,"&gt;="&amp;$H134)+(COUNTIFS(工数管理!$AK$3:$AK$98,L$1,工数管理!$K$3:$K$98,"&lt;="&amp;$H134,工数管理!$L$3:$L$98,"")+COUNTIFS(工数管理!$AK$3:$AK$98,L$1,工数管理!$M$3:$M$98,"&lt;="&amp;$H134,工数管理!$N$3:$N$98,"")+COUNTIFS(工数管理!$AK$3:$AK$98,L$1,工数管理!$O$3:$O$98,"&lt;="&amp;$H134,工数管理!$P$3:$P$98,"")+COUNTIFS(工数管理!$AK$3:$AK$98,L$1,工数管理!$Q$3:$Q$98,"&lt;="&amp;$H134,工数管理!$R$3:$R$98,"")+COUNTIFS(工数管理!$AK$3:$AK$98,L$1,工数管理!$S$3:$S$98,"&lt;="&amp;$H134,工数管理!$T$3:$T$98,"")+COUNTIFS(工数管理!$AK$3:$AK$98,L$1,工数管理!$U$3:$U$98,"&lt;="&amp;$H134,工数管理!$V$3:$V$98,"")+COUNTIFS(工数管理!$AK$3:$AK$98,L$1,工数管理!$W$3:$W$98,"&lt;="&amp;$H134,工数管理!$X$3:$X$98,"")+COUNTIFS(工数管理!$AK$3:$AK$98,L$1,工数管理!$Y$3:$Y$98,"&lt;="&amp;$H134,工数管理!$Z$3:$Z$98,"")+COUNTIFS(工数管理!$AK$3:$AK$98,L$1,工数管理!$AA$3:$AA$98,"&lt;="&amp;$H134,工数管理!$AB$3:$AB$98,"")+COUNTIFS(工数管理!$AK$3:$AK$98,L$1,工数管理!$AC$3:$AC$98,"&lt;="&amp;$H134,工数管理!$AD$3:$AD$98,"")+COUNTIFS(工数管理!$AK$3:$AK$98,L$1,工数管理!$AE$3:$AE$98,"&lt;="&amp;$H134,工数管理!$AF$3:$AF$98,"")+COUNTIFS(工数管理!$AK$3:$AK$98,L$1,工数管理!$AG$3:$AG$98,"&lt;="&amp;$H134,工数管理!$AH$3:$AH$98,""))*($H134&lt;=工数管理!$AI$1))</f>
        <v>1</v>
      </c>
    </row>
    <row r="135" spans="1:12" x14ac:dyDescent="0.15">
      <c r="A135" s="5"/>
      <c r="B135" s="6"/>
      <c r="H135" s="41">
        <f t="shared" ref="H135:H198" si="5">H134+1</f>
        <v>46303</v>
      </c>
      <c r="I135" s="42">
        <f t="shared" si="4"/>
        <v>1</v>
      </c>
      <c r="J135" s="42">
        <f ca="1">IF(J$1="",0,COUNTIFS(工数管理!$AK$3:$AK$98,J$1,工数管理!$K$3:$K$98,"&lt;="&amp;$H135,工数管理!$L$3:$L$98,"&gt;="&amp;$H135)+COUNTIFS(工数管理!$AK$3:$AK$98,J$1,工数管理!$M$3:$M$98,"&lt;="&amp;$H135,工数管理!$N$3:$N$98,"&gt;="&amp;$H135)+COUNTIFS(工数管理!$AK$3:$AK$98,J$1,工数管理!$O$3:$O$98,"&lt;="&amp;$H135,工数管理!$P$3:$P$98,"&gt;="&amp;$H135)+COUNTIFS(工数管理!$AK$3:$AK$98,J$1,工数管理!$Q$3:$Q$98,"&lt;="&amp;$H135,工数管理!$R$3:$R$98,"&gt;="&amp;$H135)+COUNTIFS(工数管理!$AK$3:$AK$98,J$1,工数管理!$S$3:$S$98,"&lt;="&amp;$H135,工数管理!$T$3:$T$98,"&gt;="&amp;$H135)+COUNTIFS(工数管理!$AK$3:$AK$98,J$1,工数管理!$U$3:$U$98,"&lt;="&amp;$H135,工数管理!$V$3:$V$98,"&gt;="&amp;$H135)+COUNTIFS(工数管理!$AK$3:$AK$98,J$1,工数管理!$W$3:$W$98,"&lt;="&amp;$H135,工数管理!$X$3:$X$98,"&gt;="&amp;$H135)+COUNTIFS(工数管理!$AK$3:$AK$98,J$1,工数管理!$Y$3:$Y$98,"&lt;="&amp;$H135,工数管理!$Z$3:$Z$98,"&gt;="&amp;$H135)+COUNTIFS(工数管理!$AK$3:$AK$98,J$1,工数管理!$AA$3:$AA$98,"&lt;="&amp;$H135,工数管理!$AB$3:$AB$98,"&gt;="&amp;$H135)+COUNTIFS(工数管理!$AK$3:$AK$98,J$1,工数管理!$AC$3:$AC$98,"&lt;="&amp;$H135,工数管理!$AD$3:$AD$98,"&gt;="&amp;$H135)+COUNTIFS(工数管理!$AK$3:$AK$98,J$1,工数管理!$AE$3:$AE$98,"&lt;="&amp;$H135,工数管理!$AF$3:$AF$98,"&gt;="&amp;$H135)+COUNTIFS(工数管理!$AK$3:$AK$98,J$1,工数管理!$AG$3:$AG$98,"&lt;="&amp;$H135,工数管理!$AH$3:$AH$98,"&gt;="&amp;$H135)+(COUNTIFS(工数管理!$AK$3:$AK$98,J$1,工数管理!$K$3:$K$98,"&lt;="&amp;$H135,工数管理!$L$3:$L$98,"")+COUNTIFS(工数管理!$AK$3:$AK$98,J$1,工数管理!$M$3:$M$98,"&lt;="&amp;$H135,工数管理!$N$3:$N$98,"")+COUNTIFS(工数管理!$AK$3:$AK$98,J$1,工数管理!$O$3:$O$98,"&lt;="&amp;$H135,工数管理!$P$3:$P$98,"")+COUNTIFS(工数管理!$AK$3:$AK$98,J$1,工数管理!$Q$3:$Q$98,"&lt;="&amp;$H135,工数管理!$R$3:$R$98,"")+COUNTIFS(工数管理!$AK$3:$AK$98,J$1,工数管理!$S$3:$S$98,"&lt;="&amp;$H135,工数管理!$T$3:$T$98,"")+COUNTIFS(工数管理!$AK$3:$AK$98,J$1,工数管理!$U$3:$U$98,"&lt;="&amp;$H135,工数管理!$V$3:$V$98,"")+COUNTIFS(工数管理!$AK$3:$AK$98,J$1,工数管理!$W$3:$W$98,"&lt;="&amp;$H135,工数管理!$X$3:$X$98,"")+COUNTIFS(工数管理!$AK$3:$AK$98,J$1,工数管理!$Y$3:$Y$98,"&lt;="&amp;$H135,工数管理!$Z$3:$Z$98,"")+COUNTIFS(工数管理!$AK$3:$AK$98,J$1,工数管理!$AA$3:$AA$98,"&lt;="&amp;$H135,工数管理!$AB$3:$AB$98,"")+COUNTIFS(工数管理!$AK$3:$AK$98,J$1,工数管理!$AC$3:$AC$98,"&lt;="&amp;$H135,工数管理!$AD$3:$AD$98,"")+COUNTIFS(工数管理!$AK$3:$AK$98,J$1,工数管理!$AE$3:$AE$98,"&lt;="&amp;$H135,工数管理!$AF$3:$AF$98,"")+COUNTIFS(工数管理!$AK$3:$AK$98,J$1,工数管理!$AG$3:$AG$98,"&lt;="&amp;$H135,工数管理!$AH$3:$AH$98,""))*($H135&lt;=工数管理!$AI$1))</f>
        <v>0</v>
      </c>
      <c r="K135" s="42">
        <f ca="1">IF(K$1="",0,COUNTIFS(工数管理!$AK$3:$AK$98,K$1,工数管理!$K$3:$K$98,"&lt;="&amp;$H135,工数管理!$L$3:$L$98,"&gt;="&amp;$H135)+COUNTIFS(工数管理!$AK$3:$AK$98,K$1,工数管理!$M$3:$M$98,"&lt;="&amp;$H135,工数管理!$N$3:$N$98,"&gt;="&amp;$H135)+COUNTIFS(工数管理!$AK$3:$AK$98,K$1,工数管理!$O$3:$O$98,"&lt;="&amp;$H135,工数管理!$P$3:$P$98,"&gt;="&amp;$H135)+COUNTIFS(工数管理!$AK$3:$AK$98,K$1,工数管理!$Q$3:$Q$98,"&lt;="&amp;$H135,工数管理!$R$3:$R$98,"&gt;="&amp;$H135)+COUNTIFS(工数管理!$AK$3:$AK$98,K$1,工数管理!$S$3:$S$98,"&lt;="&amp;$H135,工数管理!$T$3:$T$98,"&gt;="&amp;$H135)+COUNTIFS(工数管理!$AK$3:$AK$98,K$1,工数管理!$U$3:$U$98,"&lt;="&amp;$H135,工数管理!$V$3:$V$98,"&gt;="&amp;$H135)+COUNTIFS(工数管理!$AK$3:$AK$98,K$1,工数管理!$W$3:$W$98,"&lt;="&amp;$H135,工数管理!$X$3:$X$98,"&gt;="&amp;$H135)+COUNTIFS(工数管理!$AK$3:$AK$98,K$1,工数管理!$Y$3:$Y$98,"&lt;="&amp;$H135,工数管理!$Z$3:$Z$98,"&gt;="&amp;$H135)+COUNTIFS(工数管理!$AK$3:$AK$98,K$1,工数管理!$AA$3:$AA$98,"&lt;="&amp;$H135,工数管理!$AB$3:$AB$98,"&gt;="&amp;$H135)+COUNTIFS(工数管理!$AK$3:$AK$98,K$1,工数管理!$AC$3:$AC$98,"&lt;="&amp;$H135,工数管理!$AD$3:$AD$98,"&gt;="&amp;$H135)+COUNTIFS(工数管理!$AK$3:$AK$98,K$1,工数管理!$AE$3:$AE$98,"&lt;="&amp;$H135,工数管理!$AF$3:$AF$98,"&gt;="&amp;$H135)+COUNTIFS(工数管理!$AK$3:$AK$98,K$1,工数管理!$AG$3:$AG$98,"&lt;="&amp;$H135,工数管理!$AH$3:$AH$98,"&gt;="&amp;$H135)+(COUNTIFS(工数管理!$AK$3:$AK$98,K$1,工数管理!$K$3:$K$98,"&lt;="&amp;$H135,工数管理!$L$3:$L$98,"")+COUNTIFS(工数管理!$AK$3:$AK$98,K$1,工数管理!$M$3:$M$98,"&lt;="&amp;$H135,工数管理!$N$3:$N$98,"")+COUNTIFS(工数管理!$AK$3:$AK$98,K$1,工数管理!$O$3:$O$98,"&lt;="&amp;$H135,工数管理!$P$3:$P$98,"")+COUNTIFS(工数管理!$AK$3:$AK$98,K$1,工数管理!$Q$3:$Q$98,"&lt;="&amp;$H135,工数管理!$R$3:$R$98,"")+COUNTIFS(工数管理!$AK$3:$AK$98,K$1,工数管理!$S$3:$S$98,"&lt;="&amp;$H135,工数管理!$T$3:$T$98,"")+COUNTIFS(工数管理!$AK$3:$AK$98,K$1,工数管理!$U$3:$U$98,"&lt;="&amp;$H135,工数管理!$V$3:$V$98,"")+COUNTIFS(工数管理!$AK$3:$AK$98,K$1,工数管理!$W$3:$W$98,"&lt;="&amp;$H135,工数管理!$X$3:$X$98,"")+COUNTIFS(工数管理!$AK$3:$AK$98,K$1,工数管理!$Y$3:$Y$98,"&lt;="&amp;$H135,工数管理!$Z$3:$Z$98,"")+COUNTIFS(工数管理!$AK$3:$AK$98,K$1,工数管理!$AA$3:$AA$98,"&lt;="&amp;$H135,工数管理!$AB$3:$AB$98,"")+COUNTIFS(工数管理!$AK$3:$AK$98,K$1,工数管理!$AC$3:$AC$98,"&lt;="&amp;$H135,工数管理!$AD$3:$AD$98,"")+COUNTIFS(工数管理!$AK$3:$AK$98,K$1,工数管理!$AE$3:$AE$98,"&lt;="&amp;$H135,工数管理!$AF$3:$AF$98,"")+COUNTIFS(工数管理!$AK$3:$AK$98,K$1,工数管理!$AG$3:$AG$98,"&lt;="&amp;$H135,工数管理!$AH$3:$AH$98,""))*($H135&lt;=工数管理!$AI$1))</f>
        <v>0</v>
      </c>
      <c r="L135" s="42">
        <f ca="1">IF(L$1="",0,COUNTIFS(工数管理!$AK$3:$AK$98,L$1,工数管理!$K$3:$K$98,"&lt;="&amp;$H135,工数管理!$L$3:$L$98,"&gt;="&amp;$H135)+COUNTIFS(工数管理!$AK$3:$AK$98,L$1,工数管理!$M$3:$M$98,"&lt;="&amp;$H135,工数管理!$N$3:$N$98,"&gt;="&amp;$H135)+COUNTIFS(工数管理!$AK$3:$AK$98,L$1,工数管理!$O$3:$O$98,"&lt;="&amp;$H135,工数管理!$P$3:$P$98,"&gt;="&amp;$H135)+COUNTIFS(工数管理!$AK$3:$AK$98,L$1,工数管理!$Q$3:$Q$98,"&lt;="&amp;$H135,工数管理!$R$3:$R$98,"&gt;="&amp;$H135)+COUNTIFS(工数管理!$AK$3:$AK$98,L$1,工数管理!$S$3:$S$98,"&lt;="&amp;$H135,工数管理!$T$3:$T$98,"&gt;="&amp;$H135)+COUNTIFS(工数管理!$AK$3:$AK$98,L$1,工数管理!$U$3:$U$98,"&lt;="&amp;$H135,工数管理!$V$3:$V$98,"&gt;="&amp;$H135)+COUNTIFS(工数管理!$AK$3:$AK$98,L$1,工数管理!$W$3:$W$98,"&lt;="&amp;$H135,工数管理!$X$3:$X$98,"&gt;="&amp;$H135)+COUNTIFS(工数管理!$AK$3:$AK$98,L$1,工数管理!$Y$3:$Y$98,"&lt;="&amp;$H135,工数管理!$Z$3:$Z$98,"&gt;="&amp;$H135)+COUNTIFS(工数管理!$AK$3:$AK$98,L$1,工数管理!$AA$3:$AA$98,"&lt;="&amp;$H135,工数管理!$AB$3:$AB$98,"&gt;="&amp;$H135)+COUNTIFS(工数管理!$AK$3:$AK$98,L$1,工数管理!$AC$3:$AC$98,"&lt;="&amp;$H135,工数管理!$AD$3:$AD$98,"&gt;="&amp;$H135)+COUNTIFS(工数管理!$AK$3:$AK$98,L$1,工数管理!$AE$3:$AE$98,"&lt;="&amp;$H135,工数管理!$AF$3:$AF$98,"&gt;="&amp;$H135)+COUNTIFS(工数管理!$AK$3:$AK$98,L$1,工数管理!$AG$3:$AG$98,"&lt;="&amp;$H135,工数管理!$AH$3:$AH$98,"&gt;="&amp;$H135)+(COUNTIFS(工数管理!$AK$3:$AK$98,L$1,工数管理!$K$3:$K$98,"&lt;="&amp;$H135,工数管理!$L$3:$L$98,"")+COUNTIFS(工数管理!$AK$3:$AK$98,L$1,工数管理!$M$3:$M$98,"&lt;="&amp;$H135,工数管理!$N$3:$N$98,"")+COUNTIFS(工数管理!$AK$3:$AK$98,L$1,工数管理!$O$3:$O$98,"&lt;="&amp;$H135,工数管理!$P$3:$P$98,"")+COUNTIFS(工数管理!$AK$3:$AK$98,L$1,工数管理!$Q$3:$Q$98,"&lt;="&amp;$H135,工数管理!$R$3:$R$98,"")+COUNTIFS(工数管理!$AK$3:$AK$98,L$1,工数管理!$S$3:$S$98,"&lt;="&amp;$H135,工数管理!$T$3:$T$98,"")+COUNTIFS(工数管理!$AK$3:$AK$98,L$1,工数管理!$U$3:$U$98,"&lt;="&amp;$H135,工数管理!$V$3:$V$98,"")+COUNTIFS(工数管理!$AK$3:$AK$98,L$1,工数管理!$W$3:$W$98,"&lt;="&amp;$H135,工数管理!$X$3:$X$98,"")+COUNTIFS(工数管理!$AK$3:$AK$98,L$1,工数管理!$Y$3:$Y$98,"&lt;="&amp;$H135,工数管理!$Z$3:$Z$98,"")+COUNTIFS(工数管理!$AK$3:$AK$98,L$1,工数管理!$AA$3:$AA$98,"&lt;="&amp;$H135,工数管理!$AB$3:$AB$98,"")+COUNTIFS(工数管理!$AK$3:$AK$98,L$1,工数管理!$AC$3:$AC$98,"&lt;="&amp;$H135,工数管理!$AD$3:$AD$98,"")+COUNTIFS(工数管理!$AK$3:$AK$98,L$1,工数管理!$AE$3:$AE$98,"&lt;="&amp;$H135,工数管理!$AF$3:$AF$98,"")+COUNTIFS(工数管理!$AK$3:$AK$98,L$1,工数管理!$AG$3:$AG$98,"&lt;="&amp;$H135,工数管理!$AH$3:$AH$98,""))*($H135&lt;=工数管理!$AI$1))</f>
        <v>0</v>
      </c>
    </row>
    <row r="136" spans="1:12" x14ac:dyDescent="0.15">
      <c r="A136" s="5"/>
      <c r="B136" s="6"/>
      <c r="H136" s="41">
        <f t="shared" si="5"/>
        <v>46304</v>
      </c>
      <c r="I136" s="42">
        <f t="shared" si="4"/>
        <v>1</v>
      </c>
      <c r="J136" s="42">
        <f ca="1">IF(J$1="",0,COUNTIFS(工数管理!$AK$3:$AK$98,J$1,工数管理!$K$3:$K$98,"&lt;="&amp;$H136,工数管理!$L$3:$L$98,"&gt;="&amp;$H136)+COUNTIFS(工数管理!$AK$3:$AK$98,J$1,工数管理!$M$3:$M$98,"&lt;="&amp;$H136,工数管理!$N$3:$N$98,"&gt;="&amp;$H136)+COUNTIFS(工数管理!$AK$3:$AK$98,J$1,工数管理!$O$3:$O$98,"&lt;="&amp;$H136,工数管理!$P$3:$P$98,"&gt;="&amp;$H136)+COUNTIFS(工数管理!$AK$3:$AK$98,J$1,工数管理!$Q$3:$Q$98,"&lt;="&amp;$H136,工数管理!$R$3:$R$98,"&gt;="&amp;$H136)+COUNTIFS(工数管理!$AK$3:$AK$98,J$1,工数管理!$S$3:$S$98,"&lt;="&amp;$H136,工数管理!$T$3:$T$98,"&gt;="&amp;$H136)+COUNTIFS(工数管理!$AK$3:$AK$98,J$1,工数管理!$U$3:$U$98,"&lt;="&amp;$H136,工数管理!$V$3:$V$98,"&gt;="&amp;$H136)+COUNTIFS(工数管理!$AK$3:$AK$98,J$1,工数管理!$W$3:$W$98,"&lt;="&amp;$H136,工数管理!$X$3:$X$98,"&gt;="&amp;$H136)+COUNTIFS(工数管理!$AK$3:$AK$98,J$1,工数管理!$Y$3:$Y$98,"&lt;="&amp;$H136,工数管理!$Z$3:$Z$98,"&gt;="&amp;$H136)+COUNTIFS(工数管理!$AK$3:$AK$98,J$1,工数管理!$AA$3:$AA$98,"&lt;="&amp;$H136,工数管理!$AB$3:$AB$98,"&gt;="&amp;$H136)+COUNTIFS(工数管理!$AK$3:$AK$98,J$1,工数管理!$AC$3:$AC$98,"&lt;="&amp;$H136,工数管理!$AD$3:$AD$98,"&gt;="&amp;$H136)+COUNTIFS(工数管理!$AK$3:$AK$98,J$1,工数管理!$AE$3:$AE$98,"&lt;="&amp;$H136,工数管理!$AF$3:$AF$98,"&gt;="&amp;$H136)+COUNTIFS(工数管理!$AK$3:$AK$98,J$1,工数管理!$AG$3:$AG$98,"&lt;="&amp;$H136,工数管理!$AH$3:$AH$98,"&gt;="&amp;$H136)+(COUNTIFS(工数管理!$AK$3:$AK$98,J$1,工数管理!$K$3:$K$98,"&lt;="&amp;$H136,工数管理!$L$3:$L$98,"")+COUNTIFS(工数管理!$AK$3:$AK$98,J$1,工数管理!$M$3:$M$98,"&lt;="&amp;$H136,工数管理!$N$3:$N$98,"")+COUNTIFS(工数管理!$AK$3:$AK$98,J$1,工数管理!$O$3:$O$98,"&lt;="&amp;$H136,工数管理!$P$3:$P$98,"")+COUNTIFS(工数管理!$AK$3:$AK$98,J$1,工数管理!$Q$3:$Q$98,"&lt;="&amp;$H136,工数管理!$R$3:$R$98,"")+COUNTIFS(工数管理!$AK$3:$AK$98,J$1,工数管理!$S$3:$S$98,"&lt;="&amp;$H136,工数管理!$T$3:$T$98,"")+COUNTIFS(工数管理!$AK$3:$AK$98,J$1,工数管理!$U$3:$U$98,"&lt;="&amp;$H136,工数管理!$V$3:$V$98,"")+COUNTIFS(工数管理!$AK$3:$AK$98,J$1,工数管理!$W$3:$W$98,"&lt;="&amp;$H136,工数管理!$X$3:$X$98,"")+COUNTIFS(工数管理!$AK$3:$AK$98,J$1,工数管理!$Y$3:$Y$98,"&lt;="&amp;$H136,工数管理!$Z$3:$Z$98,"")+COUNTIFS(工数管理!$AK$3:$AK$98,J$1,工数管理!$AA$3:$AA$98,"&lt;="&amp;$H136,工数管理!$AB$3:$AB$98,"")+COUNTIFS(工数管理!$AK$3:$AK$98,J$1,工数管理!$AC$3:$AC$98,"&lt;="&amp;$H136,工数管理!$AD$3:$AD$98,"")+COUNTIFS(工数管理!$AK$3:$AK$98,J$1,工数管理!$AE$3:$AE$98,"&lt;="&amp;$H136,工数管理!$AF$3:$AF$98,"")+COUNTIFS(工数管理!$AK$3:$AK$98,J$1,工数管理!$AG$3:$AG$98,"&lt;="&amp;$H136,工数管理!$AH$3:$AH$98,""))*($H136&lt;=工数管理!$AI$1))</f>
        <v>0</v>
      </c>
      <c r="K136" s="42">
        <f ca="1">IF(K$1="",0,COUNTIFS(工数管理!$AK$3:$AK$98,K$1,工数管理!$K$3:$K$98,"&lt;="&amp;$H136,工数管理!$L$3:$L$98,"&gt;="&amp;$H136)+COUNTIFS(工数管理!$AK$3:$AK$98,K$1,工数管理!$M$3:$M$98,"&lt;="&amp;$H136,工数管理!$N$3:$N$98,"&gt;="&amp;$H136)+COUNTIFS(工数管理!$AK$3:$AK$98,K$1,工数管理!$O$3:$O$98,"&lt;="&amp;$H136,工数管理!$P$3:$P$98,"&gt;="&amp;$H136)+COUNTIFS(工数管理!$AK$3:$AK$98,K$1,工数管理!$Q$3:$Q$98,"&lt;="&amp;$H136,工数管理!$R$3:$R$98,"&gt;="&amp;$H136)+COUNTIFS(工数管理!$AK$3:$AK$98,K$1,工数管理!$S$3:$S$98,"&lt;="&amp;$H136,工数管理!$T$3:$T$98,"&gt;="&amp;$H136)+COUNTIFS(工数管理!$AK$3:$AK$98,K$1,工数管理!$U$3:$U$98,"&lt;="&amp;$H136,工数管理!$V$3:$V$98,"&gt;="&amp;$H136)+COUNTIFS(工数管理!$AK$3:$AK$98,K$1,工数管理!$W$3:$W$98,"&lt;="&amp;$H136,工数管理!$X$3:$X$98,"&gt;="&amp;$H136)+COUNTIFS(工数管理!$AK$3:$AK$98,K$1,工数管理!$Y$3:$Y$98,"&lt;="&amp;$H136,工数管理!$Z$3:$Z$98,"&gt;="&amp;$H136)+COUNTIFS(工数管理!$AK$3:$AK$98,K$1,工数管理!$AA$3:$AA$98,"&lt;="&amp;$H136,工数管理!$AB$3:$AB$98,"&gt;="&amp;$H136)+COUNTIFS(工数管理!$AK$3:$AK$98,K$1,工数管理!$AC$3:$AC$98,"&lt;="&amp;$H136,工数管理!$AD$3:$AD$98,"&gt;="&amp;$H136)+COUNTIFS(工数管理!$AK$3:$AK$98,K$1,工数管理!$AE$3:$AE$98,"&lt;="&amp;$H136,工数管理!$AF$3:$AF$98,"&gt;="&amp;$H136)+COUNTIFS(工数管理!$AK$3:$AK$98,K$1,工数管理!$AG$3:$AG$98,"&lt;="&amp;$H136,工数管理!$AH$3:$AH$98,"&gt;="&amp;$H136)+(COUNTIFS(工数管理!$AK$3:$AK$98,K$1,工数管理!$K$3:$K$98,"&lt;="&amp;$H136,工数管理!$L$3:$L$98,"")+COUNTIFS(工数管理!$AK$3:$AK$98,K$1,工数管理!$M$3:$M$98,"&lt;="&amp;$H136,工数管理!$N$3:$N$98,"")+COUNTIFS(工数管理!$AK$3:$AK$98,K$1,工数管理!$O$3:$O$98,"&lt;="&amp;$H136,工数管理!$P$3:$P$98,"")+COUNTIFS(工数管理!$AK$3:$AK$98,K$1,工数管理!$Q$3:$Q$98,"&lt;="&amp;$H136,工数管理!$R$3:$R$98,"")+COUNTIFS(工数管理!$AK$3:$AK$98,K$1,工数管理!$S$3:$S$98,"&lt;="&amp;$H136,工数管理!$T$3:$T$98,"")+COUNTIFS(工数管理!$AK$3:$AK$98,K$1,工数管理!$U$3:$U$98,"&lt;="&amp;$H136,工数管理!$V$3:$V$98,"")+COUNTIFS(工数管理!$AK$3:$AK$98,K$1,工数管理!$W$3:$W$98,"&lt;="&amp;$H136,工数管理!$X$3:$X$98,"")+COUNTIFS(工数管理!$AK$3:$AK$98,K$1,工数管理!$Y$3:$Y$98,"&lt;="&amp;$H136,工数管理!$Z$3:$Z$98,"")+COUNTIFS(工数管理!$AK$3:$AK$98,K$1,工数管理!$AA$3:$AA$98,"&lt;="&amp;$H136,工数管理!$AB$3:$AB$98,"")+COUNTIFS(工数管理!$AK$3:$AK$98,K$1,工数管理!$AC$3:$AC$98,"&lt;="&amp;$H136,工数管理!$AD$3:$AD$98,"")+COUNTIFS(工数管理!$AK$3:$AK$98,K$1,工数管理!$AE$3:$AE$98,"&lt;="&amp;$H136,工数管理!$AF$3:$AF$98,"")+COUNTIFS(工数管理!$AK$3:$AK$98,K$1,工数管理!$AG$3:$AG$98,"&lt;="&amp;$H136,工数管理!$AH$3:$AH$98,""))*($H136&lt;=工数管理!$AI$1))</f>
        <v>0</v>
      </c>
      <c r="L136" s="42">
        <f ca="1">IF(L$1="",0,COUNTIFS(工数管理!$AK$3:$AK$98,L$1,工数管理!$K$3:$K$98,"&lt;="&amp;$H136,工数管理!$L$3:$L$98,"&gt;="&amp;$H136)+COUNTIFS(工数管理!$AK$3:$AK$98,L$1,工数管理!$M$3:$M$98,"&lt;="&amp;$H136,工数管理!$N$3:$N$98,"&gt;="&amp;$H136)+COUNTIFS(工数管理!$AK$3:$AK$98,L$1,工数管理!$O$3:$O$98,"&lt;="&amp;$H136,工数管理!$P$3:$P$98,"&gt;="&amp;$H136)+COUNTIFS(工数管理!$AK$3:$AK$98,L$1,工数管理!$Q$3:$Q$98,"&lt;="&amp;$H136,工数管理!$R$3:$R$98,"&gt;="&amp;$H136)+COUNTIFS(工数管理!$AK$3:$AK$98,L$1,工数管理!$S$3:$S$98,"&lt;="&amp;$H136,工数管理!$T$3:$T$98,"&gt;="&amp;$H136)+COUNTIFS(工数管理!$AK$3:$AK$98,L$1,工数管理!$U$3:$U$98,"&lt;="&amp;$H136,工数管理!$V$3:$V$98,"&gt;="&amp;$H136)+COUNTIFS(工数管理!$AK$3:$AK$98,L$1,工数管理!$W$3:$W$98,"&lt;="&amp;$H136,工数管理!$X$3:$X$98,"&gt;="&amp;$H136)+COUNTIFS(工数管理!$AK$3:$AK$98,L$1,工数管理!$Y$3:$Y$98,"&lt;="&amp;$H136,工数管理!$Z$3:$Z$98,"&gt;="&amp;$H136)+COUNTIFS(工数管理!$AK$3:$AK$98,L$1,工数管理!$AA$3:$AA$98,"&lt;="&amp;$H136,工数管理!$AB$3:$AB$98,"&gt;="&amp;$H136)+COUNTIFS(工数管理!$AK$3:$AK$98,L$1,工数管理!$AC$3:$AC$98,"&lt;="&amp;$H136,工数管理!$AD$3:$AD$98,"&gt;="&amp;$H136)+COUNTIFS(工数管理!$AK$3:$AK$98,L$1,工数管理!$AE$3:$AE$98,"&lt;="&amp;$H136,工数管理!$AF$3:$AF$98,"&gt;="&amp;$H136)+COUNTIFS(工数管理!$AK$3:$AK$98,L$1,工数管理!$AG$3:$AG$98,"&lt;="&amp;$H136,工数管理!$AH$3:$AH$98,"&gt;="&amp;$H136)+(COUNTIFS(工数管理!$AK$3:$AK$98,L$1,工数管理!$K$3:$K$98,"&lt;="&amp;$H136,工数管理!$L$3:$L$98,"")+COUNTIFS(工数管理!$AK$3:$AK$98,L$1,工数管理!$M$3:$M$98,"&lt;="&amp;$H136,工数管理!$N$3:$N$98,"")+COUNTIFS(工数管理!$AK$3:$AK$98,L$1,工数管理!$O$3:$O$98,"&lt;="&amp;$H136,工数管理!$P$3:$P$98,"")+COUNTIFS(工数管理!$AK$3:$AK$98,L$1,工数管理!$Q$3:$Q$98,"&lt;="&amp;$H136,工数管理!$R$3:$R$98,"")+COUNTIFS(工数管理!$AK$3:$AK$98,L$1,工数管理!$S$3:$S$98,"&lt;="&amp;$H136,工数管理!$T$3:$T$98,"")+COUNTIFS(工数管理!$AK$3:$AK$98,L$1,工数管理!$U$3:$U$98,"&lt;="&amp;$H136,工数管理!$V$3:$V$98,"")+COUNTIFS(工数管理!$AK$3:$AK$98,L$1,工数管理!$W$3:$W$98,"&lt;="&amp;$H136,工数管理!$X$3:$X$98,"")+COUNTIFS(工数管理!$AK$3:$AK$98,L$1,工数管理!$Y$3:$Y$98,"&lt;="&amp;$H136,工数管理!$Z$3:$Z$98,"")+COUNTIFS(工数管理!$AK$3:$AK$98,L$1,工数管理!$AA$3:$AA$98,"&lt;="&amp;$H136,工数管理!$AB$3:$AB$98,"")+COUNTIFS(工数管理!$AK$3:$AK$98,L$1,工数管理!$AC$3:$AC$98,"&lt;="&amp;$H136,工数管理!$AD$3:$AD$98,"")+COUNTIFS(工数管理!$AK$3:$AK$98,L$1,工数管理!$AE$3:$AE$98,"&lt;="&amp;$H136,工数管理!$AF$3:$AF$98,"")+COUNTIFS(工数管理!$AK$3:$AK$98,L$1,工数管理!$AG$3:$AG$98,"&lt;="&amp;$H136,工数管理!$AH$3:$AH$98,""))*($H136&lt;=工数管理!$AI$1))</f>
        <v>0</v>
      </c>
    </row>
    <row r="137" spans="1:12" x14ac:dyDescent="0.15">
      <c r="A137" s="5"/>
      <c r="B137" s="6"/>
      <c r="H137" s="41">
        <f t="shared" si="5"/>
        <v>46305</v>
      </c>
      <c r="I137" s="42">
        <f t="shared" si="4"/>
        <v>0</v>
      </c>
      <c r="J137" s="42">
        <f ca="1">IF(J$1="",0,COUNTIFS(工数管理!$AK$3:$AK$98,J$1,工数管理!$K$3:$K$98,"&lt;="&amp;$H137,工数管理!$L$3:$L$98,"&gt;="&amp;$H137)+COUNTIFS(工数管理!$AK$3:$AK$98,J$1,工数管理!$M$3:$M$98,"&lt;="&amp;$H137,工数管理!$N$3:$N$98,"&gt;="&amp;$H137)+COUNTIFS(工数管理!$AK$3:$AK$98,J$1,工数管理!$O$3:$O$98,"&lt;="&amp;$H137,工数管理!$P$3:$P$98,"&gt;="&amp;$H137)+COUNTIFS(工数管理!$AK$3:$AK$98,J$1,工数管理!$Q$3:$Q$98,"&lt;="&amp;$H137,工数管理!$R$3:$R$98,"&gt;="&amp;$H137)+COUNTIFS(工数管理!$AK$3:$AK$98,J$1,工数管理!$S$3:$S$98,"&lt;="&amp;$H137,工数管理!$T$3:$T$98,"&gt;="&amp;$H137)+COUNTIFS(工数管理!$AK$3:$AK$98,J$1,工数管理!$U$3:$U$98,"&lt;="&amp;$H137,工数管理!$V$3:$V$98,"&gt;="&amp;$H137)+COUNTIFS(工数管理!$AK$3:$AK$98,J$1,工数管理!$W$3:$W$98,"&lt;="&amp;$H137,工数管理!$X$3:$X$98,"&gt;="&amp;$H137)+COUNTIFS(工数管理!$AK$3:$AK$98,J$1,工数管理!$Y$3:$Y$98,"&lt;="&amp;$H137,工数管理!$Z$3:$Z$98,"&gt;="&amp;$H137)+COUNTIFS(工数管理!$AK$3:$AK$98,J$1,工数管理!$AA$3:$AA$98,"&lt;="&amp;$H137,工数管理!$AB$3:$AB$98,"&gt;="&amp;$H137)+COUNTIFS(工数管理!$AK$3:$AK$98,J$1,工数管理!$AC$3:$AC$98,"&lt;="&amp;$H137,工数管理!$AD$3:$AD$98,"&gt;="&amp;$H137)+COUNTIFS(工数管理!$AK$3:$AK$98,J$1,工数管理!$AE$3:$AE$98,"&lt;="&amp;$H137,工数管理!$AF$3:$AF$98,"&gt;="&amp;$H137)+COUNTIFS(工数管理!$AK$3:$AK$98,J$1,工数管理!$AG$3:$AG$98,"&lt;="&amp;$H137,工数管理!$AH$3:$AH$98,"&gt;="&amp;$H137)+(COUNTIFS(工数管理!$AK$3:$AK$98,J$1,工数管理!$K$3:$K$98,"&lt;="&amp;$H137,工数管理!$L$3:$L$98,"")+COUNTIFS(工数管理!$AK$3:$AK$98,J$1,工数管理!$M$3:$M$98,"&lt;="&amp;$H137,工数管理!$N$3:$N$98,"")+COUNTIFS(工数管理!$AK$3:$AK$98,J$1,工数管理!$O$3:$O$98,"&lt;="&amp;$H137,工数管理!$P$3:$P$98,"")+COUNTIFS(工数管理!$AK$3:$AK$98,J$1,工数管理!$Q$3:$Q$98,"&lt;="&amp;$H137,工数管理!$R$3:$R$98,"")+COUNTIFS(工数管理!$AK$3:$AK$98,J$1,工数管理!$S$3:$S$98,"&lt;="&amp;$H137,工数管理!$T$3:$T$98,"")+COUNTIFS(工数管理!$AK$3:$AK$98,J$1,工数管理!$U$3:$U$98,"&lt;="&amp;$H137,工数管理!$V$3:$V$98,"")+COUNTIFS(工数管理!$AK$3:$AK$98,J$1,工数管理!$W$3:$W$98,"&lt;="&amp;$H137,工数管理!$X$3:$X$98,"")+COUNTIFS(工数管理!$AK$3:$AK$98,J$1,工数管理!$Y$3:$Y$98,"&lt;="&amp;$H137,工数管理!$Z$3:$Z$98,"")+COUNTIFS(工数管理!$AK$3:$AK$98,J$1,工数管理!$AA$3:$AA$98,"&lt;="&amp;$H137,工数管理!$AB$3:$AB$98,"")+COUNTIFS(工数管理!$AK$3:$AK$98,J$1,工数管理!$AC$3:$AC$98,"&lt;="&amp;$H137,工数管理!$AD$3:$AD$98,"")+COUNTIFS(工数管理!$AK$3:$AK$98,J$1,工数管理!$AE$3:$AE$98,"&lt;="&amp;$H137,工数管理!$AF$3:$AF$98,"")+COUNTIFS(工数管理!$AK$3:$AK$98,J$1,工数管理!$AG$3:$AG$98,"&lt;="&amp;$H137,工数管理!$AH$3:$AH$98,""))*($H137&lt;=工数管理!$AI$1))</f>
        <v>0</v>
      </c>
      <c r="K137" s="42">
        <f ca="1">IF(K$1="",0,COUNTIFS(工数管理!$AK$3:$AK$98,K$1,工数管理!$K$3:$K$98,"&lt;="&amp;$H137,工数管理!$L$3:$L$98,"&gt;="&amp;$H137)+COUNTIFS(工数管理!$AK$3:$AK$98,K$1,工数管理!$M$3:$M$98,"&lt;="&amp;$H137,工数管理!$N$3:$N$98,"&gt;="&amp;$H137)+COUNTIFS(工数管理!$AK$3:$AK$98,K$1,工数管理!$O$3:$O$98,"&lt;="&amp;$H137,工数管理!$P$3:$P$98,"&gt;="&amp;$H137)+COUNTIFS(工数管理!$AK$3:$AK$98,K$1,工数管理!$Q$3:$Q$98,"&lt;="&amp;$H137,工数管理!$R$3:$R$98,"&gt;="&amp;$H137)+COUNTIFS(工数管理!$AK$3:$AK$98,K$1,工数管理!$S$3:$S$98,"&lt;="&amp;$H137,工数管理!$T$3:$T$98,"&gt;="&amp;$H137)+COUNTIFS(工数管理!$AK$3:$AK$98,K$1,工数管理!$U$3:$U$98,"&lt;="&amp;$H137,工数管理!$V$3:$V$98,"&gt;="&amp;$H137)+COUNTIFS(工数管理!$AK$3:$AK$98,K$1,工数管理!$W$3:$W$98,"&lt;="&amp;$H137,工数管理!$X$3:$X$98,"&gt;="&amp;$H137)+COUNTIFS(工数管理!$AK$3:$AK$98,K$1,工数管理!$Y$3:$Y$98,"&lt;="&amp;$H137,工数管理!$Z$3:$Z$98,"&gt;="&amp;$H137)+COUNTIFS(工数管理!$AK$3:$AK$98,K$1,工数管理!$AA$3:$AA$98,"&lt;="&amp;$H137,工数管理!$AB$3:$AB$98,"&gt;="&amp;$H137)+COUNTIFS(工数管理!$AK$3:$AK$98,K$1,工数管理!$AC$3:$AC$98,"&lt;="&amp;$H137,工数管理!$AD$3:$AD$98,"&gt;="&amp;$H137)+COUNTIFS(工数管理!$AK$3:$AK$98,K$1,工数管理!$AE$3:$AE$98,"&lt;="&amp;$H137,工数管理!$AF$3:$AF$98,"&gt;="&amp;$H137)+COUNTIFS(工数管理!$AK$3:$AK$98,K$1,工数管理!$AG$3:$AG$98,"&lt;="&amp;$H137,工数管理!$AH$3:$AH$98,"&gt;="&amp;$H137)+(COUNTIFS(工数管理!$AK$3:$AK$98,K$1,工数管理!$K$3:$K$98,"&lt;="&amp;$H137,工数管理!$L$3:$L$98,"")+COUNTIFS(工数管理!$AK$3:$AK$98,K$1,工数管理!$M$3:$M$98,"&lt;="&amp;$H137,工数管理!$N$3:$N$98,"")+COUNTIFS(工数管理!$AK$3:$AK$98,K$1,工数管理!$O$3:$O$98,"&lt;="&amp;$H137,工数管理!$P$3:$P$98,"")+COUNTIFS(工数管理!$AK$3:$AK$98,K$1,工数管理!$Q$3:$Q$98,"&lt;="&amp;$H137,工数管理!$R$3:$R$98,"")+COUNTIFS(工数管理!$AK$3:$AK$98,K$1,工数管理!$S$3:$S$98,"&lt;="&amp;$H137,工数管理!$T$3:$T$98,"")+COUNTIFS(工数管理!$AK$3:$AK$98,K$1,工数管理!$U$3:$U$98,"&lt;="&amp;$H137,工数管理!$V$3:$V$98,"")+COUNTIFS(工数管理!$AK$3:$AK$98,K$1,工数管理!$W$3:$W$98,"&lt;="&amp;$H137,工数管理!$X$3:$X$98,"")+COUNTIFS(工数管理!$AK$3:$AK$98,K$1,工数管理!$Y$3:$Y$98,"&lt;="&amp;$H137,工数管理!$Z$3:$Z$98,"")+COUNTIFS(工数管理!$AK$3:$AK$98,K$1,工数管理!$AA$3:$AA$98,"&lt;="&amp;$H137,工数管理!$AB$3:$AB$98,"")+COUNTIFS(工数管理!$AK$3:$AK$98,K$1,工数管理!$AC$3:$AC$98,"&lt;="&amp;$H137,工数管理!$AD$3:$AD$98,"")+COUNTIFS(工数管理!$AK$3:$AK$98,K$1,工数管理!$AE$3:$AE$98,"&lt;="&amp;$H137,工数管理!$AF$3:$AF$98,"")+COUNTIFS(工数管理!$AK$3:$AK$98,K$1,工数管理!$AG$3:$AG$98,"&lt;="&amp;$H137,工数管理!$AH$3:$AH$98,""))*($H137&lt;=工数管理!$AI$1))</f>
        <v>0</v>
      </c>
      <c r="L137" s="42">
        <f ca="1">IF(L$1="",0,COUNTIFS(工数管理!$AK$3:$AK$98,L$1,工数管理!$K$3:$K$98,"&lt;="&amp;$H137,工数管理!$L$3:$L$98,"&gt;="&amp;$H137)+COUNTIFS(工数管理!$AK$3:$AK$98,L$1,工数管理!$M$3:$M$98,"&lt;="&amp;$H137,工数管理!$N$3:$N$98,"&gt;="&amp;$H137)+COUNTIFS(工数管理!$AK$3:$AK$98,L$1,工数管理!$O$3:$O$98,"&lt;="&amp;$H137,工数管理!$P$3:$P$98,"&gt;="&amp;$H137)+COUNTIFS(工数管理!$AK$3:$AK$98,L$1,工数管理!$Q$3:$Q$98,"&lt;="&amp;$H137,工数管理!$R$3:$R$98,"&gt;="&amp;$H137)+COUNTIFS(工数管理!$AK$3:$AK$98,L$1,工数管理!$S$3:$S$98,"&lt;="&amp;$H137,工数管理!$T$3:$T$98,"&gt;="&amp;$H137)+COUNTIFS(工数管理!$AK$3:$AK$98,L$1,工数管理!$U$3:$U$98,"&lt;="&amp;$H137,工数管理!$V$3:$V$98,"&gt;="&amp;$H137)+COUNTIFS(工数管理!$AK$3:$AK$98,L$1,工数管理!$W$3:$W$98,"&lt;="&amp;$H137,工数管理!$X$3:$X$98,"&gt;="&amp;$H137)+COUNTIFS(工数管理!$AK$3:$AK$98,L$1,工数管理!$Y$3:$Y$98,"&lt;="&amp;$H137,工数管理!$Z$3:$Z$98,"&gt;="&amp;$H137)+COUNTIFS(工数管理!$AK$3:$AK$98,L$1,工数管理!$AA$3:$AA$98,"&lt;="&amp;$H137,工数管理!$AB$3:$AB$98,"&gt;="&amp;$H137)+COUNTIFS(工数管理!$AK$3:$AK$98,L$1,工数管理!$AC$3:$AC$98,"&lt;="&amp;$H137,工数管理!$AD$3:$AD$98,"&gt;="&amp;$H137)+COUNTIFS(工数管理!$AK$3:$AK$98,L$1,工数管理!$AE$3:$AE$98,"&lt;="&amp;$H137,工数管理!$AF$3:$AF$98,"&gt;="&amp;$H137)+COUNTIFS(工数管理!$AK$3:$AK$98,L$1,工数管理!$AG$3:$AG$98,"&lt;="&amp;$H137,工数管理!$AH$3:$AH$98,"&gt;="&amp;$H137)+(COUNTIFS(工数管理!$AK$3:$AK$98,L$1,工数管理!$K$3:$K$98,"&lt;="&amp;$H137,工数管理!$L$3:$L$98,"")+COUNTIFS(工数管理!$AK$3:$AK$98,L$1,工数管理!$M$3:$M$98,"&lt;="&amp;$H137,工数管理!$N$3:$N$98,"")+COUNTIFS(工数管理!$AK$3:$AK$98,L$1,工数管理!$O$3:$O$98,"&lt;="&amp;$H137,工数管理!$P$3:$P$98,"")+COUNTIFS(工数管理!$AK$3:$AK$98,L$1,工数管理!$Q$3:$Q$98,"&lt;="&amp;$H137,工数管理!$R$3:$R$98,"")+COUNTIFS(工数管理!$AK$3:$AK$98,L$1,工数管理!$S$3:$S$98,"&lt;="&amp;$H137,工数管理!$T$3:$T$98,"")+COUNTIFS(工数管理!$AK$3:$AK$98,L$1,工数管理!$U$3:$U$98,"&lt;="&amp;$H137,工数管理!$V$3:$V$98,"")+COUNTIFS(工数管理!$AK$3:$AK$98,L$1,工数管理!$W$3:$W$98,"&lt;="&amp;$H137,工数管理!$X$3:$X$98,"")+COUNTIFS(工数管理!$AK$3:$AK$98,L$1,工数管理!$Y$3:$Y$98,"&lt;="&amp;$H137,工数管理!$Z$3:$Z$98,"")+COUNTIFS(工数管理!$AK$3:$AK$98,L$1,工数管理!$AA$3:$AA$98,"&lt;="&amp;$H137,工数管理!$AB$3:$AB$98,"")+COUNTIFS(工数管理!$AK$3:$AK$98,L$1,工数管理!$AC$3:$AC$98,"&lt;="&amp;$H137,工数管理!$AD$3:$AD$98,"")+COUNTIFS(工数管理!$AK$3:$AK$98,L$1,工数管理!$AE$3:$AE$98,"&lt;="&amp;$H137,工数管理!$AF$3:$AF$98,"")+COUNTIFS(工数管理!$AK$3:$AK$98,L$1,工数管理!$AG$3:$AG$98,"&lt;="&amp;$H137,工数管理!$AH$3:$AH$98,""))*($H137&lt;=工数管理!$AI$1))</f>
        <v>0</v>
      </c>
    </row>
    <row r="138" spans="1:12" x14ac:dyDescent="0.15">
      <c r="A138" s="5"/>
      <c r="B138" s="6"/>
      <c r="H138" s="41">
        <f t="shared" si="5"/>
        <v>46306</v>
      </c>
      <c r="I138" s="42">
        <f t="shared" si="4"/>
        <v>0</v>
      </c>
      <c r="J138" s="42">
        <f ca="1">IF(J$1="",0,COUNTIFS(工数管理!$AK$3:$AK$98,J$1,工数管理!$K$3:$K$98,"&lt;="&amp;$H138,工数管理!$L$3:$L$98,"&gt;="&amp;$H138)+COUNTIFS(工数管理!$AK$3:$AK$98,J$1,工数管理!$M$3:$M$98,"&lt;="&amp;$H138,工数管理!$N$3:$N$98,"&gt;="&amp;$H138)+COUNTIFS(工数管理!$AK$3:$AK$98,J$1,工数管理!$O$3:$O$98,"&lt;="&amp;$H138,工数管理!$P$3:$P$98,"&gt;="&amp;$H138)+COUNTIFS(工数管理!$AK$3:$AK$98,J$1,工数管理!$Q$3:$Q$98,"&lt;="&amp;$H138,工数管理!$R$3:$R$98,"&gt;="&amp;$H138)+COUNTIFS(工数管理!$AK$3:$AK$98,J$1,工数管理!$S$3:$S$98,"&lt;="&amp;$H138,工数管理!$T$3:$T$98,"&gt;="&amp;$H138)+COUNTIFS(工数管理!$AK$3:$AK$98,J$1,工数管理!$U$3:$U$98,"&lt;="&amp;$H138,工数管理!$V$3:$V$98,"&gt;="&amp;$H138)+COUNTIFS(工数管理!$AK$3:$AK$98,J$1,工数管理!$W$3:$W$98,"&lt;="&amp;$H138,工数管理!$X$3:$X$98,"&gt;="&amp;$H138)+COUNTIFS(工数管理!$AK$3:$AK$98,J$1,工数管理!$Y$3:$Y$98,"&lt;="&amp;$H138,工数管理!$Z$3:$Z$98,"&gt;="&amp;$H138)+COUNTIFS(工数管理!$AK$3:$AK$98,J$1,工数管理!$AA$3:$AA$98,"&lt;="&amp;$H138,工数管理!$AB$3:$AB$98,"&gt;="&amp;$H138)+COUNTIFS(工数管理!$AK$3:$AK$98,J$1,工数管理!$AC$3:$AC$98,"&lt;="&amp;$H138,工数管理!$AD$3:$AD$98,"&gt;="&amp;$H138)+COUNTIFS(工数管理!$AK$3:$AK$98,J$1,工数管理!$AE$3:$AE$98,"&lt;="&amp;$H138,工数管理!$AF$3:$AF$98,"&gt;="&amp;$H138)+COUNTIFS(工数管理!$AK$3:$AK$98,J$1,工数管理!$AG$3:$AG$98,"&lt;="&amp;$H138,工数管理!$AH$3:$AH$98,"&gt;="&amp;$H138)+(COUNTIFS(工数管理!$AK$3:$AK$98,J$1,工数管理!$K$3:$K$98,"&lt;="&amp;$H138,工数管理!$L$3:$L$98,"")+COUNTIFS(工数管理!$AK$3:$AK$98,J$1,工数管理!$M$3:$M$98,"&lt;="&amp;$H138,工数管理!$N$3:$N$98,"")+COUNTIFS(工数管理!$AK$3:$AK$98,J$1,工数管理!$O$3:$O$98,"&lt;="&amp;$H138,工数管理!$P$3:$P$98,"")+COUNTIFS(工数管理!$AK$3:$AK$98,J$1,工数管理!$Q$3:$Q$98,"&lt;="&amp;$H138,工数管理!$R$3:$R$98,"")+COUNTIFS(工数管理!$AK$3:$AK$98,J$1,工数管理!$S$3:$S$98,"&lt;="&amp;$H138,工数管理!$T$3:$T$98,"")+COUNTIFS(工数管理!$AK$3:$AK$98,J$1,工数管理!$U$3:$U$98,"&lt;="&amp;$H138,工数管理!$V$3:$V$98,"")+COUNTIFS(工数管理!$AK$3:$AK$98,J$1,工数管理!$W$3:$W$98,"&lt;="&amp;$H138,工数管理!$X$3:$X$98,"")+COUNTIFS(工数管理!$AK$3:$AK$98,J$1,工数管理!$Y$3:$Y$98,"&lt;="&amp;$H138,工数管理!$Z$3:$Z$98,"")+COUNTIFS(工数管理!$AK$3:$AK$98,J$1,工数管理!$AA$3:$AA$98,"&lt;="&amp;$H138,工数管理!$AB$3:$AB$98,"")+COUNTIFS(工数管理!$AK$3:$AK$98,J$1,工数管理!$AC$3:$AC$98,"&lt;="&amp;$H138,工数管理!$AD$3:$AD$98,"")+COUNTIFS(工数管理!$AK$3:$AK$98,J$1,工数管理!$AE$3:$AE$98,"&lt;="&amp;$H138,工数管理!$AF$3:$AF$98,"")+COUNTIFS(工数管理!$AK$3:$AK$98,J$1,工数管理!$AG$3:$AG$98,"&lt;="&amp;$H138,工数管理!$AH$3:$AH$98,""))*($H138&lt;=工数管理!$AI$1))</f>
        <v>0</v>
      </c>
      <c r="K138" s="42">
        <f ca="1">IF(K$1="",0,COUNTIFS(工数管理!$AK$3:$AK$98,K$1,工数管理!$K$3:$K$98,"&lt;="&amp;$H138,工数管理!$L$3:$L$98,"&gt;="&amp;$H138)+COUNTIFS(工数管理!$AK$3:$AK$98,K$1,工数管理!$M$3:$M$98,"&lt;="&amp;$H138,工数管理!$N$3:$N$98,"&gt;="&amp;$H138)+COUNTIFS(工数管理!$AK$3:$AK$98,K$1,工数管理!$O$3:$O$98,"&lt;="&amp;$H138,工数管理!$P$3:$P$98,"&gt;="&amp;$H138)+COUNTIFS(工数管理!$AK$3:$AK$98,K$1,工数管理!$Q$3:$Q$98,"&lt;="&amp;$H138,工数管理!$R$3:$R$98,"&gt;="&amp;$H138)+COUNTIFS(工数管理!$AK$3:$AK$98,K$1,工数管理!$S$3:$S$98,"&lt;="&amp;$H138,工数管理!$T$3:$T$98,"&gt;="&amp;$H138)+COUNTIFS(工数管理!$AK$3:$AK$98,K$1,工数管理!$U$3:$U$98,"&lt;="&amp;$H138,工数管理!$V$3:$V$98,"&gt;="&amp;$H138)+COUNTIFS(工数管理!$AK$3:$AK$98,K$1,工数管理!$W$3:$W$98,"&lt;="&amp;$H138,工数管理!$X$3:$X$98,"&gt;="&amp;$H138)+COUNTIFS(工数管理!$AK$3:$AK$98,K$1,工数管理!$Y$3:$Y$98,"&lt;="&amp;$H138,工数管理!$Z$3:$Z$98,"&gt;="&amp;$H138)+COUNTIFS(工数管理!$AK$3:$AK$98,K$1,工数管理!$AA$3:$AA$98,"&lt;="&amp;$H138,工数管理!$AB$3:$AB$98,"&gt;="&amp;$H138)+COUNTIFS(工数管理!$AK$3:$AK$98,K$1,工数管理!$AC$3:$AC$98,"&lt;="&amp;$H138,工数管理!$AD$3:$AD$98,"&gt;="&amp;$H138)+COUNTIFS(工数管理!$AK$3:$AK$98,K$1,工数管理!$AE$3:$AE$98,"&lt;="&amp;$H138,工数管理!$AF$3:$AF$98,"&gt;="&amp;$H138)+COUNTIFS(工数管理!$AK$3:$AK$98,K$1,工数管理!$AG$3:$AG$98,"&lt;="&amp;$H138,工数管理!$AH$3:$AH$98,"&gt;="&amp;$H138)+(COUNTIFS(工数管理!$AK$3:$AK$98,K$1,工数管理!$K$3:$K$98,"&lt;="&amp;$H138,工数管理!$L$3:$L$98,"")+COUNTIFS(工数管理!$AK$3:$AK$98,K$1,工数管理!$M$3:$M$98,"&lt;="&amp;$H138,工数管理!$N$3:$N$98,"")+COUNTIFS(工数管理!$AK$3:$AK$98,K$1,工数管理!$O$3:$O$98,"&lt;="&amp;$H138,工数管理!$P$3:$P$98,"")+COUNTIFS(工数管理!$AK$3:$AK$98,K$1,工数管理!$Q$3:$Q$98,"&lt;="&amp;$H138,工数管理!$R$3:$R$98,"")+COUNTIFS(工数管理!$AK$3:$AK$98,K$1,工数管理!$S$3:$S$98,"&lt;="&amp;$H138,工数管理!$T$3:$T$98,"")+COUNTIFS(工数管理!$AK$3:$AK$98,K$1,工数管理!$U$3:$U$98,"&lt;="&amp;$H138,工数管理!$V$3:$V$98,"")+COUNTIFS(工数管理!$AK$3:$AK$98,K$1,工数管理!$W$3:$W$98,"&lt;="&amp;$H138,工数管理!$X$3:$X$98,"")+COUNTIFS(工数管理!$AK$3:$AK$98,K$1,工数管理!$Y$3:$Y$98,"&lt;="&amp;$H138,工数管理!$Z$3:$Z$98,"")+COUNTIFS(工数管理!$AK$3:$AK$98,K$1,工数管理!$AA$3:$AA$98,"&lt;="&amp;$H138,工数管理!$AB$3:$AB$98,"")+COUNTIFS(工数管理!$AK$3:$AK$98,K$1,工数管理!$AC$3:$AC$98,"&lt;="&amp;$H138,工数管理!$AD$3:$AD$98,"")+COUNTIFS(工数管理!$AK$3:$AK$98,K$1,工数管理!$AE$3:$AE$98,"&lt;="&amp;$H138,工数管理!$AF$3:$AF$98,"")+COUNTIFS(工数管理!$AK$3:$AK$98,K$1,工数管理!$AG$3:$AG$98,"&lt;="&amp;$H138,工数管理!$AH$3:$AH$98,""))*($H138&lt;=工数管理!$AI$1))</f>
        <v>0</v>
      </c>
      <c r="L138" s="42">
        <f ca="1">IF(L$1="",0,COUNTIFS(工数管理!$AK$3:$AK$98,L$1,工数管理!$K$3:$K$98,"&lt;="&amp;$H138,工数管理!$L$3:$L$98,"&gt;="&amp;$H138)+COUNTIFS(工数管理!$AK$3:$AK$98,L$1,工数管理!$M$3:$M$98,"&lt;="&amp;$H138,工数管理!$N$3:$N$98,"&gt;="&amp;$H138)+COUNTIFS(工数管理!$AK$3:$AK$98,L$1,工数管理!$O$3:$O$98,"&lt;="&amp;$H138,工数管理!$P$3:$P$98,"&gt;="&amp;$H138)+COUNTIFS(工数管理!$AK$3:$AK$98,L$1,工数管理!$Q$3:$Q$98,"&lt;="&amp;$H138,工数管理!$R$3:$R$98,"&gt;="&amp;$H138)+COUNTIFS(工数管理!$AK$3:$AK$98,L$1,工数管理!$S$3:$S$98,"&lt;="&amp;$H138,工数管理!$T$3:$T$98,"&gt;="&amp;$H138)+COUNTIFS(工数管理!$AK$3:$AK$98,L$1,工数管理!$U$3:$U$98,"&lt;="&amp;$H138,工数管理!$V$3:$V$98,"&gt;="&amp;$H138)+COUNTIFS(工数管理!$AK$3:$AK$98,L$1,工数管理!$W$3:$W$98,"&lt;="&amp;$H138,工数管理!$X$3:$X$98,"&gt;="&amp;$H138)+COUNTIFS(工数管理!$AK$3:$AK$98,L$1,工数管理!$Y$3:$Y$98,"&lt;="&amp;$H138,工数管理!$Z$3:$Z$98,"&gt;="&amp;$H138)+COUNTIFS(工数管理!$AK$3:$AK$98,L$1,工数管理!$AA$3:$AA$98,"&lt;="&amp;$H138,工数管理!$AB$3:$AB$98,"&gt;="&amp;$H138)+COUNTIFS(工数管理!$AK$3:$AK$98,L$1,工数管理!$AC$3:$AC$98,"&lt;="&amp;$H138,工数管理!$AD$3:$AD$98,"&gt;="&amp;$H138)+COUNTIFS(工数管理!$AK$3:$AK$98,L$1,工数管理!$AE$3:$AE$98,"&lt;="&amp;$H138,工数管理!$AF$3:$AF$98,"&gt;="&amp;$H138)+COUNTIFS(工数管理!$AK$3:$AK$98,L$1,工数管理!$AG$3:$AG$98,"&lt;="&amp;$H138,工数管理!$AH$3:$AH$98,"&gt;="&amp;$H138)+(COUNTIFS(工数管理!$AK$3:$AK$98,L$1,工数管理!$K$3:$K$98,"&lt;="&amp;$H138,工数管理!$L$3:$L$98,"")+COUNTIFS(工数管理!$AK$3:$AK$98,L$1,工数管理!$M$3:$M$98,"&lt;="&amp;$H138,工数管理!$N$3:$N$98,"")+COUNTIFS(工数管理!$AK$3:$AK$98,L$1,工数管理!$O$3:$O$98,"&lt;="&amp;$H138,工数管理!$P$3:$P$98,"")+COUNTIFS(工数管理!$AK$3:$AK$98,L$1,工数管理!$Q$3:$Q$98,"&lt;="&amp;$H138,工数管理!$R$3:$R$98,"")+COUNTIFS(工数管理!$AK$3:$AK$98,L$1,工数管理!$S$3:$S$98,"&lt;="&amp;$H138,工数管理!$T$3:$T$98,"")+COUNTIFS(工数管理!$AK$3:$AK$98,L$1,工数管理!$U$3:$U$98,"&lt;="&amp;$H138,工数管理!$V$3:$V$98,"")+COUNTIFS(工数管理!$AK$3:$AK$98,L$1,工数管理!$W$3:$W$98,"&lt;="&amp;$H138,工数管理!$X$3:$X$98,"")+COUNTIFS(工数管理!$AK$3:$AK$98,L$1,工数管理!$Y$3:$Y$98,"&lt;="&amp;$H138,工数管理!$Z$3:$Z$98,"")+COUNTIFS(工数管理!$AK$3:$AK$98,L$1,工数管理!$AA$3:$AA$98,"&lt;="&amp;$H138,工数管理!$AB$3:$AB$98,"")+COUNTIFS(工数管理!$AK$3:$AK$98,L$1,工数管理!$AC$3:$AC$98,"&lt;="&amp;$H138,工数管理!$AD$3:$AD$98,"")+COUNTIFS(工数管理!$AK$3:$AK$98,L$1,工数管理!$AE$3:$AE$98,"&lt;="&amp;$H138,工数管理!$AF$3:$AF$98,"")+COUNTIFS(工数管理!$AK$3:$AK$98,L$1,工数管理!$AG$3:$AG$98,"&lt;="&amp;$H138,工数管理!$AH$3:$AH$98,""))*($H138&lt;=工数管理!$AI$1))</f>
        <v>0</v>
      </c>
    </row>
    <row r="139" spans="1:12" x14ac:dyDescent="0.15">
      <c r="A139" s="5"/>
      <c r="B139" s="6"/>
      <c r="H139" s="41">
        <f t="shared" si="5"/>
        <v>46307</v>
      </c>
      <c r="I139" s="42">
        <f t="shared" si="4"/>
        <v>0</v>
      </c>
      <c r="J139" s="42">
        <f ca="1">IF(J$1="",0,COUNTIFS(工数管理!$AK$3:$AK$98,J$1,工数管理!$K$3:$K$98,"&lt;="&amp;$H139,工数管理!$L$3:$L$98,"&gt;="&amp;$H139)+COUNTIFS(工数管理!$AK$3:$AK$98,J$1,工数管理!$M$3:$M$98,"&lt;="&amp;$H139,工数管理!$N$3:$N$98,"&gt;="&amp;$H139)+COUNTIFS(工数管理!$AK$3:$AK$98,J$1,工数管理!$O$3:$O$98,"&lt;="&amp;$H139,工数管理!$P$3:$P$98,"&gt;="&amp;$H139)+COUNTIFS(工数管理!$AK$3:$AK$98,J$1,工数管理!$Q$3:$Q$98,"&lt;="&amp;$H139,工数管理!$R$3:$R$98,"&gt;="&amp;$H139)+COUNTIFS(工数管理!$AK$3:$AK$98,J$1,工数管理!$S$3:$S$98,"&lt;="&amp;$H139,工数管理!$T$3:$T$98,"&gt;="&amp;$H139)+COUNTIFS(工数管理!$AK$3:$AK$98,J$1,工数管理!$U$3:$U$98,"&lt;="&amp;$H139,工数管理!$V$3:$V$98,"&gt;="&amp;$H139)+COUNTIFS(工数管理!$AK$3:$AK$98,J$1,工数管理!$W$3:$W$98,"&lt;="&amp;$H139,工数管理!$X$3:$X$98,"&gt;="&amp;$H139)+COUNTIFS(工数管理!$AK$3:$AK$98,J$1,工数管理!$Y$3:$Y$98,"&lt;="&amp;$H139,工数管理!$Z$3:$Z$98,"&gt;="&amp;$H139)+COUNTIFS(工数管理!$AK$3:$AK$98,J$1,工数管理!$AA$3:$AA$98,"&lt;="&amp;$H139,工数管理!$AB$3:$AB$98,"&gt;="&amp;$H139)+COUNTIFS(工数管理!$AK$3:$AK$98,J$1,工数管理!$AC$3:$AC$98,"&lt;="&amp;$H139,工数管理!$AD$3:$AD$98,"&gt;="&amp;$H139)+COUNTIFS(工数管理!$AK$3:$AK$98,J$1,工数管理!$AE$3:$AE$98,"&lt;="&amp;$H139,工数管理!$AF$3:$AF$98,"&gt;="&amp;$H139)+COUNTIFS(工数管理!$AK$3:$AK$98,J$1,工数管理!$AG$3:$AG$98,"&lt;="&amp;$H139,工数管理!$AH$3:$AH$98,"&gt;="&amp;$H139)+(COUNTIFS(工数管理!$AK$3:$AK$98,J$1,工数管理!$K$3:$K$98,"&lt;="&amp;$H139,工数管理!$L$3:$L$98,"")+COUNTIFS(工数管理!$AK$3:$AK$98,J$1,工数管理!$M$3:$M$98,"&lt;="&amp;$H139,工数管理!$N$3:$N$98,"")+COUNTIFS(工数管理!$AK$3:$AK$98,J$1,工数管理!$O$3:$O$98,"&lt;="&amp;$H139,工数管理!$P$3:$P$98,"")+COUNTIFS(工数管理!$AK$3:$AK$98,J$1,工数管理!$Q$3:$Q$98,"&lt;="&amp;$H139,工数管理!$R$3:$R$98,"")+COUNTIFS(工数管理!$AK$3:$AK$98,J$1,工数管理!$S$3:$S$98,"&lt;="&amp;$H139,工数管理!$T$3:$T$98,"")+COUNTIFS(工数管理!$AK$3:$AK$98,J$1,工数管理!$U$3:$U$98,"&lt;="&amp;$H139,工数管理!$V$3:$V$98,"")+COUNTIFS(工数管理!$AK$3:$AK$98,J$1,工数管理!$W$3:$W$98,"&lt;="&amp;$H139,工数管理!$X$3:$X$98,"")+COUNTIFS(工数管理!$AK$3:$AK$98,J$1,工数管理!$Y$3:$Y$98,"&lt;="&amp;$H139,工数管理!$Z$3:$Z$98,"")+COUNTIFS(工数管理!$AK$3:$AK$98,J$1,工数管理!$AA$3:$AA$98,"&lt;="&amp;$H139,工数管理!$AB$3:$AB$98,"")+COUNTIFS(工数管理!$AK$3:$AK$98,J$1,工数管理!$AC$3:$AC$98,"&lt;="&amp;$H139,工数管理!$AD$3:$AD$98,"")+COUNTIFS(工数管理!$AK$3:$AK$98,J$1,工数管理!$AE$3:$AE$98,"&lt;="&amp;$H139,工数管理!$AF$3:$AF$98,"")+COUNTIFS(工数管理!$AK$3:$AK$98,J$1,工数管理!$AG$3:$AG$98,"&lt;="&amp;$H139,工数管理!$AH$3:$AH$98,""))*($H139&lt;=工数管理!$AI$1))</f>
        <v>0</v>
      </c>
      <c r="K139" s="42">
        <f ca="1">IF(K$1="",0,COUNTIFS(工数管理!$AK$3:$AK$98,K$1,工数管理!$K$3:$K$98,"&lt;="&amp;$H139,工数管理!$L$3:$L$98,"&gt;="&amp;$H139)+COUNTIFS(工数管理!$AK$3:$AK$98,K$1,工数管理!$M$3:$M$98,"&lt;="&amp;$H139,工数管理!$N$3:$N$98,"&gt;="&amp;$H139)+COUNTIFS(工数管理!$AK$3:$AK$98,K$1,工数管理!$O$3:$O$98,"&lt;="&amp;$H139,工数管理!$P$3:$P$98,"&gt;="&amp;$H139)+COUNTIFS(工数管理!$AK$3:$AK$98,K$1,工数管理!$Q$3:$Q$98,"&lt;="&amp;$H139,工数管理!$R$3:$R$98,"&gt;="&amp;$H139)+COUNTIFS(工数管理!$AK$3:$AK$98,K$1,工数管理!$S$3:$S$98,"&lt;="&amp;$H139,工数管理!$T$3:$T$98,"&gt;="&amp;$H139)+COUNTIFS(工数管理!$AK$3:$AK$98,K$1,工数管理!$U$3:$U$98,"&lt;="&amp;$H139,工数管理!$V$3:$V$98,"&gt;="&amp;$H139)+COUNTIFS(工数管理!$AK$3:$AK$98,K$1,工数管理!$W$3:$W$98,"&lt;="&amp;$H139,工数管理!$X$3:$X$98,"&gt;="&amp;$H139)+COUNTIFS(工数管理!$AK$3:$AK$98,K$1,工数管理!$Y$3:$Y$98,"&lt;="&amp;$H139,工数管理!$Z$3:$Z$98,"&gt;="&amp;$H139)+COUNTIFS(工数管理!$AK$3:$AK$98,K$1,工数管理!$AA$3:$AA$98,"&lt;="&amp;$H139,工数管理!$AB$3:$AB$98,"&gt;="&amp;$H139)+COUNTIFS(工数管理!$AK$3:$AK$98,K$1,工数管理!$AC$3:$AC$98,"&lt;="&amp;$H139,工数管理!$AD$3:$AD$98,"&gt;="&amp;$H139)+COUNTIFS(工数管理!$AK$3:$AK$98,K$1,工数管理!$AE$3:$AE$98,"&lt;="&amp;$H139,工数管理!$AF$3:$AF$98,"&gt;="&amp;$H139)+COUNTIFS(工数管理!$AK$3:$AK$98,K$1,工数管理!$AG$3:$AG$98,"&lt;="&amp;$H139,工数管理!$AH$3:$AH$98,"&gt;="&amp;$H139)+(COUNTIFS(工数管理!$AK$3:$AK$98,K$1,工数管理!$K$3:$K$98,"&lt;="&amp;$H139,工数管理!$L$3:$L$98,"")+COUNTIFS(工数管理!$AK$3:$AK$98,K$1,工数管理!$M$3:$M$98,"&lt;="&amp;$H139,工数管理!$N$3:$N$98,"")+COUNTIFS(工数管理!$AK$3:$AK$98,K$1,工数管理!$O$3:$O$98,"&lt;="&amp;$H139,工数管理!$P$3:$P$98,"")+COUNTIFS(工数管理!$AK$3:$AK$98,K$1,工数管理!$Q$3:$Q$98,"&lt;="&amp;$H139,工数管理!$R$3:$R$98,"")+COUNTIFS(工数管理!$AK$3:$AK$98,K$1,工数管理!$S$3:$S$98,"&lt;="&amp;$H139,工数管理!$T$3:$T$98,"")+COUNTIFS(工数管理!$AK$3:$AK$98,K$1,工数管理!$U$3:$U$98,"&lt;="&amp;$H139,工数管理!$V$3:$V$98,"")+COUNTIFS(工数管理!$AK$3:$AK$98,K$1,工数管理!$W$3:$W$98,"&lt;="&amp;$H139,工数管理!$X$3:$X$98,"")+COUNTIFS(工数管理!$AK$3:$AK$98,K$1,工数管理!$Y$3:$Y$98,"&lt;="&amp;$H139,工数管理!$Z$3:$Z$98,"")+COUNTIFS(工数管理!$AK$3:$AK$98,K$1,工数管理!$AA$3:$AA$98,"&lt;="&amp;$H139,工数管理!$AB$3:$AB$98,"")+COUNTIFS(工数管理!$AK$3:$AK$98,K$1,工数管理!$AC$3:$AC$98,"&lt;="&amp;$H139,工数管理!$AD$3:$AD$98,"")+COUNTIFS(工数管理!$AK$3:$AK$98,K$1,工数管理!$AE$3:$AE$98,"&lt;="&amp;$H139,工数管理!$AF$3:$AF$98,"")+COUNTIFS(工数管理!$AK$3:$AK$98,K$1,工数管理!$AG$3:$AG$98,"&lt;="&amp;$H139,工数管理!$AH$3:$AH$98,""))*($H139&lt;=工数管理!$AI$1))</f>
        <v>0</v>
      </c>
      <c r="L139" s="42">
        <f ca="1">IF(L$1="",0,COUNTIFS(工数管理!$AK$3:$AK$98,L$1,工数管理!$K$3:$K$98,"&lt;="&amp;$H139,工数管理!$L$3:$L$98,"&gt;="&amp;$H139)+COUNTIFS(工数管理!$AK$3:$AK$98,L$1,工数管理!$M$3:$M$98,"&lt;="&amp;$H139,工数管理!$N$3:$N$98,"&gt;="&amp;$H139)+COUNTIFS(工数管理!$AK$3:$AK$98,L$1,工数管理!$O$3:$O$98,"&lt;="&amp;$H139,工数管理!$P$3:$P$98,"&gt;="&amp;$H139)+COUNTIFS(工数管理!$AK$3:$AK$98,L$1,工数管理!$Q$3:$Q$98,"&lt;="&amp;$H139,工数管理!$R$3:$R$98,"&gt;="&amp;$H139)+COUNTIFS(工数管理!$AK$3:$AK$98,L$1,工数管理!$S$3:$S$98,"&lt;="&amp;$H139,工数管理!$T$3:$T$98,"&gt;="&amp;$H139)+COUNTIFS(工数管理!$AK$3:$AK$98,L$1,工数管理!$U$3:$U$98,"&lt;="&amp;$H139,工数管理!$V$3:$V$98,"&gt;="&amp;$H139)+COUNTIFS(工数管理!$AK$3:$AK$98,L$1,工数管理!$W$3:$W$98,"&lt;="&amp;$H139,工数管理!$X$3:$X$98,"&gt;="&amp;$H139)+COUNTIFS(工数管理!$AK$3:$AK$98,L$1,工数管理!$Y$3:$Y$98,"&lt;="&amp;$H139,工数管理!$Z$3:$Z$98,"&gt;="&amp;$H139)+COUNTIFS(工数管理!$AK$3:$AK$98,L$1,工数管理!$AA$3:$AA$98,"&lt;="&amp;$H139,工数管理!$AB$3:$AB$98,"&gt;="&amp;$H139)+COUNTIFS(工数管理!$AK$3:$AK$98,L$1,工数管理!$AC$3:$AC$98,"&lt;="&amp;$H139,工数管理!$AD$3:$AD$98,"&gt;="&amp;$H139)+COUNTIFS(工数管理!$AK$3:$AK$98,L$1,工数管理!$AE$3:$AE$98,"&lt;="&amp;$H139,工数管理!$AF$3:$AF$98,"&gt;="&amp;$H139)+COUNTIFS(工数管理!$AK$3:$AK$98,L$1,工数管理!$AG$3:$AG$98,"&lt;="&amp;$H139,工数管理!$AH$3:$AH$98,"&gt;="&amp;$H139)+(COUNTIFS(工数管理!$AK$3:$AK$98,L$1,工数管理!$K$3:$K$98,"&lt;="&amp;$H139,工数管理!$L$3:$L$98,"")+COUNTIFS(工数管理!$AK$3:$AK$98,L$1,工数管理!$M$3:$M$98,"&lt;="&amp;$H139,工数管理!$N$3:$N$98,"")+COUNTIFS(工数管理!$AK$3:$AK$98,L$1,工数管理!$O$3:$O$98,"&lt;="&amp;$H139,工数管理!$P$3:$P$98,"")+COUNTIFS(工数管理!$AK$3:$AK$98,L$1,工数管理!$Q$3:$Q$98,"&lt;="&amp;$H139,工数管理!$R$3:$R$98,"")+COUNTIFS(工数管理!$AK$3:$AK$98,L$1,工数管理!$S$3:$S$98,"&lt;="&amp;$H139,工数管理!$T$3:$T$98,"")+COUNTIFS(工数管理!$AK$3:$AK$98,L$1,工数管理!$U$3:$U$98,"&lt;="&amp;$H139,工数管理!$V$3:$V$98,"")+COUNTIFS(工数管理!$AK$3:$AK$98,L$1,工数管理!$W$3:$W$98,"&lt;="&amp;$H139,工数管理!$X$3:$X$98,"")+COUNTIFS(工数管理!$AK$3:$AK$98,L$1,工数管理!$Y$3:$Y$98,"&lt;="&amp;$H139,工数管理!$Z$3:$Z$98,"")+COUNTIFS(工数管理!$AK$3:$AK$98,L$1,工数管理!$AA$3:$AA$98,"&lt;="&amp;$H139,工数管理!$AB$3:$AB$98,"")+COUNTIFS(工数管理!$AK$3:$AK$98,L$1,工数管理!$AC$3:$AC$98,"&lt;="&amp;$H139,工数管理!$AD$3:$AD$98,"")+COUNTIFS(工数管理!$AK$3:$AK$98,L$1,工数管理!$AE$3:$AE$98,"&lt;="&amp;$H139,工数管理!$AF$3:$AF$98,"")+COUNTIFS(工数管理!$AK$3:$AK$98,L$1,工数管理!$AG$3:$AG$98,"&lt;="&amp;$H139,工数管理!$AH$3:$AH$98,""))*($H139&lt;=工数管理!$AI$1))</f>
        <v>0</v>
      </c>
    </row>
    <row r="140" spans="1:12" x14ac:dyDescent="0.15">
      <c r="A140" s="5"/>
      <c r="B140" s="6"/>
      <c r="H140" s="41">
        <f t="shared" si="5"/>
        <v>46308</v>
      </c>
      <c r="I140" s="42">
        <f t="shared" si="4"/>
        <v>1</v>
      </c>
      <c r="J140" s="42">
        <f ca="1">IF(J$1="",0,COUNTIFS(工数管理!$AK$3:$AK$98,J$1,工数管理!$K$3:$K$98,"&lt;="&amp;$H140,工数管理!$L$3:$L$98,"&gt;="&amp;$H140)+COUNTIFS(工数管理!$AK$3:$AK$98,J$1,工数管理!$M$3:$M$98,"&lt;="&amp;$H140,工数管理!$N$3:$N$98,"&gt;="&amp;$H140)+COUNTIFS(工数管理!$AK$3:$AK$98,J$1,工数管理!$O$3:$O$98,"&lt;="&amp;$H140,工数管理!$P$3:$P$98,"&gt;="&amp;$H140)+COUNTIFS(工数管理!$AK$3:$AK$98,J$1,工数管理!$Q$3:$Q$98,"&lt;="&amp;$H140,工数管理!$R$3:$R$98,"&gt;="&amp;$H140)+COUNTIFS(工数管理!$AK$3:$AK$98,J$1,工数管理!$S$3:$S$98,"&lt;="&amp;$H140,工数管理!$T$3:$T$98,"&gt;="&amp;$H140)+COUNTIFS(工数管理!$AK$3:$AK$98,J$1,工数管理!$U$3:$U$98,"&lt;="&amp;$H140,工数管理!$V$3:$V$98,"&gt;="&amp;$H140)+COUNTIFS(工数管理!$AK$3:$AK$98,J$1,工数管理!$W$3:$W$98,"&lt;="&amp;$H140,工数管理!$X$3:$X$98,"&gt;="&amp;$H140)+COUNTIFS(工数管理!$AK$3:$AK$98,J$1,工数管理!$Y$3:$Y$98,"&lt;="&amp;$H140,工数管理!$Z$3:$Z$98,"&gt;="&amp;$H140)+COUNTIFS(工数管理!$AK$3:$AK$98,J$1,工数管理!$AA$3:$AA$98,"&lt;="&amp;$H140,工数管理!$AB$3:$AB$98,"&gt;="&amp;$H140)+COUNTIFS(工数管理!$AK$3:$AK$98,J$1,工数管理!$AC$3:$AC$98,"&lt;="&amp;$H140,工数管理!$AD$3:$AD$98,"&gt;="&amp;$H140)+COUNTIFS(工数管理!$AK$3:$AK$98,J$1,工数管理!$AE$3:$AE$98,"&lt;="&amp;$H140,工数管理!$AF$3:$AF$98,"&gt;="&amp;$H140)+COUNTIFS(工数管理!$AK$3:$AK$98,J$1,工数管理!$AG$3:$AG$98,"&lt;="&amp;$H140,工数管理!$AH$3:$AH$98,"&gt;="&amp;$H140)+(COUNTIFS(工数管理!$AK$3:$AK$98,J$1,工数管理!$K$3:$K$98,"&lt;="&amp;$H140,工数管理!$L$3:$L$98,"")+COUNTIFS(工数管理!$AK$3:$AK$98,J$1,工数管理!$M$3:$M$98,"&lt;="&amp;$H140,工数管理!$N$3:$N$98,"")+COUNTIFS(工数管理!$AK$3:$AK$98,J$1,工数管理!$O$3:$O$98,"&lt;="&amp;$H140,工数管理!$P$3:$P$98,"")+COUNTIFS(工数管理!$AK$3:$AK$98,J$1,工数管理!$Q$3:$Q$98,"&lt;="&amp;$H140,工数管理!$R$3:$R$98,"")+COUNTIFS(工数管理!$AK$3:$AK$98,J$1,工数管理!$S$3:$S$98,"&lt;="&amp;$H140,工数管理!$T$3:$T$98,"")+COUNTIFS(工数管理!$AK$3:$AK$98,J$1,工数管理!$U$3:$U$98,"&lt;="&amp;$H140,工数管理!$V$3:$V$98,"")+COUNTIFS(工数管理!$AK$3:$AK$98,J$1,工数管理!$W$3:$W$98,"&lt;="&amp;$H140,工数管理!$X$3:$X$98,"")+COUNTIFS(工数管理!$AK$3:$AK$98,J$1,工数管理!$Y$3:$Y$98,"&lt;="&amp;$H140,工数管理!$Z$3:$Z$98,"")+COUNTIFS(工数管理!$AK$3:$AK$98,J$1,工数管理!$AA$3:$AA$98,"&lt;="&amp;$H140,工数管理!$AB$3:$AB$98,"")+COUNTIFS(工数管理!$AK$3:$AK$98,J$1,工数管理!$AC$3:$AC$98,"&lt;="&amp;$H140,工数管理!$AD$3:$AD$98,"")+COUNTIFS(工数管理!$AK$3:$AK$98,J$1,工数管理!$AE$3:$AE$98,"&lt;="&amp;$H140,工数管理!$AF$3:$AF$98,"")+COUNTIFS(工数管理!$AK$3:$AK$98,J$1,工数管理!$AG$3:$AG$98,"&lt;="&amp;$H140,工数管理!$AH$3:$AH$98,""))*($H140&lt;=工数管理!$AI$1))</f>
        <v>0</v>
      </c>
      <c r="K140" s="42">
        <f ca="1">IF(K$1="",0,COUNTIFS(工数管理!$AK$3:$AK$98,K$1,工数管理!$K$3:$K$98,"&lt;="&amp;$H140,工数管理!$L$3:$L$98,"&gt;="&amp;$H140)+COUNTIFS(工数管理!$AK$3:$AK$98,K$1,工数管理!$M$3:$M$98,"&lt;="&amp;$H140,工数管理!$N$3:$N$98,"&gt;="&amp;$H140)+COUNTIFS(工数管理!$AK$3:$AK$98,K$1,工数管理!$O$3:$O$98,"&lt;="&amp;$H140,工数管理!$P$3:$P$98,"&gt;="&amp;$H140)+COUNTIFS(工数管理!$AK$3:$AK$98,K$1,工数管理!$Q$3:$Q$98,"&lt;="&amp;$H140,工数管理!$R$3:$R$98,"&gt;="&amp;$H140)+COUNTIFS(工数管理!$AK$3:$AK$98,K$1,工数管理!$S$3:$S$98,"&lt;="&amp;$H140,工数管理!$T$3:$T$98,"&gt;="&amp;$H140)+COUNTIFS(工数管理!$AK$3:$AK$98,K$1,工数管理!$U$3:$U$98,"&lt;="&amp;$H140,工数管理!$V$3:$V$98,"&gt;="&amp;$H140)+COUNTIFS(工数管理!$AK$3:$AK$98,K$1,工数管理!$W$3:$W$98,"&lt;="&amp;$H140,工数管理!$X$3:$X$98,"&gt;="&amp;$H140)+COUNTIFS(工数管理!$AK$3:$AK$98,K$1,工数管理!$Y$3:$Y$98,"&lt;="&amp;$H140,工数管理!$Z$3:$Z$98,"&gt;="&amp;$H140)+COUNTIFS(工数管理!$AK$3:$AK$98,K$1,工数管理!$AA$3:$AA$98,"&lt;="&amp;$H140,工数管理!$AB$3:$AB$98,"&gt;="&amp;$H140)+COUNTIFS(工数管理!$AK$3:$AK$98,K$1,工数管理!$AC$3:$AC$98,"&lt;="&amp;$H140,工数管理!$AD$3:$AD$98,"&gt;="&amp;$H140)+COUNTIFS(工数管理!$AK$3:$AK$98,K$1,工数管理!$AE$3:$AE$98,"&lt;="&amp;$H140,工数管理!$AF$3:$AF$98,"&gt;="&amp;$H140)+COUNTIFS(工数管理!$AK$3:$AK$98,K$1,工数管理!$AG$3:$AG$98,"&lt;="&amp;$H140,工数管理!$AH$3:$AH$98,"&gt;="&amp;$H140)+(COUNTIFS(工数管理!$AK$3:$AK$98,K$1,工数管理!$K$3:$K$98,"&lt;="&amp;$H140,工数管理!$L$3:$L$98,"")+COUNTIFS(工数管理!$AK$3:$AK$98,K$1,工数管理!$M$3:$M$98,"&lt;="&amp;$H140,工数管理!$N$3:$N$98,"")+COUNTIFS(工数管理!$AK$3:$AK$98,K$1,工数管理!$O$3:$O$98,"&lt;="&amp;$H140,工数管理!$P$3:$P$98,"")+COUNTIFS(工数管理!$AK$3:$AK$98,K$1,工数管理!$Q$3:$Q$98,"&lt;="&amp;$H140,工数管理!$R$3:$R$98,"")+COUNTIFS(工数管理!$AK$3:$AK$98,K$1,工数管理!$S$3:$S$98,"&lt;="&amp;$H140,工数管理!$T$3:$T$98,"")+COUNTIFS(工数管理!$AK$3:$AK$98,K$1,工数管理!$U$3:$U$98,"&lt;="&amp;$H140,工数管理!$V$3:$V$98,"")+COUNTIFS(工数管理!$AK$3:$AK$98,K$1,工数管理!$W$3:$W$98,"&lt;="&amp;$H140,工数管理!$X$3:$X$98,"")+COUNTIFS(工数管理!$AK$3:$AK$98,K$1,工数管理!$Y$3:$Y$98,"&lt;="&amp;$H140,工数管理!$Z$3:$Z$98,"")+COUNTIFS(工数管理!$AK$3:$AK$98,K$1,工数管理!$AA$3:$AA$98,"&lt;="&amp;$H140,工数管理!$AB$3:$AB$98,"")+COUNTIFS(工数管理!$AK$3:$AK$98,K$1,工数管理!$AC$3:$AC$98,"&lt;="&amp;$H140,工数管理!$AD$3:$AD$98,"")+COUNTIFS(工数管理!$AK$3:$AK$98,K$1,工数管理!$AE$3:$AE$98,"&lt;="&amp;$H140,工数管理!$AF$3:$AF$98,"")+COUNTIFS(工数管理!$AK$3:$AK$98,K$1,工数管理!$AG$3:$AG$98,"&lt;="&amp;$H140,工数管理!$AH$3:$AH$98,""))*($H140&lt;=工数管理!$AI$1))</f>
        <v>0</v>
      </c>
      <c r="L140" s="42">
        <f ca="1">IF(L$1="",0,COUNTIFS(工数管理!$AK$3:$AK$98,L$1,工数管理!$K$3:$K$98,"&lt;="&amp;$H140,工数管理!$L$3:$L$98,"&gt;="&amp;$H140)+COUNTIFS(工数管理!$AK$3:$AK$98,L$1,工数管理!$M$3:$M$98,"&lt;="&amp;$H140,工数管理!$N$3:$N$98,"&gt;="&amp;$H140)+COUNTIFS(工数管理!$AK$3:$AK$98,L$1,工数管理!$O$3:$O$98,"&lt;="&amp;$H140,工数管理!$P$3:$P$98,"&gt;="&amp;$H140)+COUNTIFS(工数管理!$AK$3:$AK$98,L$1,工数管理!$Q$3:$Q$98,"&lt;="&amp;$H140,工数管理!$R$3:$R$98,"&gt;="&amp;$H140)+COUNTIFS(工数管理!$AK$3:$AK$98,L$1,工数管理!$S$3:$S$98,"&lt;="&amp;$H140,工数管理!$T$3:$T$98,"&gt;="&amp;$H140)+COUNTIFS(工数管理!$AK$3:$AK$98,L$1,工数管理!$U$3:$U$98,"&lt;="&amp;$H140,工数管理!$V$3:$V$98,"&gt;="&amp;$H140)+COUNTIFS(工数管理!$AK$3:$AK$98,L$1,工数管理!$W$3:$W$98,"&lt;="&amp;$H140,工数管理!$X$3:$X$98,"&gt;="&amp;$H140)+COUNTIFS(工数管理!$AK$3:$AK$98,L$1,工数管理!$Y$3:$Y$98,"&lt;="&amp;$H140,工数管理!$Z$3:$Z$98,"&gt;="&amp;$H140)+COUNTIFS(工数管理!$AK$3:$AK$98,L$1,工数管理!$AA$3:$AA$98,"&lt;="&amp;$H140,工数管理!$AB$3:$AB$98,"&gt;="&amp;$H140)+COUNTIFS(工数管理!$AK$3:$AK$98,L$1,工数管理!$AC$3:$AC$98,"&lt;="&amp;$H140,工数管理!$AD$3:$AD$98,"&gt;="&amp;$H140)+COUNTIFS(工数管理!$AK$3:$AK$98,L$1,工数管理!$AE$3:$AE$98,"&lt;="&amp;$H140,工数管理!$AF$3:$AF$98,"&gt;="&amp;$H140)+COUNTIFS(工数管理!$AK$3:$AK$98,L$1,工数管理!$AG$3:$AG$98,"&lt;="&amp;$H140,工数管理!$AH$3:$AH$98,"&gt;="&amp;$H140)+(COUNTIFS(工数管理!$AK$3:$AK$98,L$1,工数管理!$K$3:$K$98,"&lt;="&amp;$H140,工数管理!$L$3:$L$98,"")+COUNTIFS(工数管理!$AK$3:$AK$98,L$1,工数管理!$M$3:$M$98,"&lt;="&amp;$H140,工数管理!$N$3:$N$98,"")+COUNTIFS(工数管理!$AK$3:$AK$98,L$1,工数管理!$O$3:$O$98,"&lt;="&amp;$H140,工数管理!$P$3:$P$98,"")+COUNTIFS(工数管理!$AK$3:$AK$98,L$1,工数管理!$Q$3:$Q$98,"&lt;="&amp;$H140,工数管理!$R$3:$R$98,"")+COUNTIFS(工数管理!$AK$3:$AK$98,L$1,工数管理!$S$3:$S$98,"&lt;="&amp;$H140,工数管理!$T$3:$T$98,"")+COUNTIFS(工数管理!$AK$3:$AK$98,L$1,工数管理!$U$3:$U$98,"&lt;="&amp;$H140,工数管理!$V$3:$V$98,"")+COUNTIFS(工数管理!$AK$3:$AK$98,L$1,工数管理!$W$3:$W$98,"&lt;="&amp;$H140,工数管理!$X$3:$X$98,"")+COUNTIFS(工数管理!$AK$3:$AK$98,L$1,工数管理!$Y$3:$Y$98,"&lt;="&amp;$H140,工数管理!$Z$3:$Z$98,"")+COUNTIFS(工数管理!$AK$3:$AK$98,L$1,工数管理!$AA$3:$AA$98,"&lt;="&amp;$H140,工数管理!$AB$3:$AB$98,"")+COUNTIFS(工数管理!$AK$3:$AK$98,L$1,工数管理!$AC$3:$AC$98,"&lt;="&amp;$H140,工数管理!$AD$3:$AD$98,"")+COUNTIFS(工数管理!$AK$3:$AK$98,L$1,工数管理!$AE$3:$AE$98,"&lt;="&amp;$H140,工数管理!$AF$3:$AF$98,"")+COUNTIFS(工数管理!$AK$3:$AK$98,L$1,工数管理!$AG$3:$AG$98,"&lt;="&amp;$H140,工数管理!$AH$3:$AH$98,""))*($H140&lt;=工数管理!$AI$1))</f>
        <v>0</v>
      </c>
    </row>
    <row r="141" spans="1:12" x14ac:dyDescent="0.15">
      <c r="A141" s="5"/>
      <c r="B141" s="6"/>
      <c r="H141" s="41">
        <f t="shared" si="5"/>
        <v>46309</v>
      </c>
      <c r="I141" s="42">
        <f t="shared" si="4"/>
        <v>1</v>
      </c>
      <c r="J141" s="42">
        <f ca="1">IF(J$1="",0,COUNTIFS(工数管理!$AK$3:$AK$98,J$1,工数管理!$K$3:$K$98,"&lt;="&amp;$H141,工数管理!$L$3:$L$98,"&gt;="&amp;$H141)+COUNTIFS(工数管理!$AK$3:$AK$98,J$1,工数管理!$M$3:$M$98,"&lt;="&amp;$H141,工数管理!$N$3:$N$98,"&gt;="&amp;$H141)+COUNTIFS(工数管理!$AK$3:$AK$98,J$1,工数管理!$O$3:$O$98,"&lt;="&amp;$H141,工数管理!$P$3:$P$98,"&gt;="&amp;$H141)+COUNTIFS(工数管理!$AK$3:$AK$98,J$1,工数管理!$Q$3:$Q$98,"&lt;="&amp;$H141,工数管理!$R$3:$R$98,"&gt;="&amp;$H141)+COUNTIFS(工数管理!$AK$3:$AK$98,J$1,工数管理!$S$3:$S$98,"&lt;="&amp;$H141,工数管理!$T$3:$T$98,"&gt;="&amp;$H141)+COUNTIFS(工数管理!$AK$3:$AK$98,J$1,工数管理!$U$3:$U$98,"&lt;="&amp;$H141,工数管理!$V$3:$V$98,"&gt;="&amp;$H141)+COUNTIFS(工数管理!$AK$3:$AK$98,J$1,工数管理!$W$3:$W$98,"&lt;="&amp;$H141,工数管理!$X$3:$X$98,"&gt;="&amp;$H141)+COUNTIFS(工数管理!$AK$3:$AK$98,J$1,工数管理!$Y$3:$Y$98,"&lt;="&amp;$H141,工数管理!$Z$3:$Z$98,"&gt;="&amp;$H141)+COUNTIFS(工数管理!$AK$3:$AK$98,J$1,工数管理!$AA$3:$AA$98,"&lt;="&amp;$H141,工数管理!$AB$3:$AB$98,"&gt;="&amp;$H141)+COUNTIFS(工数管理!$AK$3:$AK$98,J$1,工数管理!$AC$3:$AC$98,"&lt;="&amp;$H141,工数管理!$AD$3:$AD$98,"&gt;="&amp;$H141)+COUNTIFS(工数管理!$AK$3:$AK$98,J$1,工数管理!$AE$3:$AE$98,"&lt;="&amp;$H141,工数管理!$AF$3:$AF$98,"&gt;="&amp;$H141)+COUNTIFS(工数管理!$AK$3:$AK$98,J$1,工数管理!$AG$3:$AG$98,"&lt;="&amp;$H141,工数管理!$AH$3:$AH$98,"&gt;="&amp;$H141)+(COUNTIFS(工数管理!$AK$3:$AK$98,J$1,工数管理!$K$3:$K$98,"&lt;="&amp;$H141,工数管理!$L$3:$L$98,"")+COUNTIFS(工数管理!$AK$3:$AK$98,J$1,工数管理!$M$3:$M$98,"&lt;="&amp;$H141,工数管理!$N$3:$N$98,"")+COUNTIFS(工数管理!$AK$3:$AK$98,J$1,工数管理!$O$3:$O$98,"&lt;="&amp;$H141,工数管理!$P$3:$P$98,"")+COUNTIFS(工数管理!$AK$3:$AK$98,J$1,工数管理!$Q$3:$Q$98,"&lt;="&amp;$H141,工数管理!$R$3:$R$98,"")+COUNTIFS(工数管理!$AK$3:$AK$98,J$1,工数管理!$S$3:$S$98,"&lt;="&amp;$H141,工数管理!$T$3:$T$98,"")+COUNTIFS(工数管理!$AK$3:$AK$98,J$1,工数管理!$U$3:$U$98,"&lt;="&amp;$H141,工数管理!$V$3:$V$98,"")+COUNTIFS(工数管理!$AK$3:$AK$98,J$1,工数管理!$W$3:$W$98,"&lt;="&amp;$H141,工数管理!$X$3:$X$98,"")+COUNTIFS(工数管理!$AK$3:$AK$98,J$1,工数管理!$Y$3:$Y$98,"&lt;="&amp;$H141,工数管理!$Z$3:$Z$98,"")+COUNTIFS(工数管理!$AK$3:$AK$98,J$1,工数管理!$AA$3:$AA$98,"&lt;="&amp;$H141,工数管理!$AB$3:$AB$98,"")+COUNTIFS(工数管理!$AK$3:$AK$98,J$1,工数管理!$AC$3:$AC$98,"&lt;="&amp;$H141,工数管理!$AD$3:$AD$98,"")+COUNTIFS(工数管理!$AK$3:$AK$98,J$1,工数管理!$AE$3:$AE$98,"&lt;="&amp;$H141,工数管理!$AF$3:$AF$98,"")+COUNTIFS(工数管理!$AK$3:$AK$98,J$1,工数管理!$AG$3:$AG$98,"&lt;="&amp;$H141,工数管理!$AH$3:$AH$98,""))*($H141&lt;=工数管理!$AI$1))</f>
        <v>0</v>
      </c>
      <c r="K141" s="42">
        <f ca="1">IF(K$1="",0,COUNTIFS(工数管理!$AK$3:$AK$98,K$1,工数管理!$K$3:$K$98,"&lt;="&amp;$H141,工数管理!$L$3:$L$98,"&gt;="&amp;$H141)+COUNTIFS(工数管理!$AK$3:$AK$98,K$1,工数管理!$M$3:$M$98,"&lt;="&amp;$H141,工数管理!$N$3:$N$98,"&gt;="&amp;$H141)+COUNTIFS(工数管理!$AK$3:$AK$98,K$1,工数管理!$O$3:$O$98,"&lt;="&amp;$H141,工数管理!$P$3:$P$98,"&gt;="&amp;$H141)+COUNTIFS(工数管理!$AK$3:$AK$98,K$1,工数管理!$Q$3:$Q$98,"&lt;="&amp;$H141,工数管理!$R$3:$R$98,"&gt;="&amp;$H141)+COUNTIFS(工数管理!$AK$3:$AK$98,K$1,工数管理!$S$3:$S$98,"&lt;="&amp;$H141,工数管理!$T$3:$T$98,"&gt;="&amp;$H141)+COUNTIFS(工数管理!$AK$3:$AK$98,K$1,工数管理!$U$3:$U$98,"&lt;="&amp;$H141,工数管理!$V$3:$V$98,"&gt;="&amp;$H141)+COUNTIFS(工数管理!$AK$3:$AK$98,K$1,工数管理!$W$3:$W$98,"&lt;="&amp;$H141,工数管理!$X$3:$X$98,"&gt;="&amp;$H141)+COUNTIFS(工数管理!$AK$3:$AK$98,K$1,工数管理!$Y$3:$Y$98,"&lt;="&amp;$H141,工数管理!$Z$3:$Z$98,"&gt;="&amp;$H141)+COUNTIFS(工数管理!$AK$3:$AK$98,K$1,工数管理!$AA$3:$AA$98,"&lt;="&amp;$H141,工数管理!$AB$3:$AB$98,"&gt;="&amp;$H141)+COUNTIFS(工数管理!$AK$3:$AK$98,K$1,工数管理!$AC$3:$AC$98,"&lt;="&amp;$H141,工数管理!$AD$3:$AD$98,"&gt;="&amp;$H141)+COUNTIFS(工数管理!$AK$3:$AK$98,K$1,工数管理!$AE$3:$AE$98,"&lt;="&amp;$H141,工数管理!$AF$3:$AF$98,"&gt;="&amp;$H141)+COUNTIFS(工数管理!$AK$3:$AK$98,K$1,工数管理!$AG$3:$AG$98,"&lt;="&amp;$H141,工数管理!$AH$3:$AH$98,"&gt;="&amp;$H141)+(COUNTIFS(工数管理!$AK$3:$AK$98,K$1,工数管理!$K$3:$K$98,"&lt;="&amp;$H141,工数管理!$L$3:$L$98,"")+COUNTIFS(工数管理!$AK$3:$AK$98,K$1,工数管理!$M$3:$M$98,"&lt;="&amp;$H141,工数管理!$N$3:$N$98,"")+COUNTIFS(工数管理!$AK$3:$AK$98,K$1,工数管理!$O$3:$O$98,"&lt;="&amp;$H141,工数管理!$P$3:$P$98,"")+COUNTIFS(工数管理!$AK$3:$AK$98,K$1,工数管理!$Q$3:$Q$98,"&lt;="&amp;$H141,工数管理!$R$3:$R$98,"")+COUNTIFS(工数管理!$AK$3:$AK$98,K$1,工数管理!$S$3:$S$98,"&lt;="&amp;$H141,工数管理!$T$3:$T$98,"")+COUNTIFS(工数管理!$AK$3:$AK$98,K$1,工数管理!$U$3:$U$98,"&lt;="&amp;$H141,工数管理!$V$3:$V$98,"")+COUNTIFS(工数管理!$AK$3:$AK$98,K$1,工数管理!$W$3:$W$98,"&lt;="&amp;$H141,工数管理!$X$3:$X$98,"")+COUNTIFS(工数管理!$AK$3:$AK$98,K$1,工数管理!$Y$3:$Y$98,"&lt;="&amp;$H141,工数管理!$Z$3:$Z$98,"")+COUNTIFS(工数管理!$AK$3:$AK$98,K$1,工数管理!$AA$3:$AA$98,"&lt;="&amp;$H141,工数管理!$AB$3:$AB$98,"")+COUNTIFS(工数管理!$AK$3:$AK$98,K$1,工数管理!$AC$3:$AC$98,"&lt;="&amp;$H141,工数管理!$AD$3:$AD$98,"")+COUNTIFS(工数管理!$AK$3:$AK$98,K$1,工数管理!$AE$3:$AE$98,"&lt;="&amp;$H141,工数管理!$AF$3:$AF$98,"")+COUNTIFS(工数管理!$AK$3:$AK$98,K$1,工数管理!$AG$3:$AG$98,"&lt;="&amp;$H141,工数管理!$AH$3:$AH$98,""))*($H141&lt;=工数管理!$AI$1))</f>
        <v>0</v>
      </c>
      <c r="L141" s="42">
        <f ca="1">IF(L$1="",0,COUNTIFS(工数管理!$AK$3:$AK$98,L$1,工数管理!$K$3:$K$98,"&lt;="&amp;$H141,工数管理!$L$3:$L$98,"&gt;="&amp;$H141)+COUNTIFS(工数管理!$AK$3:$AK$98,L$1,工数管理!$M$3:$M$98,"&lt;="&amp;$H141,工数管理!$N$3:$N$98,"&gt;="&amp;$H141)+COUNTIFS(工数管理!$AK$3:$AK$98,L$1,工数管理!$O$3:$O$98,"&lt;="&amp;$H141,工数管理!$P$3:$P$98,"&gt;="&amp;$H141)+COUNTIFS(工数管理!$AK$3:$AK$98,L$1,工数管理!$Q$3:$Q$98,"&lt;="&amp;$H141,工数管理!$R$3:$R$98,"&gt;="&amp;$H141)+COUNTIFS(工数管理!$AK$3:$AK$98,L$1,工数管理!$S$3:$S$98,"&lt;="&amp;$H141,工数管理!$T$3:$T$98,"&gt;="&amp;$H141)+COUNTIFS(工数管理!$AK$3:$AK$98,L$1,工数管理!$U$3:$U$98,"&lt;="&amp;$H141,工数管理!$V$3:$V$98,"&gt;="&amp;$H141)+COUNTIFS(工数管理!$AK$3:$AK$98,L$1,工数管理!$W$3:$W$98,"&lt;="&amp;$H141,工数管理!$X$3:$X$98,"&gt;="&amp;$H141)+COUNTIFS(工数管理!$AK$3:$AK$98,L$1,工数管理!$Y$3:$Y$98,"&lt;="&amp;$H141,工数管理!$Z$3:$Z$98,"&gt;="&amp;$H141)+COUNTIFS(工数管理!$AK$3:$AK$98,L$1,工数管理!$AA$3:$AA$98,"&lt;="&amp;$H141,工数管理!$AB$3:$AB$98,"&gt;="&amp;$H141)+COUNTIFS(工数管理!$AK$3:$AK$98,L$1,工数管理!$AC$3:$AC$98,"&lt;="&amp;$H141,工数管理!$AD$3:$AD$98,"&gt;="&amp;$H141)+COUNTIFS(工数管理!$AK$3:$AK$98,L$1,工数管理!$AE$3:$AE$98,"&lt;="&amp;$H141,工数管理!$AF$3:$AF$98,"&gt;="&amp;$H141)+COUNTIFS(工数管理!$AK$3:$AK$98,L$1,工数管理!$AG$3:$AG$98,"&lt;="&amp;$H141,工数管理!$AH$3:$AH$98,"&gt;="&amp;$H141)+(COUNTIFS(工数管理!$AK$3:$AK$98,L$1,工数管理!$K$3:$K$98,"&lt;="&amp;$H141,工数管理!$L$3:$L$98,"")+COUNTIFS(工数管理!$AK$3:$AK$98,L$1,工数管理!$M$3:$M$98,"&lt;="&amp;$H141,工数管理!$N$3:$N$98,"")+COUNTIFS(工数管理!$AK$3:$AK$98,L$1,工数管理!$O$3:$O$98,"&lt;="&amp;$H141,工数管理!$P$3:$P$98,"")+COUNTIFS(工数管理!$AK$3:$AK$98,L$1,工数管理!$Q$3:$Q$98,"&lt;="&amp;$H141,工数管理!$R$3:$R$98,"")+COUNTIFS(工数管理!$AK$3:$AK$98,L$1,工数管理!$S$3:$S$98,"&lt;="&amp;$H141,工数管理!$T$3:$T$98,"")+COUNTIFS(工数管理!$AK$3:$AK$98,L$1,工数管理!$U$3:$U$98,"&lt;="&amp;$H141,工数管理!$V$3:$V$98,"")+COUNTIFS(工数管理!$AK$3:$AK$98,L$1,工数管理!$W$3:$W$98,"&lt;="&amp;$H141,工数管理!$X$3:$X$98,"")+COUNTIFS(工数管理!$AK$3:$AK$98,L$1,工数管理!$Y$3:$Y$98,"&lt;="&amp;$H141,工数管理!$Z$3:$Z$98,"")+COUNTIFS(工数管理!$AK$3:$AK$98,L$1,工数管理!$AA$3:$AA$98,"&lt;="&amp;$H141,工数管理!$AB$3:$AB$98,"")+COUNTIFS(工数管理!$AK$3:$AK$98,L$1,工数管理!$AC$3:$AC$98,"&lt;="&amp;$H141,工数管理!$AD$3:$AD$98,"")+COUNTIFS(工数管理!$AK$3:$AK$98,L$1,工数管理!$AE$3:$AE$98,"&lt;="&amp;$H141,工数管理!$AF$3:$AF$98,"")+COUNTIFS(工数管理!$AK$3:$AK$98,L$1,工数管理!$AG$3:$AG$98,"&lt;="&amp;$H141,工数管理!$AH$3:$AH$98,""))*($H141&lt;=工数管理!$AI$1))</f>
        <v>0</v>
      </c>
    </row>
    <row r="142" spans="1:12" x14ac:dyDescent="0.15">
      <c r="A142" s="5"/>
      <c r="B142" s="6"/>
      <c r="H142" s="41">
        <f t="shared" si="5"/>
        <v>46310</v>
      </c>
      <c r="I142" s="42">
        <f t="shared" si="4"/>
        <v>1</v>
      </c>
      <c r="J142" s="42">
        <f ca="1">IF(J$1="",0,COUNTIFS(工数管理!$AK$3:$AK$98,J$1,工数管理!$K$3:$K$98,"&lt;="&amp;$H142,工数管理!$L$3:$L$98,"&gt;="&amp;$H142)+COUNTIFS(工数管理!$AK$3:$AK$98,J$1,工数管理!$M$3:$M$98,"&lt;="&amp;$H142,工数管理!$N$3:$N$98,"&gt;="&amp;$H142)+COUNTIFS(工数管理!$AK$3:$AK$98,J$1,工数管理!$O$3:$O$98,"&lt;="&amp;$H142,工数管理!$P$3:$P$98,"&gt;="&amp;$H142)+COUNTIFS(工数管理!$AK$3:$AK$98,J$1,工数管理!$Q$3:$Q$98,"&lt;="&amp;$H142,工数管理!$R$3:$R$98,"&gt;="&amp;$H142)+COUNTIFS(工数管理!$AK$3:$AK$98,J$1,工数管理!$S$3:$S$98,"&lt;="&amp;$H142,工数管理!$T$3:$T$98,"&gt;="&amp;$H142)+COUNTIFS(工数管理!$AK$3:$AK$98,J$1,工数管理!$U$3:$U$98,"&lt;="&amp;$H142,工数管理!$V$3:$V$98,"&gt;="&amp;$H142)+COUNTIFS(工数管理!$AK$3:$AK$98,J$1,工数管理!$W$3:$W$98,"&lt;="&amp;$H142,工数管理!$X$3:$X$98,"&gt;="&amp;$H142)+COUNTIFS(工数管理!$AK$3:$AK$98,J$1,工数管理!$Y$3:$Y$98,"&lt;="&amp;$H142,工数管理!$Z$3:$Z$98,"&gt;="&amp;$H142)+COUNTIFS(工数管理!$AK$3:$AK$98,J$1,工数管理!$AA$3:$AA$98,"&lt;="&amp;$H142,工数管理!$AB$3:$AB$98,"&gt;="&amp;$H142)+COUNTIFS(工数管理!$AK$3:$AK$98,J$1,工数管理!$AC$3:$AC$98,"&lt;="&amp;$H142,工数管理!$AD$3:$AD$98,"&gt;="&amp;$H142)+COUNTIFS(工数管理!$AK$3:$AK$98,J$1,工数管理!$AE$3:$AE$98,"&lt;="&amp;$H142,工数管理!$AF$3:$AF$98,"&gt;="&amp;$H142)+COUNTIFS(工数管理!$AK$3:$AK$98,J$1,工数管理!$AG$3:$AG$98,"&lt;="&amp;$H142,工数管理!$AH$3:$AH$98,"&gt;="&amp;$H142)+(COUNTIFS(工数管理!$AK$3:$AK$98,J$1,工数管理!$K$3:$K$98,"&lt;="&amp;$H142,工数管理!$L$3:$L$98,"")+COUNTIFS(工数管理!$AK$3:$AK$98,J$1,工数管理!$M$3:$M$98,"&lt;="&amp;$H142,工数管理!$N$3:$N$98,"")+COUNTIFS(工数管理!$AK$3:$AK$98,J$1,工数管理!$O$3:$O$98,"&lt;="&amp;$H142,工数管理!$P$3:$P$98,"")+COUNTIFS(工数管理!$AK$3:$AK$98,J$1,工数管理!$Q$3:$Q$98,"&lt;="&amp;$H142,工数管理!$R$3:$R$98,"")+COUNTIFS(工数管理!$AK$3:$AK$98,J$1,工数管理!$S$3:$S$98,"&lt;="&amp;$H142,工数管理!$T$3:$T$98,"")+COUNTIFS(工数管理!$AK$3:$AK$98,J$1,工数管理!$U$3:$U$98,"&lt;="&amp;$H142,工数管理!$V$3:$V$98,"")+COUNTIFS(工数管理!$AK$3:$AK$98,J$1,工数管理!$W$3:$W$98,"&lt;="&amp;$H142,工数管理!$X$3:$X$98,"")+COUNTIFS(工数管理!$AK$3:$AK$98,J$1,工数管理!$Y$3:$Y$98,"&lt;="&amp;$H142,工数管理!$Z$3:$Z$98,"")+COUNTIFS(工数管理!$AK$3:$AK$98,J$1,工数管理!$AA$3:$AA$98,"&lt;="&amp;$H142,工数管理!$AB$3:$AB$98,"")+COUNTIFS(工数管理!$AK$3:$AK$98,J$1,工数管理!$AC$3:$AC$98,"&lt;="&amp;$H142,工数管理!$AD$3:$AD$98,"")+COUNTIFS(工数管理!$AK$3:$AK$98,J$1,工数管理!$AE$3:$AE$98,"&lt;="&amp;$H142,工数管理!$AF$3:$AF$98,"")+COUNTIFS(工数管理!$AK$3:$AK$98,J$1,工数管理!$AG$3:$AG$98,"&lt;="&amp;$H142,工数管理!$AH$3:$AH$98,""))*($H142&lt;=工数管理!$AI$1))</f>
        <v>0</v>
      </c>
      <c r="K142" s="42">
        <f ca="1">IF(K$1="",0,COUNTIFS(工数管理!$AK$3:$AK$98,K$1,工数管理!$K$3:$K$98,"&lt;="&amp;$H142,工数管理!$L$3:$L$98,"&gt;="&amp;$H142)+COUNTIFS(工数管理!$AK$3:$AK$98,K$1,工数管理!$M$3:$M$98,"&lt;="&amp;$H142,工数管理!$N$3:$N$98,"&gt;="&amp;$H142)+COUNTIFS(工数管理!$AK$3:$AK$98,K$1,工数管理!$O$3:$O$98,"&lt;="&amp;$H142,工数管理!$P$3:$P$98,"&gt;="&amp;$H142)+COUNTIFS(工数管理!$AK$3:$AK$98,K$1,工数管理!$Q$3:$Q$98,"&lt;="&amp;$H142,工数管理!$R$3:$R$98,"&gt;="&amp;$H142)+COUNTIFS(工数管理!$AK$3:$AK$98,K$1,工数管理!$S$3:$S$98,"&lt;="&amp;$H142,工数管理!$T$3:$T$98,"&gt;="&amp;$H142)+COUNTIFS(工数管理!$AK$3:$AK$98,K$1,工数管理!$U$3:$U$98,"&lt;="&amp;$H142,工数管理!$V$3:$V$98,"&gt;="&amp;$H142)+COUNTIFS(工数管理!$AK$3:$AK$98,K$1,工数管理!$W$3:$W$98,"&lt;="&amp;$H142,工数管理!$X$3:$X$98,"&gt;="&amp;$H142)+COUNTIFS(工数管理!$AK$3:$AK$98,K$1,工数管理!$Y$3:$Y$98,"&lt;="&amp;$H142,工数管理!$Z$3:$Z$98,"&gt;="&amp;$H142)+COUNTIFS(工数管理!$AK$3:$AK$98,K$1,工数管理!$AA$3:$AA$98,"&lt;="&amp;$H142,工数管理!$AB$3:$AB$98,"&gt;="&amp;$H142)+COUNTIFS(工数管理!$AK$3:$AK$98,K$1,工数管理!$AC$3:$AC$98,"&lt;="&amp;$H142,工数管理!$AD$3:$AD$98,"&gt;="&amp;$H142)+COUNTIFS(工数管理!$AK$3:$AK$98,K$1,工数管理!$AE$3:$AE$98,"&lt;="&amp;$H142,工数管理!$AF$3:$AF$98,"&gt;="&amp;$H142)+COUNTIFS(工数管理!$AK$3:$AK$98,K$1,工数管理!$AG$3:$AG$98,"&lt;="&amp;$H142,工数管理!$AH$3:$AH$98,"&gt;="&amp;$H142)+(COUNTIFS(工数管理!$AK$3:$AK$98,K$1,工数管理!$K$3:$K$98,"&lt;="&amp;$H142,工数管理!$L$3:$L$98,"")+COUNTIFS(工数管理!$AK$3:$AK$98,K$1,工数管理!$M$3:$M$98,"&lt;="&amp;$H142,工数管理!$N$3:$N$98,"")+COUNTIFS(工数管理!$AK$3:$AK$98,K$1,工数管理!$O$3:$O$98,"&lt;="&amp;$H142,工数管理!$P$3:$P$98,"")+COUNTIFS(工数管理!$AK$3:$AK$98,K$1,工数管理!$Q$3:$Q$98,"&lt;="&amp;$H142,工数管理!$R$3:$R$98,"")+COUNTIFS(工数管理!$AK$3:$AK$98,K$1,工数管理!$S$3:$S$98,"&lt;="&amp;$H142,工数管理!$T$3:$T$98,"")+COUNTIFS(工数管理!$AK$3:$AK$98,K$1,工数管理!$U$3:$U$98,"&lt;="&amp;$H142,工数管理!$V$3:$V$98,"")+COUNTIFS(工数管理!$AK$3:$AK$98,K$1,工数管理!$W$3:$W$98,"&lt;="&amp;$H142,工数管理!$X$3:$X$98,"")+COUNTIFS(工数管理!$AK$3:$AK$98,K$1,工数管理!$Y$3:$Y$98,"&lt;="&amp;$H142,工数管理!$Z$3:$Z$98,"")+COUNTIFS(工数管理!$AK$3:$AK$98,K$1,工数管理!$AA$3:$AA$98,"&lt;="&amp;$H142,工数管理!$AB$3:$AB$98,"")+COUNTIFS(工数管理!$AK$3:$AK$98,K$1,工数管理!$AC$3:$AC$98,"&lt;="&amp;$H142,工数管理!$AD$3:$AD$98,"")+COUNTIFS(工数管理!$AK$3:$AK$98,K$1,工数管理!$AE$3:$AE$98,"&lt;="&amp;$H142,工数管理!$AF$3:$AF$98,"")+COUNTIFS(工数管理!$AK$3:$AK$98,K$1,工数管理!$AG$3:$AG$98,"&lt;="&amp;$H142,工数管理!$AH$3:$AH$98,""))*($H142&lt;=工数管理!$AI$1))</f>
        <v>0</v>
      </c>
      <c r="L142" s="42">
        <f ca="1">IF(L$1="",0,COUNTIFS(工数管理!$AK$3:$AK$98,L$1,工数管理!$K$3:$K$98,"&lt;="&amp;$H142,工数管理!$L$3:$L$98,"&gt;="&amp;$H142)+COUNTIFS(工数管理!$AK$3:$AK$98,L$1,工数管理!$M$3:$M$98,"&lt;="&amp;$H142,工数管理!$N$3:$N$98,"&gt;="&amp;$H142)+COUNTIFS(工数管理!$AK$3:$AK$98,L$1,工数管理!$O$3:$O$98,"&lt;="&amp;$H142,工数管理!$P$3:$P$98,"&gt;="&amp;$H142)+COUNTIFS(工数管理!$AK$3:$AK$98,L$1,工数管理!$Q$3:$Q$98,"&lt;="&amp;$H142,工数管理!$R$3:$R$98,"&gt;="&amp;$H142)+COUNTIFS(工数管理!$AK$3:$AK$98,L$1,工数管理!$S$3:$S$98,"&lt;="&amp;$H142,工数管理!$T$3:$T$98,"&gt;="&amp;$H142)+COUNTIFS(工数管理!$AK$3:$AK$98,L$1,工数管理!$U$3:$U$98,"&lt;="&amp;$H142,工数管理!$V$3:$V$98,"&gt;="&amp;$H142)+COUNTIFS(工数管理!$AK$3:$AK$98,L$1,工数管理!$W$3:$W$98,"&lt;="&amp;$H142,工数管理!$X$3:$X$98,"&gt;="&amp;$H142)+COUNTIFS(工数管理!$AK$3:$AK$98,L$1,工数管理!$Y$3:$Y$98,"&lt;="&amp;$H142,工数管理!$Z$3:$Z$98,"&gt;="&amp;$H142)+COUNTIFS(工数管理!$AK$3:$AK$98,L$1,工数管理!$AA$3:$AA$98,"&lt;="&amp;$H142,工数管理!$AB$3:$AB$98,"&gt;="&amp;$H142)+COUNTIFS(工数管理!$AK$3:$AK$98,L$1,工数管理!$AC$3:$AC$98,"&lt;="&amp;$H142,工数管理!$AD$3:$AD$98,"&gt;="&amp;$H142)+COUNTIFS(工数管理!$AK$3:$AK$98,L$1,工数管理!$AE$3:$AE$98,"&lt;="&amp;$H142,工数管理!$AF$3:$AF$98,"&gt;="&amp;$H142)+COUNTIFS(工数管理!$AK$3:$AK$98,L$1,工数管理!$AG$3:$AG$98,"&lt;="&amp;$H142,工数管理!$AH$3:$AH$98,"&gt;="&amp;$H142)+(COUNTIFS(工数管理!$AK$3:$AK$98,L$1,工数管理!$K$3:$K$98,"&lt;="&amp;$H142,工数管理!$L$3:$L$98,"")+COUNTIFS(工数管理!$AK$3:$AK$98,L$1,工数管理!$M$3:$M$98,"&lt;="&amp;$H142,工数管理!$N$3:$N$98,"")+COUNTIFS(工数管理!$AK$3:$AK$98,L$1,工数管理!$O$3:$O$98,"&lt;="&amp;$H142,工数管理!$P$3:$P$98,"")+COUNTIFS(工数管理!$AK$3:$AK$98,L$1,工数管理!$Q$3:$Q$98,"&lt;="&amp;$H142,工数管理!$R$3:$R$98,"")+COUNTIFS(工数管理!$AK$3:$AK$98,L$1,工数管理!$S$3:$S$98,"&lt;="&amp;$H142,工数管理!$T$3:$T$98,"")+COUNTIFS(工数管理!$AK$3:$AK$98,L$1,工数管理!$U$3:$U$98,"&lt;="&amp;$H142,工数管理!$V$3:$V$98,"")+COUNTIFS(工数管理!$AK$3:$AK$98,L$1,工数管理!$W$3:$W$98,"&lt;="&amp;$H142,工数管理!$X$3:$X$98,"")+COUNTIFS(工数管理!$AK$3:$AK$98,L$1,工数管理!$Y$3:$Y$98,"&lt;="&amp;$H142,工数管理!$Z$3:$Z$98,"")+COUNTIFS(工数管理!$AK$3:$AK$98,L$1,工数管理!$AA$3:$AA$98,"&lt;="&amp;$H142,工数管理!$AB$3:$AB$98,"")+COUNTIFS(工数管理!$AK$3:$AK$98,L$1,工数管理!$AC$3:$AC$98,"&lt;="&amp;$H142,工数管理!$AD$3:$AD$98,"")+COUNTIFS(工数管理!$AK$3:$AK$98,L$1,工数管理!$AE$3:$AE$98,"&lt;="&amp;$H142,工数管理!$AF$3:$AF$98,"")+COUNTIFS(工数管理!$AK$3:$AK$98,L$1,工数管理!$AG$3:$AG$98,"&lt;="&amp;$H142,工数管理!$AH$3:$AH$98,""))*($H142&lt;=工数管理!$AI$1))</f>
        <v>0</v>
      </c>
    </row>
    <row r="143" spans="1:12" x14ac:dyDescent="0.15">
      <c r="A143" s="5"/>
      <c r="B143" s="6"/>
      <c r="H143" s="41">
        <f t="shared" si="5"/>
        <v>46311</v>
      </c>
      <c r="I143" s="42">
        <f t="shared" si="4"/>
        <v>1</v>
      </c>
      <c r="J143" s="42">
        <f ca="1">IF(J$1="",0,COUNTIFS(工数管理!$AK$3:$AK$98,J$1,工数管理!$K$3:$K$98,"&lt;="&amp;$H143,工数管理!$L$3:$L$98,"&gt;="&amp;$H143)+COUNTIFS(工数管理!$AK$3:$AK$98,J$1,工数管理!$M$3:$M$98,"&lt;="&amp;$H143,工数管理!$N$3:$N$98,"&gt;="&amp;$H143)+COUNTIFS(工数管理!$AK$3:$AK$98,J$1,工数管理!$O$3:$O$98,"&lt;="&amp;$H143,工数管理!$P$3:$P$98,"&gt;="&amp;$H143)+COUNTIFS(工数管理!$AK$3:$AK$98,J$1,工数管理!$Q$3:$Q$98,"&lt;="&amp;$H143,工数管理!$R$3:$R$98,"&gt;="&amp;$H143)+COUNTIFS(工数管理!$AK$3:$AK$98,J$1,工数管理!$S$3:$S$98,"&lt;="&amp;$H143,工数管理!$T$3:$T$98,"&gt;="&amp;$H143)+COUNTIFS(工数管理!$AK$3:$AK$98,J$1,工数管理!$U$3:$U$98,"&lt;="&amp;$H143,工数管理!$V$3:$V$98,"&gt;="&amp;$H143)+COUNTIFS(工数管理!$AK$3:$AK$98,J$1,工数管理!$W$3:$W$98,"&lt;="&amp;$H143,工数管理!$X$3:$X$98,"&gt;="&amp;$H143)+COUNTIFS(工数管理!$AK$3:$AK$98,J$1,工数管理!$Y$3:$Y$98,"&lt;="&amp;$H143,工数管理!$Z$3:$Z$98,"&gt;="&amp;$H143)+COUNTIFS(工数管理!$AK$3:$AK$98,J$1,工数管理!$AA$3:$AA$98,"&lt;="&amp;$H143,工数管理!$AB$3:$AB$98,"&gt;="&amp;$H143)+COUNTIFS(工数管理!$AK$3:$AK$98,J$1,工数管理!$AC$3:$AC$98,"&lt;="&amp;$H143,工数管理!$AD$3:$AD$98,"&gt;="&amp;$H143)+COUNTIFS(工数管理!$AK$3:$AK$98,J$1,工数管理!$AE$3:$AE$98,"&lt;="&amp;$H143,工数管理!$AF$3:$AF$98,"&gt;="&amp;$H143)+COUNTIFS(工数管理!$AK$3:$AK$98,J$1,工数管理!$AG$3:$AG$98,"&lt;="&amp;$H143,工数管理!$AH$3:$AH$98,"&gt;="&amp;$H143)+(COUNTIFS(工数管理!$AK$3:$AK$98,J$1,工数管理!$K$3:$K$98,"&lt;="&amp;$H143,工数管理!$L$3:$L$98,"")+COUNTIFS(工数管理!$AK$3:$AK$98,J$1,工数管理!$M$3:$M$98,"&lt;="&amp;$H143,工数管理!$N$3:$N$98,"")+COUNTIFS(工数管理!$AK$3:$AK$98,J$1,工数管理!$O$3:$O$98,"&lt;="&amp;$H143,工数管理!$P$3:$P$98,"")+COUNTIFS(工数管理!$AK$3:$AK$98,J$1,工数管理!$Q$3:$Q$98,"&lt;="&amp;$H143,工数管理!$R$3:$R$98,"")+COUNTIFS(工数管理!$AK$3:$AK$98,J$1,工数管理!$S$3:$S$98,"&lt;="&amp;$H143,工数管理!$T$3:$T$98,"")+COUNTIFS(工数管理!$AK$3:$AK$98,J$1,工数管理!$U$3:$U$98,"&lt;="&amp;$H143,工数管理!$V$3:$V$98,"")+COUNTIFS(工数管理!$AK$3:$AK$98,J$1,工数管理!$W$3:$W$98,"&lt;="&amp;$H143,工数管理!$X$3:$X$98,"")+COUNTIFS(工数管理!$AK$3:$AK$98,J$1,工数管理!$Y$3:$Y$98,"&lt;="&amp;$H143,工数管理!$Z$3:$Z$98,"")+COUNTIFS(工数管理!$AK$3:$AK$98,J$1,工数管理!$AA$3:$AA$98,"&lt;="&amp;$H143,工数管理!$AB$3:$AB$98,"")+COUNTIFS(工数管理!$AK$3:$AK$98,J$1,工数管理!$AC$3:$AC$98,"&lt;="&amp;$H143,工数管理!$AD$3:$AD$98,"")+COUNTIFS(工数管理!$AK$3:$AK$98,J$1,工数管理!$AE$3:$AE$98,"&lt;="&amp;$H143,工数管理!$AF$3:$AF$98,"")+COUNTIFS(工数管理!$AK$3:$AK$98,J$1,工数管理!$AG$3:$AG$98,"&lt;="&amp;$H143,工数管理!$AH$3:$AH$98,""))*($H143&lt;=工数管理!$AI$1))</f>
        <v>0</v>
      </c>
      <c r="K143" s="42">
        <f ca="1">IF(K$1="",0,COUNTIFS(工数管理!$AK$3:$AK$98,K$1,工数管理!$K$3:$K$98,"&lt;="&amp;$H143,工数管理!$L$3:$L$98,"&gt;="&amp;$H143)+COUNTIFS(工数管理!$AK$3:$AK$98,K$1,工数管理!$M$3:$M$98,"&lt;="&amp;$H143,工数管理!$N$3:$N$98,"&gt;="&amp;$H143)+COUNTIFS(工数管理!$AK$3:$AK$98,K$1,工数管理!$O$3:$O$98,"&lt;="&amp;$H143,工数管理!$P$3:$P$98,"&gt;="&amp;$H143)+COUNTIFS(工数管理!$AK$3:$AK$98,K$1,工数管理!$Q$3:$Q$98,"&lt;="&amp;$H143,工数管理!$R$3:$R$98,"&gt;="&amp;$H143)+COUNTIFS(工数管理!$AK$3:$AK$98,K$1,工数管理!$S$3:$S$98,"&lt;="&amp;$H143,工数管理!$T$3:$T$98,"&gt;="&amp;$H143)+COUNTIFS(工数管理!$AK$3:$AK$98,K$1,工数管理!$U$3:$U$98,"&lt;="&amp;$H143,工数管理!$V$3:$V$98,"&gt;="&amp;$H143)+COUNTIFS(工数管理!$AK$3:$AK$98,K$1,工数管理!$W$3:$W$98,"&lt;="&amp;$H143,工数管理!$X$3:$X$98,"&gt;="&amp;$H143)+COUNTIFS(工数管理!$AK$3:$AK$98,K$1,工数管理!$Y$3:$Y$98,"&lt;="&amp;$H143,工数管理!$Z$3:$Z$98,"&gt;="&amp;$H143)+COUNTIFS(工数管理!$AK$3:$AK$98,K$1,工数管理!$AA$3:$AA$98,"&lt;="&amp;$H143,工数管理!$AB$3:$AB$98,"&gt;="&amp;$H143)+COUNTIFS(工数管理!$AK$3:$AK$98,K$1,工数管理!$AC$3:$AC$98,"&lt;="&amp;$H143,工数管理!$AD$3:$AD$98,"&gt;="&amp;$H143)+COUNTIFS(工数管理!$AK$3:$AK$98,K$1,工数管理!$AE$3:$AE$98,"&lt;="&amp;$H143,工数管理!$AF$3:$AF$98,"&gt;="&amp;$H143)+COUNTIFS(工数管理!$AK$3:$AK$98,K$1,工数管理!$AG$3:$AG$98,"&lt;="&amp;$H143,工数管理!$AH$3:$AH$98,"&gt;="&amp;$H143)+(COUNTIFS(工数管理!$AK$3:$AK$98,K$1,工数管理!$K$3:$K$98,"&lt;="&amp;$H143,工数管理!$L$3:$L$98,"")+COUNTIFS(工数管理!$AK$3:$AK$98,K$1,工数管理!$M$3:$M$98,"&lt;="&amp;$H143,工数管理!$N$3:$N$98,"")+COUNTIFS(工数管理!$AK$3:$AK$98,K$1,工数管理!$O$3:$O$98,"&lt;="&amp;$H143,工数管理!$P$3:$P$98,"")+COUNTIFS(工数管理!$AK$3:$AK$98,K$1,工数管理!$Q$3:$Q$98,"&lt;="&amp;$H143,工数管理!$R$3:$R$98,"")+COUNTIFS(工数管理!$AK$3:$AK$98,K$1,工数管理!$S$3:$S$98,"&lt;="&amp;$H143,工数管理!$T$3:$T$98,"")+COUNTIFS(工数管理!$AK$3:$AK$98,K$1,工数管理!$U$3:$U$98,"&lt;="&amp;$H143,工数管理!$V$3:$V$98,"")+COUNTIFS(工数管理!$AK$3:$AK$98,K$1,工数管理!$W$3:$W$98,"&lt;="&amp;$H143,工数管理!$X$3:$X$98,"")+COUNTIFS(工数管理!$AK$3:$AK$98,K$1,工数管理!$Y$3:$Y$98,"&lt;="&amp;$H143,工数管理!$Z$3:$Z$98,"")+COUNTIFS(工数管理!$AK$3:$AK$98,K$1,工数管理!$AA$3:$AA$98,"&lt;="&amp;$H143,工数管理!$AB$3:$AB$98,"")+COUNTIFS(工数管理!$AK$3:$AK$98,K$1,工数管理!$AC$3:$AC$98,"&lt;="&amp;$H143,工数管理!$AD$3:$AD$98,"")+COUNTIFS(工数管理!$AK$3:$AK$98,K$1,工数管理!$AE$3:$AE$98,"&lt;="&amp;$H143,工数管理!$AF$3:$AF$98,"")+COUNTIFS(工数管理!$AK$3:$AK$98,K$1,工数管理!$AG$3:$AG$98,"&lt;="&amp;$H143,工数管理!$AH$3:$AH$98,""))*($H143&lt;=工数管理!$AI$1))</f>
        <v>0</v>
      </c>
      <c r="L143" s="42">
        <f ca="1">IF(L$1="",0,COUNTIFS(工数管理!$AK$3:$AK$98,L$1,工数管理!$K$3:$K$98,"&lt;="&amp;$H143,工数管理!$L$3:$L$98,"&gt;="&amp;$H143)+COUNTIFS(工数管理!$AK$3:$AK$98,L$1,工数管理!$M$3:$M$98,"&lt;="&amp;$H143,工数管理!$N$3:$N$98,"&gt;="&amp;$H143)+COUNTIFS(工数管理!$AK$3:$AK$98,L$1,工数管理!$O$3:$O$98,"&lt;="&amp;$H143,工数管理!$P$3:$P$98,"&gt;="&amp;$H143)+COUNTIFS(工数管理!$AK$3:$AK$98,L$1,工数管理!$Q$3:$Q$98,"&lt;="&amp;$H143,工数管理!$R$3:$R$98,"&gt;="&amp;$H143)+COUNTIFS(工数管理!$AK$3:$AK$98,L$1,工数管理!$S$3:$S$98,"&lt;="&amp;$H143,工数管理!$T$3:$T$98,"&gt;="&amp;$H143)+COUNTIFS(工数管理!$AK$3:$AK$98,L$1,工数管理!$U$3:$U$98,"&lt;="&amp;$H143,工数管理!$V$3:$V$98,"&gt;="&amp;$H143)+COUNTIFS(工数管理!$AK$3:$AK$98,L$1,工数管理!$W$3:$W$98,"&lt;="&amp;$H143,工数管理!$X$3:$X$98,"&gt;="&amp;$H143)+COUNTIFS(工数管理!$AK$3:$AK$98,L$1,工数管理!$Y$3:$Y$98,"&lt;="&amp;$H143,工数管理!$Z$3:$Z$98,"&gt;="&amp;$H143)+COUNTIFS(工数管理!$AK$3:$AK$98,L$1,工数管理!$AA$3:$AA$98,"&lt;="&amp;$H143,工数管理!$AB$3:$AB$98,"&gt;="&amp;$H143)+COUNTIFS(工数管理!$AK$3:$AK$98,L$1,工数管理!$AC$3:$AC$98,"&lt;="&amp;$H143,工数管理!$AD$3:$AD$98,"&gt;="&amp;$H143)+COUNTIFS(工数管理!$AK$3:$AK$98,L$1,工数管理!$AE$3:$AE$98,"&lt;="&amp;$H143,工数管理!$AF$3:$AF$98,"&gt;="&amp;$H143)+COUNTIFS(工数管理!$AK$3:$AK$98,L$1,工数管理!$AG$3:$AG$98,"&lt;="&amp;$H143,工数管理!$AH$3:$AH$98,"&gt;="&amp;$H143)+(COUNTIFS(工数管理!$AK$3:$AK$98,L$1,工数管理!$K$3:$K$98,"&lt;="&amp;$H143,工数管理!$L$3:$L$98,"")+COUNTIFS(工数管理!$AK$3:$AK$98,L$1,工数管理!$M$3:$M$98,"&lt;="&amp;$H143,工数管理!$N$3:$N$98,"")+COUNTIFS(工数管理!$AK$3:$AK$98,L$1,工数管理!$O$3:$O$98,"&lt;="&amp;$H143,工数管理!$P$3:$P$98,"")+COUNTIFS(工数管理!$AK$3:$AK$98,L$1,工数管理!$Q$3:$Q$98,"&lt;="&amp;$H143,工数管理!$R$3:$R$98,"")+COUNTIFS(工数管理!$AK$3:$AK$98,L$1,工数管理!$S$3:$S$98,"&lt;="&amp;$H143,工数管理!$T$3:$T$98,"")+COUNTIFS(工数管理!$AK$3:$AK$98,L$1,工数管理!$U$3:$U$98,"&lt;="&amp;$H143,工数管理!$V$3:$V$98,"")+COUNTIFS(工数管理!$AK$3:$AK$98,L$1,工数管理!$W$3:$W$98,"&lt;="&amp;$H143,工数管理!$X$3:$X$98,"")+COUNTIFS(工数管理!$AK$3:$AK$98,L$1,工数管理!$Y$3:$Y$98,"&lt;="&amp;$H143,工数管理!$Z$3:$Z$98,"")+COUNTIFS(工数管理!$AK$3:$AK$98,L$1,工数管理!$AA$3:$AA$98,"&lt;="&amp;$H143,工数管理!$AB$3:$AB$98,"")+COUNTIFS(工数管理!$AK$3:$AK$98,L$1,工数管理!$AC$3:$AC$98,"&lt;="&amp;$H143,工数管理!$AD$3:$AD$98,"")+COUNTIFS(工数管理!$AK$3:$AK$98,L$1,工数管理!$AE$3:$AE$98,"&lt;="&amp;$H143,工数管理!$AF$3:$AF$98,"")+COUNTIFS(工数管理!$AK$3:$AK$98,L$1,工数管理!$AG$3:$AG$98,"&lt;="&amp;$H143,工数管理!$AH$3:$AH$98,""))*($H143&lt;=工数管理!$AI$1))</f>
        <v>0</v>
      </c>
    </row>
    <row r="144" spans="1:12" x14ac:dyDescent="0.15">
      <c r="A144" s="5"/>
      <c r="B144" s="6"/>
      <c r="H144" s="41">
        <f t="shared" si="5"/>
        <v>46312</v>
      </c>
      <c r="I144" s="42">
        <f t="shared" si="4"/>
        <v>0</v>
      </c>
      <c r="J144" s="42">
        <f ca="1">IF(J$1="",0,COUNTIFS(工数管理!$AK$3:$AK$98,J$1,工数管理!$K$3:$K$98,"&lt;="&amp;$H144,工数管理!$L$3:$L$98,"&gt;="&amp;$H144)+COUNTIFS(工数管理!$AK$3:$AK$98,J$1,工数管理!$M$3:$M$98,"&lt;="&amp;$H144,工数管理!$N$3:$N$98,"&gt;="&amp;$H144)+COUNTIFS(工数管理!$AK$3:$AK$98,J$1,工数管理!$O$3:$O$98,"&lt;="&amp;$H144,工数管理!$P$3:$P$98,"&gt;="&amp;$H144)+COUNTIFS(工数管理!$AK$3:$AK$98,J$1,工数管理!$Q$3:$Q$98,"&lt;="&amp;$H144,工数管理!$R$3:$R$98,"&gt;="&amp;$H144)+COUNTIFS(工数管理!$AK$3:$AK$98,J$1,工数管理!$S$3:$S$98,"&lt;="&amp;$H144,工数管理!$T$3:$T$98,"&gt;="&amp;$H144)+COUNTIFS(工数管理!$AK$3:$AK$98,J$1,工数管理!$U$3:$U$98,"&lt;="&amp;$H144,工数管理!$V$3:$V$98,"&gt;="&amp;$H144)+COUNTIFS(工数管理!$AK$3:$AK$98,J$1,工数管理!$W$3:$W$98,"&lt;="&amp;$H144,工数管理!$X$3:$X$98,"&gt;="&amp;$H144)+COUNTIFS(工数管理!$AK$3:$AK$98,J$1,工数管理!$Y$3:$Y$98,"&lt;="&amp;$H144,工数管理!$Z$3:$Z$98,"&gt;="&amp;$H144)+COUNTIFS(工数管理!$AK$3:$AK$98,J$1,工数管理!$AA$3:$AA$98,"&lt;="&amp;$H144,工数管理!$AB$3:$AB$98,"&gt;="&amp;$H144)+COUNTIFS(工数管理!$AK$3:$AK$98,J$1,工数管理!$AC$3:$AC$98,"&lt;="&amp;$H144,工数管理!$AD$3:$AD$98,"&gt;="&amp;$H144)+COUNTIFS(工数管理!$AK$3:$AK$98,J$1,工数管理!$AE$3:$AE$98,"&lt;="&amp;$H144,工数管理!$AF$3:$AF$98,"&gt;="&amp;$H144)+COUNTIFS(工数管理!$AK$3:$AK$98,J$1,工数管理!$AG$3:$AG$98,"&lt;="&amp;$H144,工数管理!$AH$3:$AH$98,"&gt;="&amp;$H144)+(COUNTIFS(工数管理!$AK$3:$AK$98,J$1,工数管理!$K$3:$K$98,"&lt;="&amp;$H144,工数管理!$L$3:$L$98,"")+COUNTIFS(工数管理!$AK$3:$AK$98,J$1,工数管理!$M$3:$M$98,"&lt;="&amp;$H144,工数管理!$N$3:$N$98,"")+COUNTIFS(工数管理!$AK$3:$AK$98,J$1,工数管理!$O$3:$O$98,"&lt;="&amp;$H144,工数管理!$P$3:$P$98,"")+COUNTIFS(工数管理!$AK$3:$AK$98,J$1,工数管理!$Q$3:$Q$98,"&lt;="&amp;$H144,工数管理!$R$3:$R$98,"")+COUNTIFS(工数管理!$AK$3:$AK$98,J$1,工数管理!$S$3:$S$98,"&lt;="&amp;$H144,工数管理!$T$3:$T$98,"")+COUNTIFS(工数管理!$AK$3:$AK$98,J$1,工数管理!$U$3:$U$98,"&lt;="&amp;$H144,工数管理!$V$3:$V$98,"")+COUNTIFS(工数管理!$AK$3:$AK$98,J$1,工数管理!$W$3:$W$98,"&lt;="&amp;$H144,工数管理!$X$3:$X$98,"")+COUNTIFS(工数管理!$AK$3:$AK$98,J$1,工数管理!$Y$3:$Y$98,"&lt;="&amp;$H144,工数管理!$Z$3:$Z$98,"")+COUNTIFS(工数管理!$AK$3:$AK$98,J$1,工数管理!$AA$3:$AA$98,"&lt;="&amp;$H144,工数管理!$AB$3:$AB$98,"")+COUNTIFS(工数管理!$AK$3:$AK$98,J$1,工数管理!$AC$3:$AC$98,"&lt;="&amp;$H144,工数管理!$AD$3:$AD$98,"")+COUNTIFS(工数管理!$AK$3:$AK$98,J$1,工数管理!$AE$3:$AE$98,"&lt;="&amp;$H144,工数管理!$AF$3:$AF$98,"")+COUNTIFS(工数管理!$AK$3:$AK$98,J$1,工数管理!$AG$3:$AG$98,"&lt;="&amp;$H144,工数管理!$AH$3:$AH$98,""))*($H144&lt;=工数管理!$AI$1))</f>
        <v>0</v>
      </c>
      <c r="K144" s="42">
        <f ca="1">IF(K$1="",0,COUNTIFS(工数管理!$AK$3:$AK$98,K$1,工数管理!$K$3:$K$98,"&lt;="&amp;$H144,工数管理!$L$3:$L$98,"&gt;="&amp;$H144)+COUNTIFS(工数管理!$AK$3:$AK$98,K$1,工数管理!$M$3:$M$98,"&lt;="&amp;$H144,工数管理!$N$3:$N$98,"&gt;="&amp;$H144)+COUNTIFS(工数管理!$AK$3:$AK$98,K$1,工数管理!$O$3:$O$98,"&lt;="&amp;$H144,工数管理!$P$3:$P$98,"&gt;="&amp;$H144)+COUNTIFS(工数管理!$AK$3:$AK$98,K$1,工数管理!$Q$3:$Q$98,"&lt;="&amp;$H144,工数管理!$R$3:$R$98,"&gt;="&amp;$H144)+COUNTIFS(工数管理!$AK$3:$AK$98,K$1,工数管理!$S$3:$S$98,"&lt;="&amp;$H144,工数管理!$T$3:$T$98,"&gt;="&amp;$H144)+COUNTIFS(工数管理!$AK$3:$AK$98,K$1,工数管理!$U$3:$U$98,"&lt;="&amp;$H144,工数管理!$V$3:$V$98,"&gt;="&amp;$H144)+COUNTIFS(工数管理!$AK$3:$AK$98,K$1,工数管理!$W$3:$W$98,"&lt;="&amp;$H144,工数管理!$X$3:$X$98,"&gt;="&amp;$H144)+COUNTIFS(工数管理!$AK$3:$AK$98,K$1,工数管理!$Y$3:$Y$98,"&lt;="&amp;$H144,工数管理!$Z$3:$Z$98,"&gt;="&amp;$H144)+COUNTIFS(工数管理!$AK$3:$AK$98,K$1,工数管理!$AA$3:$AA$98,"&lt;="&amp;$H144,工数管理!$AB$3:$AB$98,"&gt;="&amp;$H144)+COUNTIFS(工数管理!$AK$3:$AK$98,K$1,工数管理!$AC$3:$AC$98,"&lt;="&amp;$H144,工数管理!$AD$3:$AD$98,"&gt;="&amp;$H144)+COUNTIFS(工数管理!$AK$3:$AK$98,K$1,工数管理!$AE$3:$AE$98,"&lt;="&amp;$H144,工数管理!$AF$3:$AF$98,"&gt;="&amp;$H144)+COUNTIFS(工数管理!$AK$3:$AK$98,K$1,工数管理!$AG$3:$AG$98,"&lt;="&amp;$H144,工数管理!$AH$3:$AH$98,"&gt;="&amp;$H144)+(COUNTIFS(工数管理!$AK$3:$AK$98,K$1,工数管理!$K$3:$K$98,"&lt;="&amp;$H144,工数管理!$L$3:$L$98,"")+COUNTIFS(工数管理!$AK$3:$AK$98,K$1,工数管理!$M$3:$M$98,"&lt;="&amp;$H144,工数管理!$N$3:$N$98,"")+COUNTIFS(工数管理!$AK$3:$AK$98,K$1,工数管理!$O$3:$O$98,"&lt;="&amp;$H144,工数管理!$P$3:$P$98,"")+COUNTIFS(工数管理!$AK$3:$AK$98,K$1,工数管理!$Q$3:$Q$98,"&lt;="&amp;$H144,工数管理!$R$3:$R$98,"")+COUNTIFS(工数管理!$AK$3:$AK$98,K$1,工数管理!$S$3:$S$98,"&lt;="&amp;$H144,工数管理!$T$3:$T$98,"")+COUNTIFS(工数管理!$AK$3:$AK$98,K$1,工数管理!$U$3:$U$98,"&lt;="&amp;$H144,工数管理!$V$3:$V$98,"")+COUNTIFS(工数管理!$AK$3:$AK$98,K$1,工数管理!$W$3:$W$98,"&lt;="&amp;$H144,工数管理!$X$3:$X$98,"")+COUNTIFS(工数管理!$AK$3:$AK$98,K$1,工数管理!$Y$3:$Y$98,"&lt;="&amp;$H144,工数管理!$Z$3:$Z$98,"")+COUNTIFS(工数管理!$AK$3:$AK$98,K$1,工数管理!$AA$3:$AA$98,"&lt;="&amp;$H144,工数管理!$AB$3:$AB$98,"")+COUNTIFS(工数管理!$AK$3:$AK$98,K$1,工数管理!$AC$3:$AC$98,"&lt;="&amp;$H144,工数管理!$AD$3:$AD$98,"")+COUNTIFS(工数管理!$AK$3:$AK$98,K$1,工数管理!$AE$3:$AE$98,"&lt;="&amp;$H144,工数管理!$AF$3:$AF$98,"")+COUNTIFS(工数管理!$AK$3:$AK$98,K$1,工数管理!$AG$3:$AG$98,"&lt;="&amp;$H144,工数管理!$AH$3:$AH$98,""))*($H144&lt;=工数管理!$AI$1))</f>
        <v>0</v>
      </c>
      <c r="L144" s="42">
        <f ca="1">IF(L$1="",0,COUNTIFS(工数管理!$AK$3:$AK$98,L$1,工数管理!$K$3:$K$98,"&lt;="&amp;$H144,工数管理!$L$3:$L$98,"&gt;="&amp;$H144)+COUNTIFS(工数管理!$AK$3:$AK$98,L$1,工数管理!$M$3:$M$98,"&lt;="&amp;$H144,工数管理!$N$3:$N$98,"&gt;="&amp;$H144)+COUNTIFS(工数管理!$AK$3:$AK$98,L$1,工数管理!$O$3:$O$98,"&lt;="&amp;$H144,工数管理!$P$3:$P$98,"&gt;="&amp;$H144)+COUNTIFS(工数管理!$AK$3:$AK$98,L$1,工数管理!$Q$3:$Q$98,"&lt;="&amp;$H144,工数管理!$R$3:$R$98,"&gt;="&amp;$H144)+COUNTIFS(工数管理!$AK$3:$AK$98,L$1,工数管理!$S$3:$S$98,"&lt;="&amp;$H144,工数管理!$T$3:$T$98,"&gt;="&amp;$H144)+COUNTIFS(工数管理!$AK$3:$AK$98,L$1,工数管理!$U$3:$U$98,"&lt;="&amp;$H144,工数管理!$V$3:$V$98,"&gt;="&amp;$H144)+COUNTIFS(工数管理!$AK$3:$AK$98,L$1,工数管理!$W$3:$W$98,"&lt;="&amp;$H144,工数管理!$X$3:$X$98,"&gt;="&amp;$H144)+COUNTIFS(工数管理!$AK$3:$AK$98,L$1,工数管理!$Y$3:$Y$98,"&lt;="&amp;$H144,工数管理!$Z$3:$Z$98,"&gt;="&amp;$H144)+COUNTIFS(工数管理!$AK$3:$AK$98,L$1,工数管理!$AA$3:$AA$98,"&lt;="&amp;$H144,工数管理!$AB$3:$AB$98,"&gt;="&amp;$H144)+COUNTIFS(工数管理!$AK$3:$AK$98,L$1,工数管理!$AC$3:$AC$98,"&lt;="&amp;$H144,工数管理!$AD$3:$AD$98,"&gt;="&amp;$H144)+COUNTIFS(工数管理!$AK$3:$AK$98,L$1,工数管理!$AE$3:$AE$98,"&lt;="&amp;$H144,工数管理!$AF$3:$AF$98,"&gt;="&amp;$H144)+COUNTIFS(工数管理!$AK$3:$AK$98,L$1,工数管理!$AG$3:$AG$98,"&lt;="&amp;$H144,工数管理!$AH$3:$AH$98,"&gt;="&amp;$H144)+(COUNTIFS(工数管理!$AK$3:$AK$98,L$1,工数管理!$K$3:$K$98,"&lt;="&amp;$H144,工数管理!$L$3:$L$98,"")+COUNTIFS(工数管理!$AK$3:$AK$98,L$1,工数管理!$M$3:$M$98,"&lt;="&amp;$H144,工数管理!$N$3:$N$98,"")+COUNTIFS(工数管理!$AK$3:$AK$98,L$1,工数管理!$O$3:$O$98,"&lt;="&amp;$H144,工数管理!$P$3:$P$98,"")+COUNTIFS(工数管理!$AK$3:$AK$98,L$1,工数管理!$Q$3:$Q$98,"&lt;="&amp;$H144,工数管理!$R$3:$R$98,"")+COUNTIFS(工数管理!$AK$3:$AK$98,L$1,工数管理!$S$3:$S$98,"&lt;="&amp;$H144,工数管理!$T$3:$T$98,"")+COUNTIFS(工数管理!$AK$3:$AK$98,L$1,工数管理!$U$3:$U$98,"&lt;="&amp;$H144,工数管理!$V$3:$V$98,"")+COUNTIFS(工数管理!$AK$3:$AK$98,L$1,工数管理!$W$3:$W$98,"&lt;="&amp;$H144,工数管理!$X$3:$X$98,"")+COUNTIFS(工数管理!$AK$3:$AK$98,L$1,工数管理!$Y$3:$Y$98,"&lt;="&amp;$H144,工数管理!$Z$3:$Z$98,"")+COUNTIFS(工数管理!$AK$3:$AK$98,L$1,工数管理!$AA$3:$AA$98,"&lt;="&amp;$H144,工数管理!$AB$3:$AB$98,"")+COUNTIFS(工数管理!$AK$3:$AK$98,L$1,工数管理!$AC$3:$AC$98,"&lt;="&amp;$H144,工数管理!$AD$3:$AD$98,"")+COUNTIFS(工数管理!$AK$3:$AK$98,L$1,工数管理!$AE$3:$AE$98,"&lt;="&amp;$H144,工数管理!$AF$3:$AF$98,"")+COUNTIFS(工数管理!$AK$3:$AK$98,L$1,工数管理!$AG$3:$AG$98,"&lt;="&amp;$H144,工数管理!$AH$3:$AH$98,""))*($H144&lt;=工数管理!$AI$1))</f>
        <v>0</v>
      </c>
    </row>
    <row r="145" spans="1:12" x14ac:dyDescent="0.15">
      <c r="A145" s="5"/>
      <c r="B145" s="6"/>
      <c r="H145" s="41">
        <f t="shared" si="5"/>
        <v>46313</v>
      </c>
      <c r="I145" s="42">
        <f t="shared" si="4"/>
        <v>0</v>
      </c>
      <c r="J145" s="42">
        <f ca="1">IF(J$1="",0,COUNTIFS(工数管理!$AK$3:$AK$98,J$1,工数管理!$K$3:$K$98,"&lt;="&amp;$H145,工数管理!$L$3:$L$98,"&gt;="&amp;$H145)+COUNTIFS(工数管理!$AK$3:$AK$98,J$1,工数管理!$M$3:$M$98,"&lt;="&amp;$H145,工数管理!$N$3:$N$98,"&gt;="&amp;$H145)+COUNTIFS(工数管理!$AK$3:$AK$98,J$1,工数管理!$O$3:$O$98,"&lt;="&amp;$H145,工数管理!$P$3:$P$98,"&gt;="&amp;$H145)+COUNTIFS(工数管理!$AK$3:$AK$98,J$1,工数管理!$Q$3:$Q$98,"&lt;="&amp;$H145,工数管理!$R$3:$R$98,"&gt;="&amp;$H145)+COUNTIFS(工数管理!$AK$3:$AK$98,J$1,工数管理!$S$3:$S$98,"&lt;="&amp;$H145,工数管理!$T$3:$T$98,"&gt;="&amp;$H145)+COUNTIFS(工数管理!$AK$3:$AK$98,J$1,工数管理!$U$3:$U$98,"&lt;="&amp;$H145,工数管理!$V$3:$V$98,"&gt;="&amp;$H145)+COUNTIFS(工数管理!$AK$3:$AK$98,J$1,工数管理!$W$3:$W$98,"&lt;="&amp;$H145,工数管理!$X$3:$X$98,"&gt;="&amp;$H145)+COUNTIFS(工数管理!$AK$3:$AK$98,J$1,工数管理!$Y$3:$Y$98,"&lt;="&amp;$H145,工数管理!$Z$3:$Z$98,"&gt;="&amp;$H145)+COUNTIFS(工数管理!$AK$3:$AK$98,J$1,工数管理!$AA$3:$AA$98,"&lt;="&amp;$H145,工数管理!$AB$3:$AB$98,"&gt;="&amp;$H145)+COUNTIFS(工数管理!$AK$3:$AK$98,J$1,工数管理!$AC$3:$AC$98,"&lt;="&amp;$H145,工数管理!$AD$3:$AD$98,"&gt;="&amp;$H145)+COUNTIFS(工数管理!$AK$3:$AK$98,J$1,工数管理!$AE$3:$AE$98,"&lt;="&amp;$H145,工数管理!$AF$3:$AF$98,"&gt;="&amp;$H145)+COUNTIFS(工数管理!$AK$3:$AK$98,J$1,工数管理!$AG$3:$AG$98,"&lt;="&amp;$H145,工数管理!$AH$3:$AH$98,"&gt;="&amp;$H145)+(COUNTIFS(工数管理!$AK$3:$AK$98,J$1,工数管理!$K$3:$K$98,"&lt;="&amp;$H145,工数管理!$L$3:$L$98,"")+COUNTIFS(工数管理!$AK$3:$AK$98,J$1,工数管理!$M$3:$M$98,"&lt;="&amp;$H145,工数管理!$N$3:$N$98,"")+COUNTIFS(工数管理!$AK$3:$AK$98,J$1,工数管理!$O$3:$O$98,"&lt;="&amp;$H145,工数管理!$P$3:$P$98,"")+COUNTIFS(工数管理!$AK$3:$AK$98,J$1,工数管理!$Q$3:$Q$98,"&lt;="&amp;$H145,工数管理!$R$3:$R$98,"")+COUNTIFS(工数管理!$AK$3:$AK$98,J$1,工数管理!$S$3:$S$98,"&lt;="&amp;$H145,工数管理!$T$3:$T$98,"")+COUNTIFS(工数管理!$AK$3:$AK$98,J$1,工数管理!$U$3:$U$98,"&lt;="&amp;$H145,工数管理!$V$3:$V$98,"")+COUNTIFS(工数管理!$AK$3:$AK$98,J$1,工数管理!$W$3:$W$98,"&lt;="&amp;$H145,工数管理!$X$3:$X$98,"")+COUNTIFS(工数管理!$AK$3:$AK$98,J$1,工数管理!$Y$3:$Y$98,"&lt;="&amp;$H145,工数管理!$Z$3:$Z$98,"")+COUNTIFS(工数管理!$AK$3:$AK$98,J$1,工数管理!$AA$3:$AA$98,"&lt;="&amp;$H145,工数管理!$AB$3:$AB$98,"")+COUNTIFS(工数管理!$AK$3:$AK$98,J$1,工数管理!$AC$3:$AC$98,"&lt;="&amp;$H145,工数管理!$AD$3:$AD$98,"")+COUNTIFS(工数管理!$AK$3:$AK$98,J$1,工数管理!$AE$3:$AE$98,"&lt;="&amp;$H145,工数管理!$AF$3:$AF$98,"")+COUNTIFS(工数管理!$AK$3:$AK$98,J$1,工数管理!$AG$3:$AG$98,"&lt;="&amp;$H145,工数管理!$AH$3:$AH$98,""))*($H145&lt;=工数管理!$AI$1))</f>
        <v>0</v>
      </c>
      <c r="K145" s="42">
        <f ca="1">IF(K$1="",0,COUNTIFS(工数管理!$AK$3:$AK$98,K$1,工数管理!$K$3:$K$98,"&lt;="&amp;$H145,工数管理!$L$3:$L$98,"&gt;="&amp;$H145)+COUNTIFS(工数管理!$AK$3:$AK$98,K$1,工数管理!$M$3:$M$98,"&lt;="&amp;$H145,工数管理!$N$3:$N$98,"&gt;="&amp;$H145)+COUNTIFS(工数管理!$AK$3:$AK$98,K$1,工数管理!$O$3:$O$98,"&lt;="&amp;$H145,工数管理!$P$3:$P$98,"&gt;="&amp;$H145)+COUNTIFS(工数管理!$AK$3:$AK$98,K$1,工数管理!$Q$3:$Q$98,"&lt;="&amp;$H145,工数管理!$R$3:$R$98,"&gt;="&amp;$H145)+COUNTIFS(工数管理!$AK$3:$AK$98,K$1,工数管理!$S$3:$S$98,"&lt;="&amp;$H145,工数管理!$T$3:$T$98,"&gt;="&amp;$H145)+COUNTIFS(工数管理!$AK$3:$AK$98,K$1,工数管理!$U$3:$U$98,"&lt;="&amp;$H145,工数管理!$V$3:$V$98,"&gt;="&amp;$H145)+COUNTIFS(工数管理!$AK$3:$AK$98,K$1,工数管理!$W$3:$W$98,"&lt;="&amp;$H145,工数管理!$X$3:$X$98,"&gt;="&amp;$H145)+COUNTIFS(工数管理!$AK$3:$AK$98,K$1,工数管理!$Y$3:$Y$98,"&lt;="&amp;$H145,工数管理!$Z$3:$Z$98,"&gt;="&amp;$H145)+COUNTIFS(工数管理!$AK$3:$AK$98,K$1,工数管理!$AA$3:$AA$98,"&lt;="&amp;$H145,工数管理!$AB$3:$AB$98,"&gt;="&amp;$H145)+COUNTIFS(工数管理!$AK$3:$AK$98,K$1,工数管理!$AC$3:$AC$98,"&lt;="&amp;$H145,工数管理!$AD$3:$AD$98,"&gt;="&amp;$H145)+COUNTIFS(工数管理!$AK$3:$AK$98,K$1,工数管理!$AE$3:$AE$98,"&lt;="&amp;$H145,工数管理!$AF$3:$AF$98,"&gt;="&amp;$H145)+COUNTIFS(工数管理!$AK$3:$AK$98,K$1,工数管理!$AG$3:$AG$98,"&lt;="&amp;$H145,工数管理!$AH$3:$AH$98,"&gt;="&amp;$H145)+(COUNTIFS(工数管理!$AK$3:$AK$98,K$1,工数管理!$K$3:$K$98,"&lt;="&amp;$H145,工数管理!$L$3:$L$98,"")+COUNTIFS(工数管理!$AK$3:$AK$98,K$1,工数管理!$M$3:$M$98,"&lt;="&amp;$H145,工数管理!$N$3:$N$98,"")+COUNTIFS(工数管理!$AK$3:$AK$98,K$1,工数管理!$O$3:$O$98,"&lt;="&amp;$H145,工数管理!$P$3:$P$98,"")+COUNTIFS(工数管理!$AK$3:$AK$98,K$1,工数管理!$Q$3:$Q$98,"&lt;="&amp;$H145,工数管理!$R$3:$R$98,"")+COUNTIFS(工数管理!$AK$3:$AK$98,K$1,工数管理!$S$3:$S$98,"&lt;="&amp;$H145,工数管理!$T$3:$T$98,"")+COUNTIFS(工数管理!$AK$3:$AK$98,K$1,工数管理!$U$3:$U$98,"&lt;="&amp;$H145,工数管理!$V$3:$V$98,"")+COUNTIFS(工数管理!$AK$3:$AK$98,K$1,工数管理!$W$3:$W$98,"&lt;="&amp;$H145,工数管理!$X$3:$X$98,"")+COUNTIFS(工数管理!$AK$3:$AK$98,K$1,工数管理!$Y$3:$Y$98,"&lt;="&amp;$H145,工数管理!$Z$3:$Z$98,"")+COUNTIFS(工数管理!$AK$3:$AK$98,K$1,工数管理!$AA$3:$AA$98,"&lt;="&amp;$H145,工数管理!$AB$3:$AB$98,"")+COUNTIFS(工数管理!$AK$3:$AK$98,K$1,工数管理!$AC$3:$AC$98,"&lt;="&amp;$H145,工数管理!$AD$3:$AD$98,"")+COUNTIFS(工数管理!$AK$3:$AK$98,K$1,工数管理!$AE$3:$AE$98,"&lt;="&amp;$H145,工数管理!$AF$3:$AF$98,"")+COUNTIFS(工数管理!$AK$3:$AK$98,K$1,工数管理!$AG$3:$AG$98,"&lt;="&amp;$H145,工数管理!$AH$3:$AH$98,""))*($H145&lt;=工数管理!$AI$1))</f>
        <v>0</v>
      </c>
      <c r="L145" s="42">
        <f ca="1">IF(L$1="",0,COUNTIFS(工数管理!$AK$3:$AK$98,L$1,工数管理!$K$3:$K$98,"&lt;="&amp;$H145,工数管理!$L$3:$L$98,"&gt;="&amp;$H145)+COUNTIFS(工数管理!$AK$3:$AK$98,L$1,工数管理!$M$3:$M$98,"&lt;="&amp;$H145,工数管理!$N$3:$N$98,"&gt;="&amp;$H145)+COUNTIFS(工数管理!$AK$3:$AK$98,L$1,工数管理!$O$3:$O$98,"&lt;="&amp;$H145,工数管理!$P$3:$P$98,"&gt;="&amp;$H145)+COUNTIFS(工数管理!$AK$3:$AK$98,L$1,工数管理!$Q$3:$Q$98,"&lt;="&amp;$H145,工数管理!$R$3:$R$98,"&gt;="&amp;$H145)+COUNTIFS(工数管理!$AK$3:$AK$98,L$1,工数管理!$S$3:$S$98,"&lt;="&amp;$H145,工数管理!$T$3:$T$98,"&gt;="&amp;$H145)+COUNTIFS(工数管理!$AK$3:$AK$98,L$1,工数管理!$U$3:$U$98,"&lt;="&amp;$H145,工数管理!$V$3:$V$98,"&gt;="&amp;$H145)+COUNTIFS(工数管理!$AK$3:$AK$98,L$1,工数管理!$W$3:$W$98,"&lt;="&amp;$H145,工数管理!$X$3:$X$98,"&gt;="&amp;$H145)+COUNTIFS(工数管理!$AK$3:$AK$98,L$1,工数管理!$Y$3:$Y$98,"&lt;="&amp;$H145,工数管理!$Z$3:$Z$98,"&gt;="&amp;$H145)+COUNTIFS(工数管理!$AK$3:$AK$98,L$1,工数管理!$AA$3:$AA$98,"&lt;="&amp;$H145,工数管理!$AB$3:$AB$98,"&gt;="&amp;$H145)+COUNTIFS(工数管理!$AK$3:$AK$98,L$1,工数管理!$AC$3:$AC$98,"&lt;="&amp;$H145,工数管理!$AD$3:$AD$98,"&gt;="&amp;$H145)+COUNTIFS(工数管理!$AK$3:$AK$98,L$1,工数管理!$AE$3:$AE$98,"&lt;="&amp;$H145,工数管理!$AF$3:$AF$98,"&gt;="&amp;$H145)+COUNTIFS(工数管理!$AK$3:$AK$98,L$1,工数管理!$AG$3:$AG$98,"&lt;="&amp;$H145,工数管理!$AH$3:$AH$98,"&gt;="&amp;$H145)+(COUNTIFS(工数管理!$AK$3:$AK$98,L$1,工数管理!$K$3:$K$98,"&lt;="&amp;$H145,工数管理!$L$3:$L$98,"")+COUNTIFS(工数管理!$AK$3:$AK$98,L$1,工数管理!$M$3:$M$98,"&lt;="&amp;$H145,工数管理!$N$3:$N$98,"")+COUNTIFS(工数管理!$AK$3:$AK$98,L$1,工数管理!$O$3:$O$98,"&lt;="&amp;$H145,工数管理!$P$3:$P$98,"")+COUNTIFS(工数管理!$AK$3:$AK$98,L$1,工数管理!$Q$3:$Q$98,"&lt;="&amp;$H145,工数管理!$R$3:$R$98,"")+COUNTIFS(工数管理!$AK$3:$AK$98,L$1,工数管理!$S$3:$S$98,"&lt;="&amp;$H145,工数管理!$T$3:$T$98,"")+COUNTIFS(工数管理!$AK$3:$AK$98,L$1,工数管理!$U$3:$U$98,"&lt;="&amp;$H145,工数管理!$V$3:$V$98,"")+COUNTIFS(工数管理!$AK$3:$AK$98,L$1,工数管理!$W$3:$W$98,"&lt;="&amp;$H145,工数管理!$X$3:$X$98,"")+COUNTIFS(工数管理!$AK$3:$AK$98,L$1,工数管理!$Y$3:$Y$98,"&lt;="&amp;$H145,工数管理!$Z$3:$Z$98,"")+COUNTIFS(工数管理!$AK$3:$AK$98,L$1,工数管理!$AA$3:$AA$98,"&lt;="&amp;$H145,工数管理!$AB$3:$AB$98,"")+COUNTIFS(工数管理!$AK$3:$AK$98,L$1,工数管理!$AC$3:$AC$98,"&lt;="&amp;$H145,工数管理!$AD$3:$AD$98,"")+COUNTIFS(工数管理!$AK$3:$AK$98,L$1,工数管理!$AE$3:$AE$98,"&lt;="&amp;$H145,工数管理!$AF$3:$AF$98,"")+COUNTIFS(工数管理!$AK$3:$AK$98,L$1,工数管理!$AG$3:$AG$98,"&lt;="&amp;$H145,工数管理!$AH$3:$AH$98,""))*($H145&lt;=工数管理!$AI$1))</f>
        <v>0</v>
      </c>
    </row>
    <row r="146" spans="1:12" x14ac:dyDescent="0.15">
      <c r="A146" s="5"/>
      <c r="B146" s="6"/>
      <c r="H146" s="41">
        <f t="shared" si="5"/>
        <v>46314</v>
      </c>
      <c r="I146" s="42">
        <f t="shared" si="4"/>
        <v>1</v>
      </c>
      <c r="J146" s="42">
        <f ca="1">IF(J$1="",0,COUNTIFS(工数管理!$AK$3:$AK$98,J$1,工数管理!$K$3:$K$98,"&lt;="&amp;$H146,工数管理!$L$3:$L$98,"&gt;="&amp;$H146)+COUNTIFS(工数管理!$AK$3:$AK$98,J$1,工数管理!$M$3:$M$98,"&lt;="&amp;$H146,工数管理!$N$3:$N$98,"&gt;="&amp;$H146)+COUNTIFS(工数管理!$AK$3:$AK$98,J$1,工数管理!$O$3:$O$98,"&lt;="&amp;$H146,工数管理!$P$3:$P$98,"&gt;="&amp;$H146)+COUNTIFS(工数管理!$AK$3:$AK$98,J$1,工数管理!$Q$3:$Q$98,"&lt;="&amp;$H146,工数管理!$R$3:$R$98,"&gt;="&amp;$H146)+COUNTIFS(工数管理!$AK$3:$AK$98,J$1,工数管理!$S$3:$S$98,"&lt;="&amp;$H146,工数管理!$T$3:$T$98,"&gt;="&amp;$H146)+COUNTIFS(工数管理!$AK$3:$AK$98,J$1,工数管理!$U$3:$U$98,"&lt;="&amp;$H146,工数管理!$V$3:$V$98,"&gt;="&amp;$H146)+COUNTIFS(工数管理!$AK$3:$AK$98,J$1,工数管理!$W$3:$W$98,"&lt;="&amp;$H146,工数管理!$X$3:$X$98,"&gt;="&amp;$H146)+COUNTIFS(工数管理!$AK$3:$AK$98,J$1,工数管理!$Y$3:$Y$98,"&lt;="&amp;$H146,工数管理!$Z$3:$Z$98,"&gt;="&amp;$H146)+COUNTIFS(工数管理!$AK$3:$AK$98,J$1,工数管理!$AA$3:$AA$98,"&lt;="&amp;$H146,工数管理!$AB$3:$AB$98,"&gt;="&amp;$H146)+COUNTIFS(工数管理!$AK$3:$AK$98,J$1,工数管理!$AC$3:$AC$98,"&lt;="&amp;$H146,工数管理!$AD$3:$AD$98,"&gt;="&amp;$H146)+COUNTIFS(工数管理!$AK$3:$AK$98,J$1,工数管理!$AE$3:$AE$98,"&lt;="&amp;$H146,工数管理!$AF$3:$AF$98,"&gt;="&amp;$H146)+COUNTIFS(工数管理!$AK$3:$AK$98,J$1,工数管理!$AG$3:$AG$98,"&lt;="&amp;$H146,工数管理!$AH$3:$AH$98,"&gt;="&amp;$H146)+(COUNTIFS(工数管理!$AK$3:$AK$98,J$1,工数管理!$K$3:$K$98,"&lt;="&amp;$H146,工数管理!$L$3:$L$98,"")+COUNTIFS(工数管理!$AK$3:$AK$98,J$1,工数管理!$M$3:$M$98,"&lt;="&amp;$H146,工数管理!$N$3:$N$98,"")+COUNTIFS(工数管理!$AK$3:$AK$98,J$1,工数管理!$O$3:$O$98,"&lt;="&amp;$H146,工数管理!$P$3:$P$98,"")+COUNTIFS(工数管理!$AK$3:$AK$98,J$1,工数管理!$Q$3:$Q$98,"&lt;="&amp;$H146,工数管理!$R$3:$R$98,"")+COUNTIFS(工数管理!$AK$3:$AK$98,J$1,工数管理!$S$3:$S$98,"&lt;="&amp;$H146,工数管理!$T$3:$T$98,"")+COUNTIFS(工数管理!$AK$3:$AK$98,J$1,工数管理!$U$3:$U$98,"&lt;="&amp;$H146,工数管理!$V$3:$V$98,"")+COUNTIFS(工数管理!$AK$3:$AK$98,J$1,工数管理!$W$3:$W$98,"&lt;="&amp;$H146,工数管理!$X$3:$X$98,"")+COUNTIFS(工数管理!$AK$3:$AK$98,J$1,工数管理!$Y$3:$Y$98,"&lt;="&amp;$H146,工数管理!$Z$3:$Z$98,"")+COUNTIFS(工数管理!$AK$3:$AK$98,J$1,工数管理!$AA$3:$AA$98,"&lt;="&amp;$H146,工数管理!$AB$3:$AB$98,"")+COUNTIFS(工数管理!$AK$3:$AK$98,J$1,工数管理!$AC$3:$AC$98,"&lt;="&amp;$H146,工数管理!$AD$3:$AD$98,"")+COUNTIFS(工数管理!$AK$3:$AK$98,J$1,工数管理!$AE$3:$AE$98,"&lt;="&amp;$H146,工数管理!$AF$3:$AF$98,"")+COUNTIFS(工数管理!$AK$3:$AK$98,J$1,工数管理!$AG$3:$AG$98,"&lt;="&amp;$H146,工数管理!$AH$3:$AH$98,""))*($H146&lt;=工数管理!$AI$1))</f>
        <v>0</v>
      </c>
      <c r="K146" s="42">
        <f ca="1">IF(K$1="",0,COUNTIFS(工数管理!$AK$3:$AK$98,K$1,工数管理!$K$3:$K$98,"&lt;="&amp;$H146,工数管理!$L$3:$L$98,"&gt;="&amp;$H146)+COUNTIFS(工数管理!$AK$3:$AK$98,K$1,工数管理!$M$3:$M$98,"&lt;="&amp;$H146,工数管理!$N$3:$N$98,"&gt;="&amp;$H146)+COUNTIFS(工数管理!$AK$3:$AK$98,K$1,工数管理!$O$3:$O$98,"&lt;="&amp;$H146,工数管理!$P$3:$P$98,"&gt;="&amp;$H146)+COUNTIFS(工数管理!$AK$3:$AK$98,K$1,工数管理!$Q$3:$Q$98,"&lt;="&amp;$H146,工数管理!$R$3:$R$98,"&gt;="&amp;$H146)+COUNTIFS(工数管理!$AK$3:$AK$98,K$1,工数管理!$S$3:$S$98,"&lt;="&amp;$H146,工数管理!$T$3:$T$98,"&gt;="&amp;$H146)+COUNTIFS(工数管理!$AK$3:$AK$98,K$1,工数管理!$U$3:$U$98,"&lt;="&amp;$H146,工数管理!$V$3:$V$98,"&gt;="&amp;$H146)+COUNTIFS(工数管理!$AK$3:$AK$98,K$1,工数管理!$W$3:$W$98,"&lt;="&amp;$H146,工数管理!$X$3:$X$98,"&gt;="&amp;$H146)+COUNTIFS(工数管理!$AK$3:$AK$98,K$1,工数管理!$Y$3:$Y$98,"&lt;="&amp;$H146,工数管理!$Z$3:$Z$98,"&gt;="&amp;$H146)+COUNTIFS(工数管理!$AK$3:$AK$98,K$1,工数管理!$AA$3:$AA$98,"&lt;="&amp;$H146,工数管理!$AB$3:$AB$98,"&gt;="&amp;$H146)+COUNTIFS(工数管理!$AK$3:$AK$98,K$1,工数管理!$AC$3:$AC$98,"&lt;="&amp;$H146,工数管理!$AD$3:$AD$98,"&gt;="&amp;$H146)+COUNTIFS(工数管理!$AK$3:$AK$98,K$1,工数管理!$AE$3:$AE$98,"&lt;="&amp;$H146,工数管理!$AF$3:$AF$98,"&gt;="&amp;$H146)+COUNTIFS(工数管理!$AK$3:$AK$98,K$1,工数管理!$AG$3:$AG$98,"&lt;="&amp;$H146,工数管理!$AH$3:$AH$98,"&gt;="&amp;$H146)+(COUNTIFS(工数管理!$AK$3:$AK$98,K$1,工数管理!$K$3:$K$98,"&lt;="&amp;$H146,工数管理!$L$3:$L$98,"")+COUNTIFS(工数管理!$AK$3:$AK$98,K$1,工数管理!$M$3:$M$98,"&lt;="&amp;$H146,工数管理!$N$3:$N$98,"")+COUNTIFS(工数管理!$AK$3:$AK$98,K$1,工数管理!$O$3:$O$98,"&lt;="&amp;$H146,工数管理!$P$3:$P$98,"")+COUNTIFS(工数管理!$AK$3:$AK$98,K$1,工数管理!$Q$3:$Q$98,"&lt;="&amp;$H146,工数管理!$R$3:$R$98,"")+COUNTIFS(工数管理!$AK$3:$AK$98,K$1,工数管理!$S$3:$S$98,"&lt;="&amp;$H146,工数管理!$T$3:$T$98,"")+COUNTIFS(工数管理!$AK$3:$AK$98,K$1,工数管理!$U$3:$U$98,"&lt;="&amp;$H146,工数管理!$V$3:$V$98,"")+COUNTIFS(工数管理!$AK$3:$AK$98,K$1,工数管理!$W$3:$W$98,"&lt;="&amp;$H146,工数管理!$X$3:$X$98,"")+COUNTIFS(工数管理!$AK$3:$AK$98,K$1,工数管理!$Y$3:$Y$98,"&lt;="&amp;$H146,工数管理!$Z$3:$Z$98,"")+COUNTIFS(工数管理!$AK$3:$AK$98,K$1,工数管理!$AA$3:$AA$98,"&lt;="&amp;$H146,工数管理!$AB$3:$AB$98,"")+COUNTIFS(工数管理!$AK$3:$AK$98,K$1,工数管理!$AC$3:$AC$98,"&lt;="&amp;$H146,工数管理!$AD$3:$AD$98,"")+COUNTIFS(工数管理!$AK$3:$AK$98,K$1,工数管理!$AE$3:$AE$98,"&lt;="&amp;$H146,工数管理!$AF$3:$AF$98,"")+COUNTIFS(工数管理!$AK$3:$AK$98,K$1,工数管理!$AG$3:$AG$98,"&lt;="&amp;$H146,工数管理!$AH$3:$AH$98,""))*($H146&lt;=工数管理!$AI$1))</f>
        <v>0</v>
      </c>
      <c r="L146" s="42">
        <f ca="1">IF(L$1="",0,COUNTIFS(工数管理!$AK$3:$AK$98,L$1,工数管理!$K$3:$K$98,"&lt;="&amp;$H146,工数管理!$L$3:$L$98,"&gt;="&amp;$H146)+COUNTIFS(工数管理!$AK$3:$AK$98,L$1,工数管理!$M$3:$M$98,"&lt;="&amp;$H146,工数管理!$N$3:$N$98,"&gt;="&amp;$H146)+COUNTIFS(工数管理!$AK$3:$AK$98,L$1,工数管理!$O$3:$O$98,"&lt;="&amp;$H146,工数管理!$P$3:$P$98,"&gt;="&amp;$H146)+COUNTIFS(工数管理!$AK$3:$AK$98,L$1,工数管理!$Q$3:$Q$98,"&lt;="&amp;$H146,工数管理!$R$3:$R$98,"&gt;="&amp;$H146)+COUNTIFS(工数管理!$AK$3:$AK$98,L$1,工数管理!$S$3:$S$98,"&lt;="&amp;$H146,工数管理!$T$3:$T$98,"&gt;="&amp;$H146)+COUNTIFS(工数管理!$AK$3:$AK$98,L$1,工数管理!$U$3:$U$98,"&lt;="&amp;$H146,工数管理!$V$3:$V$98,"&gt;="&amp;$H146)+COUNTIFS(工数管理!$AK$3:$AK$98,L$1,工数管理!$W$3:$W$98,"&lt;="&amp;$H146,工数管理!$X$3:$X$98,"&gt;="&amp;$H146)+COUNTIFS(工数管理!$AK$3:$AK$98,L$1,工数管理!$Y$3:$Y$98,"&lt;="&amp;$H146,工数管理!$Z$3:$Z$98,"&gt;="&amp;$H146)+COUNTIFS(工数管理!$AK$3:$AK$98,L$1,工数管理!$AA$3:$AA$98,"&lt;="&amp;$H146,工数管理!$AB$3:$AB$98,"&gt;="&amp;$H146)+COUNTIFS(工数管理!$AK$3:$AK$98,L$1,工数管理!$AC$3:$AC$98,"&lt;="&amp;$H146,工数管理!$AD$3:$AD$98,"&gt;="&amp;$H146)+COUNTIFS(工数管理!$AK$3:$AK$98,L$1,工数管理!$AE$3:$AE$98,"&lt;="&amp;$H146,工数管理!$AF$3:$AF$98,"&gt;="&amp;$H146)+COUNTIFS(工数管理!$AK$3:$AK$98,L$1,工数管理!$AG$3:$AG$98,"&lt;="&amp;$H146,工数管理!$AH$3:$AH$98,"&gt;="&amp;$H146)+(COUNTIFS(工数管理!$AK$3:$AK$98,L$1,工数管理!$K$3:$K$98,"&lt;="&amp;$H146,工数管理!$L$3:$L$98,"")+COUNTIFS(工数管理!$AK$3:$AK$98,L$1,工数管理!$M$3:$M$98,"&lt;="&amp;$H146,工数管理!$N$3:$N$98,"")+COUNTIFS(工数管理!$AK$3:$AK$98,L$1,工数管理!$O$3:$O$98,"&lt;="&amp;$H146,工数管理!$P$3:$P$98,"")+COUNTIFS(工数管理!$AK$3:$AK$98,L$1,工数管理!$Q$3:$Q$98,"&lt;="&amp;$H146,工数管理!$R$3:$R$98,"")+COUNTIFS(工数管理!$AK$3:$AK$98,L$1,工数管理!$S$3:$S$98,"&lt;="&amp;$H146,工数管理!$T$3:$T$98,"")+COUNTIFS(工数管理!$AK$3:$AK$98,L$1,工数管理!$U$3:$U$98,"&lt;="&amp;$H146,工数管理!$V$3:$V$98,"")+COUNTIFS(工数管理!$AK$3:$AK$98,L$1,工数管理!$W$3:$W$98,"&lt;="&amp;$H146,工数管理!$X$3:$X$98,"")+COUNTIFS(工数管理!$AK$3:$AK$98,L$1,工数管理!$Y$3:$Y$98,"&lt;="&amp;$H146,工数管理!$Z$3:$Z$98,"")+COUNTIFS(工数管理!$AK$3:$AK$98,L$1,工数管理!$AA$3:$AA$98,"&lt;="&amp;$H146,工数管理!$AB$3:$AB$98,"")+COUNTIFS(工数管理!$AK$3:$AK$98,L$1,工数管理!$AC$3:$AC$98,"&lt;="&amp;$H146,工数管理!$AD$3:$AD$98,"")+COUNTIFS(工数管理!$AK$3:$AK$98,L$1,工数管理!$AE$3:$AE$98,"&lt;="&amp;$H146,工数管理!$AF$3:$AF$98,"")+COUNTIFS(工数管理!$AK$3:$AK$98,L$1,工数管理!$AG$3:$AG$98,"&lt;="&amp;$H146,工数管理!$AH$3:$AH$98,""))*($H146&lt;=工数管理!$AI$1))</f>
        <v>0</v>
      </c>
    </row>
    <row r="147" spans="1:12" x14ac:dyDescent="0.15">
      <c r="A147" s="5"/>
      <c r="B147" s="6"/>
      <c r="H147" s="41">
        <f t="shared" si="5"/>
        <v>46315</v>
      </c>
      <c r="I147" s="42">
        <f t="shared" si="4"/>
        <v>1</v>
      </c>
      <c r="J147" s="42">
        <f ca="1">IF(J$1="",0,COUNTIFS(工数管理!$AK$3:$AK$98,J$1,工数管理!$K$3:$K$98,"&lt;="&amp;$H147,工数管理!$L$3:$L$98,"&gt;="&amp;$H147)+COUNTIFS(工数管理!$AK$3:$AK$98,J$1,工数管理!$M$3:$M$98,"&lt;="&amp;$H147,工数管理!$N$3:$N$98,"&gt;="&amp;$H147)+COUNTIFS(工数管理!$AK$3:$AK$98,J$1,工数管理!$O$3:$O$98,"&lt;="&amp;$H147,工数管理!$P$3:$P$98,"&gt;="&amp;$H147)+COUNTIFS(工数管理!$AK$3:$AK$98,J$1,工数管理!$Q$3:$Q$98,"&lt;="&amp;$H147,工数管理!$R$3:$R$98,"&gt;="&amp;$H147)+COUNTIFS(工数管理!$AK$3:$AK$98,J$1,工数管理!$S$3:$S$98,"&lt;="&amp;$H147,工数管理!$T$3:$T$98,"&gt;="&amp;$H147)+COUNTIFS(工数管理!$AK$3:$AK$98,J$1,工数管理!$U$3:$U$98,"&lt;="&amp;$H147,工数管理!$V$3:$V$98,"&gt;="&amp;$H147)+COUNTIFS(工数管理!$AK$3:$AK$98,J$1,工数管理!$W$3:$W$98,"&lt;="&amp;$H147,工数管理!$X$3:$X$98,"&gt;="&amp;$H147)+COUNTIFS(工数管理!$AK$3:$AK$98,J$1,工数管理!$Y$3:$Y$98,"&lt;="&amp;$H147,工数管理!$Z$3:$Z$98,"&gt;="&amp;$H147)+COUNTIFS(工数管理!$AK$3:$AK$98,J$1,工数管理!$AA$3:$AA$98,"&lt;="&amp;$H147,工数管理!$AB$3:$AB$98,"&gt;="&amp;$H147)+COUNTIFS(工数管理!$AK$3:$AK$98,J$1,工数管理!$AC$3:$AC$98,"&lt;="&amp;$H147,工数管理!$AD$3:$AD$98,"&gt;="&amp;$H147)+COUNTIFS(工数管理!$AK$3:$AK$98,J$1,工数管理!$AE$3:$AE$98,"&lt;="&amp;$H147,工数管理!$AF$3:$AF$98,"&gt;="&amp;$H147)+COUNTIFS(工数管理!$AK$3:$AK$98,J$1,工数管理!$AG$3:$AG$98,"&lt;="&amp;$H147,工数管理!$AH$3:$AH$98,"&gt;="&amp;$H147)+(COUNTIFS(工数管理!$AK$3:$AK$98,J$1,工数管理!$K$3:$K$98,"&lt;="&amp;$H147,工数管理!$L$3:$L$98,"")+COUNTIFS(工数管理!$AK$3:$AK$98,J$1,工数管理!$M$3:$M$98,"&lt;="&amp;$H147,工数管理!$N$3:$N$98,"")+COUNTIFS(工数管理!$AK$3:$AK$98,J$1,工数管理!$O$3:$O$98,"&lt;="&amp;$H147,工数管理!$P$3:$P$98,"")+COUNTIFS(工数管理!$AK$3:$AK$98,J$1,工数管理!$Q$3:$Q$98,"&lt;="&amp;$H147,工数管理!$R$3:$R$98,"")+COUNTIFS(工数管理!$AK$3:$AK$98,J$1,工数管理!$S$3:$S$98,"&lt;="&amp;$H147,工数管理!$T$3:$T$98,"")+COUNTIFS(工数管理!$AK$3:$AK$98,J$1,工数管理!$U$3:$U$98,"&lt;="&amp;$H147,工数管理!$V$3:$V$98,"")+COUNTIFS(工数管理!$AK$3:$AK$98,J$1,工数管理!$W$3:$W$98,"&lt;="&amp;$H147,工数管理!$X$3:$X$98,"")+COUNTIFS(工数管理!$AK$3:$AK$98,J$1,工数管理!$Y$3:$Y$98,"&lt;="&amp;$H147,工数管理!$Z$3:$Z$98,"")+COUNTIFS(工数管理!$AK$3:$AK$98,J$1,工数管理!$AA$3:$AA$98,"&lt;="&amp;$H147,工数管理!$AB$3:$AB$98,"")+COUNTIFS(工数管理!$AK$3:$AK$98,J$1,工数管理!$AC$3:$AC$98,"&lt;="&amp;$H147,工数管理!$AD$3:$AD$98,"")+COUNTIFS(工数管理!$AK$3:$AK$98,J$1,工数管理!$AE$3:$AE$98,"&lt;="&amp;$H147,工数管理!$AF$3:$AF$98,"")+COUNTIFS(工数管理!$AK$3:$AK$98,J$1,工数管理!$AG$3:$AG$98,"&lt;="&amp;$H147,工数管理!$AH$3:$AH$98,""))*($H147&lt;=工数管理!$AI$1))</f>
        <v>0</v>
      </c>
      <c r="K147" s="42">
        <f ca="1">IF(K$1="",0,COUNTIFS(工数管理!$AK$3:$AK$98,K$1,工数管理!$K$3:$K$98,"&lt;="&amp;$H147,工数管理!$L$3:$L$98,"&gt;="&amp;$H147)+COUNTIFS(工数管理!$AK$3:$AK$98,K$1,工数管理!$M$3:$M$98,"&lt;="&amp;$H147,工数管理!$N$3:$N$98,"&gt;="&amp;$H147)+COUNTIFS(工数管理!$AK$3:$AK$98,K$1,工数管理!$O$3:$O$98,"&lt;="&amp;$H147,工数管理!$P$3:$P$98,"&gt;="&amp;$H147)+COUNTIFS(工数管理!$AK$3:$AK$98,K$1,工数管理!$Q$3:$Q$98,"&lt;="&amp;$H147,工数管理!$R$3:$R$98,"&gt;="&amp;$H147)+COUNTIFS(工数管理!$AK$3:$AK$98,K$1,工数管理!$S$3:$S$98,"&lt;="&amp;$H147,工数管理!$T$3:$T$98,"&gt;="&amp;$H147)+COUNTIFS(工数管理!$AK$3:$AK$98,K$1,工数管理!$U$3:$U$98,"&lt;="&amp;$H147,工数管理!$V$3:$V$98,"&gt;="&amp;$H147)+COUNTIFS(工数管理!$AK$3:$AK$98,K$1,工数管理!$W$3:$W$98,"&lt;="&amp;$H147,工数管理!$X$3:$X$98,"&gt;="&amp;$H147)+COUNTIFS(工数管理!$AK$3:$AK$98,K$1,工数管理!$Y$3:$Y$98,"&lt;="&amp;$H147,工数管理!$Z$3:$Z$98,"&gt;="&amp;$H147)+COUNTIFS(工数管理!$AK$3:$AK$98,K$1,工数管理!$AA$3:$AA$98,"&lt;="&amp;$H147,工数管理!$AB$3:$AB$98,"&gt;="&amp;$H147)+COUNTIFS(工数管理!$AK$3:$AK$98,K$1,工数管理!$AC$3:$AC$98,"&lt;="&amp;$H147,工数管理!$AD$3:$AD$98,"&gt;="&amp;$H147)+COUNTIFS(工数管理!$AK$3:$AK$98,K$1,工数管理!$AE$3:$AE$98,"&lt;="&amp;$H147,工数管理!$AF$3:$AF$98,"&gt;="&amp;$H147)+COUNTIFS(工数管理!$AK$3:$AK$98,K$1,工数管理!$AG$3:$AG$98,"&lt;="&amp;$H147,工数管理!$AH$3:$AH$98,"&gt;="&amp;$H147)+(COUNTIFS(工数管理!$AK$3:$AK$98,K$1,工数管理!$K$3:$K$98,"&lt;="&amp;$H147,工数管理!$L$3:$L$98,"")+COUNTIFS(工数管理!$AK$3:$AK$98,K$1,工数管理!$M$3:$M$98,"&lt;="&amp;$H147,工数管理!$N$3:$N$98,"")+COUNTIFS(工数管理!$AK$3:$AK$98,K$1,工数管理!$O$3:$O$98,"&lt;="&amp;$H147,工数管理!$P$3:$P$98,"")+COUNTIFS(工数管理!$AK$3:$AK$98,K$1,工数管理!$Q$3:$Q$98,"&lt;="&amp;$H147,工数管理!$R$3:$R$98,"")+COUNTIFS(工数管理!$AK$3:$AK$98,K$1,工数管理!$S$3:$S$98,"&lt;="&amp;$H147,工数管理!$T$3:$T$98,"")+COUNTIFS(工数管理!$AK$3:$AK$98,K$1,工数管理!$U$3:$U$98,"&lt;="&amp;$H147,工数管理!$V$3:$V$98,"")+COUNTIFS(工数管理!$AK$3:$AK$98,K$1,工数管理!$W$3:$W$98,"&lt;="&amp;$H147,工数管理!$X$3:$X$98,"")+COUNTIFS(工数管理!$AK$3:$AK$98,K$1,工数管理!$Y$3:$Y$98,"&lt;="&amp;$H147,工数管理!$Z$3:$Z$98,"")+COUNTIFS(工数管理!$AK$3:$AK$98,K$1,工数管理!$AA$3:$AA$98,"&lt;="&amp;$H147,工数管理!$AB$3:$AB$98,"")+COUNTIFS(工数管理!$AK$3:$AK$98,K$1,工数管理!$AC$3:$AC$98,"&lt;="&amp;$H147,工数管理!$AD$3:$AD$98,"")+COUNTIFS(工数管理!$AK$3:$AK$98,K$1,工数管理!$AE$3:$AE$98,"&lt;="&amp;$H147,工数管理!$AF$3:$AF$98,"")+COUNTIFS(工数管理!$AK$3:$AK$98,K$1,工数管理!$AG$3:$AG$98,"&lt;="&amp;$H147,工数管理!$AH$3:$AH$98,""))*($H147&lt;=工数管理!$AI$1))</f>
        <v>0</v>
      </c>
      <c r="L147" s="42">
        <f ca="1">IF(L$1="",0,COUNTIFS(工数管理!$AK$3:$AK$98,L$1,工数管理!$K$3:$K$98,"&lt;="&amp;$H147,工数管理!$L$3:$L$98,"&gt;="&amp;$H147)+COUNTIFS(工数管理!$AK$3:$AK$98,L$1,工数管理!$M$3:$M$98,"&lt;="&amp;$H147,工数管理!$N$3:$N$98,"&gt;="&amp;$H147)+COUNTIFS(工数管理!$AK$3:$AK$98,L$1,工数管理!$O$3:$O$98,"&lt;="&amp;$H147,工数管理!$P$3:$P$98,"&gt;="&amp;$H147)+COUNTIFS(工数管理!$AK$3:$AK$98,L$1,工数管理!$Q$3:$Q$98,"&lt;="&amp;$H147,工数管理!$R$3:$R$98,"&gt;="&amp;$H147)+COUNTIFS(工数管理!$AK$3:$AK$98,L$1,工数管理!$S$3:$S$98,"&lt;="&amp;$H147,工数管理!$T$3:$T$98,"&gt;="&amp;$H147)+COUNTIFS(工数管理!$AK$3:$AK$98,L$1,工数管理!$U$3:$U$98,"&lt;="&amp;$H147,工数管理!$V$3:$V$98,"&gt;="&amp;$H147)+COUNTIFS(工数管理!$AK$3:$AK$98,L$1,工数管理!$W$3:$W$98,"&lt;="&amp;$H147,工数管理!$X$3:$X$98,"&gt;="&amp;$H147)+COUNTIFS(工数管理!$AK$3:$AK$98,L$1,工数管理!$Y$3:$Y$98,"&lt;="&amp;$H147,工数管理!$Z$3:$Z$98,"&gt;="&amp;$H147)+COUNTIFS(工数管理!$AK$3:$AK$98,L$1,工数管理!$AA$3:$AA$98,"&lt;="&amp;$H147,工数管理!$AB$3:$AB$98,"&gt;="&amp;$H147)+COUNTIFS(工数管理!$AK$3:$AK$98,L$1,工数管理!$AC$3:$AC$98,"&lt;="&amp;$H147,工数管理!$AD$3:$AD$98,"&gt;="&amp;$H147)+COUNTIFS(工数管理!$AK$3:$AK$98,L$1,工数管理!$AE$3:$AE$98,"&lt;="&amp;$H147,工数管理!$AF$3:$AF$98,"&gt;="&amp;$H147)+COUNTIFS(工数管理!$AK$3:$AK$98,L$1,工数管理!$AG$3:$AG$98,"&lt;="&amp;$H147,工数管理!$AH$3:$AH$98,"&gt;="&amp;$H147)+(COUNTIFS(工数管理!$AK$3:$AK$98,L$1,工数管理!$K$3:$K$98,"&lt;="&amp;$H147,工数管理!$L$3:$L$98,"")+COUNTIFS(工数管理!$AK$3:$AK$98,L$1,工数管理!$M$3:$M$98,"&lt;="&amp;$H147,工数管理!$N$3:$N$98,"")+COUNTIFS(工数管理!$AK$3:$AK$98,L$1,工数管理!$O$3:$O$98,"&lt;="&amp;$H147,工数管理!$P$3:$P$98,"")+COUNTIFS(工数管理!$AK$3:$AK$98,L$1,工数管理!$Q$3:$Q$98,"&lt;="&amp;$H147,工数管理!$R$3:$R$98,"")+COUNTIFS(工数管理!$AK$3:$AK$98,L$1,工数管理!$S$3:$S$98,"&lt;="&amp;$H147,工数管理!$T$3:$T$98,"")+COUNTIFS(工数管理!$AK$3:$AK$98,L$1,工数管理!$U$3:$U$98,"&lt;="&amp;$H147,工数管理!$V$3:$V$98,"")+COUNTIFS(工数管理!$AK$3:$AK$98,L$1,工数管理!$W$3:$W$98,"&lt;="&amp;$H147,工数管理!$X$3:$X$98,"")+COUNTIFS(工数管理!$AK$3:$AK$98,L$1,工数管理!$Y$3:$Y$98,"&lt;="&amp;$H147,工数管理!$Z$3:$Z$98,"")+COUNTIFS(工数管理!$AK$3:$AK$98,L$1,工数管理!$AA$3:$AA$98,"&lt;="&amp;$H147,工数管理!$AB$3:$AB$98,"")+COUNTIFS(工数管理!$AK$3:$AK$98,L$1,工数管理!$AC$3:$AC$98,"&lt;="&amp;$H147,工数管理!$AD$3:$AD$98,"")+COUNTIFS(工数管理!$AK$3:$AK$98,L$1,工数管理!$AE$3:$AE$98,"&lt;="&amp;$H147,工数管理!$AF$3:$AF$98,"")+COUNTIFS(工数管理!$AK$3:$AK$98,L$1,工数管理!$AG$3:$AG$98,"&lt;="&amp;$H147,工数管理!$AH$3:$AH$98,""))*($H147&lt;=工数管理!$AI$1))</f>
        <v>0</v>
      </c>
    </row>
    <row r="148" spans="1:12" x14ac:dyDescent="0.15">
      <c r="A148" s="5"/>
      <c r="B148" s="6"/>
      <c r="H148" s="41">
        <f t="shared" si="5"/>
        <v>46316</v>
      </c>
      <c r="I148" s="42">
        <f t="shared" si="4"/>
        <v>1</v>
      </c>
      <c r="J148" s="42">
        <f ca="1">IF(J$1="",0,COUNTIFS(工数管理!$AK$3:$AK$98,J$1,工数管理!$K$3:$K$98,"&lt;="&amp;$H148,工数管理!$L$3:$L$98,"&gt;="&amp;$H148)+COUNTIFS(工数管理!$AK$3:$AK$98,J$1,工数管理!$M$3:$M$98,"&lt;="&amp;$H148,工数管理!$N$3:$N$98,"&gt;="&amp;$H148)+COUNTIFS(工数管理!$AK$3:$AK$98,J$1,工数管理!$O$3:$O$98,"&lt;="&amp;$H148,工数管理!$P$3:$P$98,"&gt;="&amp;$H148)+COUNTIFS(工数管理!$AK$3:$AK$98,J$1,工数管理!$Q$3:$Q$98,"&lt;="&amp;$H148,工数管理!$R$3:$R$98,"&gt;="&amp;$H148)+COUNTIFS(工数管理!$AK$3:$AK$98,J$1,工数管理!$S$3:$S$98,"&lt;="&amp;$H148,工数管理!$T$3:$T$98,"&gt;="&amp;$H148)+COUNTIFS(工数管理!$AK$3:$AK$98,J$1,工数管理!$U$3:$U$98,"&lt;="&amp;$H148,工数管理!$V$3:$V$98,"&gt;="&amp;$H148)+COUNTIFS(工数管理!$AK$3:$AK$98,J$1,工数管理!$W$3:$W$98,"&lt;="&amp;$H148,工数管理!$X$3:$X$98,"&gt;="&amp;$H148)+COUNTIFS(工数管理!$AK$3:$AK$98,J$1,工数管理!$Y$3:$Y$98,"&lt;="&amp;$H148,工数管理!$Z$3:$Z$98,"&gt;="&amp;$H148)+COUNTIFS(工数管理!$AK$3:$AK$98,J$1,工数管理!$AA$3:$AA$98,"&lt;="&amp;$H148,工数管理!$AB$3:$AB$98,"&gt;="&amp;$H148)+COUNTIFS(工数管理!$AK$3:$AK$98,J$1,工数管理!$AC$3:$AC$98,"&lt;="&amp;$H148,工数管理!$AD$3:$AD$98,"&gt;="&amp;$H148)+COUNTIFS(工数管理!$AK$3:$AK$98,J$1,工数管理!$AE$3:$AE$98,"&lt;="&amp;$H148,工数管理!$AF$3:$AF$98,"&gt;="&amp;$H148)+COUNTIFS(工数管理!$AK$3:$AK$98,J$1,工数管理!$AG$3:$AG$98,"&lt;="&amp;$H148,工数管理!$AH$3:$AH$98,"&gt;="&amp;$H148)+(COUNTIFS(工数管理!$AK$3:$AK$98,J$1,工数管理!$K$3:$K$98,"&lt;="&amp;$H148,工数管理!$L$3:$L$98,"")+COUNTIFS(工数管理!$AK$3:$AK$98,J$1,工数管理!$M$3:$M$98,"&lt;="&amp;$H148,工数管理!$N$3:$N$98,"")+COUNTIFS(工数管理!$AK$3:$AK$98,J$1,工数管理!$O$3:$O$98,"&lt;="&amp;$H148,工数管理!$P$3:$P$98,"")+COUNTIFS(工数管理!$AK$3:$AK$98,J$1,工数管理!$Q$3:$Q$98,"&lt;="&amp;$H148,工数管理!$R$3:$R$98,"")+COUNTIFS(工数管理!$AK$3:$AK$98,J$1,工数管理!$S$3:$S$98,"&lt;="&amp;$H148,工数管理!$T$3:$T$98,"")+COUNTIFS(工数管理!$AK$3:$AK$98,J$1,工数管理!$U$3:$U$98,"&lt;="&amp;$H148,工数管理!$V$3:$V$98,"")+COUNTIFS(工数管理!$AK$3:$AK$98,J$1,工数管理!$W$3:$W$98,"&lt;="&amp;$H148,工数管理!$X$3:$X$98,"")+COUNTIFS(工数管理!$AK$3:$AK$98,J$1,工数管理!$Y$3:$Y$98,"&lt;="&amp;$H148,工数管理!$Z$3:$Z$98,"")+COUNTIFS(工数管理!$AK$3:$AK$98,J$1,工数管理!$AA$3:$AA$98,"&lt;="&amp;$H148,工数管理!$AB$3:$AB$98,"")+COUNTIFS(工数管理!$AK$3:$AK$98,J$1,工数管理!$AC$3:$AC$98,"&lt;="&amp;$H148,工数管理!$AD$3:$AD$98,"")+COUNTIFS(工数管理!$AK$3:$AK$98,J$1,工数管理!$AE$3:$AE$98,"&lt;="&amp;$H148,工数管理!$AF$3:$AF$98,"")+COUNTIFS(工数管理!$AK$3:$AK$98,J$1,工数管理!$AG$3:$AG$98,"&lt;="&amp;$H148,工数管理!$AH$3:$AH$98,""))*($H148&lt;=工数管理!$AI$1))</f>
        <v>0</v>
      </c>
      <c r="K148" s="42">
        <f ca="1">IF(K$1="",0,COUNTIFS(工数管理!$AK$3:$AK$98,K$1,工数管理!$K$3:$K$98,"&lt;="&amp;$H148,工数管理!$L$3:$L$98,"&gt;="&amp;$H148)+COUNTIFS(工数管理!$AK$3:$AK$98,K$1,工数管理!$M$3:$M$98,"&lt;="&amp;$H148,工数管理!$N$3:$N$98,"&gt;="&amp;$H148)+COUNTIFS(工数管理!$AK$3:$AK$98,K$1,工数管理!$O$3:$O$98,"&lt;="&amp;$H148,工数管理!$P$3:$P$98,"&gt;="&amp;$H148)+COUNTIFS(工数管理!$AK$3:$AK$98,K$1,工数管理!$Q$3:$Q$98,"&lt;="&amp;$H148,工数管理!$R$3:$R$98,"&gt;="&amp;$H148)+COUNTIFS(工数管理!$AK$3:$AK$98,K$1,工数管理!$S$3:$S$98,"&lt;="&amp;$H148,工数管理!$T$3:$T$98,"&gt;="&amp;$H148)+COUNTIFS(工数管理!$AK$3:$AK$98,K$1,工数管理!$U$3:$U$98,"&lt;="&amp;$H148,工数管理!$V$3:$V$98,"&gt;="&amp;$H148)+COUNTIFS(工数管理!$AK$3:$AK$98,K$1,工数管理!$W$3:$W$98,"&lt;="&amp;$H148,工数管理!$X$3:$X$98,"&gt;="&amp;$H148)+COUNTIFS(工数管理!$AK$3:$AK$98,K$1,工数管理!$Y$3:$Y$98,"&lt;="&amp;$H148,工数管理!$Z$3:$Z$98,"&gt;="&amp;$H148)+COUNTIFS(工数管理!$AK$3:$AK$98,K$1,工数管理!$AA$3:$AA$98,"&lt;="&amp;$H148,工数管理!$AB$3:$AB$98,"&gt;="&amp;$H148)+COUNTIFS(工数管理!$AK$3:$AK$98,K$1,工数管理!$AC$3:$AC$98,"&lt;="&amp;$H148,工数管理!$AD$3:$AD$98,"&gt;="&amp;$H148)+COUNTIFS(工数管理!$AK$3:$AK$98,K$1,工数管理!$AE$3:$AE$98,"&lt;="&amp;$H148,工数管理!$AF$3:$AF$98,"&gt;="&amp;$H148)+COUNTIFS(工数管理!$AK$3:$AK$98,K$1,工数管理!$AG$3:$AG$98,"&lt;="&amp;$H148,工数管理!$AH$3:$AH$98,"&gt;="&amp;$H148)+(COUNTIFS(工数管理!$AK$3:$AK$98,K$1,工数管理!$K$3:$K$98,"&lt;="&amp;$H148,工数管理!$L$3:$L$98,"")+COUNTIFS(工数管理!$AK$3:$AK$98,K$1,工数管理!$M$3:$M$98,"&lt;="&amp;$H148,工数管理!$N$3:$N$98,"")+COUNTIFS(工数管理!$AK$3:$AK$98,K$1,工数管理!$O$3:$O$98,"&lt;="&amp;$H148,工数管理!$P$3:$P$98,"")+COUNTIFS(工数管理!$AK$3:$AK$98,K$1,工数管理!$Q$3:$Q$98,"&lt;="&amp;$H148,工数管理!$R$3:$R$98,"")+COUNTIFS(工数管理!$AK$3:$AK$98,K$1,工数管理!$S$3:$S$98,"&lt;="&amp;$H148,工数管理!$T$3:$T$98,"")+COUNTIFS(工数管理!$AK$3:$AK$98,K$1,工数管理!$U$3:$U$98,"&lt;="&amp;$H148,工数管理!$V$3:$V$98,"")+COUNTIFS(工数管理!$AK$3:$AK$98,K$1,工数管理!$W$3:$W$98,"&lt;="&amp;$H148,工数管理!$X$3:$X$98,"")+COUNTIFS(工数管理!$AK$3:$AK$98,K$1,工数管理!$Y$3:$Y$98,"&lt;="&amp;$H148,工数管理!$Z$3:$Z$98,"")+COUNTIFS(工数管理!$AK$3:$AK$98,K$1,工数管理!$AA$3:$AA$98,"&lt;="&amp;$H148,工数管理!$AB$3:$AB$98,"")+COUNTIFS(工数管理!$AK$3:$AK$98,K$1,工数管理!$AC$3:$AC$98,"&lt;="&amp;$H148,工数管理!$AD$3:$AD$98,"")+COUNTIFS(工数管理!$AK$3:$AK$98,K$1,工数管理!$AE$3:$AE$98,"&lt;="&amp;$H148,工数管理!$AF$3:$AF$98,"")+COUNTIFS(工数管理!$AK$3:$AK$98,K$1,工数管理!$AG$3:$AG$98,"&lt;="&amp;$H148,工数管理!$AH$3:$AH$98,""))*($H148&lt;=工数管理!$AI$1))</f>
        <v>0</v>
      </c>
      <c r="L148" s="42">
        <f ca="1">IF(L$1="",0,COUNTIFS(工数管理!$AK$3:$AK$98,L$1,工数管理!$K$3:$K$98,"&lt;="&amp;$H148,工数管理!$L$3:$L$98,"&gt;="&amp;$H148)+COUNTIFS(工数管理!$AK$3:$AK$98,L$1,工数管理!$M$3:$M$98,"&lt;="&amp;$H148,工数管理!$N$3:$N$98,"&gt;="&amp;$H148)+COUNTIFS(工数管理!$AK$3:$AK$98,L$1,工数管理!$O$3:$O$98,"&lt;="&amp;$H148,工数管理!$P$3:$P$98,"&gt;="&amp;$H148)+COUNTIFS(工数管理!$AK$3:$AK$98,L$1,工数管理!$Q$3:$Q$98,"&lt;="&amp;$H148,工数管理!$R$3:$R$98,"&gt;="&amp;$H148)+COUNTIFS(工数管理!$AK$3:$AK$98,L$1,工数管理!$S$3:$S$98,"&lt;="&amp;$H148,工数管理!$T$3:$T$98,"&gt;="&amp;$H148)+COUNTIFS(工数管理!$AK$3:$AK$98,L$1,工数管理!$U$3:$U$98,"&lt;="&amp;$H148,工数管理!$V$3:$V$98,"&gt;="&amp;$H148)+COUNTIFS(工数管理!$AK$3:$AK$98,L$1,工数管理!$W$3:$W$98,"&lt;="&amp;$H148,工数管理!$X$3:$X$98,"&gt;="&amp;$H148)+COUNTIFS(工数管理!$AK$3:$AK$98,L$1,工数管理!$Y$3:$Y$98,"&lt;="&amp;$H148,工数管理!$Z$3:$Z$98,"&gt;="&amp;$H148)+COUNTIFS(工数管理!$AK$3:$AK$98,L$1,工数管理!$AA$3:$AA$98,"&lt;="&amp;$H148,工数管理!$AB$3:$AB$98,"&gt;="&amp;$H148)+COUNTIFS(工数管理!$AK$3:$AK$98,L$1,工数管理!$AC$3:$AC$98,"&lt;="&amp;$H148,工数管理!$AD$3:$AD$98,"&gt;="&amp;$H148)+COUNTIFS(工数管理!$AK$3:$AK$98,L$1,工数管理!$AE$3:$AE$98,"&lt;="&amp;$H148,工数管理!$AF$3:$AF$98,"&gt;="&amp;$H148)+COUNTIFS(工数管理!$AK$3:$AK$98,L$1,工数管理!$AG$3:$AG$98,"&lt;="&amp;$H148,工数管理!$AH$3:$AH$98,"&gt;="&amp;$H148)+(COUNTIFS(工数管理!$AK$3:$AK$98,L$1,工数管理!$K$3:$K$98,"&lt;="&amp;$H148,工数管理!$L$3:$L$98,"")+COUNTIFS(工数管理!$AK$3:$AK$98,L$1,工数管理!$M$3:$M$98,"&lt;="&amp;$H148,工数管理!$N$3:$N$98,"")+COUNTIFS(工数管理!$AK$3:$AK$98,L$1,工数管理!$O$3:$O$98,"&lt;="&amp;$H148,工数管理!$P$3:$P$98,"")+COUNTIFS(工数管理!$AK$3:$AK$98,L$1,工数管理!$Q$3:$Q$98,"&lt;="&amp;$H148,工数管理!$R$3:$R$98,"")+COUNTIFS(工数管理!$AK$3:$AK$98,L$1,工数管理!$S$3:$S$98,"&lt;="&amp;$H148,工数管理!$T$3:$T$98,"")+COUNTIFS(工数管理!$AK$3:$AK$98,L$1,工数管理!$U$3:$U$98,"&lt;="&amp;$H148,工数管理!$V$3:$V$98,"")+COUNTIFS(工数管理!$AK$3:$AK$98,L$1,工数管理!$W$3:$W$98,"&lt;="&amp;$H148,工数管理!$X$3:$X$98,"")+COUNTIFS(工数管理!$AK$3:$AK$98,L$1,工数管理!$Y$3:$Y$98,"&lt;="&amp;$H148,工数管理!$Z$3:$Z$98,"")+COUNTIFS(工数管理!$AK$3:$AK$98,L$1,工数管理!$AA$3:$AA$98,"&lt;="&amp;$H148,工数管理!$AB$3:$AB$98,"")+COUNTIFS(工数管理!$AK$3:$AK$98,L$1,工数管理!$AC$3:$AC$98,"&lt;="&amp;$H148,工数管理!$AD$3:$AD$98,"")+COUNTIFS(工数管理!$AK$3:$AK$98,L$1,工数管理!$AE$3:$AE$98,"&lt;="&amp;$H148,工数管理!$AF$3:$AF$98,"")+COUNTIFS(工数管理!$AK$3:$AK$98,L$1,工数管理!$AG$3:$AG$98,"&lt;="&amp;$H148,工数管理!$AH$3:$AH$98,""))*($H148&lt;=工数管理!$AI$1))</f>
        <v>0</v>
      </c>
    </row>
    <row r="149" spans="1:12" x14ac:dyDescent="0.15">
      <c r="A149" s="5"/>
      <c r="B149" s="6"/>
      <c r="H149" s="41">
        <f t="shared" si="5"/>
        <v>46317</v>
      </c>
      <c r="I149" s="42">
        <f t="shared" si="4"/>
        <v>1</v>
      </c>
      <c r="J149" s="42">
        <f ca="1">IF(J$1="",0,COUNTIFS(工数管理!$AK$3:$AK$98,J$1,工数管理!$K$3:$K$98,"&lt;="&amp;$H149,工数管理!$L$3:$L$98,"&gt;="&amp;$H149)+COUNTIFS(工数管理!$AK$3:$AK$98,J$1,工数管理!$M$3:$M$98,"&lt;="&amp;$H149,工数管理!$N$3:$N$98,"&gt;="&amp;$H149)+COUNTIFS(工数管理!$AK$3:$AK$98,J$1,工数管理!$O$3:$O$98,"&lt;="&amp;$H149,工数管理!$P$3:$P$98,"&gt;="&amp;$H149)+COUNTIFS(工数管理!$AK$3:$AK$98,J$1,工数管理!$Q$3:$Q$98,"&lt;="&amp;$H149,工数管理!$R$3:$R$98,"&gt;="&amp;$H149)+COUNTIFS(工数管理!$AK$3:$AK$98,J$1,工数管理!$S$3:$S$98,"&lt;="&amp;$H149,工数管理!$T$3:$T$98,"&gt;="&amp;$H149)+COUNTIFS(工数管理!$AK$3:$AK$98,J$1,工数管理!$U$3:$U$98,"&lt;="&amp;$H149,工数管理!$V$3:$V$98,"&gt;="&amp;$H149)+COUNTIFS(工数管理!$AK$3:$AK$98,J$1,工数管理!$W$3:$W$98,"&lt;="&amp;$H149,工数管理!$X$3:$X$98,"&gt;="&amp;$H149)+COUNTIFS(工数管理!$AK$3:$AK$98,J$1,工数管理!$Y$3:$Y$98,"&lt;="&amp;$H149,工数管理!$Z$3:$Z$98,"&gt;="&amp;$H149)+COUNTIFS(工数管理!$AK$3:$AK$98,J$1,工数管理!$AA$3:$AA$98,"&lt;="&amp;$H149,工数管理!$AB$3:$AB$98,"&gt;="&amp;$H149)+COUNTIFS(工数管理!$AK$3:$AK$98,J$1,工数管理!$AC$3:$AC$98,"&lt;="&amp;$H149,工数管理!$AD$3:$AD$98,"&gt;="&amp;$H149)+COUNTIFS(工数管理!$AK$3:$AK$98,J$1,工数管理!$AE$3:$AE$98,"&lt;="&amp;$H149,工数管理!$AF$3:$AF$98,"&gt;="&amp;$H149)+COUNTIFS(工数管理!$AK$3:$AK$98,J$1,工数管理!$AG$3:$AG$98,"&lt;="&amp;$H149,工数管理!$AH$3:$AH$98,"&gt;="&amp;$H149)+(COUNTIFS(工数管理!$AK$3:$AK$98,J$1,工数管理!$K$3:$K$98,"&lt;="&amp;$H149,工数管理!$L$3:$L$98,"")+COUNTIFS(工数管理!$AK$3:$AK$98,J$1,工数管理!$M$3:$M$98,"&lt;="&amp;$H149,工数管理!$N$3:$N$98,"")+COUNTIFS(工数管理!$AK$3:$AK$98,J$1,工数管理!$O$3:$O$98,"&lt;="&amp;$H149,工数管理!$P$3:$P$98,"")+COUNTIFS(工数管理!$AK$3:$AK$98,J$1,工数管理!$Q$3:$Q$98,"&lt;="&amp;$H149,工数管理!$R$3:$R$98,"")+COUNTIFS(工数管理!$AK$3:$AK$98,J$1,工数管理!$S$3:$S$98,"&lt;="&amp;$H149,工数管理!$T$3:$T$98,"")+COUNTIFS(工数管理!$AK$3:$AK$98,J$1,工数管理!$U$3:$U$98,"&lt;="&amp;$H149,工数管理!$V$3:$V$98,"")+COUNTIFS(工数管理!$AK$3:$AK$98,J$1,工数管理!$W$3:$W$98,"&lt;="&amp;$H149,工数管理!$X$3:$X$98,"")+COUNTIFS(工数管理!$AK$3:$AK$98,J$1,工数管理!$Y$3:$Y$98,"&lt;="&amp;$H149,工数管理!$Z$3:$Z$98,"")+COUNTIFS(工数管理!$AK$3:$AK$98,J$1,工数管理!$AA$3:$AA$98,"&lt;="&amp;$H149,工数管理!$AB$3:$AB$98,"")+COUNTIFS(工数管理!$AK$3:$AK$98,J$1,工数管理!$AC$3:$AC$98,"&lt;="&amp;$H149,工数管理!$AD$3:$AD$98,"")+COUNTIFS(工数管理!$AK$3:$AK$98,J$1,工数管理!$AE$3:$AE$98,"&lt;="&amp;$H149,工数管理!$AF$3:$AF$98,"")+COUNTIFS(工数管理!$AK$3:$AK$98,J$1,工数管理!$AG$3:$AG$98,"&lt;="&amp;$H149,工数管理!$AH$3:$AH$98,""))*($H149&lt;=工数管理!$AI$1))</f>
        <v>0</v>
      </c>
      <c r="K149" s="42">
        <f ca="1">IF(K$1="",0,COUNTIFS(工数管理!$AK$3:$AK$98,K$1,工数管理!$K$3:$K$98,"&lt;="&amp;$H149,工数管理!$L$3:$L$98,"&gt;="&amp;$H149)+COUNTIFS(工数管理!$AK$3:$AK$98,K$1,工数管理!$M$3:$M$98,"&lt;="&amp;$H149,工数管理!$N$3:$N$98,"&gt;="&amp;$H149)+COUNTIFS(工数管理!$AK$3:$AK$98,K$1,工数管理!$O$3:$O$98,"&lt;="&amp;$H149,工数管理!$P$3:$P$98,"&gt;="&amp;$H149)+COUNTIFS(工数管理!$AK$3:$AK$98,K$1,工数管理!$Q$3:$Q$98,"&lt;="&amp;$H149,工数管理!$R$3:$R$98,"&gt;="&amp;$H149)+COUNTIFS(工数管理!$AK$3:$AK$98,K$1,工数管理!$S$3:$S$98,"&lt;="&amp;$H149,工数管理!$T$3:$T$98,"&gt;="&amp;$H149)+COUNTIFS(工数管理!$AK$3:$AK$98,K$1,工数管理!$U$3:$U$98,"&lt;="&amp;$H149,工数管理!$V$3:$V$98,"&gt;="&amp;$H149)+COUNTIFS(工数管理!$AK$3:$AK$98,K$1,工数管理!$W$3:$W$98,"&lt;="&amp;$H149,工数管理!$X$3:$X$98,"&gt;="&amp;$H149)+COUNTIFS(工数管理!$AK$3:$AK$98,K$1,工数管理!$Y$3:$Y$98,"&lt;="&amp;$H149,工数管理!$Z$3:$Z$98,"&gt;="&amp;$H149)+COUNTIFS(工数管理!$AK$3:$AK$98,K$1,工数管理!$AA$3:$AA$98,"&lt;="&amp;$H149,工数管理!$AB$3:$AB$98,"&gt;="&amp;$H149)+COUNTIFS(工数管理!$AK$3:$AK$98,K$1,工数管理!$AC$3:$AC$98,"&lt;="&amp;$H149,工数管理!$AD$3:$AD$98,"&gt;="&amp;$H149)+COUNTIFS(工数管理!$AK$3:$AK$98,K$1,工数管理!$AE$3:$AE$98,"&lt;="&amp;$H149,工数管理!$AF$3:$AF$98,"&gt;="&amp;$H149)+COUNTIFS(工数管理!$AK$3:$AK$98,K$1,工数管理!$AG$3:$AG$98,"&lt;="&amp;$H149,工数管理!$AH$3:$AH$98,"&gt;="&amp;$H149)+(COUNTIFS(工数管理!$AK$3:$AK$98,K$1,工数管理!$K$3:$K$98,"&lt;="&amp;$H149,工数管理!$L$3:$L$98,"")+COUNTIFS(工数管理!$AK$3:$AK$98,K$1,工数管理!$M$3:$M$98,"&lt;="&amp;$H149,工数管理!$N$3:$N$98,"")+COUNTIFS(工数管理!$AK$3:$AK$98,K$1,工数管理!$O$3:$O$98,"&lt;="&amp;$H149,工数管理!$P$3:$P$98,"")+COUNTIFS(工数管理!$AK$3:$AK$98,K$1,工数管理!$Q$3:$Q$98,"&lt;="&amp;$H149,工数管理!$R$3:$R$98,"")+COUNTIFS(工数管理!$AK$3:$AK$98,K$1,工数管理!$S$3:$S$98,"&lt;="&amp;$H149,工数管理!$T$3:$T$98,"")+COUNTIFS(工数管理!$AK$3:$AK$98,K$1,工数管理!$U$3:$U$98,"&lt;="&amp;$H149,工数管理!$V$3:$V$98,"")+COUNTIFS(工数管理!$AK$3:$AK$98,K$1,工数管理!$W$3:$W$98,"&lt;="&amp;$H149,工数管理!$X$3:$X$98,"")+COUNTIFS(工数管理!$AK$3:$AK$98,K$1,工数管理!$Y$3:$Y$98,"&lt;="&amp;$H149,工数管理!$Z$3:$Z$98,"")+COUNTIFS(工数管理!$AK$3:$AK$98,K$1,工数管理!$AA$3:$AA$98,"&lt;="&amp;$H149,工数管理!$AB$3:$AB$98,"")+COUNTIFS(工数管理!$AK$3:$AK$98,K$1,工数管理!$AC$3:$AC$98,"&lt;="&amp;$H149,工数管理!$AD$3:$AD$98,"")+COUNTIFS(工数管理!$AK$3:$AK$98,K$1,工数管理!$AE$3:$AE$98,"&lt;="&amp;$H149,工数管理!$AF$3:$AF$98,"")+COUNTIFS(工数管理!$AK$3:$AK$98,K$1,工数管理!$AG$3:$AG$98,"&lt;="&amp;$H149,工数管理!$AH$3:$AH$98,""))*($H149&lt;=工数管理!$AI$1))</f>
        <v>0</v>
      </c>
      <c r="L149" s="42">
        <f ca="1">IF(L$1="",0,COUNTIFS(工数管理!$AK$3:$AK$98,L$1,工数管理!$K$3:$K$98,"&lt;="&amp;$H149,工数管理!$L$3:$L$98,"&gt;="&amp;$H149)+COUNTIFS(工数管理!$AK$3:$AK$98,L$1,工数管理!$M$3:$M$98,"&lt;="&amp;$H149,工数管理!$N$3:$N$98,"&gt;="&amp;$H149)+COUNTIFS(工数管理!$AK$3:$AK$98,L$1,工数管理!$O$3:$O$98,"&lt;="&amp;$H149,工数管理!$P$3:$P$98,"&gt;="&amp;$H149)+COUNTIFS(工数管理!$AK$3:$AK$98,L$1,工数管理!$Q$3:$Q$98,"&lt;="&amp;$H149,工数管理!$R$3:$R$98,"&gt;="&amp;$H149)+COUNTIFS(工数管理!$AK$3:$AK$98,L$1,工数管理!$S$3:$S$98,"&lt;="&amp;$H149,工数管理!$T$3:$T$98,"&gt;="&amp;$H149)+COUNTIFS(工数管理!$AK$3:$AK$98,L$1,工数管理!$U$3:$U$98,"&lt;="&amp;$H149,工数管理!$V$3:$V$98,"&gt;="&amp;$H149)+COUNTIFS(工数管理!$AK$3:$AK$98,L$1,工数管理!$W$3:$W$98,"&lt;="&amp;$H149,工数管理!$X$3:$X$98,"&gt;="&amp;$H149)+COUNTIFS(工数管理!$AK$3:$AK$98,L$1,工数管理!$Y$3:$Y$98,"&lt;="&amp;$H149,工数管理!$Z$3:$Z$98,"&gt;="&amp;$H149)+COUNTIFS(工数管理!$AK$3:$AK$98,L$1,工数管理!$AA$3:$AA$98,"&lt;="&amp;$H149,工数管理!$AB$3:$AB$98,"&gt;="&amp;$H149)+COUNTIFS(工数管理!$AK$3:$AK$98,L$1,工数管理!$AC$3:$AC$98,"&lt;="&amp;$H149,工数管理!$AD$3:$AD$98,"&gt;="&amp;$H149)+COUNTIFS(工数管理!$AK$3:$AK$98,L$1,工数管理!$AE$3:$AE$98,"&lt;="&amp;$H149,工数管理!$AF$3:$AF$98,"&gt;="&amp;$H149)+COUNTIFS(工数管理!$AK$3:$AK$98,L$1,工数管理!$AG$3:$AG$98,"&lt;="&amp;$H149,工数管理!$AH$3:$AH$98,"&gt;="&amp;$H149)+(COUNTIFS(工数管理!$AK$3:$AK$98,L$1,工数管理!$K$3:$K$98,"&lt;="&amp;$H149,工数管理!$L$3:$L$98,"")+COUNTIFS(工数管理!$AK$3:$AK$98,L$1,工数管理!$M$3:$M$98,"&lt;="&amp;$H149,工数管理!$N$3:$N$98,"")+COUNTIFS(工数管理!$AK$3:$AK$98,L$1,工数管理!$O$3:$O$98,"&lt;="&amp;$H149,工数管理!$P$3:$P$98,"")+COUNTIFS(工数管理!$AK$3:$AK$98,L$1,工数管理!$Q$3:$Q$98,"&lt;="&amp;$H149,工数管理!$R$3:$R$98,"")+COUNTIFS(工数管理!$AK$3:$AK$98,L$1,工数管理!$S$3:$S$98,"&lt;="&amp;$H149,工数管理!$T$3:$T$98,"")+COUNTIFS(工数管理!$AK$3:$AK$98,L$1,工数管理!$U$3:$U$98,"&lt;="&amp;$H149,工数管理!$V$3:$V$98,"")+COUNTIFS(工数管理!$AK$3:$AK$98,L$1,工数管理!$W$3:$W$98,"&lt;="&amp;$H149,工数管理!$X$3:$X$98,"")+COUNTIFS(工数管理!$AK$3:$AK$98,L$1,工数管理!$Y$3:$Y$98,"&lt;="&amp;$H149,工数管理!$Z$3:$Z$98,"")+COUNTIFS(工数管理!$AK$3:$AK$98,L$1,工数管理!$AA$3:$AA$98,"&lt;="&amp;$H149,工数管理!$AB$3:$AB$98,"")+COUNTIFS(工数管理!$AK$3:$AK$98,L$1,工数管理!$AC$3:$AC$98,"&lt;="&amp;$H149,工数管理!$AD$3:$AD$98,"")+COUNTIFS(工数管理!$AK$3:$AK$98,L$1,工数管理!$AE$3:$AE$98,"&lt;="&amp;$H149,工数管理!$AF$3:$AF$98,"")+COUNTIFS(工数管理!$AK$3:$AK$98,L$1,工数管理!$AG$3:$AG$98,"&lt;="&amp;$H149,工数管理!$AH$3:$AH$98,""))*($H149&lt;=工数管理!$AI$1))</f>
        <v>0</v>
      </c>
    </row>
    <row r="150" spans="1:12" x14ac:dyDescent="0.15">
      <c r="A150" s="5"/>
      <c r="B150" s="6"/>
      <c r="H150" s="41">
        <f t="shared" si="5"/>
        <v>46318</v>
      </c>
      <c r="I150" s="42">
        <f t="shared" si="4"/>
        <v>1</v>
      </c>
      <c r="J150" s="42">
        <f ca="1">IF(J$1="",0,COUNTIFS(工数管理!$AK$3:$AK$98,J$1,工数管理!$K$3:$K$98,"&lt;="&amp;$H150,工数管理!$L$3:$L$98,"&gt;="&amp;$H150)+COUNTIFS(工数管理!$AK$3:$AK$98,J$1,工数管理!$M$3:$M$98,"&lt;="&amp;$H150,工数管理!$N$3:$N$98,"&gt;="&amp;$H150)+COUNTIFS(工数管理!$AK$3:$AK$98,J$1,工数管理!$O$3:$O$98,"&lt;="&amp;$H150,工数管理!$P$3:$P$98,"&gt;="&amp;$H150)+COUNTIFS(工数管理!$AK$3:$AK$98,J$1,工数管理!$Q$3:$Q$98,"&lt;="&amp;$H150,工数管理!$R$3:$R$98,"&gt;="&amp;$H150)+COUNTIFS(工数管理!$AK$3:$AK$98,J$1,工数管理!$S$3:$S$98,"&lt;="&amp;$H150,工数管理!$T$3:$T$98,"&gt;="&amp;$H150)+COUNTIFS(工数管理!$AK$3:$AK$98,J$1,工数管理!$U$3:$U$98,"&lt;="&amp;$H150,工数管理!$V$3:$V$98,"&gt;="&amp;$H150)+COUNTIFS(工数管理!$AK$3:$AK$98,J$1,工数管理!$W$3:$W$98,"&lt;="&amp;$H150,工数管理!$X$3:$X$98,"&gt;="&amp;$H150)+COUNTIFS(工数管理!$AK$3:$AK$98,J$1,工数管理!$Y$3:$Y$98,"&lt;="&amp;$H150,工数管理!$Z$3:$Z$98,"&gt;="&amp;$H150)+COUNTIFS(工数管理!$AK$3:$AK$98,J$1,工数管理!$AA$3:$AA$98,"&lt;="&amp;$H150,工数管理!$AB$3:$AB$98,"&gt;="&amp;$H150)+COUNTIFS(工数管理!$AK$3:$AK$98,J$1,工数管理!$AC$3:$AC$98,"&lt;="&amp;$H150,工数管理!$AD$3:$AD$98,"&gt;="&amp;$H150)+COUNTIFS(工数管理!$AK$3:$AK$98,J$1,工数管理!$AE$3:$AE$98,"&lt;="&amp;$H150,工数管理!$AF$3:$AF$98,"&gt;="&amp;$H150)+COUNTIFS(工数管理!$AK$3:$AK$98,J$1,工数管理!$AG$3:$AG$98,"&lt;="&amp;$H150,工数管理!$AH$3:$AH$98,"&gt;="&amp;$H150)+(COUNTIFS(工数管理!$AK$3:$AK$98,J$1,工数管理!$K$3:$K$98,"&lt;="&amp;$H150,工数管理!$L$3:$L$98,"")+COUNTIFS(工数管理!$AK$3:$AK$98,J$1,工数管理!$M$3:$M$98,"&lt;="&amp;$H150,工数管理!$N$3:$N$98,"")+COUNTIFS(工数管理!$AK$3:$AK$98,J$1,工数管理!$O$3:$O$98,"&lt;="&amp;$H150,工数管理!$P$3:$P$98,"")+COUNTIFS(工数管理!$AK$3:$AK$98,J$1,工数管理!$Q$3:$Q$98,"&lt;="&amp;$H150,工数管理!$R$3:$R$98,"")+COUNTIFS(工数管理!$AK$3:$AK$98,J$1,工数管理!$S$3:$S$98,"&lt;="&amp;$H150,工数管理!$T$3:$T$98,"")+COUNTIFS(工数管理!$AK$3:$AK$98,J$1,工数管理!$U$3:$U$98,"&lt;="&amp;$H150,工数管理!$V$3:$V$98,"")+COUNTIFS(工数管理!$AK$3:$AK$98,J$1,工数管理!$W$3:$W$98,"&lt;="&amp;$H150,工数管理!$X$3:$X$98,"")+COUNTIFS(工数管理!$AK$3:$AK$98,J$1,工数管理!$Y$3:$Y$98,"&lt;="&amp;$H150,工数管理!$Z$3:$Z$98,"")+COUNTIFS(工数管理!$AK$3:$AK$98,J$1,工数管理!$AA$3:$AA$98,"&lt;="&amp;$H150,工数管理!$AB$3:$AB$98,"")+COUNTIFS(工数管理!$AK$3:$AK$98,J$1,工数管理!$AC$3:$AC$98,"&lt;="&amp;$H150,工数管理!$AD$3:$AD$98,"")+COUNTIFS(工数管理!$AK$3:$AK$98,J$1,工数管理!$AE$3:$AE$98,"&lt;="&amp;$H150,工数管理!$AF$3:$AF$98,"")+COUNTIFS(工数管理!$AK$3:$AK$98,J$1,工数管理!$AG$3:$AG$98,"&lt;="&amp;$H150,工数管理!$AH$3:$AH$98,""))*($H150&lt;=工数管理!$AI$1))</f>
        <v>0</v>
      </c>
      <c r="K150" s="42">
        <f ca="1">IF(K$1="",0,COUNTIFS(工数管理!$AK$3:$AK$98,K$1,工数管理!$K$3:$K$98,"&lt;="&amp;$H150,工数管理!$L$3:$L$98,"&gt;="&amp;$H150)+COUNTIFS(工数管理!$AK$3:$AK$98,K$1,工数管理!$M$3:$M$98,"&lt;="&amp;$H150,工数管理!$N$3:$N$98,"&gt;="&amp;$H150)+COUNTIFS(工数管理!$AK$3:$AK$98,K$1,工数管理!$O$3:$O$98,"&lt;="&amp;$H150,工数管理!$P$3:$P$98,"&gt;="&amp;$H150)+COUNTIFS(工数管理!$AK$3:$AK$98,K$1,工数管理!$Q$3:$Q$98,"&lt;="&amp;$H150,工数管理!$R$3:$R$98,"&gt;="&amp;$H150)+COUNTIFS(工数管理!$AK$3:$AK$98,K$1,工数管理!$S$3:$S$98,"&lt;="&amp;$H150,工数管理!$T$3:$T$98,"&gt;="&amp;$H150)+COUNTIFS(工数管理!$AK$3:$AK$98,K$1,工数管理!$U$3:$U$98,"&lt;="&amp;$H150,工数管理!$V$3:$V$98,"&gt;="&amp;$H150)+COUNTIFS(工数管理!$AK$3:$AK$98,K$1,工数管理!$W$3:$W$98,"&lt;="&amp;$H150,工数管理!$X$3:$X$98,"&gt;="&amp;$H150)+COUNTIFS(工数管理!$AK$3:$AK$98,K$1,工数管理!$Y$3:$Y$98,"&lt;="&amp;$H150,工数管理!$Z$3:$Z$98,"&gt;="&amp;$H150)+COUNTIFS(工数管理!$AK$3:$AK$98,K$1,工数管理!$AA$3:$AA$98,"&lt;="&amp;$H150,工数管理!$AB$3:$AB$98,"&gt;="&amp;$H150)+COUNTIFS(工数管理!$AK$3:$AK$98,K$1,工数管理!$AC$3:$AC$98,"&lt;="&amp;$H150,工数管理!$AD$3:$AD$98,"&gt;="&amp;$H150)+COUNTIFS(工数管理!$AK$3:$AK$98,K$1,工数管理!$AE$3:$AE$98,"&lt;="&amp;$H150,工数管理!$AF$3:$AF$98,"&gt;="&amp;$H150)+COUNTIFS(工数管理!$AK$3:$AK$98,K$1,工数管理!$AG$3:$AG$98,"&lt;="&amp;$H150,工数管理!$AH$3:$AH$98,"&gt;="&amp;$H150)+(COUNTIFS(工数管理!$AK$3:$AK$98,K$1,工数管理!$K$3:$K$98,"&lt;="&amp;$H150,工数管理!$L$3:$L$98,"")+COUNTIFS(工数管理!$AK$3:$AK$98,K$1,工数管理!$M$3:$M$98,"&lt;="&amp;$H150,工数管理!$N$3:$N$98,"")+COUNTIFS(工数管理!$AK$3:$AK$98,K$1,工数管理!$O$3:$O$98,"&lt;="&amp;$H150,工数管理!$P$3:$P$98,"")+COUNTIFS(工数管理!$AK$3:$AK$98,K$1,工数管理!$Q$3:$Q$98,"&lt;="&amp;$H150,工数管理!$R$3:$R$98,"")+COUNTIFS(工数管理!$AK$3:$AK$98,K$1,工数管理!$S$3:$S$98,"&lt;="&amp;$H150,工数管理!$T$3:$T$98,"")+COUNTIFS(工数管理!$AK$3:$AK$98,K$1,工数管理!$U$3:$U$98,"&lt;="&amp;$H150,工数管理!$V$3:$V$98,"")+COUNTIFS(工数管理!$AK$3:$AK$98,K$1,工数管理!$W$3:$W$98,"&lt;="&amp;$H150,工数管理!$X$3:$X$98,"")+COUNTIFS(工数管理!$AK$3:$AK$98,K$1,工数管理!$Y$3:$Y$98,"&lt;="&amp;$H150,工数管理!$Z$3:$Z$98,"")+COUNTIFS(工数管理!$AK$3:$AK$98,K$1,工数管理!$AA$3:$AA$98,"&lt;="&amp;$H150,工数管理!$AB$3:$AB$98,"")+COUNTIFS(工数管理!$AK$3:$AK$98,K$1,工数管理!$AC$3:$AC$98,"&lt;="&amp;$H150,工数管理!$AD$3:$AD$98,"")+COUNTIFS(工数管理!$AK$3:$AK$98,K$1,工数管理!$AE$3:$AE$98,"&lt;="&amp;$H150,工数管理!$AF$3:$AF$98,"")+COUNTIFS(工数管理!$AK$3:$AK$98,K$1,工数管理!$AG$3:$AG$98,"&lt;="&amp;$H150,工数管理!$AH$3:$AH$98,""))*($H150&lt;=工数管理!$AI$1))</f>
        <v>0</v>
      </c>
      <c r="L150" s="42">
        <f ca="1">IF(L$1="",0,COUNTIFS(工数管理!$AK$3:$AK$98,L$1,工数管理!$K$3:$K$98,"&lt;="&amp;$H150,工数管理!$L$3:$L$98,"&gt;="&amp;$H150)+COUNTIFS(工数管理!$AK$3:$AK$98,L$1,工数管理!$M$3:$M$98,"&lt;="&amp;$H150,工数管理!$N$3:$N$98,"&gt;="&amp;$H150)+COUNTIFS(工数管理!$AK$3:$AK$98,L$1,工数管理!$O$3:$O$98,"&lt;="&amp;$H150,工数管理!$P$3:$P$98,"&gt;="&amp;$H150)+COUNTIFS(工数管理!$AK$3:$AK$98,L$1,工数管理!$Q$3:$Q$98,"&lt;="&amp;$H150,工数管理!$R$3:$R$98,"&gt;="&amp;$H150)+COUNTIFS(工数管理!$AK$3:$AK$98,L$1,工数管理!$S$3:$S$98,"&lt;="&amp;$H150,工数管理!$T$3:$T$98,"&gt;="&amp;$H150)+COUNTIFS(工数管理!$AK$3:$AK$98,L$1,工数管理!$U$3:$U$98,"&lt;="&amp;$H150,工数管理!$V$3:$V$98,"&gt;="&amp;$H150)+COUNTIFS(工数管理!$AK$3:$AK$98,L$1,工数管理!$W$3:$W$98,"&lt;="&amp;$H150,工数管理!$X$3:$X$98,"&gt;="&amp;$H150)+COUNTIFS(工数管理!$AK$3:$AK$98,L$1,工数管理!$Y$3:$Y$98,"&lt;="&amp;$H150,工数管理!$Z$3:$Z$98,"&gt;="&amp;$H150)+COUNTIFS(工数管理!$AK$3:$AK$98,L$1,工数管理!$AA$3:$AA$98,"&lt;="&amp;$H150,工数管理!$AB$3:$AB$98,"&gt;="&amp;$H150)+COUNTIFS(工数管理!$AK$3:$AK$98,L$1,工数管理!$AC$3:$AC$98,"&lt;="&amp;$H150,工数管理!$AD$3:$AD$98,"&gt;="&amp;$H150)+COUNTIFS(工数管理!$AK$3:$AK$98,L$1,工数管理!$AE$3:$AE$98,"&lt;="&amp;$H150,工数管理!$AF$3:$AF$98,"&gt;="&amp;$H150)+COUNTIFS(工数管理!$AK$3:$AK$98,L$1,工数管理!$AG$3:$AG$98,"&lt;="&amp;$H150,工数管理!$AH$3:$AH$98,"&gt;="&amp;$H150)+(COUNTIFS(工数管理!$AK$3:$AK$98,L$1,工数管理!$K$3:$K$98,"&lt;="&amp;$H150,工数管理!$L$3:$L$98,"")+COUNTIFS(工数管理!$AK$3:$AK$98,L$1,工数管理!$M$3:$M$98,"&lt;="&amp;$H150,工数管理!$N$3:$N$98,"")+COUNTIFS(工数管理!$AK$3:$AK$98,L$1,工数管理!$O$3:$O$98,"&lt;="&amp;$H150,工数管理!$P$3:$P$98,"")+COUNTIFS(工数管理!$AK$3:$AK$98,L$1,工数管理!$Q$3:$Q$98,"&lt;="&amp;$H150,工数管理!$R$3:$R$98,"")+COUNTIFS(工数管理!$AK$3:$AK$98,L$1,工数管理!$S$3:$S$98,"&lt;="&amp;$H150,工数管理!$T$3:$T$98,"")+COUNTIFS(工数管理!$AK$3:$AK$98,L$1,工数管理!$U$3:$U$98,"&lt;="&amp;$H150,工数管理!$V$3:$V$98,"")+COUNTIFS(工数管理!$AK$3:$AK$98,L$1,工数管理!$W$3:$W$98,"&lt;="&amp;$H150,工数管理!$X$3:$X$98,"")+COUNTIFS(工数管理!$AK$3:$AK$98,L$1,工数管理!$Y$3:$Y$98,"&lt;="&amp;$H150,工数管理!$Z$3:$Z$98,"")+COUNTIFS(工数管理!$AK$3:$AK$98,L$1,工数管理!$AA$3:$AA$98,"&lt;="&amp;$H150,工数管理!$AB$3:$AB$98,"")+COUNTIFS(工数管理!$AK$3:$AK$98,L$1,工数管理!$AC$3:$AC$98,"&lt;="&amp;$H150,工数管理!$AD$3:$AD$98,"")+COUNTIFS(工数管理!$AK$3:$AK$98,L$1,工数管理!$AE$3:$AE$98,"&lt;="&amp;$H150,工数管理!$AF$3:$AF$98,"")+COUNTIFS(工数管理!$AK$3:$AK$98,L$1,工数管理!$AG$3:$AG$98,"&lt;="&amp;$H150,工数管理!$AH$3:$AH$98,""))*($H150&lt;=工数管理!$AI$1))</f>
        <v>0</v>
      </c>
    </row>
    <row r="151" spans="1:12" x14ac:dyDescent="0.15">
      <c r="A151" s="5"/>
      <c r="B151" s="6"/>
      <c r="H151" s="41">
        <f t="shared" si="5"/>
        <v>46319</v>
      </c>
      <c r="I151" s="42">
        <f t="shared" si="4"/>
        <v>0</v>
      </c>
      <c r="J151" s="42">
        <f ca="1">IF(J$1="",0,COUNTIFS(工数管理!$AK$3:$AK$98,J$1,工数管理!$K$3:$K$98,"&lt;="&amp;$H151,工数管理!$L$3:$L$98,"&gt;="&amp;$H151)+COUNTIFS(工数管理!$AK$3:$AK$98,J$1,工数管理!$M$3:$M$98,"&lt;="&amp;$H151,工数管理!$N$3:$N$98,"&gt;="&amp;$H151)+COUNTIFS(工数管理!$AK$3:$AK$98,J$1,工数管理!$O$3:$O$98,"&lt;="&amp;$H151,工数管理!$P$3:$P$98,"&gt;="&amp;$H151)+COUNTIFS(工数管理!$AK$3:$AK$98,J$1,工数管理!$Q$3:$Q$98,"&lt;="&amp;$H151,工数管理!$R$3:$R$98,"&gt;="&amp;$H151)+COUNTIFS(工数管理!$AK$3:$AK$98,J$1,工数管理!$S$3:$S$98,"&lt;="&amp;$H151,工数管理!$T$3:$T$98,"&gt;="&amp;$H151)+COUNTIFS(工数管理!$AK$3:$AK$98,J$1,工数管理!$U$3:$U$98,"&lt;="&amp;$H151,工数管理!$V$3:$V$98,"&gt;="&amp;$H151)+COUNTIFS(工数管理!$AK$3:$AK$98,J$1,工数管理!$W$3:$W$98,"&lt;="&amp;$H151,工数管理!$X$3:$X$98,"&gt;="&amp;$H151)+COUNTIFS(工数管理!$AK$3:$AK$98,J$1,工数管理!$Y$3:$Y$98,"&lt;="&amp;$H151,工数管理!$Z$3:$Z$98,"&gt;="&amp;$H151)+COUNTIFS(工数管理!$AK$3:$AK$98,J$1,工数管理!$AA$3:$AA$98,"&lt;="&amp;$H151,工数管理!$AB$3:$AB$98,"&gt;="&amp;$H151)+COUNTIFS(工数管理!$AK$3:$AK$98,J$1,工数管理!$AC$3:$AC$98,"&lt;="&amp;$H151,工数管理!$AD$3:$AD$98,"&gt;="&amp;$H151)+COUNTIFS(工数管理!$AK$3:$AK$98,J$1,工数管理!$AE$3:$AE$98,"&lt;="&amp;$H151,工数管理!$AF$3:$AF$98,"&gt;="&amp;$H151)+COUNTIFS(工数管理!$AK$3:$AK$98,J$1,工数管理!$AG$3:$AG$98,"&lt;="&amp;$H151,工数管理!$AH$3:$AH$98,"&gt;="&amp;$H151)+(COUNTIFS(工数管理!$AK$3:$AK$98,J$1,工数管理!$K$3:$K$98,"&lt;="&amp;$H151,工数管理!$L$3:$L$98,"")+COUNTIFS(工数管理!$AK$3:$AK$98,J$1,工数管理!$M$3:$M$98,"&lt;="&amp;$H151,工数管理!$N$3:$N$98,"")+COUNTIFS(工数管理!$AK$3:$AK$98,J$1,工数管理!$O$3:$O$98,"&lt;="&amp;$H151,工数管理!$P$3:$P$98,"")+COUNTIFS(工数管理!$AK$3:$AK$98,J$1,工数管理!$Q$3:$Q$98,"&lt;="&amp;$H151,工数管理!$R$3:$R$98,"")+COUNTIFS(工数管理!$AK$3:$AK$98,J$1,工数管理!$S$3:$S$98,"&lt;="&amp;$H151,工数管理!$T$3:$T$98,"")+COUNTIFS(工数管理!$AK$3:$AK$98,J$1,工数管理!$U$3:$U$98,"&lt;="&amp;$H151,工数管理!$V$3:$V$98,"")+COUNTIFS(工数管理!$AK$3:$AK$98,J$1,工数管理!$W$3:$W$98,"&lt;="&amp;$H151,工数管理!$X$3:$X$98,"")+COUNTIFS(工数管理!$AK$3:$AK$98,J$1,工数管理!$Y$3:$Y$98,"&lt;="&amp;$H151,工数管理!$Z$3:$Z$98,"")+COUNTIFS(工数管理!$AK$3:$AK$98,J$1,工数管理!$AA$3:$AA$98,"&lt;="&amp;$H151,工数管理!$AB$3:$AB$98,"")+COUNTIFS(工数管理!$AK$3:$AK$98,J$1,工数管理!$AC$3:$AC$98,"&lt;="&amp;$H151,工数管理!$AD$3:$AD$98,"")+COUNTIFS(工数管理!$AK$3:$AK$98,J$1,工数管理!$AE$3:$AE$98,"&lt;="&amp;$H151,工数管理!$AF$3:$AF$98,"")+COUNTIFS(工数管理!$AK$3:$AK$98,J$1,工数管理!$AG$3:$AG$98,"&lt;="&amp;$H151,工数管理!$AH$3:$AH$98,""))*($H151&lt;=工数管理!$AI$1))</f>
        <v>0</v>
      </c>
      <c r="K151" s="42">
        <f ca="1">IF(K$1="",0,COUNTIFS(工数管理!$AK$3:$AK$98,K$1,工数管理!$K$3:$K$98,"&lt;="&amp;$H151,工数管理!$L$3:$L$98,"&gt;="&amp;$H151)+COUNTIFS(工数管理!$AK$3:$AK$98,K$1,工数管理!$M$3:$M$98,"&lt;="&amp;$H151,工数管理!$N$3:$N$98,"&gt;="&amp;$H151)+COUNTIFS(工数管理!$AK$3:$AK$98,K$1,工数管理!$O$3:$O$98,"&lt;="&amp;$H151,工数管理!$P$3:$P$98,"&gt;="&amp;$H151)+COUNTIFS(工数管理!$AK$3:$AK$98,K$1,工数管理!$Q$3:$Q$98,"&lt;="&amp;$H151,工数管理!$R$3:$R$98,"&gt;="&amp;$H151)+COUNTIFS(工数管理!$AK$3:$AK$98,K$1,工数管理!$S$3:$S$98,"&lt;="&amp;$H151,工数管理!$T$3:$T$98,"&gt;="&amp;$H151)+COUNTIFS(工数管理!$AK$3:$AK$98,K$1,工数管理!$U$3:$U$98,"&lt;="&amp;$H151,工数管理!$V$3:$V$98,"&gt;="&amp;$H151)+COUNTIFS(工数管理!$AK$3:$AK$98,K$1,工数管理!$W$3:$W$98,"&lt;="&amp;$H151,工数管理!$X$3:$X$98,"&gt;="&amp;$H151)+COUNTIFS(工数管理!$AK$3:$AK$98,K$1,工数管理!$Y$3:$Y$98,"&lt;="&amp;$H151,工数管理!$Z$3:$Z$98,"&gt;="&amp;$H151)+COUNTIFS(工数管理!$AK$3:$AK$98,K$1,工数管理!$AA$3:$AA$98,"&lt;="&amp;$H151,工数管理!$AB$3:$AB$98,"&gt;="&amp;$H151)+COUNTIFS(工数管理!$AK$3:$AK$98,K$1,工数管理!$AC$3:$AC$98,"&lt;="&amp;$H151,工数管理!$AD$3:$AD$98,"&gt;="&amp;$H151)+COUNTIFS(工数管理!$AK$3:$AK$98,K$1,工数管理!$AE$3:$AE$98,"&lt;="&amp;$H151,工数管理!$AF$3:$AF$98,"&gt;="&amp;$H151)+COUNTIFS(工数管理!$AK$3:$AK$98,K$1,工数管理!$AG$3:$AG$98,"&lt;="&amp;$H151,工数管理!$AH$3:$AH$98,"&gt;="&amp;$H151)+(COUNTIFS(工数管理!$AK$3:$AK$98,K$1,工数管理!$K$3:$K$98,"&lt;="&amp;$H151,工数管理!$L$3:$L$98,"")+COUNTIFS(工数管理!$AK$3:$AK$98,K$1,工数管理!$M$3:$M$98,"&lt;="&amp;$H151,工数管理!$N$3:$N$98,"")+COUNTIFS(工数管理!$AK$3:$AK$98,K$1,工数管理!$O$3:$O$98,"&lt;="&amp;$H151,工数管理!$P$3:$P$98,"")+COUNTIFS(工数管理!$AK$3:$AK$98,K$1,工数管理!$Q$3:$Q$98,"&lt;="&amp;$H151,工数管理!$R$3:$R$98,"")+COUNTIFS(工数管理!$AK$3:$AK$98,K$1,工数管理!$S$3:$S$98,"&lt;="&amp;$H151,工数管理!$T$3:$T$98,"")+COUNTIFS(工数管理!$AK$3:$AK$98,K$1,工数管理!$U$3:$U$98,"&lt;="&amp;$H151,工数管理!$V$3:$V$98,"")+COUNTIFS(工数管理!$AK$3:$AK$98,K$1,工数管理!$W$3:$W$98,"&lt;="&amp;$H151,工数管理!$X$3:$X$98,"")+COUNTIFS(工数管理!$AK$3:$AK$98,K$1,工数管理!$Y$3:$Y$98,"&lt;="&amp;$H151,工数管理!$Z$3:$Z$98,"")+COUNTIFS(工数管理!$AK$3:$AK$98,K$1,工数管理!$AA$3:$AA$98,"&lt;="&amp;$H151,工数管理!$AB$3:$AB$98,"")+COUNTIFS(工数管理!$AK$3:$AK$98,K$1,工数管理!$AC$3:$AC$98,"&lt;="&amp;$H151,工数管理!$AD$3:$AD$98,"")+COUNTIFS(工数管理!$AK$3:$AK$98,K$1,工数管理!$AE$3:$AE$98,"&lt;="&amp;$H151,工数管理!$AF$3:$AF$98,"")+COUNTIFS(工数管理!$AK$3:$AK$98,K$1,工数管理!$AG$3:$AG$98,"&lt;="&amp;$H151,工数管理!$AH$3:$AH$98,""))*($H151&lt;=工数管理!$AI$1))</f>
        <v>0</v>
      </c>
      <c r="L151" s="42">
        <f ca="1">IF(L$1="",0,COUNTIFS(工数管理!$AK$3:$AK$98,L$1,工数管理!$K$3:$K$98,"&lt;="&amp;$H151,工数管理!$L$3:$L$98,"&gt;="&amp;$H151)+COUNTIFS(工数管理!$AK$3:$AK$98,L$1,工数管理!$M$3:$M$98,"&lt;="&amp;$H151,工数管理!$N$3:$N$98,"&gt;="&amp;$H151)+COUNTIFS(工数管理!$AK$3:$AK$98,L$1,工数管理!$O$3:$O$98,"&lt;="&amp;$H151,工数管理!$P$3:$P$98,"&gt;="&amp;$H151)+COUNTIFS(工数管理!$AK$3:$AK$98,L$1,工数管理!$Q$3:$Q$98,"&lt;="&amp;$H151,工数管理!$R$3:$R$98,"&gt;="&amp;$H151)+COUNTIFS(工数管理!$AK$3:$AK$98,L$1,工数管理!$S$3:$S$98,"&lt;="&amp;$H151,工数管理!$T$3:$T$98,"&gt;="&amp;$H151)+COUNTIFS(工数管理!$AK$3:$AK$98,L$1,工数管理!$U$3:$U$98,"&lt;="&amp;$H151,工数管理!$V$3:$V$98,"&gt;="&amp;$H151)+COUNTIFS(工数管理!$AK$3:$AK$98,L$1,工数管理!$W$3:$W$98,"&lt;="&amp;$H151,工数管理!$X$3:$X$98,"&gt;="&amp;$H151)+COUNTIFS(工数管理!$AK$3:$AK$98,L$1,工数管理!$Y$3:$Y$98,"&lt;="&amp;$H151,工数管理!$Z$3:$Z$98,"&gt;="&amp;$H151)+COUNTIFS(工数管理!$AK$3:$AK$98,L$1,工数管理!$AA$3:$AA$98,"&lt;="&amp;$H151,工数管理!$AB$3:$AB$98,"&gt;="&amp;$H151)+COUNTIFS(工数管理!$AK$3:$AK$98,L$1,工数管理!$AC$3:$AC$98,"&lt;="&amp;$H151,工数管理!$AD$3:$AD$98,"&gt;="&amp;$H151)+COUNTIFS(工数管理!$AK$3:$AK$98,L$1,工数管理!$AE$3:$AE$98,"&lt;="&amp;$H151,工数管理!$AF$3:$AF$98,"&gt;="&amp;$H151)+COUNTIFS(工数管理!$AK$3:$AK$98,L$1,工数管理!$AG$3:$AG$98,"&lt;="&amp;$H151,工数管理!$AH$3:$AH$98,"&gt;="&amp;$H151)+(COUNTIFS(工数管理!$AK$3:$AK$98,L$1,工数管理!$K$3:$K$98,"&lt;="&amp;$H151,工数管理!$L$3:$L$98,"")+COUNTIFS(工数管理!$AK$3:$AK$98,L$1,工数管理!$M$3:$M$98,"&lt;="&amp;$H151,工数管理!$N$3:$N$98,"")+COUNTIFS(工数管理!$AK$3:$AK$98,L$1,工数管理!$O$3:$O$98,"&lt;="&amp;$H151,工数管理!$P$3:$P$98,"")+COUNTIFS(工数管理!$AK$3:$AK$98,L$1,工数管理!$Q$3:$Q$98,"&lt;="&amp;$H151,工数管理!$R$3:$R$98,"")+COUNTIFS(工数管理!$AK$3:$AK$98,L$1,工数管理!$S$3:$S$98,"&lt;="&amp;$H151,工数管理!$T$3:$T$98,"")+COUNTIFS(工数管理!$AK$3:$AK$98,L$1,工数管理!$U$3:$U$98,"&lt;="&amp;$H151,工数管理!$V$3:$V$98,"")+COUNTIFS(工数管理!$AK$3:$AK$98,L$1,工数管理!$W$3:$W$98,"&lt;="&amp;$H151,工数管理!$X$3:$X$98,"")+COUNTIFS(工数管理!$AK$3:$AK$98,L$1,工数管理!$Y$3:$Y$98,"&lt;="&amp;$H151,工数管理!$Z$3:$Z$98,"")+COUNTIFS(工数管理!$AK$3:$AK$98,L$1,工数管理!$AA$3:$AA$98,"&lt;="&amp;$H151,工数管理!$AB$3:$AB$98,"")+COUNTIFS(工数管理!$AK$3:$AK$98,L$1,工数管理!$AC$3:$AC$98,"&lt;="&amp;$H151,工数管理!$AD$3:$AD$98,"")+COUNTIFS(工数管理!$AK$3:$AK$98,L$1,工数管理!$AE$3:$AE$98,"&lt;="&amp;$H151,工数管理!$AF$3:$AF$98,"")+COUNTIFS(工数管理!$AK$3:$AK$98,L$1,工数管理!$AG$3:$AG$98,"&lt;="&amp;$H151,工数管理!$AH$3:$AH$98,""))*($H151&lt;=工数管理!$AI$1))</f>
        <v>0</v>
      </c>
    </row>
    <row r="152" spans="1:12" x14ac:dyDescent="0.15">
      <c r="A152" s="5"/>
      <c r="B152" s="6"/>
      <c r="H152" s="41">
        <f t="shared" si="5"/>
        <v>46320</v>
      </c>
      <c r="I152" s="42">
        <f t="shared" si="4"/>
        <v>0</v>
      </c>
      <c r="J152" s="42">
        <f ca="1">IF(J$1="",0,COUNTIFS(工数管理!$AK$3:$AK$98,J$1,工数管理!$K$3:$K$98,"&lt;="&amp;$H152,工数管理!$L$3:$L$98,"&gt;="&amp;$H152)+COUNTIFS(工数管理!$AK$3:$AK$98,J$1,工数管理!$M$3:$M$98,"&lt;="&amp;$H152,工数管理!$N$3:$N$98,"&gt;="&amp;$H152)+COUNTIFS(工数管理!$AK$3:$AK$98,J$1,工数管理!$O$3:$O$98,"&lt;="&amp;$H152,工数管理!$P$3:$P$98,"&gt;="&amp;$H152)+COUNTIFS(工数管理!$AK$3:$AK$98,J$1,工数管理!$Q$3:$Q$98,"&lt;="&amp;$H152,工数管理!$R$3:$R$98,"&gt;="&amp;$H152)+COUNTIFS(工数管理!$AK$3:$AK$98,J$1,工数管理!$S$3:$S$98,"&lt;="&amp;$H152,工数管理!$T$3:$T$98,"&gt;="&amp;$H152)+COUNTIFS(工数管理!$AK$3:$AK$98,J$1,工数管理!$U$3:$U$98,"&lt;="&amp;$H152,工数管理!$V$3:$V$98,"&gt;="&amp;$H152)+COUNTIFS(工数管理!$AK$3:$AK$98,J$1,工数管理!$W$3:$W$98,"&lt;="&amp;$H152,工数管理!$X$3:$X$98,"&gt;="&amp;$H152)+COUNTIFS(工数管理!$AK$3:$AK$98,J$1,工数管理!$Y$3:$Y$98,"&lt;="&amp;$H152,工数管理!$Z$3:$Z$98,"&gt;="&amp;$H152)+COUNTIFS(工数管理!$AK$3:$AK$98,J$1,工数管理!$AA$3:$AA$98,"&lt;="&amp;$H152,工数管理!$AB$3:$AB$98,"&gt;="&amp;$H152)+COUNTIFS(工数管理!$AK$3:$AK$98,J$1,工数管理!$AC$3:$AC$98,"&lt;="&amp;$H152,工数管理!$AD$3:$AD$98,"&gt;="&amp;$H152)+COUNTIFS(工数管理!$AK$3:$AK$98,J$1,工数管理!$AE$3:$AE$98,"&lt;="&amp;$H152,工数管理!$AF$3:$AF$98,"&gt;="&amp;$H152)+COUNTIFS(工数管理!$AK$3:$AK$98,J$1,工数管理!$AG$3:$AG$98,"&lt;="&amp;$H152,工数管理!$AH$3:$AH$98,"&gt;="&amp;$H152)+(COUNTIFS(工数管理!$AK$3:$AK$98,J$1,工数管理!$K$3:$K$98,"&lt;="&amp;$H152,工数管理!$L$3:$L$98,"")+COUNTIFS(工数管理!$AK$3:$AK$98,J$1,工数管理!$M$3:$M$98,"&lt;="&amp;$H152,工数管理!$N$3:$N$98,"")+COUNTIFS(工数管理!$AK$3:$AK$98,J$1,工数管理!$O$3:$O$98,"&lt;="&amp;$H152,工数管理!$P$3:$P$98,"")+COUNTIFS(工数管理!$AK$3:$AK$98,J$1,工数管理!$Q$3:$Q$98,"&lt;="&amp;$H152,工数管理!$R$3:$R$98,"")+COUNTIFS(工数管理!$AK$3:$AK$98,J$1,工数管理!$S$3:$S$98,"&lt;="&amp;$H152,工数管理!$T$3:$T$98,"")+COUNTIFS(工数管理!$AK$3:$AK$98,J$1,工数管理!$U$3:$U$98,"&lt;="&amp;$H152,工数管理!$V$3:$V$98,"")+COUNTIFS(工数管理!$AK$3:$AK$98,J$1,工数管理!$W$3:$W$98,"&lt;="&amp;$H152,工数管理!$X$3:$X$98,"")+COUNTIFS(工数管理!$AK$3:$AK$98,J$1,工数管理!$Y$3:$Y$98,"&lt;="&amp;$H152,工数管理!$Z$3:$Z$98,"")+COUNTIFS(工数管理!$AK$3:$AK$98,J$1,工数管理!$AA$3:$AA$98,"&lt;="&amp;$H152,工数管理!$AB$3:$AB$98,"")+COUNTIFS(工数管理!$AK$3:$AK$98,J$1,工数管理!$AC$3:$AC$98,"&lt;="&amp;$H152,工数管理!$AD$3:$AD$98,"")+COUNTIFS(工数管理!$AK$3:$AK$98,J$1,工数管理!$AE$3:$AE$98,"&lt;="&amp;$H152,工数管理!$AF$3:$AF$98,"")+COUNTIFS(工数管理!$AK$3:$AK$98,J$1,工数管理!$AG$3:$AG$98,"&lt;="&amp;$H152,工数管理!$AH$3:$AH$98,""))*($H152&lt;=工数管理!$AI$1))</f>
        <v>0</v>
      </c>
      <c r="K152" s="42">
        <f ca="1">IF(K$1="",0,COUNTIFS(工数管理!$AK$3:$AK$98,K$1,工数管理!$K$3:$K$98,"&lt;="&amp;$H152,工数管理!$L$3:$L$98,"&gt;="&amp;$H152)+COUNTIFS(工数管理!$AK$3:$AK$98,K$1,工数管理!$M$3:$M$98,"&lt;="&amp;$H152,工数管理!$N$3:$N$98,"&gt;="&amp;$H152)+COUNTIFS(工数管理!$AK$3:$AK$98,K$1,工数管理!$O$3:$O$98,"&lt;="&amp;$H152,工数管理!$P$3:$P$98,"&gt;="&amp;$H152)+COUNTIFS(工数管理!$AK$3:$AK$98,K$1,工数管理!$Q$3:$Q$98,"&lt;="&amp;$H152,工数管理!$R$3:$R$98,"&gt;="&amp;$H152)+COUNTIFS(工数管理!$AK$3:$AK$98,K$1,工数管理!$S$3:$S$98,"&lt;="&amp;$H152,工数管理!$T$3:$T$98,"&gt;="&amp;$H152)+COUNTIFS(工数管理!$AK$3:$AK$98,K$1,工数管理!$U$3:$U$98,"&lt;="&amp;$H152,工数管理!$V$3:$V$98,"&gt;="&amp;$H152)+COUNTIFS(工数管理!$AK$3:$AK$98,K$1,工数管理!$W$3:$W$98,"&lt;="&amp;$H152,工数管理!$X$3:$X$98,"&gt;="&amp;$H152)+COUNTIFS(工数管理!$AK$3:$AK$98,K$1,工数管理!$Y$3:$Y$98,"&lt;="&amp;$H152,工数管理!$Z$3:$Z$98,"&gt;="&amp;$H152)+COUNTIFS(工数管理!$AK$3:$AK$98,K$1,工数管理!$AA$3:$AA$98,"&lt;="&amp;$H152,工数管理!$AB$3:$AB$98,"&gt;="&amp;$H152)+COUNTIFS(工数管理!$AK$3:$AK$98,K$1,工数管理!$AC$3:$AC$98,"&lt;="&amp;$H152,工数管理!$AD$3:$AD$98,"&gt;="&amp;$H152)+COUNTIFS(工数管理!$AK$3:$AK$98,K$1,工数管理!$AE$3:$AE$98,"&lt;="&amp;$H152,工数管理!$AF$3:$AF$98,"&gt;="&amp;$H152)+COUNTIFS(工数管理!$AK$3:$AK$98,K$1,工数管理!$AG$3:$AG$98,"&lt;="&amp;$H152,工数管理!$AH$3:$AH$98,"&gt;="&amp;$H152)+(COUNTIFS(工数管理!$AK$3:$AK$98,K$1,工数管理!$K$3:$K$98,"&lt;="&amp;$H152,工数管理!$L$3:$L$98,"")+COUNTIFS(工数管理!$AK$3:$AK$98,K$1,工数管理!$M$3:$M$98,"&lt;="&amp;$H152,工数管理!$N$3:$N$98,"")+COUNTIFS(工数管理!$AK$3:$AK$98,K$1,工数管理!$O$3:$O$98,"&lt;="&amp;$H152,工数管理!$P$3:$P$98,"")+COUNTIFS(工数管理!$AK$3:$AK$98,K$1,工数管理!$Q$3:$Q$98,"&lt;="&amp;$H152,工数管理!$R$3:$R$98,"")+COUNTIFS(工数管理!$AK$3:$AK$98,K$1,工数管理!$S$3:$S$98,"&lt;="&amp;$H152,工数管理!$T$3:$T$98,"")+COUNTIFS(工数管理!$AK$3:$AK$98,K$1,工数管理!$U$3:$U$98,"&lt;="&amp;$H152,工数管理!$V$3:$V$98,"")+COUNTIFS(工数管理!$AK$3:$AK$98,K$1,工数管理!$W$3:$W$98,"&lt;="&amp;$H152,工数管理!$X$3:$X$98,"")+COUNTIFS(工数管理!$AK$3:$AK$98,K$1,工数管理!$Y$3:$Y$98,"&lt;="&amp;$H152,工数管理!$Z$3:$Z$98,"")+COUNTIFS(工数管理!$AK$3:$AK$98,K$1,工数管理!$AA$3:$AA$98,"&lt;="&amp;$H152,工数管理!$AB$3:$AB$98,"")+COUNTIFS(工数管理!$AK$3:$AK$98,K$1,工数管理!$AC$3:$AC$98,"&lt;="&amp;$H152,工数管理!$AD$3:$AD$98,"")+COUNTIFS(工数管理!$AK$3:$AK$98,K$1,工数管理!$AE$3:$AE$98,"&lt;="&amp;$H152,工数管理!$AF$3:$AF$98,"")+COUNTIFS(工数管理!$AK$3:$AK$98,K$1,工数管理!$AG$3:$AG$98,"&lt;="&amp;$H152,工数管理!$AH$3:$AH$98,""))*($H152&lt;=工数管理!$AI$1))</f>
        <v>0</v>
      </c>
      <c r="L152" s="42">
        <f ca="1">IF(L$1="",0,COUNTIFS(工数管理!$AK$3:$AK$98,L$1,工数管理!$K$3:$K$98,"&lt;="&amp;$H152,工数管理!$L$3:$L$98,"&gt;="&amp;$H152)+COUNTIFS(工数管理!$AK$3:$AK$98,L$1,工数管理!$M$3:$M$98,"&lt;="&amp;$H152,工数管理!$N$3:$N$98,"&gt;="&amp;$H152)+COUNTIFS(工数管理!$AK$3:$AK$98,L$1,工数管理!$O$3:$O$98,"&lt;="&amp;$H152,工数管理!$P$3:$P$98,"&gt;="&amp;$H152)+COUNTIFS(工数管理!$AK$3:$AK$98,L$1,工数管理!$Q$3:$Q$98,"&lt;="&amp;$H152,工数管理!$R$3:$R$98,"&gt;="&amp;$H152)+COUNTIFS(工数管理!$AK$3:$AK$98,L$1,工数管理!$S$3:$S$98,"&lt;="&amp;$H152,工数管理!$T$3:$T$98,"&gt;="&amp;$H152)+COUNTIFS(工数管理!$AK$3:$AK$98,L$1,工数管理!$U$3:$U$98,"&lt;="&amp;$H152,工数管理!$V$3:$V$98,"&gt;="&amp;$H152)+COUNTIFS(工数管理!$AK$3:$AK$98,L$1,工数管理!$W$3:$W$98,"&lt;="&amp;$H152,工数管理!$X$3:$X$98,"&gt;="&amp;$H152)+COUNTIFS(工数管理!$AK$3:$AK$98,L$1,工数管理!$Y$3:$Y$98,"&lt;="&amp;$H152,工数管理!$Z$3:$Z$98,"&gt;="&amp;$H152)+COUNTIFS(工数管理!$AK$3:$AK$98,L$1,工数管理!$AA$3:$AA$98,"&lt;="&amp;$H152,工数管理!$AB$3:$AB$98,"&gt;="&amp;$H152)+COUNTIFS(工数管理!$AK$3:$AK$98,L$1,工数管理!$AC$3:$AC$98,"&lt;="&amp;$H152,工数管理!$AD$3:$AD$98,"&gt;="&amp;$H152)+COUNTIFS(工数管理!$AK$3:$AK$98,L$1,工数管理!$AE$3:$AE$98,"&lt;="&amp;$H152,工数管理!$AF$3:$AF$98,"&gt;="&amp;$H152)+COUNTIFS(工数管理!$AK$3:$AK$98,L$1,工数管理!$AG$3:$AG$98,"&lt;="&amp;$H152,工数管理!$AH$3:$AH$98,"&gt;="&amp;$H152)+(COUNTIFS(工数管理!$AK$3:$AK$98,L$1,工数管理!$K$3:$K$98,"&lt;="&amp;$H152,工数管理!$L$3:$L$98,"")+COUNTIFS(工数管理!$AK$3:$AK$98,L$1,工数管理!$M$3:$M$98,"&lt;="&amp;$H152,工数管理!$N$3:$N$98,"")+COUNTIFS(工数管理!$AK$3:$AK$98,L$1,工数管理!$O$3:$O$98,"&lt;="&amp;$H152,工数管理!$P$3:$P$98,"")+COUNTIFS(工数管理!$AK$3:$AK$98,L$1,工数管理!$Q$3:$Q$98,"&lt;="&amp;$H152,工数管理!$R$3:$R$98,"")+COUNTIFS(工数管理!$AK$3:$AK$98,L$1,工数管理!$S$3:$S$98,"&lt;="&amp;$H152,工数管理!$T$3:$T$98,"")+COUNTIFS(工数管理!$AK$3:$AK$98,L$1,工数管理!$U$3:$U$98,"&lt;="&amp;$H152,工数管理!$V$3:$V$98,"")+COUNTIFS(工数管理!$AK$3:$AK$98,L$1,工数管理!$W$3:$W$98,"&lt;="&amp;$H152,工数管理!$X$3:$X$98,"")+COUNTIFS(工数管理!$AK$3:$AK$98,L$1,工数管理!$Y$3:$Y$98,"&lt;="&amp;$H152,工数管理!$Z$3:$Z$98,"")+COUNTIFS(工数管理!$AK$3:$AK$98,L$1,工数管理!$AA$3:$AA$98,"&lt;="&amp;$H152,工数管理!$AB$3:$AB$98,"")+COUNTIFS(工数管理!$AK$3:$AK$98,L$1,工数管理!$AC$3:$AC$98,"&lt;="&amp;$H152,工数管理!$AD$3:$AD$98,"")+COUNTIFS(工数管理!$AK$3:$AK$98,L$1,工数管理!$AE$3:$AE$98,"&lt;="&amp;$H152,工数管理!$AF$3:$AF$98,"")+COUNTIFS(工数管理!$AK$3:$AK$98,L$1,工数管理!$AG$3:$AG$98,"&lt;="&amp;$H152,工数管理!$AH$3:$AH$98,""))*($H152&lt;=工数管理!$AI$1))</f>
        <v>0</v>
      </c>
    </row>
    <row r="153" spans="1:12" x14ac:dyDescent="0.15">
      <c r="A153" s="5"/>
      <c r="B153" s="6"/>
      <c r="H153" s="41">
        <f t="shared" si="5"/>
        <v>46321</v>
      </c>
      <c r="I153" s="42">
        <f t="shared" si="4"/>
        <v>1</v>
      </c>
      <c r="J153" s="42">
        <f ca="1">IF(J$1="",0,COUNTIFS(工数管理!$AK$3:$AK$98,J$1,工数管理!$K$3:$K$98,"&lt;="&amp;$H153,工数管理!$L$3:$L$98,"&gt;="&amp;$H153)+COUNTIFS(工数管理!$AK$3:$AK$98,J$1,工数管理!$M$3:$M$98,"&lt;="&amp;$H153,工数管理!$N$3:$N$98,"&gt;="&amp;$H153)+COUNTIFS(工数管理!$AK$3:$AK$98,J$1,工数管理!$O$3:$O$98,"&lt;="&amp;$H153,工数管理!$P$3:$P$98,"&gt;="&amp;$H153)+COUNTIFS(工数管理!$AK$3:$AK$98,J$1,工数管理!$Q$3:$Q$98,"&lt;="&amp;$H153,工数管理!$R$3:$R$98,"&gt;="&amp;$H153)+COUNTIFS(工数管理!$AK$3:$AK$98,J$1,工数管理!$S$3:$S$98,"&lt;="&amp;$H153,工数管理!$T$3:$T$98,"&gt;="&amp;$H153)+COUNTIFS(工数管理!$AK$3:$AK$98,J$1,工数管理!$U$3:$U$98,"&lt;="&amp;$H153,工数管理!$V$3:$V$98,"&gt;="&amp;$H153)+COUNTIFS(工数管理!$AK$3:$AK$98,J$1,工数管理!$W$3:$W$98,"&lt;="&amp;$H153,工数管理!$X$3:$X$98,"&gt;="&amp;$H153)+COUNTIFS(工数管理!$AK$3:$AK$98,J$1,工数管理!$Y$3:$Y$98,"&lt;="&amp;$H153,工数管理!$Z$3:$Z$98,"&gt;="&amp;$H153)+COUNTIFS(工数管理!$AK$3:$AK$98,J$1,工数管理!$AA$3:$AA$98,"&lt;="&amp;$H153,工数管理!$AB$3:$AB$98,"&gt;="&amp;$H153)+COUNTIFS(工数管理!$AK$3:$AK$98,J$1,工数管理!$AC$3:$AC$98,"&lt;="&amp;$H153,工数管理!$AD$3:$AD$98,"&gt;="&amp;$H153)+COUNTIFS(工数管理!$AK$3:$AK$98,J$1,工数管理!$AE$3:$AE$98,"&lt;="&amp;$H153,工数管理!$AF$3:$AF$98,"&gt;="&amp;$H153)+COUNTIFS(工数管理!$AK$3:$AK$98,J$1,工数管理!$AG$3:$AG$98,"&lt;="&amp;$H153,工数管理!$AH$3:$AH$98,"&gt;="&amp;$H153)+(COUNTIFS(工数管理!$AK$3:$AK$98,J$1,工数管理!$K$3:$K$98,"&lt;="&amp;$H153,工数管理!$L$3:$L$98,"")+COUNTIFS(工数管理!$AK$3:$AK$98,J$1,工数管理!$M$3:$M$98,"&lt;="&amp;$H153,工数管理!$N$3:$N$98,"")+COUNTIFS(工数管理!$AK$3:$AK$98,J$1,工数管理!$O$3:$O$98,"&lt;="&amp;$H153,工数管理!$P$3:$P$98,"")+COUNTIFS(工数管理!$AK$3:$AK$98,J$1,工数管理!$Q$3:$Q$98,"&lt;="&amp;$H153,工数管理!$R$3:$R$98,"")+COUNTIFS(工数管理!$AK$3:$AK$98,J$1,工数管理!$S$3:$S$98,"&lt;="&amp;$H153,工数管理!$T$3:$T$98,"")+COUNTIFS(工数管理!$AK$3:$AK$98,J$1,工数管理!$U$3:$U$98,"&lt;="&amp;$H153,工数管理!$V$3:$V$98,"")+COUNTIFS(工数管理!$AK$3:$AK$98,J$1,工数管理!$W$3:$W$98,"&lt;="&amp;$H153,工数管理!$X$3:$X$98,"")+COUNTIFS(工数管理!$AK$3:$AK$98,J$1,工数管理!$Y$3:$Y$98,"&lt;="&amp;$H153,工数管理!$Z$3:$Z$98,"")+COUNTIFS(工数管理!$AK$3:$AK$98,J$1,工数管理!$AA$3:$AA$98,"&lt;="&amp;$H153,工数管理!$AB$3:$AB$98,"")+COUNTIFS(工数管理!$AK$3:$AK$98,J$1,工数管理!$AC$3:$AC$98,"&lt;="&amp;$H153,工数管理!$AD$3:$AD$98,"")+COUNTIFS(工数管理!$AK$3:$AK$98,J$1,工数管理!$AE$3:$AE$98,"&lt;="&amp;$H153,工数管理!$AF$3:$AF$98,"")+COUNTIFS(工数管理!$AK$3:$AK$98,J$1,工数管理!$AG$3:$AG$98,"&lt;="&amp;$H153,工数管理!$AH$3:$AH$98,""))*($H153&lt;=工数管理!$AI$1))</f>
        <v>0</v>
      </c>
      <c r="K153" s="42">
        <f ca="1">IF(K$1="",0,COUNTIFS(工数管理!$AK$3:$AK$98,K$1,工数管理!$K$3:$K$98,"&lt;="&amp;$H153,工数管理!$L$3:$L$98,"&gt;="&amp;$H153)+COUNTIFS(工数管理!$AK$3:$AK$98,K$1,工数管理!$M$3:$M$98,"&lt;="&amp;$H153,工数管理!$N$3:$N$98,"&gt;="&amp;$H153)+COUNTIFS(工数管理!$AK$3:$AK$98,K$1,工数管理!$O$3:$O$98,"&lt;="&amp;$H153,工数管理!$P$3:$P$98,"&gt;="&amp;$H153)+COUNTIFS(工数管理!$AK$3:$AK$98,K$1,工数管理!$Q$3:$Q$98,"&lt;="&amp;$H153,工数管理!$R$3:$R$98,"&gt;="&amp;$H153)+COUNTIFS(工数管理!$AK$3:$AK$98,K$1,工数管理!$S$3:$S$98,"&lt;="&amp;$H153,工数管理!$T$3:$T$98,"&gt;="&amp;$H153)+COUNTIFS(工数管理!$AK$3:$AK$98,K$1,工数管理!$U$3:$U$98,"&lt;="&amp;$H153,工数管理!$V$3:$V$98,"&gt;="&amp;$H153)+COUNTIFS(工数管理!$AK$3:$AK$98,K$1,工数管理!$W$3:$W$98,"&lt;="&amp;$H153,工数管理!$X$3:$X$98,"&gt;="&amp;$H153)+COUNTIFS(工数管理!$AK$3:$AK$98,K$1,工数管理!$Y$3:$Y$98,"&lt;="&amp;$H153,工数管理!$Z$3:$Z$98,"&gt;="&amp;$H153)+COUNTIFS(工数管理!$AK$3:$AK$98,K$1,工数管理!$AA$3:$AA$98,"&lt;="&amp;$H153,工数管理!$AB$3:$AB$98,"&gt;="&amp;$H153)+COUNTIFS(工数管理!$AK$3:$AK$98,K$1,工数管理!$AC$3:$AC$98,"&lt;="&amp;$H153,工数管理!$AD$3:$AD$98,"&gt;="&amp;$H153)+COUNTIFS(工数管理!$AK$3:$AK$98,K$1,工数管理!$AE$3:$AE$98,"&lt;="&amp;$H153,工数管理!$AF$3:$AF$98,"&gt;="&amp;$H153)+COUNTIFS(工数管理!$AK$3:$AK$98,K$1,工数管理!$AG$3:$AG$98,"&lt;="&amp;$H153,工数管理!$AH$3:$AH$98,"&gt;="&amp;$H153)+(COUNTIFS(工数管理!$AK$3:$AK$98,K$1,工数管理!$K$3:$K$98,"&lt;="&amp;$H153,工数管理!$L$3:$L$98,"")+COUNTIFS(工数管理!$AK$3:$AK$98,K$1,工数管理!$M$3:$M$98,"&lt;="&amp;$H153,工数管理!$N$3:$N$98,"")+COUNTIFS(工数管理!$AK$3:$AK$98,K$1,工数管理!$O$3:$O$98,"&lt;="&amp;$H153,工数管理!$P$3:$P$98,"")+COUNTIFS(工数管理!$AK$3:$AK$98,K$1,工数管理!$Q$3:$Q$98,"&lt;="&amp;$H153,工数管理!$R$3:$R$98,"")+COUNTIFS(工数管理!$AK$3:$AK$98,K$1,工数管理!$S$3:$S$98,"&lt;="&amp;$H153,工数管理!$T$3:$T$98,"")+COUNTIFS(工数管理!$AK$3:$AK$98,K$1,工数管理!$U$3:$U$98,"&lt;="&amp;$H153,工数管理!$V$3:$V$98,"")+COUNTIFS(工数管理!$AK$3:$AK$98,K$1,工数管理!$W$3:$W$98,"&lt;="&amp;$H153,工数管理!$X$3:$X$98,"")+COUNTIFS(工数管理!$AK$3:$AK$98,K$1,工数管理!$Y$3:$Y$98,"&lt;="&amp;$H153,工数管理!$Z$3:$Z$98,"")+COUNTIFS(工数管理!$AK$3:$AK$98,K$1,工数管理!$AA$3:$AA$98,"&lt;="&amp;$H153,工数管理!$AB$3:$AB$98,"")+COUNTIFS(工数管理!$AK$3:$AK$98,K$1,工数管理!$AC$3:$AC$98,"&lt;="&amp;$H153,工数管理!$AD$3:$AD$98,"")+COUNTIFS(工数管理!$AK$3:$AK$98,K$1,工数管理!$AE$3:$AE$98,"&lt;="&amp;$H153,工数管理!$AF$3:$AF$98,"")+COUNTIFS(工数管理!$AK$3:$AK$98,K$1,工数管理!$AG$3:$AG$98,"&lt;="&amp;$H153,工数管理!$AH$3:$AH$98,""))*($H153&lt;=工数管理!$AI$1))</f>
        <v>0</v>
      </c>
      <c r="L153" s="42">
        <f ca="1">IF(L$1="",0,COUNTIFS(工数管理!$AK$3:$AK$98,L$1,工数管理!$K$3:$K$98,"&lt;="&amp;$H153,工数管理!$L$3:$L$98,"&gt;="&amp;$H153)+COUNTIFS(工数管理!$AK$3:$AK$98,L$1,工数管理!$M$3:$M$98,"&lt;="&amp;$H153,工数管理!$N$3:$N$98,"&gt;="&amp;$H153)+COUNTIFS(工数管理!$AK$3:$AK$98,L$1,工数管理!$O$3:$O$98,"&lt;="&amp;$H153,工数管理!$P$3:$P$98,"&gt;="&amp;$H153)+COUNTIFS(工数管理!$AK$3:$AK$98,L$1,工数管理!$Q$3:$Q$98,"&lt;="&amp;$H153,工数管理!$R$3:$R$98,"&gt;="&amp;$H153)+COUNTIFS(工数管理!$AK$3:$AK$98,L$1,工数管理!$S$3:$S$98,"&lt;="&amp;$H153,工数管理!$T$3:$T$98,"&gt;="&amp;$H153)+COUNTIFS(工数管理!$AK$3:$AK$98,L$1,工数管理!$U$3:$U$98,"&lt;="&amp;$H153,工数管理!$V$3:$V$98,"&gt;="&amp;$H153)+COUNTIFS(工数管理!$AK$3:$AK$98,L$1,工数管理!$W$3:$W$98,"&lt;="&amp;$H153,工数管理!$X$3:$X$98,"&gt;="&amp;$H153)+COUNTIFS(工数管理!$AK$3:$AK$98,L$1,工数管理!$Y$3:$Y$98,"&lt;="&amp;$H153,工数管理!$Z$3:$Z$98,"&gt;="&amp;$H153)+COUNTIFS(工数管理!$AK$3:$AK$98,L$1,工数管理!$AA$3:$AA$98,"&lt;="&amp;$H153,工数管理!$AB$3:$AB$98,"&gt;="&amp;$H153)+COUNTIFS(工数管理!$AK$3:$AK$98,L$1,工数管理!$AC$3:$AC$98,"&lt;="&amp;$H153,工数管理!$AD$3:$AD$98,"&gt;="&amp;$H153)+COUNTIFS(工数管理!$AK$3:$AK$98,L$1,工数管理!$AE$3:$AE$98,"&lt;="&amp;$H153,工数管理!$AF$3:$AF$98,"&gt;="&amp;$H153)+COUNTIFS(工数管理!$AK$3:$AK$98,L$1,工数管理!$AG$3:$AG$98,"&lt;="&amp;$H153,工数管理!$AH$3:$AH$98,"&gt;="&amp;$H153)+(COUNTIFS(工数管理!$AK$3:$AK$98,L$1,工数管理!$K$3:$K$98,"&lt;="&amp;$H153,工数管理!$L$3:$L$98,"")+COUNTIFS(工数管理!$AK$3:$AK$98,L$1,工数管理!$M$3:$M$98,"&lt;="&amp;$H153,工数管理!$N$3:$N$98,"")+COUNTIFS(工数管理!$AK$3:$AK$98,L$1,工数管理!$O$3:$O$98,"&lt;="&amp;$H153,工数管理!$P$3:$P$98,"")+COUNTIFS(工数管理!$AK$3:$AK$98,L$1,工数管理!$Q$3:$Q$98,"&lt;="&amp;$H153,工数管理!$R$3:$R$98,"")+COUNTIFS(工数管理!$AK$3:$AK$98,L$1,工数管理!$S$3:$S$98,"&lt;="&amp;$H153,工数管理!$T$3:$T$98,"")+COUNTIFS(工数管理!$AK$3:$AK$98,L$1,工数管理!$U$3:$U$98,"&lt;="&amp;$H153,工数管理!$V$3:$V$98,"")+COUNTIFS(工数管理!$AK$3:$AK$98,L$1,工数管理!$W$3:$W$98,"&lt;="&amp;$H153,工数管理!$X$3:$X$98,"")+COUNTIFS(工数管理!$AK$3:$AK$98,L$1,工数管理!$Y$3:$Y$98,"&lt;="&amp;$H153,工数管理!$Z$3:$Z$98,"")+COUNTIFS(工数管理!$AK$3:$AK$98,L$1,工数管理!$AA$3:$AA$98,"&lt;="&amp;$H153,工数管理!$AB$3:$AB$98,"")+COUNTIFS(工数管理!$AK$3:$AK$98,L$1,工数管理!$AC$3:$AC$98,"&lt;="&amp;$H153,工数管理!$AD$3:$AD$98,"")+COUNTIFS(工数管理!$AK$3:$AK$98,L$1,工数管理!$AE$3:$AE$98,"&lt;="&amp;$H153,工数管理!$AF$3:$AF$98,"")+COUNTIFS(工数管理!$AK$3:$AK$98,L$1,工数管理!$AG$3:$AG$98,"&lt;="&amp;$H153,工数管理!$AH$3:$AH$98,""))*($H153&lt;=工数管理!$AI$1))</f>
        <v>0</v>
      </c>
    </row>
    <row r="154" spans="1:12" x14ac:dyDescent="0.15">
      <c r="A154" s="5"/>
      <c r="B154" s="6"/>
      <c r="H154" s="41">
        <f t="shared" si="5"/>
        <v>46322</v>
      </c>
      <c r="I154" s="42">
        <f t="shared" si="4"/>
        <v>1</v>
      </c>
      <c r="J154" s="42">
        <f ca="1">IF(J$1="",0,COUNTIFS(工数管理!$AK$3:$AK$98,J$1,工数管理!$K$3:$K$98,"&lt;="&amp;$H154,工数管理!$L$3:$L$98,"&gt;="&amp;$H154)+COUNTIFS(工数管理!$AK$3:$AK$98,J$1,工数管理!$M$3:$M$98,"&lt;="&amp;$H154,工数管理!$N$3:$N$98,"&gt;="&amp;$H154)+COUNTIFS(工数管理!$AK$3:$AK$98,J$1,工数管理!$O$3:$O$98,"&lt;="&amp;$H154,工数管理!$P$3:$P$98,"&gt;="&amp;$H154)+COUNTIFS(工数管理!$AK$3:$AK$98,J$1,工数管理!$Q$3:$Q$98,"&lt;="&amp;$H154,工数管理!$R$3:$R$98,"&gt;="&amp;$H154)+COUNTIFS(工数管理!$AK$3:$AK$98,J$1,工数管理!$S$3:$S$98,"&lt;="&amp;$H154,工数管理!$T$3:$T$98,"&gt;="&amp;$H154)+COUNTIFS(工数管理!$AK$3:$AK$98,J$1,工数管理!$U$3:$U$98,"&lt;="&amp;$H154,工数管理!$V$3:$V$98,"&gt;="&amp;$H154)+COUNTIFS(工数管理!$AK$3:$AK$98,J$1,工数管理!$W$3:$W$98,"&lt;="&amp;$H154,工数管理!$X$3:$X$98,"&gt;="&amp;$H154)+COUNTIFS(工数管理!$AK$3:$AK$98,J$1,工数管理!$Y$3:$Y$98,"&lt;="&amp;$H154,工数管理!$Z$3:$Z$98,"&gt;="&amp;$H154)+COUNTIFS(工数管理!$AK$3:$AK$98,J$1,工数管理!$AA$3:$AA$98,"&lt;="&amp;$H154,工数管理!$AB$3:$AB$98,"&gt;="&amp;$H154)+COUNTIFS(工数管理!$AK$3:$AK$98,J$1,工数管理!$AC$3:$AC$98,"&lt;="&amp;$H154,工数管理!$AD$3:$AD$98,"&gt;="&amp;$H154)+COUNTIFS(工数管理!$AK$3:$AK$98,J$1,工数管理!$AE$3:$AE$98,"&lt;="&amp;$H154,工数管理!$AF$3:$AF$98,"&gt;="&amp;$H154)+COUNTIFS(工数管理!$AK$3:$AK$98,J$1,工数管理!$AG$3:$AG$98,"&lt;="&amp;$H154,工数管理!$AH$3:$AH$98,"&gt;="&amp;$H154)+(COUNTIFS(工数管理!$AK$3:$AK$98,J$1,工数管理!$K$3:$K$98,"&lt;="&amp;$H154,工数管理!$L$3:$L$98,"")+COUNTIFS(工数管理!$AK$3:$AK$98,J$1,工数管理!$M$3:$M$98,"&lt;="&amp;$H154,工数管理!$N$3:$N$98,"")+COUNTIFS(工数管理!$AK$3:$AK$98,J$1,工数管理!$O$3:$O$98,"&lt;="&amp;$H154,工数管理!$P$3:$P$98,"")+COUNTIFS(工数管理!$AK$3:$AK$98,J$1,工数管理!$Q$3:$Q$98,"&lt;="&amp;$H154,工数管理!$R$3:$R$98,"")+COUNTIFS(工数管理!$AK$3:$AK$98,J$1,工数管理!$S$3:$S$98,"&lt;="&amp;$H154,工数管理!$T$3:$T$98,"")+COUNTIFS(工数管理!$AK$3:$AK$98,J$1,工数管理!$U$3:$U$98,"&lt;="&amp;$H154,工数管理!$V$3:$V$98,"")+COUNTIFS(工数管理!$AK$3:$AK$98,J$1,工数管理!$W$3:$W$98,"&lt;="&amp;$H154,工数管理!$X$3:$X$98,"")+COUNTIFS(工数管理!$AK$3:$AK$98,J$1,工数管理!$Y$3:$Y$98,"&lt;="&amp;$H154,工数管理!$Z$3:$Z$98,"")+COUNTIFS(工数管理!$AK$3:$AK$98,J$1,工数管理!$AA$3:$AA$98,"&lt;="&amp;$H154,工数管理!$AB$3:$AB$98,"")+COUNTIFS(工数管理!$AK$3:$AK$98,J$1,工数管理!$AC$3:$AC$98,"&lt;="&amp;$H154,工数管理!$AD$3:$AD$98,"")+COUNTIFS(工数管理!$AK$3:$AK$98,J$1,工数管理!$AE$3:$AE$98,"&lt;="&amp;$H154,工数管理!$AF$3:$AF$98,"")+COUNTIFS(工数管理!$AK$3:$AK$98,J$1,工数管理!$AG$3:$AG$98,"&lt;="&amp;$H154,工数管理!$AH$3:$AH$98,""))*($H154&lt;=工数管理!$AI$1))</f>
        <v>0</v>
      </c>
      <c r="K154" s="42">
        <f ca="1">IF(K$1="",0,COUNTIFS(工数管理!$AK$3:$AK$98,K$1,工数管理!$K$3:$K$98,"&lt;="&amp;$H154,工数管理!$L$3:$L$98,"&gt;="&amp;$H154)+COUNTIFS(工数管理!$AK$3:$AK$98,K$1,工数管理!$M$3:$M$98,"&lt;="&amp;$H154,工数管理!$N$3:$N$98,"&gt;="&amp;$H154)+COUNTIFS(工数管理!$AK$3:$AK$98,K$1,工数管理!$O$3:$O$98,"&lt;="&amp;$H154,工数管理!$P$3:$P$98,"&gt;="&amp;$H154)+COUNTIFS(工数管理!$AK$3:$AK$98,K$1,工数管理!$Q$3:$Q$98,"&lt;="&amp;$H154,工数管理!$R$3:$R$98,"&gt;="&amp;$H154)+COUNTIFS(工数管理!$AK$3:$AK$98,K$1,工数管理!$S$3:$S$98,"&lt;="&amp;$H154,工数管理!$T$3:$T$98,"&gt;="&amp;$H154)+COUNTIFS(工数管理!$AK$3:$AK$98,K$1,工数管理!$U$3:$U$98,"&lt;="&amp;$H154,工数管理!$V$3:$V$98,"&gt;="&amp;$H154)+COUNTIFS(工数管理!$AK$3:$AK$98,K$1,工数管理!$W$3:$W$98,"&lt;="&amp;$H154,工数管理!$X$3:$X$98,"&gt;="&amp;$H154)+COUNTIFS(工数管理!$AK$3:$AK$98,K$1,工数管理!$Y$3:$Y$98,"&lt;="&amp;$H154,工数管理!$Z$3:$Z$98,"&gt;="&amp;$H154)+COUNTIFS(工数管理!$AK$3:$AK$98,K$1,工数管理!$AA$3:$AA$98,"&lt;="&amp;$H154,工数管理!$AB$3:$AB$98,"&gt;="&amp;$H154)+COUNTIFS(工数管理!$AK$3:$AK$98,K$1,工数管理!$AC$3:$AC$98,"&lt;="&amp;$H154,工数管理!$AD$3:$AD$98,"&gt;="&amp;$H154)+COUNTIFS(工数管理!$AK$3:$AK$98,K$1,工数管理!$AE$3:$AE$98,"&lt;="&amp;$H154,工数管理!$AF$3:$AF$98,"&gt;="&amp;$H154)+COUNTIFS(工数管理!$AK$3:$AK$98,K$1,工数管理!$AG$3:$AG$98,"&lt;="&amp;$H154,工数管理!$AH$3:$AH$98,"&gt;="&amp;$H154)+(COUNTIFS(工数管理!$AK$3:$AK$98,K$1,工数管理!$K$3:$K$98,"&lt;="&amp;$H154,工数管理!$L$3:$L$98,"")+COUNTIFS(工数管理!$AK$3:$AK$98,K$1,工数管理!$M$3:$M$98,"&lt;="&amp;$H154,工数管理!$N$3:$N$98,"")+COUNTIFS(工数管理!$AK$3:$AK$98,K$1,工数管理!$O$3:$O$98,"&lt;="&amp;$H154,工数管理!$P$3:$P$98,"")+COUNTIFS(工数管理!$AK$3:$AK$98,K$1,工数管理!$Q$3:$Q$98,"&lt;="&amp;$H154,工数管理!$R$3:$R$98,"")+COUNTIFS(工数管理!$AK$3:$AK$98,K$1,工数管理!$S$3:$S$98,"&lt;="&amp;$H154,工数管理!$T$3:$T$98,"")+COUNTIFS(工数管理!$AK$3:$AK$98,K$1,工数管理!$U$3:$U$98,"&lt;="&amp;$H154,工数管理!$V$3:$V$98,"")+COUNTIFS(工数管理!$AK$3:$AK$98,K$1,工数管理!$W$3:$W$98,"&lt;="&amp;$H154,工数管理!$X$3:$X$98,"")+COUNTIFS(工数管理!$AK$3:$AK$98,K$1,工数管理!$Y$3:$Y$98,"&lt;="&amp;$H154,工数管理!$Z$3:$Z$98,"")+COUNTIFS(工数管理!$AK$3:$AK$98,K$1,工数管理!$AA$3:$AA$98,"&lt;="&amp;$H154,工数管理!$AB$3:$AB$98,"")+COUNTIFS(工数管理!$AK$3:$AK$98,K$1,工数管理!$AC$3:$AC$98,"&lt;="&amp;$H154,工数管理!$AD$3:$AD$98,"")+COUNTIFS(工数管理!$AK$3:$AK$98,K$1,工数管理!$AE$3:$AE$98,"&lt;="&amp;$H154,工数管理!$AF$3:$AF$98,"")+COUNTIFS(工数管理!$AK$3:$AK$98,K$1,工数管理!$AG$3:$AG$98,"&lt;="&amp;$H154,工数管理!$AH$3:$AH$98,""))*($H154&lt;=工数管理!$AI$1))</f>
        <v>0</v>
      </c>
      <c r="L154" s="42">
        <f ca="1">IF(L$1="",0,COUNTIFS(工数管理!$AK$3:$AK$98,L$1,工数管理!$K$3:$K$98,"&lt;="&amp;$H154,工数管理!$L$3:$L$98,"&gt;="&amp;$H154)+COUNTIFS(工数管理!$AK$3:$AK$98,L$1,工数管理!$M$3:$M$98,"&lt;="&amp;$H154,工数管理!$N$3:$N$98,"&gt;="&amp;$H154)+COUNTIFS(工数管理!$AK$3:$AK$98,L$1,工数管理!$O$3:$O$98,"&lt;="&amp;$H154,工数管理!$P$3:$P$98,"&gt;="&amp;$H154)+COUNTIFS(工数管理!$AK$3:$AK$98,L$1,工数管理!$Q$3:$Q$98,"&lt;="&amp;$H154,工数管理!$R$3:$R$98,"&gt;="&amp;$H154)+COUNTIFS(工数管理!$AK$3:$AK$98,L$1,工数管理!$S$3:$S$98,"&lt;="&amp;$H154,工数管理!$T$3:$T$98,"&gt;="&amp;$H154)+COUNTIFS(工数管理!$AK$3:$AK$98,L$1,工数管理!$U$3:$U$98,"&lt;="&amp;$H154,工数管理!$V$3:$V$98,"&gt;="&amp;$H154)+COUNTIFS(工数管理!$AK$3:$AK$98,L$1,工数管理!$W$3:$W$98,"&lt;="&amp;$H154,工数管理!$X$3:$X$98,"&gt;="&amp;$H154)+COUNTIFS(工数管理!$AK$3:$AK$98,L$1,工数管理!$Y$3:$Y$98,"&lt;="&amp;$H154,工数管理!$Z$3:$Z$98,"&gt;="&amp;$H154)+COUNTIFS(工数管理!$AK$3:$AK$98,L$1,工数管理!$AA$3:$AA$98,"&lt;="&amp;$H154,工数管理!$AB$3:$AB$98,"&gt;="&amp;$H154)+COUNTIFS(工数管理!$AK$3:$AK$98,L$1,工数管理!$AC$3:$AC$98,"&lt;="&amp;$H154,工数管理!$AD$3:$AD$98,"&gt;="&amp;$H154)+COUNTIFS(工数管理!$AK$3:$AK$98,L$1,工数管理!$AE$3:$AE$98,"&lt;="&amp;$H154,工数管理!$AF$3:$AF$98,"&gt;="&amp;$H154)+COUNTIFS(工数管理!$AK$3:$AK$98,L$1,工数管理!$AG$3:$AG$98,"&lt;="&amp;$H154,工数管理!$AH$3:$AH$98,"&gt;="&amp;$H154)+(COUNTIFS(工数管理!$AK$3:$AK$98,L$1,工数管理!$K$3:$K$98,"&lt;="&amp;$H154,工数管理!$L$3:$L$98,"")+COUNTIFS(工数管理!$AK$3:$AK$98,L$1,工数管理!$M$3:$M$98,"&lt;="&amp;$H154,工数管理!$N$3:$N$98,"")+COUNTIFS(工数管理!$AK$3:$AK$98,L$1,工数管理!$O$3:$O$98,"&lt;="&amp;$H154,工数管理!$P$3:$P$98,"")+COUNTIFS(工数管理!$AK$3:$AK$98,L$1,工数管理!$Q$3:$Q$98,"&lt;="&amp;$H154,工数管理!$R$3:$R$98,"")+COUNTIFS(工数管理!$AK$3:$AK$98,L$1,工数管理!$S$3:$S$98,"&lt;="&amp;$H154,工数管理!$T$3:$T$98,"")+COUNTIFS(工数管理!$AK$3:$AK$98,L$1,工数管理!$U$3:$U$98,"&lt;="&amp;$H154,工数管理!$V$3:$V$98,"")+COUNTIFS(工数管理!$AK$3:$AK$98,L$1,工数管理!$W$3:$W$98,"&lt;="&amp;$H154,工数管理!$X$3:$X$98,"")+COUNTIFS(工数管理!$AK$3:$AK$98,L$1,工数管理!$Y$3:$Y$98,"&lt;="&amp;$H154,工数管理!$Z$3:$Z$98,"")+COUNTIFS(工数管理!$AK$3:$AK$98,L$1,工数管理!$AA$3:$AA$98,"&lt;="&amp;$H154,工数管理!$AB$3:$AB$98,"")+COUNTIFS(工数管理!$AK$3:$AK$98,L$1,工数管理!$AC$3:$AC$98,"&lt;="&amp;$H154,工数管理!$AD$3:$AD$98,"")+COUNTIFS(工数管理!$AK$3:$AK$98,L$1,工数管理!$AE$3:$AE$98,"&lt;="&amp;$H154,工数管理!$AF$3:$AF$98,"")+COUNTIFS(工数管理!$AK$3:$AK$98,L$1,工数管理!$AG$3:$AG$98,"&lt;="&amp;$H154,工数管理!$AH$3:$AH$98,""))*($H154&lt;=工数管理!$AI$1))</f>
        <v>0</v>
      </c>
    </row>
    <row r="155" spans="1:12" x14ac:dyDescent="0.15">
      <c r="A155" s="5"/>
      <c r="B155" s="6"/>
      <c r="H155" s="41">
        <f t="shared" si="5"/>
        <v>46323</v>
      </c>
      <c r="I155" s="42">
        <f t="shared" si="4"/>
        <v>1</v>
      </c>
      <c r="J155" s="42">
        <f ca="1">IF(J$1="",0,COUNTIFS(工数管理!$AK$3:$AK$98,J$1,工数管理!$K$3:$K$98,"&lt;="&amp;$H155,工数管理!$L$3:$L$98,"&gt;="&amp;$H155)+COUNTIFS(工数管理!$AK$3:$AK$98,J$1,工数管理!$M$3:$M$98,"&lt;="&amp;$H155,工数管理!$N$3:$N$98,"&gt;="&amp;$H155)+COUNTIFS(工数管理!$AK$3:$AK$98,J$1,工数管理!$O$3:$O$98,"&lt;="&amp;$H155,工数管理!$P$3:$P$98,"&gt;="&amp;$H155)+COUNTIFS(工数管理!$AK$3:$AK$98,J$1,工数管理!$Q$3:$Q$98,"&lt;="&amp;$H155,工数管理!$R$3:$R$98,"&gt;="&amp;$H155)+COUNTIFS(工数管理!$AK$3:$AK$98,J$1,工数管理!$S$3:$S$98,"&lt;="&amp;$H155,工数管理!$T$3:$T$98,"&gt;="&amp;$H155)+COUNTIFS(工数管理!$AK$3:$AK$98,J$1,工数管理!$U$3:$U$98,"&lt;="&amp;$H155,工数管理!$V$3:$V$98,"&gt;="&amp;$H155)+COUNTIFS(工数管理!$AK$3:$AK$98,J$1,工数管理!$W$3:$W$98,"&lt;="&amp;$H155,工数管理!$X$3:$X$98,"&gt;="&amp;$H155)+COUNTIFS(工数管理!$AK$3:$AK$98,J$1,工数管理!$Y$3:$Y$98,"&lt;="&amp;$H155,工数管理!$Z$3:$Z$98,"&gt;="&amp;$H155)+COUNTIFS(工数管理!$AK$3:$AK$98,J$1,工数管理!$AA$3:$AA$98,"&lt;="&amp;$H155,工数管理!$AB$3:$AB$98,"&gt;="&amp;$H155)+COUNTIFS(工数管理!$AK$3:$AK$98,J$1,工数管理!$AC$3:$AC$98,"&lt;="&amp;$H155,工数管理!$AD$3:$AD$98,"&gt;="&amp;$H155)+COUNTIFS(工数管理!$AK$3:$AK$98,J$1,工数管理!$AE$3:$AE$98,"&lt;="&amp;$H155,工数管理!$AF$3:$AF$98,"&gt;="&amp;$H155)+COUNTIFS(工数管理!$AK$3:$AK$98,J$1,工数管理!$AG$3:$AG$98,"&lt;="&amp;$H155,工数管理!$AH$3:$AH$98,"&gt;="&amp;$H155)+(COUNTIFS(工数管理!$AK$3:$AK$98,J$1,工数管理!$K$3:$K$98,"&lt;="&amp;$H155,工数管理!$L$3:$L$98,"")+COUNTIFS(工数管理!$AK$3:$AK$98,J$1,工数管理!$M$3:$M$98,"&lt;="&amp;$H155,工数管理!$N$3:$N$98,"")+COUNTIFS(工数管理!$AK$3:$AK$98,J$1,工数管理!$O$3:$O$98,"&lt;="&amp;$H155,工数管理!$P$3:$P$98,"")+COUNTIFS(工数管理!$AK$3:$AK$98,J$1,工数管理!$Q$3:$Q$98,"&lt;="&amp;$H155,工数管理!$R$3:$R$98,"")+COUNTIFS(工数管理!$AK$3:$AK$98,J$1,工数管理!$S$3:$S$98,"&lt;="&amp;$H155,工数管理!$T$3:$T$98,"")+COUNTIFS(工数管理!$AK$3:$AK$98,J$1,工数管理!$U$3:$U$98,"&lt;="&amp;$H155,工数管理!$V$3:$V$98,"")+COUNTIFS(工数管理!$AK$3:$AK$98,J$1,工数管理!$W$3:$W$98,"&lt;="&amp;$H155,工数管理!$X$3:$X$98,"")+COUNTIFS(工数管理!$AK$3:$AK$98,J$1,工数管理!$Y$3:$Y$98,"&lt;="&amp;$H155,工数管理!$Z$3:$Z$98,"")+COUNTIFS(工数管理!$AK$3:$AK$98,J$1,工数管理!$AA$3:$AA$98,"&lt;="&amp;$H155,工数管理!$AB$3:$AB$98,"")+COUNTIFS(工数管理!$AK$3:$AK$98,J$1,工数管理!$AC$3:$AC$98,"&lt;="&amp;$H155,工数管理!$AD$3:$AD$98,"")+COUNTIFS(工数管理!$AK$3:$AK$98,J$1,工数管理!$AE$3:$AE$98,"&lt;="&amp;$H155,工数管理!$AF$3:$AF$98,"")+COUNTIFS(工数管理!$AK$3:$AK$98,J$1,工数管理!$AG$3:$AG$98,"&lt;="&amp;$H155,工数管理!$AH$3:$AH$98,""))*($H155&lt;=工数管理!$AI$1))</f>
        <v>0</v>
      </c>
      <c r="K155" s="42">
        <f ca="1">IF(K$1="",0,COUNTIFS(工数管理!$AK$3:$AK$98,K$1,工数管理!$K$3:$K$98,"&lt;="&amp;$H155,工数管理!$L$3:$L$98,"&gt;="&amp;$H155)+COUNTIFS(工数管理!$AK$3:$AK$98,K$1,工数管理!$M$3:$M$98,"&lt;="&amp;$H155,工数管理!$N$3:$N$98,"&gt;="&amp;$H155)+COUNTIFS(工数管理!$AK$3:$AK$98,K$1,工数管理!$O$3:$O$98,"&lt;="&amp;$H155,工数管理!$P$3:$P$98,"&gt;="&amp;$H155)+COUNTIFS(工数管理!$AK$3:$AK$98,K$1,工数管理!$Q$3:$Q$98,"&lt;="&amp;$H155,工数管理!$R$3:$R$98,"&gt;="&amp;$H155)+COUNTIFS(工数管理!$AK$3:$AK$98,K$1,工数管理!$S$3:$S$98,"&lt;="&amp;$H155,工数管理!$T$3:$T$98,"&gt;="&amp;$H155)+COUNTIFS(工数管理!$AK$3:$AK$98,K$1,工数管理!$U$3:$U$98,"&lt;="&amp;$H155,工数管理!$V$3:$V$98,"&gt;="&amp;$H155)+COUNTIFS(工数管理!$AK$3:$AK$98,K$1,工数管理!$W$3:$W$98,"&lt;="&amp;$H155,工数管理!$X$3:$X$98,"&gt;="&amp;$H155)+COUNTIFS(工数管理!$AK$3:$AK$98,K$1,工数管理!$Y$3:$Y$98,"&lt;="&amp;$H155,工数管理!$Z$3:$Z$98,"&gt;="&amp;$H155)+COUNTIFS(工数管理!$AK$3:$AK$98,K$1,工数管理!$AA$3:$AA$98,"&lt;="&amp;$H155,工数管理!$AB$3:$AB$98,"&gt;="&amp;$H155)+COUNTIFS(工数管理!$AK$3:$AK$98,K$1,工数管理!$AC$3:$AC$98,"&lt;="&amp;$H155,工数管理!$AD$3:$AD$98,"&gt;="&amp;$H155)+COUNTIFS(工数管理!$AK$3:$AK$98,K$1,工数管理!$AE$3:$AE$98,"&lt;="&amp;$H155,工数管理!$AF$3:$AF$98,"&gt;="&amp;$H155)+COUNTIFS(工数管理!$AK$3:$AK$98,K$1,工数管理!$AG$3:$AG$98,"&lt;="&amp;$H155,工数管理!$AH$3:$AH$98,"&gt;="&amp;$H155)+(COUNTIFS(工数管理!$AK$3:$AK$98,K$1,工数管理!$K$3:$K$98,"&lt;="&amp;$H155,工数管理!$L$3:$L$98,"")+COUNTIFS(工数管理!$AK$3:$AK$98,K$1,工数管理!$M$3:$M$98,"&lt;="&amp;$H155,工数管理!$N$3:$N$98,"")+COUNTIFS(工数管理!$AK$3:$AK$98,K$1,工数管理!$O$3:$O$98,"&lt;="&amp;$H155,工数管理!$P$3:$P$98,"")+COUNTIFS(工数管理!$AK$3:$AK$98,K$1,工数管理!$Q$3:$Q$98,"&lt;="&amp;$H155,工数管理!$R$3:$R$98,"")+COUNTIFS(工数管理!$AK$3:$AK$98,K$1,工数管理!$S$3:$S$98,"&lt;="&amp;$H155,工数管理!$T$3:$T$98,"")+COUNTIFS(工数管理!$AK$3:$AK$98,K$1,工数管理!$U$3:$U$98,"&lt;="&amp;$H155,工数管理!$V$3:$V$98,"")+COUNTIFS(工数管理!$AK$3:$AK$98,K$1,工数管理!$W$3:$W$98,"&lt;="&amp;$H155,工数管理!$X$3:$X$98,"")+COUNTIFS(工数管理!$AK$3:$AK$98,K$1,工数管理!$Y$3:$Y$98,"&lt;="&amp;$H155,工数管理!$Z$3:$Z$98,"")+COUNTIFS(工数管理!$AK$3:$AK$98,K$1,工数管理!$AA$3:$AA$98,"&lt;="&amp;$H155,工数管理!$AB$3:$AB$98,"")+COUNTIFS(工数管理!$AK$3:$AK$98,K$1,工数管理!$AC$3:$AC$98,"&lt;="&amp;$H155,工数管理!$AD$3:$AD$98,"")+COUNTIFS(工数管理!$AK$3:$AK$98,K$1,工数管理!$AE$3:$AE$98,"&lt;="&amp;$H155,工数管理!$AF$3:$AF$98,"")+COUNTIFS(工数管理!$AK$3:$AK$98,K$1,工数管理!$AG$3:$AG$98,"&lt;="&amp;$H155,工数管理!$AH$3:$AH$98,""))*($H155&lt;=工数管理!$AI$1))</f>
        <v>0</v>
      </c>
      <c r="L155" s="42">
        <f ca="1">IF(L$1="",0,COUNTIFS(工数管理!$AK$3:$AK$98,L$1,工数管理!$K$3:$K$98,"&lt;="&amp;$H155,工数管理!$L$3:$L$98,"&gt;="&amp;$H155)+COUNTIFS(工数管理!$AK$3:$AK$98,L$1,工数管理!$M$3:$M$98,"&lt;="&amp;$H155,工数管理!$N$3:$N$98,"&gt;="&amp;$H155)+COUNTIFS(工数管理!$AK$3:$AK$98,L$1,工数管理!$O$3:$O$98,"&lt;="&amp;$H155,工数管理!$P$3:$P$98,"&gt;="&amp;$H155)+COUNTIFS(工数管理!$AK$3:$AK$98,L$1,工数管理!$Q$3:$Q$98,"&lt;="&amp;$H155,工数管理!$R$3:$R$98,"&gt;="&amp;$H155)+COUNTIFS(工数管理!$AK$3:$AK$98,L$1,工数管理!$S$3:$S$98,"&lt;="&amp;$H155,工数管理!$T$3:$T$98,"&gt;="&amp;$H155)+COUNTIFS(工数管理!$AK$3:$AK$98,L$1,工数管理!$U$3:$U$98,"&lt;="&amp;$H155,工数管理!$V$3:$V$98,"&gt;="&amp;$H155)+COUNTIFS(工数管理!$AK$3:$AK$98,L$1,工数管理!$W$3:$W$98,"&lt;="&amp;$H155,工数管理!$X$3:$X$98,"&gt;="&amp;$H155)+COUNTIFS(工数管理!$AK$3:$AK$98,L$1,工数管理!$Y$3:$Y$98,"&lt;="&amp;$H155,工数管理!$Z$3:$Z$98,"&gt;="&amp;$H155)+COUNTIFS(工数管理!$AK$3:$AK$98,L$1,工数管理!$AA$3:$AA$98,"&lt;="&amp;$H155,工数管理!$AB$3:$AB$98,"&gt;="&amp;$H155)+COUNTIFS(工数管理!$AK$3:$AK$98,L$1,工数管理!$AC$3:$AC$98,"&lt;="&amp;$H155,工数管理!$AD$3:$AD$98,"&gt;="&amp;$H155)+COUNTIFS(工数管理!$AK$3:$AK$98,L$1,工数管理!$AE$3:$AE$98,"&lt;="&amp;$H155,工数管理!$AF$3:$AF$98,"&gt;="&amp;$H155)+COUNTIFS(工数管理!$AK$3:$AK$98,L$1,工数管理!$AG$3:$AG$98,"&lt;="&amp;$H155,工数管理!$AH$3:$AH$98,"&gt;="&amp;$H155)+(COUNTIFS(工数管理!$AK$3:$AK$98,L$1,工数管理!$K$3:$K$98,"&lt;="&amp;$H155,工数管理!$L$3:$L$98,"")+COUNTIFS(工数管理!$AK$3:$AK$98,L$1,工数管理!$M$3:$M$98,"&lt;="&amp;$H155,工数管理!$N$3:$N$98,"")+COUNTIFS(工数管理!$AK$3:$AK$98,L$1,工数管理!$O$3:$O$98,"&lt;="&amp;$H155,工数管理!$P$3:$P$98,"")+COUNTIFS(工数管理!$AK$3:$AK$98,L$1,工数管理!$Q$3:$Q$98,"&lt;="&amp;$H155,工数管理!$R$3:$R$98,"")+COUNTIFS(工数管理!$AK$3:$AK$98,L$1,工数管理!$S$3:$S$98,"&lt;="&amp;$H155,工数管理!$T$3:$T$98,"")+COUNTIFS(工数管理!$AK$3:$AK$98,L$1,工数管理!$U$3:$U$98,"&lt;="&amp;$H155,工数管理!$V$3:$V$98,"")+COUNTIFS(工数管理!$AK$3:$AK$98,L$1,工数管理!$W$3:$W$98,"&lt;="&amp;$H155,工数管理!$X$3:$X$98,"")+COUNTIFS(工数管理!$AK$3:$AK$98,L$1,工数管理!$Y$3:$Y$98,"&lt;="&amp;$H155,工数管理!$Z$3:$Z$98,"")+COUNTIFS(工数管理!$AK$3:$AK$98,L$1,工数管理!$AA$3:$AA$98,"&lt;="&amp;$H155,工数管理!$AB$3:$AB$98,"")+COUNTIFS(工数管理!$AK$3:$AK$98,L$1,工数管理!$AC$3:$AC$98,"&lt;="&amp;$H155,工数管理!$AD$3:$AD$98,"")+COUNTIFS(工数管理!$AK$3:$AK$98,L$1,工数管理!$AE$3:$AE$98,"&lt;="&amp;$H155,工数管理!$AF$3:$AF$98,"")+COUNTIFS(工数管理!$AK$3:$AK$98,L$1,工数管理!$AG$3:$AG$98,"&lt;="&amp;$H155,工数管理!$AH$3:$AH$98,""))*($H155&lt;=工数管理!$AI$1))</f>
        <v>0</v>
      </c>
    </row>
    <row r="156" spans="1:12" x14ac:dyDescent="0.15">
      <c r="A156" s="5"/>
      <c r="B156" s="6"/>
      <c r="H156" s="41">
        <f t="shared" si="5"/>
        <v>46324</v>
      </c>
      <c r="I156" s="42">
        <f t="shared" si="4"/>
        <v>1</v>
      </c>
      <c r="J156" s="42">
        <f ca="1">IF(J$1="",0,COUNTIFS(工数管理!$AK$3:$AK$98,J$1,工数管理!$K$3:$K$98,"&lt;="&amp;$H156,工数管理!$L$3:$L$98,"&gt;="&amp;$H156)+COUNTIFS(工数管理!$AK$3:$AK$98,J$1,工数管理!$M$3:$M$98,"&lt;="&amp;$H156,工数管理!$N$3:$N$98,"&gt;="&amp;$H156)+COUNTIFS(工数管理!$AK$3:$AK$98,J$1,工数管理!$O$3:$O$98,"&lt;="&amp;$H156,工数管理!$P$3:$P$98,"&gt;="&amp;$H156)+COUNTIFS(工数管理!$AK$3:$AK$98,J$1,工数管理!$Q$3:$Q$98,"&lt;="&amp;$H156,工数管理!$R$3:$R$98,"&gt;="&amp;$H156)+COUNTIFS(工数管理!$AK$3:$AK$98,J$1,工数管理!$S$3:$S$98,"&lt;="&amp;$H156,工数管理!$T$3:$T$98,"&gt;="&amp;$H156)+COUNTIFS(工数管理!$AK$3:$AK$98,J$1,工数管理!$U$3:$U$98,"&lt;="&amp;$H156,工数管理!$V$3:$V$98,"&gt;="&amp;$H156)+COUNTIFS(工数管理!$AK$3:$AK$98,J$1,工数管理!$W$3:$W$98,"&lt;="&amp;$H156,工数管理!$X$3:$X$98,"&gt;="&amp;$H156)+COUNTIFS(工数管理!$AK$3:$AK$98,J$1,工数管理!$Y$3:$Y$98,"&lt;="&amp;$H156,工数管理!$Z$3:$Z$98,"&gt;="&amp;$H156)+COUNTIFS(工数管理!$AK$3:$AK$98,J$1,工数管理!$AA$3:$AA$98,"&lt;="&amp;$H156,工数管理!$AB$3:$AB$98,"&gt;="&amp;$H156)+COUNTIFS(工数管理!$AK$3:$AK$98,J$1,工数管理!$AC$3:$AC$98,"&lt;="&amp;$H156,工数管理!$AD$3:$AD$98,"&gt;="&amp;$H156)+COUNTIFS(工数管理!$AK$3:$AK$98,J$1,工数管理!$AE$3:$AE$98,"&lt;="&amp;$H156,工数管理!$AF$3:$AF$98,"&gt;="&amp;$H156)+COUNTIFS(工数管理!$AK$3:$AK$98,J$1,工数管理!$AG$3:$AG$98,"&lt;="&amp;$H156,工数管理!$AH$3:$AH$98,"&gt;="&amp;$H156)+(COUNTIFS(工数管理!$AK$3:$AK$98,J$1,工数管理!$K$3:$K$98,"&lt;="&amp;$H156,工数管理!$L$3:$L$98,"")+COUNTIFS(工数管理!$AK$3:$AK$98,J$1,工数管理!$M$3:$M$98,"&lt;="&amp;$H156,工数管理!$N$3:$N$98,"")+COUNTIFS(工数管理!$AK$3:$AK$98,J$1,工数管理!$O$3:$O$98,"&lt;="&amp;$H156,工数管理!$P$3:$P$98,"")+COUNTIFS(工数管理!$AK$3:$AK$98,J$1,工数管理!$Q$3:$Q$98,"&lt;="&amp;$H156,工数管理!$R$3:$R$98,"")+COUNTIFS(工数管理!$AK$3:$AK$98,J$1,工数管理!$S$3:$S$98,"&lt;="&amp;$H156,工数管理!$T$3:$T$98,"")+COUNTIFS(工数管理!$AK$3:$AK$98,J$1,工数管理!$U$3:$U$98,"&lt;="&amp;$H156,工数管理!$V$3:$V$98,"")+COUNTIFS(工数管理!$AK$3:$AK$98,J$1,工数管理!$W$3:$W$98,"&lt;="&amp;$H156,工数管理!$X$3:$X$98,"")+COUNTIFS(工数管理!$AK$3:$AK$98,J$1,工数管理!$Y$3:$Y$98,"&lt;="&amp;$H156,工数管理!$Z$3:$Z$98,"")+COUNTIFS(工数管理!$AK$3:$AK$98,J$1,工数管理!$AA$3:$AA$98,"&lt;="&amp;$H156,工数管理!$AB$3:$AB$98,"")+COUNTIFS(工数管理!$AK$3:$AK$98,J$1,工数管理!$AC$3:$AC$98,"&lt;="&amp;$H156,工数管理!$AD$3:$AD$98,"")+COUNTIFS(工数管理!$AK$3:$AK$98,J$1,工数管理!$AE$3:$AE$98,"&lt;="&amp;$H156,工数管理!$AF$3:$AF$98,"")+COUNTIFS(工数管理!$AK$3:$AK$98,J$1,工数管理!$AG$3:$AG$98,"&lt;="&amp;$H156,工数管理!$AH$3:$AH$98,""))*($H156&lt;=工数管理!$AI$1))</f>
        <v>0</v>
      </c>
      <c r="K156" s="42">
        <f ca="1">IF(K$1="",0,COUNTIFS(工数管理!$AK$3:$AK$98,K$1,工数管理!$K$3:$K$98,"&lt;="&amp;$H156,工数管理!$L$3:$L$98,"&gt;="&amp;$H156)+COUNTIFS(工数管理!$AK$3:$AK$98,K$1,工数管理!$M$3:$M$98,"&lt;="&amp;$H156,工数管理!$N$3:$N$98,"&gt;="&amp;$H156)+COUNTIFS(工数管理!$AK$3:$AK$98,K$1,工数管理!$O$3:$O$98,"&lt;="&amp;$H156,工数管理!$P$3:$P$98,"&gt;="&amp;$H156)+COUNTIFS(工数管理!$AK$3:$AK$98,K$1,工数管理!$Q$3:$Q$98,"&lt;="&amp;$H156,工数管理!$R$3:$R$98,"&gt;="&amp;$H156)+COUNTIFS(工数管理!$AK$3:$AK$98,K$1,工数管理!$S$3:$S$98,"&lt;="&amp;$H156,工数管理!$T$3:$T$98,"&gt;="&amp;$H156)+COUNTIFS(工数管理!$AK$3:$AK$98,K$1,工数管理!$U$3:$U$98,"&lt;="&amp;$H156,工数管理!$V$3:$V$98,"&gt;="&amp;$H156)+COUNTIFS(工数管理!$AK$3:$AK$98,K$1,工数管理!$W$3:$W$98,"&lt;="&amp;$H156,工数管理!$X$3:$X$98,"&gt;="&amp;$H156)+COUNTIFS(工数管理!$AK$3:$AK$98,K$1,工数管理!$Y$3:$Y$98,"&lt;="&amp;$H156,工数管理!$Z$3:$Z$98,"&gt;="&amp;$H156)+COUNTIFS(工数管理!$AK$3:$AK$98,K$1,工数管理!$AA$3:$AA$98,"&lt;="&amp;$H156,工数管理!$AB$3:$AB$98,"&gt;="&amp;$H156)+COUNTIFS(工数管理!$AK$3:$AK$98,K$1,工数管理!$AC$3:$AC$98,"&lt;="&amp;$H156,工数管理!$AD$3:$AD$98,"&gt;="&amp;$H156)+COUNTIFS(工数管理!$AK$3:$AK$98,K$1,工数管理!$AE$3:$AE$98,"&lt;="&amp;$H156,工数管理!$AF$3:$AF$98,"&gt;="&amp;$H156)+COUNTIFS(工数管理!$AK$3:$AK$98,K$1,工数管理!$AG$3:$AG$98,"&lt;="&amp;$H156,工数管理!$AH$3:$AH$98,"&gt;="&amp;$H156)+(COUNTIFS(工数管理!$AK$3:$AK$98,K$1,工数管理!$K$3:$K$98,"&lt;="&amp;$H156,工数管理!$L$3:$L$98,"")+COUNTIFS(工数管理!$AK$3:$AK$98,K$1,工数管理!$M$3:$M$98,"&lt;="&amp;$H156,工数管理!$N$3:$N$98,"")+COUNTIFS(工数管理!$AK$3:$AK$98,K$1,工数管理!$O$3:$O$98,"&lt;="&amp;$H156,工数管理!$P$3:$P$98,"")+COUNTIFS(工数管理!$AK$3:$AK$98,K$1,工数管理!$Q$3:$Q$98,"&lt;="&amp;$H156,工数管理!$R$3:$R$98,"")+COUNTIFS(工数管理!$AK$3:$AK$98,K$1,工数管理!$S$3:$S$98,"&lt;="&amp;$H156,工数管理!$T$3:$T$98,"")+COUNTIFS(工数管理!$AK$3:$AK$98,K$1,工数管理!$U$3:$U$98,"&lt;="&amp;$H156,工数管理!$V$3:$V$98,"")+COUNTIFS(工数管理!$AK$3:$AK$98,K$1,工数管理!$W$3:$W$98,"&lt;="&amp;$H156,工数管理!$X$3:$X$98,"")+COUNTIFS(工数管理!$AK$3:$AK$98,K$1,工数管理!$Y$3:$Y$98,"&lt;="&amp;$H156,工数管理!$Z$3:$Z$98,"")+COUNTIFS(工数管理!$AK$3:$AK$98,K$1,工数管理!$AA$3:$AA$98,"&lt;="&amp;$H156,工数管理!$AB$3:$AB$98,"")+COUNTIFS(工数管理!$AK$3:$AK$98,K$1,工数管理!$AC$3:$AC$98,"&lt;="&amp;$H156,工数管理!$AD$3:$AD$98,"")+COUNTIFS(工数管理!$AK$3:$AK$98,K$1,工数管理!$AE$3:$AE$98,"&lt;="&amp;$H156,工数管理!$AF$3:$AF$98,"")+COUNTIFS(工数管理!$AK$3:$AK$98,K$1,工数管理!$AG$3:$AG$98,"&lt;="&amp;$H156,工数管理!$AH$3:$AH$98,""))*($H156&lt;=工数管理!$AI$1))</f>
        <v>0</v>
      </c>
      <c r="L156" s="42">
        <f ca="1">IF(L$1="",0,COUNTIFS(工数管理!$AK$3:$AK$98,L$1,工数管理!$K$3:$K$98,"&lt;="&amp;$H156,工数管理!$L$3:$L$98,"&gt;="&amp;$H156)+COUNTIFS(工数管理!$AK$3:$AK$98,L$1,工数管理!$M$3:$M$98,"&lt;="&amp;$H156,工数管理!$N$3:$N$98,"&gt;="&amp;$H156)+COUNTIFS(工数管理!$AK$3:$AK$98,L$1,工数管理!$O$3:$O$98,"&lt;="&amp;$H156,工数管理!$P$3:$P$98,"&gt;="&amp;$H156)+COUNTIFS(工数管理!$AK$3:$AK$98,L$1,工数管理!$Q$3:$Q$98,"&lt;="&amp;$H156,工数管理!$R$3:$R$98,"&gt;="&amp;$H156)+COUNTIFS(工数管理!$AK$3:$AK$98,L$1,工数管理!$S$3:$S$98,"&lt;="&amp;$H156,工数管理!$T$3:$T$98,"&gt;="&amp;$H156)+COUNTIFS(工数管理!$AK$3:$AK$98,L$1,工数管理!$U$3:$U$98,"&lt;="&amp;$H156,工数管理!$V$3:$V$98,"&gt;="&amp;$H156)+COUNTIFS(工数管理!$AK$3:$AK$98,L$1,工数管理!$W$3:$W$98,"&lt;="&amp;$H156,工数管理!$X$3:$X$98,"&gt;="&amp;$H156)+COUNTIFS(工数管理!$AK$3:$AK$98,L$1,工数管理!$Y$3:$Y$98,"&lt;="&amp;$H156,工数管理!$Z$3:$Z$98,"&gt;="&amp;$H156)+COUNTIFS(工数管理!$AK$3:$AK$98,L$1,工数管理!$AA$3:$AA$98,"&lt;="&amp;$H156,工数管理!$AB$3:$AB$98,"&gt;="&amp;$H156)+COUNTIFS(工数管理!$AK$3:$AK$98,L$1,工数管理!$AC$3:$AC$98,"&lt;="&amp;$H156,工数管理!$AD$3:$AD$98,"&gt;="&amp;$H156)+COUNTIFS(工数管理!$AK$3:$AK$98,L$1,工数管理!$AE$3:$AE$98,"&lt;="&amp;$H156,工数管理!$AF$3:$AF$98,"&gt;="&amp;$H156)+COUNTIFS(工数管理!$AK$3:$AK$98,L$1,工数管理!$AG$3:$AG$98,"&lt;="&amp;$H156,工数管理!$AH$3:$AH$98,"&gt;="&amp;$H156)+(COUNTIFS(工数管理!$AK$3:$AK$98,L$1,工数管理!$K$3:$K$98,"&lt;="&amp;$H156,工数管理!$L$3:$L$98,"")+COUNTIFS(工数管理!$AK$3:$AK$98,L$1,工数管理!$M$3:$M$98,"&lt;="&amp;$H156,工数管理!$N$3:$N$98,"")+COUNTIFS(工数管理!$AK$3:$AK$98,L$1,工数管理!$O$3:$O$98,"&lt;="&amp;$H156,工数管理!$P$3:$P$98,"")+COUNTIFS(工数管理!$AK$3:$AK$98,L$1,工数管理!$Q$3:$Q$98,"&lt;="&amp;$H156,工数管理!$R$3:$R$98,"")+COUNTIFS(工数管理!$AK$3:$AK$98,L$1,工数管理!$S$3:$S$98,"&lt;="&amp;$H156,工数管理!$T$3:$T$98,"")+COUNTIFS(工数管理!$AK$3:$AK$98,L$1,工数管理!$U$3:$U$98,"&lt;="&amp;$H156,工数管理!$V$3:$V$98,"")+COUNTIFS(工数管理!$AK$3:$AK$98,L$1,工数管理!$W$3:$W$98,"&lt;="&amp;$H156,工数管理!$X$3:$X$98,"")+COUNTIFS(工数管理!$AK$3:$AK$98,L$1,工数管理!$Y$3:$Y$98,"&lt;="&amp;$H156,工数管理!$Z$3:$Z$98,"")+COUNTIFS(工数管理!$AK$3:$AK$98,L$1,工数管理!$AA$3:$AA$98,"&lt;="&amp;$H156,工数管理!$AB$3:$AB$98,"")+COUNTIFS(工数管理!$AK$3:$AK$98,L$1,工数管理!$AC$3:$AC$98,"&lt;="&amp;$H156,工数管理!$AD$3:$AD$98,"")+COUNTIFS(工数管理!$AK$3:$AK$98,L$1,工数管理!$AE$3:$AE$98,"&lt;="&amp;$H156,工数管理!$AF$3:$AF$98,"")+COUNTIFS(工数管理!$AK$3:$AK$98,L$1,工数管理!$AG$3:$AG$98,"&lt;="&amp;$H156,工数管理!$AH$3:$AH$98,""))*($H156&lt;=工数管理!$AI$1))</f>
        <v>0</v>
      </c>
    </row>
    <row r="157" spans="1:12" x14ac:dyDescent="0.15">
      <c r="A157" s="5"/>
      <c r="B157" s="6"/>
      <c r="H157" s="41">
        <f t="shared" si="5"/>
        <v>46325</v>
      </c>
      <c r="I157" s="42">
        <f t="shared" si="4"/>
        <v>1</v>
      </c>
      <c r="J157" s="42">
        <f ca="1">IF(J$1="",0,COUNTIFS(工数管理!$AK$3:$AK$98,J$1,工数管理!$K$3:$K$98,"&lt;="&amp;$H157,工数管理!$L$3:$L$98,"&gt;="&amp;$H157)+COUNTIFS(工数管理!$AK$3:$AK$98,J$1,工数管理!$M$3:$M$98,"&lt;="&amp;$H157,工数管理!$N$3:$N$98,"&gt;="&amp;$H157)+COUNTIFS(工数管理!$AK$3:$AK$98,J$1,工数管理!$O$3:$O$98,"&lt;="&amp;$H157,工数管理!$P$3:$P$98,"&gt;="&amp;$H157)+COUNTIFS(工数管理!$AK$3:$AK$98,J$1,工数管理!$Q$3:$Q$98,"&lt;="&amp;$H157,工数管理!$R$3:$R$98,"&gt;="&amp;$H157)+COUNTIFS(工数管理!$AK$3:$AK$98,J$1,工数管理!$S$3:$S$98,"&lt;="&amp;$H157,工数管理!$T$3:$T$98,"&gt;="&amp;$H157)+COUNTIFS(工数管理!$AK$3:$AK$98,J$1,工数管理!$U$3:$U$98,"&lt;="&amp;$H157,工数管理!$V$3:$V$98,"&gt;="&amp;$H157)+COUNTIFS(工数管理!$AK$3:$AK$98,J$1,工数管理!$W$3:$W$98,"&lt;="&amp;$H157,工数管理!$X$3:$X$98,"&gt;="&amp;$H157)+COUNTIFS(工数管理!$AK$3:$AK$98,J$1,工数管理!$Y$3:$Y$98,"&lt;="&amp;$H157,工数管理!$Z$3:$Z$98,"&gt;="&amp;$H157)+COUNTIFS(工数管理!$AK$3:$AK$98,J$1,工数管理!$AA$3:$AA$98,"&lt;="&amp;$H157,工数管理!$AB$3:$AB$98,"&gt;="&amp;$H157)+COUNTIFS(工数管理!$AK$3:$AK$98,J$1,工数管理!$AC$3:$AC$98,"&lt;="&amp;$H157,工数管理!$AD$3:$AD$98,"&gt;="&amp;$H157)+COUNTIFS(工数管理!$AK$3:$AK$98,J$1,工数管理!$AE$3:$AE$98,"&lt;="&amp;$H157,工数管理!$AF$3:$AF$98,"&gt;="&amp;$H157)+COUNTIFS(工数管理!$AK$3:$AK$98,J$1,工数管理!$AG$3:$AG$98,"&lt;="&amp;$H157,工数管理!$AH$3:$AH$98,"&gt;="&amp;$H157)+(COUNTIFS(工数管理!$AK$3:$AK$98,J$1,工数管理!$K$3:$K$98,"&lt;="&amp;$H157,工数管理!$L$3:$L$98,"")+COUNTIFS(工数管理!$AK$3:$AK$98,J$1,工数管理!$M$3:$M$98,"&lt;="&amp;$H157,工数管理!$N$3:$N$98,"")+COUNTIFS(工数管理!$AK$3:$AK$98,J$1,工数管理!$O$3:$O$98,"&lt;="&amp;$H157,工数管理!$P$3:$P$98,"")+COUNTIFS(工数管理!$AK$3:$AK$98,J$1,工数管理!$Q$3:$Q$98,"&lt;="&amp;$H157,工数管理!$R$3:$R$98,"")+COUNTIFS(工数管理!$AK$3:$AK$98,J$1,工数管理!$S$3:$S$98,"&lt;="&amp;$H157,工数管理!$T$3:$T$98,"")+COUNTIFS(工数管理!$AK$3:$AK$98,J$1,工数管理!$U$3:$U$98,"&lt;="&amp;$H157,工数管理!$V$3:$V$98,"")+COUNTIFS(工数管理!$AK$3:$AK$98,J$1,工数管理!$W$3:$W$98,"&lt;="&amp;$H157,工数管理!$X$3:$X$98,"")+COUNTIFS(工数管理!$AK$3:$AK$98,J$1,工数管理!$Y$3:$Y$98,"&lt;="&amp;$H157,工数管理!$Z$3:$Z$98,"")+COUNTIFS(工数管理!$AK$3:$AK$98,J$1,工数管理!$AA$3:$AA$98,"&lt;="&amp;$H157,工数管理!$AB$3:$AB$98,"")+COUNTIFS(工数管理!$AK$3:$AK$98,J$1,工数管理!$AC$3:$AC$98,"&lt;="&amp;$H157,工数管理!$AD$3:$AD$98,"")+COUNTIFS(工数管理!$AK$3:$AK$98,J$1,工数管理!$AE$3:$AE$98,"&lt;="&amp;$H157,工数管理!$AF$3:$AF$98,"")+COUNTIFS(工数管理!$AK$3:$AK$98,J$1,工数管理!$AG$3:$AG$98,"&lt;="&amp;$H157,工数管理!$AH$3:$AH$98,""))*($H157&lt;=工数管理!$AI$1))</f>
        <v>0</v>
      </c>
      <c r="K157" s="42">
        <f ca="1">IF(K$1="",0,COUNTIFS(工数管理!$AK$3:$AK$98,K$1,工数管理!$K$3:$K$98,"&lt;="&amp;$H157,工数管理!$L$3:$L$98,"&gt;="&amp;$H157)+COUNTIFS(工数管理!$AK$3:$AK$98,K$1,工数管理!$M$3:$M$98,"&lt;="&amp;$H157,工数管理!$N$3:$N$98,"&gt;="&amp;$H157)+COUNTIFS(工数管理!$AK$3:$AK$98,K$1,工数管理!$O$3:$O$98,"&lt;="&amp;$H157,工数管理!$P$3:$P$98,"&gt;="&amp;$H157)+COUNTIFS(工数管理!$AK$3:$AK$98,K$1,工数管理!$Q$3:$Q$98,"&lt;="&amp;$H157,工数管理!$R$3:$R$98,"&gt;="&amp;$H157)+COUNTIFS(工数管理!$AK$3:$AK$98,K$1,工数管理!$S$3:$S$98,"&lt;="&amp;$H157,工数管理!$T$3:$T$98,"&gt;="&amp;$H157)+COUNTIFS(工数管理!$AK$3:$AK$98,K$1,工数管理!$U$3:$U$98,"&lt;="&amp;$H157,工数管理!$V$3:$V$98,"&gt;="&amp;$H157)+COUNTIFS(工数管理!$AK$3:$AK$98,K$1,工数管理!$W$3:$W$98,"&lt;="&amp;$H157,工数管理!$X$3:$X$98,"&gt;="&amp;$H157)+COUNTIFS(工数管理!$AK$3:$AK$98,K$1,工数管理!$Y$3:$Y$98,"&lt;="&amp;$H157,工数管理!$Z$3:$Z$98,"&gt;="&amp;$H157)+COUNTIFS(工数管理!$AK$3:$AK$98,K$1,工数管理!$AA$3:$AA$98,"&lt;="&amp;$H157,工数管理!$AB$3:$AB$98,"&gt;="&amp;$H157)+COUNTIFS(工数管理!$AK$3:$AK$98,K$1,工数管理!$AC$3:$AC$98,"&lt;="&amp;$H157,工数管理!$AD$3:$AD$98,"&gt;="&amp;$H157)+COUNTIFS(工数管理!$AK$3:$AK$98,K$1,工数管理!$AE$3:$AE$98,"&lt;="&amp;$H157,工数管理!$AF$3:$AF$98,"&gt;="&amp;$H157)+COUNTIFS(工数管理!$AK$3:$AK$98,K$1,工数管理!$AG$3:$AG$98,"&lt;="&amp;$H157,工数管理!$AH$3:$AH$98,"&gt;="&amp;$H157)+(COUNTIFS(工数管理!$AK$3:$AK$98,K$1,工数管理!$K$3:$K$98,"&lt;="&amp;$H157,工数管理!$L$3:$L$98,"")+COUNTIFS(工数管理!$AK$3:$AK$98,K$1,工数管理!$M$3:$M$98,"&lt;="&amp;$H157,工数管理!$N$3:$N$98,"")+COUNTIFS(工数管理!$AK$3:$AK$98,K$1,工数管理!$O$3:$O$98,"&lt;="&amp;$H157,工数管理!$P$3:$P$98,"")+COUNTIFS(工数管理!$AK$3:$AK$98,K$1,工数管理!$Q$3:$Q$98,"&lt;="&amp;$H157,工数管理!$R$3:$R$98,"")+COUNTIFS(工数管理!$AK$3:$AK$98,K$1,工数管理!$S$3:$S$98,"&lt;="&amp;$H157,工数管理!$T$3:$T$98,"")+COUNTIFS(工数管理!$AK$3:$AK$98,K$1,工数管理!$U$3:$U$98,"&lt;="&amp;$H157,工数管理!$V$3:$V$98,"")+COUNTIFS(工数管理!$AK$3:$AK$98,K$1,工数管理!$W$3:$W$98,"&lt;="&amp;$H157,工数管理!$X$3:$X$98,"")+COUNTIFS(工数管理!$AK$3:$AK$98,K$1,工数管理!$Y$3:$Y$98,"&lt;="&amp;$H157,工数管理!$Z$3:$Z$98,"")+COUNTIFS(工数管理!$AK$3:$AK$98,K$1,工数管理!$AA$3:$AA$98,"&lt;="&amp;$H157,工数管理!$AB$3:$AB$98,"")+COUNTIFS(工数管理!$AK$3:$AK$98,K$1,工数管理!$AC$3:$AC$98,"&lt;="&amp;$H157,工数管理!$AD$3:$AD$98,"")+COUNTIFS(工数管理!$AK$3:$AK$98,K$1,工数管理!$AE$3:$AE$98,"&lt;="&amp;$H157,工数管理!$AF$3:$AF$98,"")+COUNTIFS(工数管理!$AK$3:$AK$98,K$1,工数管理!$AG$3:$AG$98,"&lt;="&amp;$H157,工数管理!$AH$3:$AH$98,""))*($H157&lt;=工数管理!$AI$1))</f>
        <v>0</v>
      </c>
      <c r="L157" s="42">
        <f ca="1">IF(L$1="",0,COUNTIFS(工数管理!$AK$3:$AK$98,L$1,工数管理!$K$3:$K$98,"&lt;="&amp;$H157,工数管理!$L$3:$L$98,"&gt;="&amp;$H157)+COUNTIFS(工数管理!$AK$3:$AK$98,L$1,工数管理!$M$3:$M$98,"&lt;="&amp;$H157,工数管理!$N$3:$N$98,"&gt;="&amp;$H157)+COUNTIFS(工数管理!$AK$3:$AK$98,L$1,工数管理!$O$3:$O$98,"&lt;="&amp;$H157,工数管理!$P$3:$P$98,"&gt;="&amp;$H157)+COUNTIFS(工数管理!$AK$3:$AK$98,L$1,工数管理!$Q$3:$Q$98,"&lt;="&amp;$H157,工数管理!$R$3:$R$98,"&gt;="&amp;$H157)+COUNTIFS(工数管理!$AK$3:$AK$98,L$1,工数管理!$S$3:$S$98,"&lt;="&amp;$H157,工数管理!$T$3:$T$98,"&gt;="&amp;$H157)+COUNTIFS(工数管理!$AK$3:$AK$98,L$1,工数管理!$U$3:$U$98,"&lt;="&amp;$H157,工数管理!$V$3:$V$98,"&gt;="&amp;$H157)+COUNTIFS(工数管理!$AK$3:$AK$98,L$1,工数管理!$W$3:$W$98,"&lt;="&amp;$H157,工数管理!$X$3:$X$98,"&gt;="&amp;$H157)+COUNTIFS(工数管理!$AK$3:$AK$98,L$1,工数管理!$Y$3:$Y$98,"&lt;="&amp;$H157,工数管理!$Z$3:$Z$98,"&gt;="&amp;$H157)+COUNTIFS(工数管理!$AK$3:$AK$98,L$1,工数管理!$AA$3:$AA$98,"&lt;="&amp;$H157,工数管理!$AB$3:$AB$98,"&gt;="&amp;$H157)+COUNTIFS(工数管理!$AK$3:$AK$98,L$1,工数管理!$AC$3:$AC$98,"&lt;="&amp;$H157,工数管理!$AD$3:$AD$98,"&gt;="&amp;$H157)+COUNTIFS(工数管理!$AK$3:$AK$98,L$1,工数管理!$AE$3:$AE$98,"&lt;="&amp;$H157,工数管理!$AF$3:$AF$98,"&gt;="&amp;$H157)+COUNTIFS(工数管理!$AK$3:$AK$98,L$1,工数管理!$AG$3:$AG$98,"&lt;="&amp;$H157,工数管理!$AH$3:$AH$98,"&gt;="&amp;$H157)+(COUNTIFS(工数管理!$AK$3:$AK$98,L$1,工数管理!$K$3:$K$98,"&lt;="&amp;$H157,工数管理!$L$3:$L$98,"")+COUNTIFS(工数管理!$AK$3:$AK$98,L$1,工数管理!$M$3:$M$98,"&lt;="&amp;$H157,工数管理!$N$3:$N$98,"")+COUNTIFS(工数管理!$AK$3:$AK$98,L$1,工数管理!$O$3:$O$98,"&lt;="&amp;$H157,工数管理!$P$3:$P$98,"")+COUNTIFS(工数管理!$AK$3:$AK$98,L$1,工数管理!$Q$3:$Q$98,"&lt;="&amp;$H157,工数管理!$R$3:$R$98,"")+COUNTIFS(工数管理!$AK$3:$AK$98,L$1,工数管理!$S$3:$S$98,"&lt;="&amp;$H157,工数管理!$T$3:$T$98,"")+COUNTIFS(工数管理!$AK$3:$AK$98,L$1,工数管理!$U$3:$U$98,"&lt;="&amp;$H157,工数管理!$V$3:$V$98,"")+COUNTIFS(工数管理!$AK$3:$AK$98,L$1,工数管理!$W$3:$W$98,"&lt;="&amp;$H157,工数管理!$X$3:$X$98,"")+COUNTIFS(工数管理!$AK$3:$AK$98,L$1,工数管理!$Y$3:$Y$98,"&lt;="&amp;$H157,工数管理!$Z$3:$Z$98,"")+COUNTIFS(工数管理!$AK$3:$AK$98,L$1,工数管理!$AA$3:$AA$98,"&lt;="&amp;$H157,工数管理!$AB$3:$AB$98,"")+COUNTIFS(工数管理!$AK$3:$AK$98,L$1,工数管理!$AC$3:$AC$98,"&lt;="&amp;$H157,工数管理!$AD$3:$AD$98,"")+COUNTIFS(工数管理!$AK$3:$AK$98,L$1,工数管理!$AE$3:$AE$98,"&lt;="&amp;$H157,工数管理!$AF$3:$AF$98,"")+COUNTIFS(工数管理!$AK$3:$AK$98,L$1,工数管理!$AG$3:$AG$98,"&lt;="&amp;$H157,工数管理!$AH$3:$AH$98,""))*($H157&lt;=工数管理!$AI$1))</f>
        <v>0</v>
      </c>
    </row>
    <row r="158" spans="1:12" x14ac:dyDescent="0.15">
      <c r="A158" s="5"/>
      <c r="B158" s="6"/>
      <c r="H158" s="41">
        <f t="shared" si="5"/>
        <v>46326</v>
      </c>
      <c r="I158" s="42">
        <f t="shared" si="4"/>
        <v>0</v>
      </c>
      <c r="J158" s="42">
        <f ca="1">IF(J$1="",0,COUNTIFS(工数管理!$AK$3:$AK$98,J$1,工数管理!$K$3:$K$98,"&lt;="&amp;$H158,工数管理!$L$3:$L$98,"&gt;="&amp;$H158)+COUNTIFS(工数管理!$AK$3:$AK$98,J$1,工数管理!$M$3:$M$98,"&lt;="&amp;$H158,工数管理!$N$3:$N$98,"&gt;="&amp;$H158)+COUNTIFS(工数管理!$AK$3:$AK$98,J$1,工数管理!$O$3:$O$98,"&lt;="&amp;$H158,工数管理!$P$3:$P$98,"&gt;="&amp;$H158)+COUNTIFS(工数管理!$AK$3:$AK$98,J$1,工数管理!$Q$3:$Q$98,"&lt;="&amp;$H158,工数管理!$R$3:$R$98,"&gt;="&amp;$H158)+COUNTIFS(工数管理!$AK$3:$AK$98,J$1,工数管理!$S$3:$S$98,"&lt;="&amp;$H158,工数管理!$T$3:$T$98,"&gt;="&amp;$H158)+COUNTIFS(工数管理!$AK$3:$AK$98,J$1,工数管理!$U$3:$U$98,"&lt;="&amp;$H158,工数管理!$V$3:$V$98,"&gt;="&amp;$H158)+COUNTIFS(工数管理!$AK$3:$AK$98,J$1,工数管理!$W$3:$W$98,"&lt;="&amp;$H158,工数管理!$X$3:$X$98,"&gt;="&amp;$H158)+COUNTIFS(工数管理!$AK$3:$AK$98,J$1,工数管理!$Y$3:$Y$98,"&lt;="&amp;$H158,工数管理!$Z$3:$Z$98,"&gt;="&amp;$H158)+COUNTIFS(工数管理!$AK$3:$AK$98,J$1,工数管理!$AA$3:$AA$98,"&lt;="&amp;$H158,工数管理!$AB$3:$AB$98,"&gt;="&amp;$H158)+COUNTIFS(工数管理!$AK$3:$AK$98,J$1,工数管理!$AC$3:$AC$98,"&lt;="&amp;$H158,工数管理!$AD$3:$AD$98,"&gt;="&amp;$H158)+COUNTIFS(工数管理!$AK$3:$AK$98,J$1,工数管理!$AE$3:$AE$98,"&lt;="&amp;$H158,工数管理!$AF$3:$AF$98,"&gt;="&amp;$H158)+COUNTIFS(工数管理!$AK$3:$AK$98,J$1,工数管理!$AG$3:$AG$98,"&lt;="&amp;$H158,工数管理!$AH$3:$AH$98,"&gt;="&amp;$H158)+(COUNTIFS(工数管理!$AK$3:$AK$98,J$1,工数管理!$K$3:$K$98,"&lt;="&amp;$H158,工数管理!$L$3:$L$98,"")+COUNTIFS(工数管理!$AK$3:$AK$98,J$1,工数管理!$M$3:$M$98,"&lt;="&amp;$H158,工数管理!$N$3:$N$98,"")+COUNTIFS(工数管理!$AK$3:$AK$98,J$1,工数管理!$O$3:$O$98,"&lt;="&amp;$H158,工数管理!$P$3:$P$98,"")+COUNTIFS(工数管理!$AK$3:$AK$98,J$1,工数管理!$Q$3:$Q$98,"&lt;="&amp;$H158,工数管理!$R$3:$R$98,"")+COUNTIFS(工数管理!$AK$3:$AK$98,J$1,工数管理!$S$3:$S$98,"&lt;="&amp;$H158,工数管理!$T$3:$T$98,"")+COUNTIFS(工数管理!$AK$3:$AK$98,J$1,工数管理!$U$3:$U$98,"&lt;="&amp;$H158,工数管理!$V$3:$V$98,"")+COUNTIFS(工数管理!$AK$3:$AK$98,J$1,工数管理!$W$3:$W$98,"&lt;="&amp;$H158,工数管理!$X$3:$X$98,"")+COUNTIFS(工数管理!$AK$3:$AK$98,J$1,工数管理!$Y$3:$Y$98,"&lt;="&amp;$H158,工数管理!$Z$3:$Z$98,"")+COUNTIFS(工数管理!$AK$3:$AK$98,J$1,工数管理!$AA$3:$AA$98,"&lt;="&amp;$H158,工数管理!$AB$3:$AB$98,"")+COUNTIFS(工数管理!$AK$3:$AK$98,J$1,工数管理!$AC$3:$AC$98,"&lt;="&amp;$H158,工数管理!$AD$3:$AD$98,"")+COUNTIFS(工数管理!$AK$3:$AK$98,J$1,工数管理!$AE$3:$AE$98,"&lt;="&amp;$H158,工数管理!$AF$3:$AF$98,"")+COUNTIFS(工数管理!$AK$3:$AK$98,J$1,工数管理!$AG$3:$AG$98,"&lt;="&amp;$H158,工数管理!$AH$3:$AH$98,""))*($H158&lt;=工数管理!$AI$1))</f>
        <v>0</v>
      </c>
      <c r="K158" s="42">
        <f ca="1">IF(K$1="",0,COUNTIFS(工数管理!$AK$3:$AK$98,K$1,工数管理!$K$3:$K$98,"&lt;="&amp;$H158,工数管理!$L$3:$L$98,"&gt;="&amp;$H158)+COUNTIFS(工数管理!$AK$3:$AK$98,K$1,工数管理!$M$3:$M$98,"&lt;="&amp;$H158,工数管理!$N$3:$N$98,"&gt;="&amp;$H158)+COUNTIFS(工数管理!$AK$3:$AK$98,K$1,工数管理!$O$3:$O$98,"&lt;="&amp;$H158,工数管理!$P$3:$P$98,"&gt;="&amp;$H158)+COUNTIFS(工数管理!$AK$3:$AK$98,K$1,工数管理!$Q$3:$Q$98,"&lt;="&amp;$H158,工数管理!$R$3:$R$98,"&gt;="&amp;$H158)+COUNTIFS(工数管理!$AK$3:$AK$98,K$1,工数管理!$S$3:$S$98,"&lt;="&amp;$H158,工数管理!$T$3:$T$98,"&gt;="&amp;$H158)+COUNTIFS(工数管理!$AK$3:$AK$98,K$1,工数管理!$U$3:$U$98,"&lt;="&amp;$H158,工数管理!$V$3:$V$98,"&gt;="&amp;$H158)+COUNTIFS(工数管理!$AK$3:$AK$98,K$1,工数管理!$W$3:$W$98,"&lt;="&amp;$H158,工数管理!$X$3:$X$98,"&gt;="&amp;$H158)+COUNTIFS(工数管理!$AK$3:$AK$98,K$1,工数管理!$Y$3:$Y$98,"&lt;="&amp;$H158,工数管理!$Z$3:$Z$98,"&gt;="&amp;$H158)+COUNTIFS(工数管理!$AK$3:$AK$98,K$1,工数管理!$AA$3:$AA$98,"&lt;="&amp;$H158,工数管理!$AB$3:$AB$98,"&gt;="&amp;$H158)+COUNTIFS(工数管理!$AK$3:$AK$98,K$1,工数管理!$AC$3:$AC$98,"&lt;="&amp;$H158,工数管理!$AD$3:$AD$98,"&gt;="&amp;$H158)+COUNTIFS(工数管理!$AK$3:$AK$98,K$1,工数管理!$AE$3:$AE$98,"&lt;="&amp;$H158,工数管理!$AF$3:$AF$98,"&gt;="&amp;$H158)+COUNTIFS(工数管理!$AK$3:$AK$98,K$1,工数管理!$AG$3:$AG$98,"&lt;="&amp;$H158,工数管理!$AH$3:$AH$98,"&gt;="&amp;$H158)+(COUNTIFS(工数管理!$AK$3:$AK$98,K$1,工数管理!$K$3:$K$98,"&lt;="&amp;$H158,工数管理!$L$3:$L$98,"")+COUNTIFS(工数管理!$AK$3:$AK$98,K$1,工数管理!$M$3:$M$98,"&lt;="&amp;$H158,工数管理!$N$3:$N$98,"")+COUNTIFS(工数管理!$AK$3:$AK$98,K$1,工数管理!$O$3:$O$98,"&lt;="&amp;$H158,工数管理!$P$3:$P$98,"")+COUNTIFS(工数管理!$AK$3:$AK$98,K$1,工数管理!$Q$3:$Q$98,"&lt;="&amp;$H158,工数管理!$R$3:$R$98,"")+COUNTIFS(工数管理!$AK$3:$AK$98,K$1,工数管理!$S$3:$S$98,"&lt;="&amp;$H158,工数管理!$T$3:$T$98,"")+COUNTIFS(工数管理!$AK$3:$AK$98,K$1,工数管理!$U$3:$U$98,"&lt;="&amp;$H158,工数管理!$V$3:$V$98,"")+COUNTIFS(工数管理!$AK$3:$AK$98,K$1,工数管理!$W$3:$W$98,"&lt;="&amp;$H158,工数管理!$X$3:$X$98,"")+COUNTIFS(工数管理!$AK$3:$AK$98,K$1,工数管理!$Y$3:$Y$98,"&lt;="&amp;$H158,工数管理!$Z$3:$Z$98,"")+COUNTIFS(工数管理!$AK$3:$AK$98,K$1,工数管理!$AA$3:$AA$98,"&lt;="&amp;$H158,工数管理!$AB$3:$AB$98,"")+COUNTIFS(工数管理!$AK$3:$AK$98,K$1,工数管理!$AC$3:$AC$98,"&lt;="&amp;$H158,工数管理!$AD$3:$AD$98,"")+COUNTIFS(工数管理!$AK$3:$AK$98,K$1,工数管理!$AE$3:$AE$98,"&lt;="&amp;$H158,工数管理!$AF$3:$AF$98,"")+COUNTIFS(工数管理!$AK$3:$AK$98,K$1,工数管理!$AG$3:$AG$98,"&lt;="&amp;$H158,工数管理!$AH$3:$AH$98,""))*($H158&lt;=工数管理!$AI$1))</f>
        <v>0</v>
      </c>
      <c r="L158" s="42">
        <f ca="1">IF(L$1="",0,COUNTIFS(工数管理!$AK$3:$AK$98,L$1,工数管理!$K$3:$K$98,"&lt;="&amp;$H158,工数管理!$L$3:$L$98,"&gt;="&amp;$H158)+COUNTIFS(工数管理!$AK$3:$AK$98,L$1,工数管理!$M$3:$M$98,"&lt;="&amp;$H158,工数管理!$N$3:$N$98,"&gt;="&amp;$H158)+COUNTIFS(工数管理!$AK$3:$AK$98,L$1,工数管理!$O$3:$O$98,"&lt;="&amp;$H158,工数管理!$P$3:$P$98,"&gt;="&amp;$H158)+COUNTIFS(工数管理!$AK$3:$AK$98,L$1,工数管理!$Q$3:$Q$98,"&lt;="&amp;$H158,工数管理!$R$3:$R$98,"&gt;="&amp;$H158)+COUNTIFS(工数管理!$AK$3:$AK$98,L$1,工数管理!$S$3:$S$98,"&lt;="&amp;$H158,工数管理!$T$3:$T$98,"&gt;="&amp;$H158)+COUNTIFS(工数管理!$AK$3:$AK$98,L$1,工数管理!$U$3:$U$98,"&lt;="&amp;$H158,工数管理!$V$3:$V$98,"&gt;="&amp;$H158)+COUNTIFS(工数管理!$AK$3:$AK$98,L$1,工数管理!$W$3:$W$98,"&lt;="&amp;$H158,工数管理!$X$3:$X$98,"&gt;="&amp;$H158)+COUNTIFS(工数管理!$AK$3:$AK$98,L$1,工数管理!$Y$3:$Y$98,"&lt;="&amp;$H158,工数管理!$Z$3:$Z$98,"&gt;="&amp;$H158)+COUNTIFS(工数管理!$AK$3:$AK$98,L$1,工数管理!$AA$3:$AA$98,"&lt;="&amp;$H158,工数管理!$AB$3:$AB$98,"&gt;="&amp;$H158)+COUNTIFS(工数管理!$AK$3:$AK$98,L$1,工数管理!$AC$3:$AC$98,"&lt;="&amp;$H158,工数管理!$AD$3:$AD$98,"&gt;="&amp;$H158)+COUNTIFS(工数管理!$AK$3:$AK$98,L$1,工数管理!$AE$3:$AE$98,"&lt;="&amp;$H158,工数管理!$AF$3:$AF$98,"&gt;="&amp;$H158)+COUNTIFS(工数管理!$AK$3:$AK$98,L$1,工数管理!$AG$3:$AG$98,"&lt;="&amp;$H158,工数管理!$AH$3:$AH$98,"&gt;="&amp;$H158)+(COUNTIFS(工数管理!$AK$3:$AK$98,L$1,工数管理!$K$3:$K$98,"&lt;="&amp;$H158,工数管理!$L$3:$L$98,"")+COUNTIFS(工数管理!$AK$3:$AK$98,L$1,工数管理!$M$3:$M$98,"&lt;="&amp;$H158,工数管理!$N$3:$N$98,"")+COUNTIFS(工数管理!$AK$3:$AK$98,L$1,工数管理!$O$3:$O$98,"&lt;="&amp;$H158,工数管理!$P$3:$P$98,"")+COUNTIFS(工数管理!$AK$3:$AK$98,L$1,工数管理!$Q$3:$Q$98,"&lt;="&amp;$H158,工数管理!$R$3:$R$98,"")+COUNTIFS(工数管理!$AK$3:$AK$98,L$1,工数管理!$S$3:$S$98,"&lt;="&amp;$H158,工数管理!$T$3:$T$98,"")+COUNTIFS(工数管理!$AK$3:$AK$98,L$1,工数管理!$U$3:$U$98,"&lt;="&amp;$H158,工数管理!$V$3:$V$98,"")+COUNTIFS(工数管理!$AK$3:$AK$98,L$1,工数管理!$W$3:$W$98,"&lt;="&amp;$H158,工数管理!$X$3:$X$98,"")+COUNTIFS(工数管理!$AK$3:$AK$98,L$1,工数管理!$Y$3:$Y$98,"&lt;="&amp;$H158,工数管理!$Z$3:$Z$98,"")+COUNTIFS(工数管理!$AK$3:$AK$98,L$1,工数管理!$AA$3:$AA$98,"&lt;="&amp;$H158,工数管理!$AB$3:$AB$98,"")+COUNTIFS(工数管理!$AK$3:$AK$98,L$1,工数管理!$AC$3:$AC$98,"&lt;="&amp;$H158,工数管理!$AD$3:$AD$98,"")+COUNTIFS(工数管理!$AK$3:$AK$98,L$1,工数管理!$AE$3:$AE$98,"&lt;="&amp;$H158,工数管理!$AF$3:$AF$98,"")+COUNTIFS(工数管理!$AK$3:$AK$98,L$1,工数管理!$AG$3:$AG$98,"&lt;="&amp;$H158,工数管理!$AH$3:$AH$98,""))*($H158&lt;=工数管理!$AI$1))</f>
        <v>0</v>
      </c>
    </row>
    <row r="159" spans="1:12" x14ac:dyDescent="0.15">
      <c r="A159" s="5"/>
      <c r="B159" s="6"/>
      <c r="H159" s="41">
        <f t="shared" si="5"/>
        <v>46327</v>
      </c>
      <c r="I159" s="42">
        <f t="shared" si="4"/>
        <v>0</v>
      </c>
      <c r="J159" s="42">
        <f ca="1">IF(J$1="",0,COUNTIFS(工数管理!$AK$3:$AK$98,J$1,工数管理!$K$3:$K$98,"&lt;="&amp;$H159,工数管理!$L$3:$L$98,"&gt;="&amp;$H159)+COUNTIFS(工数管理!$AK$3:$AK$98,J$1,工数管理!$M$3:$M$98,"&lt;="&amp;$H159,工数管理!$N$3:$N$98,"&gt;="&amp;$H159)+COUNTIFS(工数管理!$AK$3:$AK$98,J$1,工数管理!$O$3:$O$98,"&lt;="&amp;$H159,工数管理!$P$3:$P$98,"&gt;="&amp;$H159)+COUNTIFS(工数管理!$AK$3:$AK$98,J$1,工数管理!$Q$3:$Q$98,"&lt;="&amp;$H159,工数管理!$R$3:$R$98,"&gt;="&amp;$H159)+COUNTIFS(工数管理!$AK$3:$AK$98,J$1,工数管理!$S$3:$S$98,"&lt;="&amp;$H159,工数管理!$T$3:$T$98,"&gt;="&amp;$H159)+COUNTIFS(工数管理!$AK$3:$AK$98,J$1,工数管理!$U$3:$U$98,"&lt;="&amp;$H159,工数管理!$V$3:$V$98,"&gt;="&amp;$H159)+COUNTIFS(工数管理!$AK$3:$AK$98,J$1,工数管理!$W$3:$W$98,"&lt;="&amp;$H159,工数管理!$X$3:$X$98,"&gt;="&amp;$H159)+COUNTIFS(工数管理!$AK$3:$AK$98,J$1,工数管理!$Y$3:$Y$98,"&lt;="&amp;$H159,工数管理!$Z$3:$Z$98,"&gt;="&amp;$H159)+COUNTIFS(工数管理!$AK$3:$AK$98,J$1,工数管理!$AA$3:$AA$98,"&lt;="&amp;$H159,工数管理!$AB$3:$AB$98,"&gt;="&amp;$H159)+COUNTIFS(工数管理!$AK$3:$AK$98,J$1,工数管理!$AC$3:$AC$98,"&lt;="&amp;$H159,工数管理!$AD$3:$AD$98,"&gt;="&amp;$H159)+COUNTIFS(工数管理!$AK$3:$AK$98,J$1,工数管理!$AE$3:$AE$98,"&lt;="&amp;$H159,工数管理!$AF$3:$AF$98,"&gt;="&amp;$H159)+COUNTIFS(工数管理!$AK$3:$AK$98,J$1,工数管理!$AG$3:$AG$98,"&lt;="&amp;$H159,工数管理!$AH$3:$AH$98,"&gt;="&amp;$H159)+(COUNTIFS(工数管理!$AK$3:$AK$98,J$1,工数管理!$K$3:$K$98,"&lt;="&amp;$H159,工数管理!$L$3:$L$98,"")+COUNTIFS(工数管理!$AK$3:$AK$98,J$1,工数管理!$M$3:$M$98,"&lt;="&amp;$H159,工数管理!$N$3:$N$98,"")+COUNTIFS(工数管理!$AK$3:$AK$98,J$1,工数管理!$O$3:$O$98,"&lt;="&amp;$H159,工数管理!$P$3:$P$98,"")+COUNTIFS(工数管理!$AK$3:$AK$98,J$1,工数管理!$Q$3:$Q$98,"&lt;="&amp;$H159,工数管理!$R$3:$R$98,"")+COUNTIFS(工数管理!$AK$3:$AK$98,J$1,工数管理!$S$3:$S$98,"&lt;="&amp;$H159,工数管理!$T$3:$T$98,"")+COUNTIFS(工数管理!$AK$3:$AK$98,J$1,工数管理!$U$3:$U$98,"&lt;="&amp;$H159,工数管理!$V$3:$V$98,"")+COUNTIFS(工数管理!$AK$3:$AK$98,J$1,工数管理!$W$3:$W$98,"&lt;="&amp;$H159,工数管理!$X$3:$X$98,"")+COUNTIFS(工数管理!$AK$3:$AK$98,J$1,工数管理!$Y$3:$Y$98,"&lt;="&amp;$H159,工数管理!$Z$3:$Z$98,"")+COUNTIFS(工数管理!$AK$3:$AK$98,J$1,工数管理!$AA$3:$AA$98,"&lt;="&amp;$H159,工数管理!$AB$3:$AB$98,"")+COUNTIFS(工数管理!$AK$3:$AK$98,J$1,工数管理!$AC$3:$AC$98,"&lt;="&amp;$H159,工数管理!$AD$3:$AD$98,"")+COUNTIFS(工数管理!$AK$3:$AK$98,J$1,工数管理!$AE$3:$AE$98,"&lt;="&amp;$H159,工数管理!$AF$3:$AF$98,"")+COUNTIFS(工数管理!$AK$3:$AK$98,J$1,工数管理!$AG$3:$AG$98,"&lt;="&amp;$H159,工数管理!$AH$3:$AH$98,""))*($H159&lt;=工数管理!$AI$1))</f>
        <v>0</v>
      </c>
      <c r="K159" s="42">
        <f ca="1">IF(K$1="",0,COUNTIFS(工数管理!$AK$3:$AK$98,K$1,工数管理!$K$3:$K$98,"&lt;="&amp;$H159,工数管理!$L$3:$L$98,"&gt;="&amp;$H159)+COUNTIFS(工数管理!$AK$3:$AK$98,K$1,工数管理!$M$3:$M$98,"&lt;="&amp;$H159,工数管理!$N$3:$N$98,"&gt;="&amp;$H159)+COUNTIFS(工数管理!$AK$3:$AK$98,K$1,工数管理!$O$3:$O$98,"&lt;="&amp;$H159,工数管理!$P$3:$P$98,"&gt;="&amp;$H159)+COUNTIFS(工数管理!$AK$3:$AK$98,K$1,工数管理!$Q$3:$Q$98,"&lt;="&amp;$H159,工数管理!$R$3:$R$98,"&gt;="&amp;$H159)+COUNTIFS(工数管理!$AK$3:$AK$98,K$1,工数管理!$S$3:$S$98,"&lt;="&amp;$H159,工数管理!$T$3:$T$98,"&gt;="&amp;$H159)+COUNTIFS(工数管理!$AK$3:$AK$98,K$1,工数管理!$U$3:$U$98,"&lt;="&amp;$H159,工数管理!$V$3:$V$98,"&gt;="&amp;$H159)+COUNTIFS(工数管理!$AK$3:$AK$98,K$1,工数管理!$W$3:$W$98,"&lt;="&amp;$H159,工数管理!$X$3:$X$98,"&gt;="&amp;$H159)+COUNTIFS(工数管理!$AK$3:$AK$98,K$1,工数管理!$Y$3:$Y$98,"&lt;="&amp;$H159,工数管理!$Z$3:$Z$98,"&gt;="&amp;$H159)+COUNTIFS(工数管理!$AK$3:$AK$98,K$1,工数管理!$AA$3:$AA$98,"&lt;="&amp;$H159,工数管理!$AB$3:$AB$98,"&gt;="&amp;$H159)+COUNTIFS(工数管理!$AK$3:$AK$98,K$1,工数管理!$AC$3:$AC$98,"&lt;="&amp;$H159,工数管理!$AD$3:$AD$98,"&gt;="&amp;$H159)+COUNTIFS(工数管理!$AK$3:$AK$98,K$1,工数管理!$AE$3:$AE$98,"&lt;="&amp;$H159,工数管理!$AF$3:$AF$98,"&gt;="&amp;$H159)+COUNTIFS(工数管理!$AK$3:$AK$98,K$1,工数管理!$AG$3:$AG$98,"&lt;="&amp;$H159,工数管理!$AH$3:$AH$98,"&gt;="&amp;$H159)+(COUNTIFS(工数管理!$AK$3:$AK$98,K$1,工数管理!$K$3:$K$98,"&lt;="&amp;$H159,工数管理!$L$3:$L$98,"")+COUNTIFS(工数管理!$AK$3:$AK$98,K$1,工数管理!$M$3:$M$98,"&lt;="&amp;$H159,工数管理!$N$3:$N$98,"")+COUNTIFS(工数管理!$AK$3:$AK$98,K$1,工数管理!$O$3:$O$98,"&lt;="&amp;$H159,工数管理!$P$3:$P$98,"")+COUNTIFS(工数管理!$AK$3:$AK$98,K$1,工数管理!$Q$3:$Q$98,"&lt;="&amp;$H159,工数管理!$R$3:$R$98,"")+COUNTIFS(工数管理!$AK$3:$AK$98,K$1,工数管理!$S$3:$S$98,"&lt;="&amp;$H159,工数管理!$T$3:$T$98,"")+COUNTIFS(工数管理!$AK$3:$AK$98,K$1,工数管理!$U$3:$U$98,"&lt;="&amp;$H159,工数管理!$V$3:$V$98,"")+COUNTIFS(工数管理!$AK$3:$AK$98,K$1,工数管理!$W$3:$W$98,"&lt;="&amp;$H159,工数管理!$X$3:$X$98,"")+COUNTIFS(工数管理!$AK$3:$AK$98,K$1,工数管理!$Y$3:$Y$98,"&lt;="&amp;$H159,工数管理!$Z$3:$Z$98,"")+COUNTIFS(工数管理!$AK$3:$AK$98,K$1,工数管理!$AA$3:$AA$98,"&lt;="&amp;$H159,工数管理!$AB$3:$AB$98,"")+COUNTIFS(工数管理!$AK$3:$AK$98,K$1,工数管理!$AC$3:$AC$98,"&lt;="&amp;$H159,工数管理!$AD$3:$AD$98,"")+COUNTIFS(工数管理!$AK$3:$AK$98,K$1,工数管理!$AE$3:$AE$98,"&lt;="&amp;$H159,工数管理!$AF$3:$AF$98,"")+COUNTIFS(工数管理!$AK$3:$AK$98,K$1,工数管理!$AG$3:$AG$98,"&lt;="&amp;$H159,工数管理!$AH$3:$AH$98,""))*($H159&lt;=工数管理!$AI$1))</f>
        <v>0</v>
      </c>
      <c r="L159" s="42">
        <f ca="1">IF(L$1="",0,COUNTIFS(工数管理!$AK$3:$AK$98,L$1,工数管理!$K$3:$K$98,"&lt;="&amp;$H159,工数管理!$L$3:$L$98,"&gt;="&amp;$H159)+COUNTIFS(工数管理!$AK$3:$AK$98,L$1,工数管理!$M$3:$M$98,"&lt;="&amp;$H159,工数管理!$N$3:$N$98,"&gt;="&amp;$H159)+COUNTIFS(工数管理!$AK$3:$AK$98,L$1,工数管理!$O$3:$O$98,"&lt;="&amp;$H159,工数管理!$P$3:$P$98,"&gt;="&amp;$H159)+COUNTIFS(工数管理!$AK$3:$AK$98,L$1,工数管理!$Q$3:$Q$98,"&lt;="&amp;$H159,工数管理!$R$3:$R$98,"&gt;="&amp;$H159)+COUNTIFS(工数管理!$AK$3:$AK$98,L$1,工数管理!$S$3:$S$98,"&lt;="&amp;$H159,工数管理!$T$3:$T$98,"&gt;="&amp;$H159)+COUNTIFS(工数管理!$AK$3:$AK$98,L$1,工数管理!$U$3:$U$98,"&lt;="&amp;$H159,工数管理!$V$3:$V$98,"&gt;="&amp;$H159)+COUNTIFS(工数管理!$AK$3:$AK$98,L$1,工数管理!$W$3:$W$98,"&lt;="&amp;$H159,工数管理!$X$3:$X$98,"&gt;="&amp;$H159)+COUNTIFS(工数管理!$AK$3:$AK$98,L$1,工数管理!$Y$3:$Y$98,"&lt;="&amp;$H159,工数管理!$Z$3:$Z$98,"&gt;="&amp;$H159)+COUNTIFS(工数管理!$AK$3:$AK$98,L$1,工数管理!$AA$3:$AA$98,"&lt;="&amp;$H159,工数管理!$AB$3:$AB$98,"&gt;="&amp;$H159)+COUNTIFS(工数管理!$AK$3:$AK$98,L$1,工数管理!$AC$3:$AC$98,"&lt;="&amp;$H159,工数管理!$AD$3:$AD$98,"&gt;="&amp;$H159)+COUNTIFS(工数管理!$AK$3:$AK$98,L$1,工数管理!$AE$3:$AE$98,"&lt;="&amp;$H159,工数管理!$AF$3:$AF$98,"&gt;="&amp;$H159)+COUNTIFS(工数管理!$AK$3:$AK$98,L$1,工数管理!$AG$3:$AG$98,"&lt;="&amp;$H159,工数管理!$AH$3:$AH$98,"&gt;="&amp;$H159)+(COUNTIFS(工数管理!$AK$3:$AK$98,L$1,工数管理!$K$3:$K$98,"&lt;="&amp;$H159,工数管理!$L$3:$L$98,"")+COUNTIFS(工数管理!$AK$3:$AK$98,L$1,工数管理!$M$3:$M$98,"&lt;="&amp;$H159,工数管理!$N$3:$N$98,"")+COUNTIFS(工数管理!$AK$3:$AK$98,L$1,工数管理!$O$3:$O$98,"&lt;="&amp;$H159,工数管理!$P$3:$P$98,"")+COUNTIFS(工数管理!$AK$3:$AK$98,L$1,工数管理!$Q$3:$Q$98,"&lt;="&amp;$H159,工数管理!$R$3:$R$98,"")+COUNTIFS(工数管理!$AK$3:$AK$98,L$1,工数管理!$S$3:$S$98,"&lt;="&amp;$H159,工数管理!$T$3:$T$98,"")+COUNTIFS(工数管理!$AK$3:$AK$98,L$1,工数管理!$U$3:$U$98,"&lt;="&amp;$H159,工数管理!$V$3:$V$98,"")+COUNTIFS(工数管理!$AK$3:$AK$98,L$1,工数管理!$W$3:$W$98,"&lt;="&amp;$H159,工数管理!$X$3:$X$98,"")+COUNTIFS(工数管理!$AK$3:$AK$98,L$1,工数管理!$Y$3:$Y$98,"&lt;="&amp;$H159,工数管理!$Z$3:$Z$98,"")+COUNTIFS(工数管理!$AK$3:$AK$98,L$1,工数管理!$AA$3:$AA$98,"&lt;="&amp;$H159,工数管理!$AB$3:$AB$98,"")+COUNTIFS(工数管理!$AK$3:$AK$98,L$1,工数管理!$AC$3:$AC$98,"&lt;="&amp;$H159,工数管理!$AD$3:$AD$98,"")+COUNTIFS(工数管理!$AK$3:$AK$98,L$1,工数管理!$AE$3:$AE$98,"&lt;="&amp;$H159,工数管理!$AF$3:$AF$98,"")+COUNTIFS(工数管理!$AK$3:$AK$98,L$1,工数管理!$AG$3:$AG$98,"&lt;="&amp;$H159,工数管理!$AH$3:$AH$98,""))*($H159&lt;=工数管理!$AI$1))</f>
        <v>0</v>
      </c>
    </row>
    <row r="160" spans="1:12" x14ac:dyDescent="0.15">
      <c r="A160" s="5"/>
      <c r="B160" s="6"/>
      <c r="H160" s="41">
        <f t="shared" si="5"/>
        <v>46328</v>
      </c>
      <c r="I160" s="42">
        <f t="shared" si="4"/>
        <v>1</v>
      </c>
      <c r="J160" s="42">
        <f ca="1">IF(J$1="",0,COUNTIFS(工数管理!$AK$3:$AK$98,J$1,工数管理!$K$3:$K$98,"&lt;="&amp;$H160,工数管理!$L$3:$L$98,"&gt;="&amp;$H160)+COUNTIFS(工数管理!$AK$3:$AK$98,J$1,工数管理!$M$3:$M$98,"&lt;="&amp;$H160,工数管理!$N$3:$N$98,"&gt;="&amp;$H160)+COUNTIFS(工数管理!$AK$3:$AK$98,J$1,工数管理!$O$3:$O$98,"&lt;="&amp;$H160,工数管理!$P$3:$P$98,"&gt;="&amp;$H160)+COUNTIFS(工数管理!$AK$3:$AK$98,J$1,工数管理!$Q$3:$Q$98,"&lt;="&amp;$H160,工数管理!$R$3:$R$98,"&gt;="&amp;$H160)+COUNTIFS(工数管理!$AK$3:$AK$98,J$1,工数管理!$S$3:$S$98,"&lt;="&amp;$H160,工数管理!$T$3:$T$98,"&gt;="&amp;$H160)+COUNTIFS(工数管理!$AK$3:$AK$98,J$1,工数管理!$U$3:$U$98,"&lt;="&amp;$H160,工数管理!$V$3:$V$98,"&gt;="&amp;$H160)+COUNTIFS(工数管理!$AK$3:$AK$98,J$1,工数管理!$W$3:$W$98,"&lt;="&amp;$H160,工数管理!$X$3:$X$98,"&gt;="&amp;$H160)+COUNTIFS(工数管理!$AK$3:$AK$98,J$1,工数管理!$Y$3:$Y$98,"&lt;="&amp;$H160,工数管理!$Z$3:$Z$98,"&gt;="&amp;$H160)+COUNTIFS(工数管理!$AK$3:$AK$98,J$1,工数管理!$AA$3:$AA$98,"&lt;="&amp;$H160,工数管理!$AB$3:$AB$98,"&gt;="&amp;$H160)+COUNTIFS(工数管理!$AK$3:$AK$98,J$1,工数管理!$AC$3:$AC$98,"&lt;="&amp;$H160,工数管理!$AD$3:$AD$98,"&gt;="&amp;$H160)+COUNTIFS(工数管理!$AK$3:$AK$98,J$1,工数管理!$AE$3:$AE$98,"&lt;="&amp;$H160,工数管理!$AF$3:$AF$98,"&gt;="&amp;$H160)+COUNTIFS(工数管理!$AK$3:$AK$98,J$1,工数管理!$AG$3:$AG$98,"&lt;="&amp;$H160,工数管理!$AH$3:$AH$98,"&gt;="&amp;$H160)+(COUNTIFS(工数管理!$AK$3:$AK$98,J$1,工数管理!$K$3:$K$98,"&lt;="&amp;$H160,工数管理!$L$3:$L$98,"")+COUNTIFS(工数管理!$AK$3:$AK$98,J$1,工数管理!$M$3:$M$98,"&lt;="&amp;$H160,工数管理!$N$3:$N$98,"")+COUNTIFS(工数管理!$AK$3:$AK$98,J$1,工数管理!$O$3:$O$98,"&lt;="&amp;$H160,工数管理!$P$3:$P$98,"")+COUNTIFS(工数管理!$AK$3:$AK$98,J$1,工数管理!$Q$3:$Q$98,"&lt;="&amp;$H160,工数管理!$R$3:$R$98,"")+COUNTIFS(工数管理!$AK$3:$AK$98,J$1,工数管理!$S$3:$S$98,"&lt;="&amp;$H160,工数管理!$T$3:$T$98,"")+COUNTIFS(工数管理!$AK$3:$AK$98,J$1,工数管理!$U$3:$U$98,"&lt;="&amp;$H160,工数管理!$V$3:$V$98,"")+COUNTIFS(工数管理!$AK$3:$AK$98,J$1,工数管理!$W$3:$W$98,"&lt;="&amp;$H160,工数管理!$X$3:$X$98,"")+COUNTIFS(工数管理!$AK$3:$AK$98,J$1,工数管理!$Y$3:$Y$98,"&lt;="&amp;$H160,工数管理!$Z$3:$Z$98,"")+COUNTIFS(工数管理!$AK$3:$AK$98,J$1,工数管理!$AA$3:$AA$98,"&lt;="&amp;$H160,工数管理!$AB$3:$AB$98,"")+COUNTIFS(工数管理!$AK$3:$AK$98,J$1,工数管理!$AC$3:$AC$98,"&lt;="&amp;$H160,工数管理!$AD$3:$AD$98,"")+COUNTIFS(工数管理!$AK$3:$AK$98,J$1,工数管理!$AE$3:$AE$98,"&lt;="&amp;$H160,工数管理!$AF$3:$AF$98,"")+COUNTIFS(工数管理!$AK$3:$AK$98,J$1,工数管理!$AG$3:$AG$98,"&lt;="&amp;$H160,工数管理!$AH$3:$AH$98,""))*($H160&lt;=工数管理!$AI$1))</f>
        <v>0</v>
      </c>
      <c r="K160" s="42">
        <f ca="1">IF(K$1="",0,COUNTIFS(工数管理!$AK$3:$AK$98,K$1,工数管理!$K$3:$K$98,"&lt;="&amp;$H160,工数管理!$L$3:$L$98,"&gt;="&amp;$H160)+COUNTIFS(工数管理!$AK$3:$AK$98,K$1,工数管理!$M$3:$M$98,"&lt;="&amp;$H160,工数管理!$N$3:$N$98,"&gt;="&amp;$H160)+COUNTIFS(工数管理!$AK$3:$AK$98,K$1,工数管理!$O$3:$O$98,"&lt;="&amp;$H160,工数管理!$P$3:$P$98,"&gt;="&amp;$H160)+COUNTIFS(工数管理!$AK$3:$AK$98,K$1,工数管理!$Q$3:$Q$98,"&lt;="&amp;$H160,工数管理!$R$3:$R$98,"&gt;="&amp;$H160)+COUNTIFS(工数管理!$AK$3:$AK$98,K$1,工数管理!$S$3:$S$98,"&lt;="&amp;$H160,工数管理!$T$3:$T$98,"&gt;="&amp;$H160)+COUNTIFS(工数管理!$AK$3:$AK$98,K$1,工数管理!$U$3:$U$98,"&lt;="&amp;$H160,工数管理!$V$3:$V$98,"&gt;="&amp;$H160)+COUNTIFS(工数管理!$AK$3:$AK$98,K$1,工数管理!$W$3:$W$98,"&lt;="&amp;$H160,工数管理!$X$3:$X$98,"&gt;="&amp;$H160)+COUNTIFS(工数管理!$AK$3:$AK$98,K$1,工数管理!$Y$3:$Y$98,"&lt;="&amp;$H160,工数管理!$Z$3:$Z$98,"&gt;="&amp;$H160)+COUNTIFS(工数管理!$AK$3:$AK$98,K$1,工数管理!$AA$3:$AA$98,"&lt;="&amp;$H160,工数管理!$AB$3:$AB$98,"&gt;="&amp;$H160)+COUNTIFS(工数管理!$AK$3:$AK$98,K$1,工数管理!$AC$3:$AC$98,"&lt;="&amp;$H160,工数管理!$AD$3:$AD$98,"&gt;="&amp;$H160)+COUNTIFS(工数管理!$AK$3:$AK$98,K$1,工数管理!$AE$3:$AE$98,"&lt;="&amp;$H160,工数管理!$AF$3:$AF$98,"&gt;="&amp;$H160)+COUNTIFS(工数管理!$AK$3:$AK$98,K$1,工数管理!$AG$3:$AG$98,"&lt;="&amp;$H160,工数管理!$AH$3:$AH$98,"&gt;="&amp;$H160)+(COUNTIFS(工数管理!$AK$3:$AK$98,K$1,工数管理!$K$3:$K$98,"&lt;="&amp;$H160,工数管理!$L$3:$L$98,"")+COUNTIFS(工数管理!$AK$3:$AK$98,K$1,工数管理!$M$3:$M$98,"&lt;="&amp;$H160,工数管理!$N$3:$N$98,"")+COUNTIFS(工数管理!$AK$3:$AK$98,K$1,工数管理!$O$3:$O$98,"&lt;="&amp;$H160,工数管理!$P$3:$P$98,"")+COUNTIFS(工数管理!$AK$3:$AK$98,K$1,工数管理!$Q$3:$Q$98,"&lt;="&amp;$H160,工数管理!$R$3:$R$98,"")+COUNTIFS(工数管理!$AK$3:$AK$98,K$1,工数管理!$S$3:$S$98,"&lt;="&amp;$H160,工数管理!$T$3:$T$98,"")+COUNTIFS(工数管理!$AK$3:$AK$98,K$1,工数管理!$U$3:$U$98,"&lt;="&amp;$H160,工数管理!$V$3:$V$98,"")+COUNTIFS(工数管理!$AK$3:$AK$98,K$1,工数管理!$W$3:$W$98,"&lt;="&amp;$H160,工数管理!$X$3:$X$98,"")+COUNTIFS(工数管理!$AK$3:$AK$98,K$1,工数管理!$Y$3:$Y$98,"&lt;="&amp;$H160,工数管理!$Z$3:$Z$98,"")+COUNTIFS(工数管理!$AK$3:$AK$98,K$1,工数管理!$AA$3:$AA$98,"&lt;="&amp;$H160,工数管理!$AB$3:$AB$98,"")+COUNTIFS(工数管理!$AK$3:$AK$98,K$1,工数管理!$AC$3:$AC$98,"&lt;="&amp;$H160,工数管理!$AD$3:$AD$98,"")+COUNTIFS(工数管理!$AK$3:$AK$98,K$1,工数管理!$AE$3:$AE$98,"&lt;="&amp;$H160,工数管理!$AF$3:$AF$98,"")+COUNTIFS(工数管理!$AK$3:$AK$98,K$1,工数管理!$AG$3:$AG$98,"&lt;="&amp;$H160,工数管理!$AH$3:$AH$98,""))*($H160&lt;=工数管理!$AI$1))</f>
        <v>0</v>
      </c>
      <c r="L160" s="42">
        <f ca="1">IF(L$1="",0,COUNTIFS(工数管理!$AK$3:$AK$98,L$1,工数管理!$K$3:$K$98,"&lt;="&amp;$H160,工数管理!$L$3:$L$98,"&gt;="&amp;$H160)+COUNTIFS(工数管理!$AK$3:$AK$98,L$1,工数管理!$M$3:$M$98,"&lt;="&amp;$H160,工数管理!$N$3:$N$98,"&gt;="&amp;$H160)+COUNTIFS(工数管理!$AK$3:$AK$98,L$1,工数管理!$O$3:$O$98,"&lt;="&amp;$H160,工数管理!$P$3:$P$98,"&gt;="&amp;$H160)+COUNTIFS(工数管理!$AK$3:$AK$98,L$1,工数管理!$Q$3:$Q$98,"&lt;="&amp;$H160,工数管理!$R$3:$R$98,"&gt;="&amp;$H160)+COUNTIFS(工数管理!$AK$3:$AK$98,L$1,工数管理!$S$3:$S$98,"&lt;="&amp;$H160,工数管理!$T$3:$T$98,"&gt;="&amp;$H160)+COUNTIFS(工数管理!$AK$3:$AK$98,L$1,工数管理!$U$3:$U$98,"&lt;="&amp;$H160,工数管理!$V$3:$V$98,"&gt;="&amp;$H160)+COUNTIFS(工数管理!$AK$3:$AK$98,L$1,工数管理!$W$3:$W$98,"&lt;="&amp;$H160,工数管理!$X$3:$X$98,"&gt;="&amp;$H160)+COUNTIFS(工数管理!$AK$3:$AK$98,L$1,工数管理!$Y$3:$Y$98,"&lt;="&amp;$H160,工数管理!$Z$3:$Z$98,"&gt;="&amp;$H160)+COUNTIFS(工数管理!$AK$3:$AK$98,L$1,工数管理!$AA$3:$AA$98,"&lt;="&amp;$H160,工数管理!$AB$3:$AB$98,"&gt;="&amp;$H160)+COUNTIFS(工数管理!$AK$3:$AK$98,L$1,工数管理!$AC$3:$AC$98,"&lt;="&amp;$H160,工数管理!$AD$3:$AD$98,"&gt;="&amp;$H160)+COUNTIFS(工数管理!$AK$3:$AK$98,L$1,工数管理!$AE$3:$AE$98,"&lt;="&amp;$H160,工数管理!$AF$3:$AF$98,"&gt;="&amp;$H160)+COUNTIFS(工数管理!$AK$3:$AK$98,L$1,工数管理!$AG$3:$AG$98,"&lt;="&amp;$H160,工数管理!$AH$3:$AH$98,"&gt;="&amp;$H160)+(COUNTIFS(工数管理!$AK$3:$AK$98,L$1,工数管理!$K$3:$K$98,"&lt;="&amp;$H160,工数管理!$L$3:$L$98,"")+COUNTIFS(工数管理!$AK$3:$AK$98,L$1,工数管理!$M$3:$M$98,"&lt;="&amp;$H160,工数管理!$N$3:$N$98,"")+COUNTIFS(工数管理!$AK$3:$AK$98,L$1,工数管理!$O$3:$O$98,"&lt;="&amp;$H160,工数管理!$P$3:$P$98,"")+COUNTIFS(工数管理!$AK$3:$AK$98,L$1,工数管理!$Q$3:$Q$98,"&lt;="&amp;$H160,工数管理!$R$3:$R$98,"")+COUNTIFS(工数管理!$AK$3:$AK$98,L$1,工数管理!$S$3:$S$98,"&lt;="&amp;$H160,工数管理!$T$3:$T$98,"")+COUNTIFS(工数管理!$AK$3:$AK$98,L$1,工数管理!$U$3:$U$98,"&lt;="&amp;$H160,工数管理!$V$3:$V$98,"")+COUNTIFS(工数管理!$AK$3:$AK$98,L$1,工数管理!$W$3:$W$98,"&lt;="&amp;$H160,工数管理!$X$3:$X$98,"")+COUNTIFS(工数管理!$AK$3:$AK$98,L$1,工数管理!$Y$3:$Y$98,"&lt;="&amp;$H160,工数管理!$Z$3:$Z$98,"")+COUNTIFS(工数管理!$AK$3:$AK$98,L$1,工数管理!$AA$3:$AA$98,"&lt;="&amp;$H160,工数管理!$AB$3:$AB$98,"")+COUNTIFS(工数管理!$AK$3:$AK$98,L$1,工数管理!$AC$3:$AC$98,"&lt;="&amp;$H160,工数管理!$AD$3:$AD$98,"")+COUNTIFS(工数管理!$AK$3:$AK$98,L$1,工数管理!$AE$3:$AE$98,"&lt;="&amp;$H160,工数管理!$AF$3:$AF$98,"")+COUNTIFS(工数管理!$AK$3:$AK$98,L$1,工数管理!$AG$3:$AG$98,"&lt;="&amp;$H160,工数管理!$AH$3:$AH$98,""))*($H160&lt;=工数管理!$AI$1))</f>
        <v>0</v>
      </c>
    </row>
    <row r="161" spans="1:12" x14ac:dyDescent="0.15">
      <c r="A161" s="5"/>
      <c r="B161" s="6"/>
      <c r="H161" s="41">
        <f t="shared" si="5"/>
        <v>46329</v>
      </c>
      <c r="I161" s="42">
        <f t="shared" si="4"/>
        <v>0</v>
      </c>
      <c r="J161" s="42">
        <f ca="1">IF(J$1="",0,COUNTIFS(工数管理!$AK$3:$AK$98,J$1,工数管理!$K$3:$K$98,"&lt;="&amp;$H161,工数管理!$L$3:$L$98,"&gt;="&amp;$H161)+COUNTIFS(工数管理!$AK$3:$AK$98,J$1,工数管理!$M$3:$M$98,"&lt;="&amp;$H161,工数管理!$N$3:$N$98,"&gt;="&amp;$H161)+COUNTIFS(工数管理!$AK$3:$AK$98,J$1,工数管理!$O$3:$O$98,"&lt;="&amp;$H161,工数管理!$P$3:$P$98,"&gt;="&amp;$H161)+COUNTIFS(工数管理!$AK$3:$AK$98,J$1,工数管理!$Q$3:$Q$98,"&lt;="&amp;$H161,工数管理!$R$3:$R$98,"&gt;="&amp;$H161)+COUNTIFS(工数管理!$AK$3:$AK$98,J$1,工数管理!$S$3:$S$98,"&lt;="&amp;$H161,工数管理!$T$3:$T$98,"&gt;="&amp;$H161)+COUNTIFS(工数管理!$AK$3:$AK$98,J$1,工数管理!$U$3:$U$98,"&lt;="&amp;$H161,工数管理!$V$3:$V$98,"&gt;="&amp;$H161)+COUNTIFS(工数管理!$AK$3:$AK$98,J$1,工数管理!$W$3:$W$98,"&lt;="&amp;$H161,工数管理!$X$3:$X$98,"&gt;="&amp;$H161)+COUNTIFS(工数管理!$AK$3:$AK$98,J$1,工数管理!$Y$3:$Y$98,"&lt;="&amp;$H161,工数管理!$Z$3:$Z$98,"&gt;="&amp;$H161)+COUNTIFS(工数管理!$AK$3:$AK$98,J$1,工数管理!$AA$3:$AA$98,"&lt;="&amp;$H161,工数管理!$AB$3:$AB$98,"&gt;="&amp;$H161)+COUNTIFS(工数管理!$AK$3:$AK$98,J$1,工数管理!$AC$3:$AC$98,"&lt;="&amp;$H161,工数管理!$AD$3:$AD$98,"&gt;="&amp;$H161)+COUNTIFS(工数管理!$AK$3:$AK$98,J$1,工数管理!$AE$3:$AE$98,"&lt;="&amp;$H161,工数管理!$AF$3:$AF$98,"&gt;="&amp;$H161)+COUNTIFS(工数管理!$AK$3:$AK$98,J$1,工数管理!$AG$3:$AG$98,"&lt;="&amp;$H161,工数管理!$AH$3:$AH$98,"&gt;="&amp;$H161)+(COUNTIFS(工数管理!$AK$3:$AK$98,J$1,工数管理!$K$3:$K$98,"&lt;="&amp;$H161,工数管理!$L$3:$L$98,"")+COUNTIFS(工数管理!$AK$3:$AK$98,J$1,工数管理!$M$3:$M$98,"&lt;="&amp;$H161,工数管理!$N$3:$N$98,"")+COUNTIFS(工数管理!$AK$3:$AK$98,J$1,工数管理!$O$3:$O$98,"&lt;="&amp;$H161,工数管理!$P$3:$P$98,"")+COUNTIFS(工数管理!$AK$3:$AK$98,J$1,工数管理!$Q$3:$Q$98,"&lt;="&amp;$H161,工数管理!$R$3:$R$98,"")+COUNTIFS(工数管理!$AK$3:$AK$98,J$1,工数管理!$S$3:$S$98,"&lt;="&amp;$H161,工数管理!$T$3:$T$98,"")+COUNTIFS(工数管理!$AK$3:$AK$98,J$1,工数管理!$U$3:$U$98,"&lt;="&amp;$H161,工数管理!$V$3:$V$98,"")+COUNTIFS(工数管理!$AK$3:$AK$98,J$1,工数管理!$W$3:$W$98,"&lt;="&amp;$H161,工数管理!$X$3:$X$98,"")+COUNTIFS(工数管理!$AK$3:$AK$98,J$1,工数管理!$Y$3:$Y$98,"&lt;="&amp;$H161,工数管理!$Z$3:$Z$98,"")+COUNTIFS(工数管理!$AK$3:$AK$98,J$1,工数管理!$AA$3:$AA$98,"&lt;="&amp;$H161,工数管理!$AB$3:$AB$98,"")+COUNTIFS(工数管理!$AK$3:$AK$98,J$1,工数管理!$AC$3:$AC$98,"&lt;="&amp;$H161,工数管理!$AD$3:$AD$98,"")+COUNTIFS(工数管理!$AK$3:$AK$98,J$1,工数管理!$AE$3:$AE$98,"&lt;="&amp;$H161,工数管理!$AF$3:$AF$98,"")+COUNTIFS(工数管理!$AK$3:$AK$98,J$1,工数管理!$AG$3:$AG$98,"&lt;="&amp;$H161,工数管理!$AH$3:$AH$98,""))*($H161&lt;=工数管理!$AI$1))</f>
        <v>0</v>
      </c>
      <c r="K161" s="42">
        <f ca="1">IF(K$1="",0,COUNTIFS(工数管理!$AK$3:$AK$98,K$1,工数管理!$K$3:$K$98,"&lt;="&amp;$H161,工数管理!$L$3:$L$98,"&gt;="&amp;$H161)+COUNTIFS(工数管理!$AK$3:$AK$98,K$1,工数管理!$M$3:$M$98,"&lt;="&amp;$H161,工数管理!$N$3:$N$98,"&gt;="&amp;$H161)+COUNTIFS(工数管理!$AK$3:$AK$98,K$1,工数管理!$O$3:$O$98,"&lt;="&amp;$H161,工数管理!$P$3:$P$98,"&gt;="&amp;$H161)+COUNTIFS(工数管理!$AK$3:$AK$98,K$1,工数管理!$Q$3:$Q$98,"&lt;="&amp;$H161,工数管理!$R$3:$R$98,"&gt;="&amp;$H161)+COUNTIFS(工数管理!$AK$3:$AK$98,K$1,工数管理!$S$3:$S$98,"&lt;="&amp;$H161,工数管理!$T$3:$T$98,"&gt;="&amp;$H161)+COUNTIFS(工数管理!$AK$3:$AK$98,K$1,工数管理!$U$3:$U$98,"&lt;="&amp;$H161,工数管理!$V$3:$V$98,"&gt;="&amp;$H161)+COUNTIFS(工数管理!$AK$3:$AK$98,K$1,工数管理!$W$3:$W$98,"&lt;="&amp;$H161,工数管理!$X$3:$X$98,"&gt;="&amp;$H161)+COUNTIFS(工数管理!$AK$3:$AK$98,K$1,工数管理!$Y$3:$Y$98,"&lt;="&amp;$H161,工数管理!$Z$3:$Z$98,"&gt;="&amp;$H161)+COUNTIFS(工数管理!$AK$3:$AK$98,K$1,工数管理!$AA$3:$AA$98,"&lt;="&amp;$H161,工数管理!$AB$3:$AB$98,"&gt;="&amp;$H161)+COUNTIFS(工数管理!$AK$3:$AK$98,K$1,工数管理!$AC$3:$AC$98,"&lt;="&amp;$H161,工数管理!$AD$3:$AD$98,"&gt;="&amp;$H161)+COUNTIFS(工数管理!$AK$3:$AK$98,K$1,工数管理!$AE$3:$AE$98,"&lt;="&amp;$H161,工数管理!$AF$3:$AF$98,"&gt;="&amp;$H161)+COUNTIFS(工数管理!$AK$3:$AK$98,K$1,工数管理!$AG$3:$AG$98,"&lt;="&amp;$H161,工数管理!$AH$3:$AH$98,"&gt;="&amp;$H161)+(COUNTIFS(工数管理!$AK$3:$AK$98,K$1,工数管理!$K$3:$K$98,"&lt;="&amp;$H161,工数管理!$L$3:$L$98,"")+COUNTIFS(工数管理!$AK$3:$AK$98,K$1,工数管理!$M$3:$M$98,"&lt;="&amp;$H161,工数管理!$N$3:$N$98,"")+COUNTIFS(工数管理!$AK$3:$AK$98,K$1,工数管理!$O$3:$O$98,"&lt;="&amp;$H161,工数管理!$P$3:$P$98,"")+COUNTIFS(工数管理!$AK$3:$AK$98,K$1,工数管理!$Q$3:$Q$98,"&lt;="&amp;$H161,工数管理!$R$3:$R$98,"")+COUNTIFS(工数管理!$AK$3:$AK$98,K$1,工数管理!$S$3:$S$98,"&lt;="&amp;$H161,工数管理!$T$3:$T$98,"")+COUNTIFS(工数管理!$AK$3:$AK$98,K$1,工数管理!$U$3:$U$98,"&lt;="&amp;$H161,工数管理!$V$3:$V$98,"")+COUNTIFS(工数管理!$AK$3:$AK$98,K$1,工数管理!$W$3:$W$98,"&lt;="&amp;$H161,工数管理!$X$3:$X$98,"")+COUNTIFS(工数管理!$AK$3:$AK$98,K$1,工数管理!$Y$3:$Y$98,"&lt;="&amp;$H161,工数管理!$Z$3:$Z$98,"")+COUNTIFS(工数管理!$AK$3:$AK$98,K$1,工数管理!$AA$3:$AA$98,"&lt;="&amp;$H161,工数管理!$AB$3:$AB$98,"")+COUNTIFS(工数管理!$AK$3:$AK$98,K$1,工数管理!$AC$3:$AC$98,"&lt;="&amp;$H161,工数管理!$AD$3:$AD$98,"")+COUNTIFS(工数管理!$AK$3:$AK$98,K$1,工数管理!$AE$3:$AE$98,"&lt;="&amp;$H161,工数管理!$AF$3:$AF$98,"")+COUNTIFS(工数管理!$AK$3:$AK$98,K$1,工数管理!$AG$3:$AG$98,"&lt;="&amp;$H161,工数管理!$AH$3:$AH$98,""))*($H161&lt;=工数管理!$AI$1))</f>
        <v>0</v>
      </c>
      <c r="L161" s="42">
        <f ca="1">IF(L$1="",0,COUNTIFS(工数管理!$AK$3:$AK$98,L$1,工数管理!$K$3:$K$98,"&lt;="&amp;$H161,工数管理!$L$3:$L$98,"&gt;="&amp;$H161)+COUNTIFS(工数管理!$AK$3:$AK$98,L$1,工数管理!$M$3:$M$98,"&lt;="&amp;$H161,工数管理!$N$3:$N$98,"&gt;="&amp;$H161)+COUNTIFS(工数管理!$AK$3:$AK$98,L$1,工数管理!$O$3:$O$98,"&lt;="&amp;$H161,工数管理!$P$3:$P$98,"&gt;="&amp;$H161)+COUNTIFS(工数管理!$AK$3:$AK$98,L$1,工数管理!$Q$3:$Q$98,"&lt;="&amp;$H161,工数管理!$R$3:$R$98,"&gt;="&amp;$H161)+COUNTIFS(工数管理!$AK$3:$AK$98,L$1,工数管理!$S$3:$S$98,"&lt;="&amp;$H161,工数管理!$T$3:$T$98,"&gt;="&amp;$H161)+COUNTIFS(工数管理!$AK$3:$AK$98,L$1,工数管理!$U$3:$U$98,"&lt;="&amp;$H161,工数管理!$V$3:$V$98,"&gt;="&amp;$H161)+COUNTIFS(工数管理!$AK$3:$AK$98,L$1,工数管理!$W$3:$W$98,"&lt;="&amp;$H161,工数管理!$X$3:$X$98,"&gt;="&amp;$H161)+COUNTIFS(工数管理!$AK$3:$AK$98,L$1,工数管理!$Y$3:$Y$98,"&lt;="&amp;$H161,工数管理!$Z$3:$Z$98,"&gt;="&amp;$H161)+COUNTIFS(工数管理!$AK$3:$AK$98,L$1,工数管理!$AA$3:$AA$98,"&lt;="&amp;$H161,工数管理!$AB$3:$AB$98,"&gt;="&amp;$H161)+COUNTIFS(工数管理!$AK$3:$AK$98,L$1,工数管理!$AC$3:$AC$98,"&lt;="&amp;$H161,工数管理!$AD$3:$AD$98,"&gt;="&amp;$H161)+COUNTIFS(工数管理!$AK$3:$AK$98,L$1,工数管理!$AE$3:$AE$98,"&lt;="&amp;$H161,工数管理!$AF$3:$AF$98,"&gt;="&amp;$H161)+COUNTIFS(工数管理!$AK$3:$AK$98,L$1,工数管理!$AG$3:$AG$98,"&lt;="&amp;$H161,工数管理!$AH$3:$AH$98,"&gt;="&amp;$H161)+(COUNTIFS(工数管理!$AK$3:$AK$98,L$1,工数管理!$K$3:$K$98,"&lt;="&amp;$H161,工数管理!$L$3:$L$98,"")+COUNTIFS(工数管理!$AK$3:$AK$98,L$1,工数管理!$M$3:$M$98,"&lt;="&amp;$H161,工数管理!$N$3:$N$98,"")+COUNTIFS(工数管理!$AK$3:$AK$98,L$1,工数管理!$O$3:$O$98,"&lt;="&amp;$H161,工数管理!$P$3:$P$98,"")+COUNTIFS(工数管理!$AK$3:$AK$98,L$1,工数管理!$Q$3:$Q$98,"&lt;="&amp;$H161,工数管理!$R$3:$R$98,"")+COUNTIFS(工数管理!$AK$3:$AK$98,L$1,工数管理!$S$3:$S$98,"&lt;="&amp;$H161,工数管理!$T$3:$T$98,"")+COUNTIFS(工数管理!$AK$3:$AK$98,L$1,工数管理!$U$3:$U$98,"&lt;="&amp;$H161,工数管理!$V$3:$V$98,"")+COUNTIFS(工数管理!$AK$3:$AK$98,L$1,工数管理!$W$3:$W$98,"&lt;="&amp;$H161,工数管理!$X$3:$X$98,"")+COUNTIFS(工数管理!$AK$3:$AK$98,L$1,工数管理!$Y$3:$Y$98,"&lt;="&amp;$H161,工数管理!$Z$3:$Z$98,"")+COUNTIFS(工数管理!$AK$3:$AK$98,L$1,工数管理!$AA$3:$AA$98,"&lt;="&amp;$H161,工数管理!$AB$3:$AB$98,"")+COUNTIFS(工数管理!$AK$3:$AK$98,L$1,工数管理!$AC$3:$AC$98,"&lt;="&amp;$H161,工数管理!$AD$3:$AD$98,"")+COUNTIFS(工数管理!$AK$3:$AK$98,L$1,工数管理!$AE$3:$AE$98,"&lt;="&amp;$H161,工数管理!$AF$3:$AF$98,"")+COUNTIFS(工数管理!$AK$3:$AK$98,L$1,工数管理!$AG$3:$AG$98,"&lt;="&amp;$H161,工数管理!$AH$3:$AH$98,""))*($H161&lt;=工数管理!$AI$1))</f>
        <v>0</v>
      </c>
    </row>
    <row r="162" spans="1:12" x14ac:dyDescent="0.15">
      <c r="A162" s="5"/>
      <c r="B162" s="6"/>
      <c r="H162" s="41">
        <f t="shared" si="5"/>
        <v>46330</v>
      </c>
      <c r="I162" s="42">
        <f t="shared" si="4"/>
        <v>1</v>
      </c>
      <c r="J162" s="42">
        <f ca="1">IF(J$1="",0,COUNTIFS(工数管理!$AK$3:$AK$98,J$1,工数管理!$K$3:$K$98,"&lt;="&amp;$H162,工数管理!$L$3:$L$98,"&gt;="&amp;$H162)+COUNTIFS(工数管理!$AK$3:$AK$98,J$1,工数管理!$M$3:$M$98,"&lt;="&amp;$H162,工数管理!$N$3:$N$98,"&gt;="&amp;$H162)+COUNTIFS(工数管理!$AK$3:$AK$98,J$1,工数管理!$O$3:$O$98,"&lt;="&amp;$H162,工数管理!$P$3:$P$98,"&gt;="&amp;$H162)+COUNTIFS(工数管理!$AK$3:$AK$98,J$1,工数管理!$Q$3:$Q$98,"&lt;="&amp;$H162,工数管理!$R$3:$R$98,"&gt;="&amp;$H162)+COUNTIFS(工数管理!$AK$3:$AK$98,J$1,工数管理!$S$3:$S$98,"&lt;="&amp;$H162,工数管理!$T$3:$T$98,"&gt;="&amp;$H162)+COUNTIFS(工数管理!$AK$3:$AK$98,J$1,工数管理!$U$3:$U$98,"&lt;="&amp;$H162,工数管理!$V$3:$V$98,"&gt;="&amp;$H162)+COUNTIFS(工数管理!$AK$3:$AK$98,J$1,工数管理!$W$3:$W$98,"&lt;="&amp;$H162,工数管理!$X$3:$X$98,"&gt;="&amp;$H162)+COUNTIFS(工数管理!$AK$3:$AK$98,J$1,工数管理!$Y$3:$Y$98,"&lt;="&amp;$H162,工数管理!$Z$3:$Z$98,"&gt;="&amp;$H162)+COUNTIFS(工数管理!$AK$3:$AK$98,J$1,工数管理!$AA$3:$AA$98,"&lt;="&amp;$H162,工数管理!$AB$3:$AB$98,"&gt;="&amp;$H162)+COUNTIFS(工数管理!$AK$3:$AK$98,J$1,工数管理!$AC$3:$AC$98,"&lt;="&amp;$H162,工数管理!$AD$3:$AD$98,"&gt;="&amp;$H162)+COUNTIFS(工数管理!$AK$3:$AK$98,J$1,工数管理!$AE$3:$AE$98,"&lt;="&amp;$H162,工数管理!$AF$3:$AF$98,"&gt;="&amp;$H162)+COUNTIFS(工数管理!$AK$3:$AK$98,J$1,工数管理!$AG$3:$AG$98,"&lt;="&amp;$H162,工数管理!$AH$3:$AH$98,"&gt;="&amp;$H162)+(COUNTIFS(工数管理!$AK$3:$AK$98,J$1,工数管理!$K$3:$K$98,"&lt;="&amp;$H162,工数管理!$L$3:$L$98,"")+COUNTIFS(工数管理!$AK$3:$AK$98,J$1,工数管理!$M$3:$M$98,"&lt;="&amp;$H162,工数管理!$N$3:$N$98,"")+COUNTIFS(工数管理!$AK$3:$AK$98,J$1,工数管理!$O$3:$O$98,"&lt;="&amp;$H162,工数管理!$P$3:$P$98,"")+COUNTIFS(工数管理!$AK$3:$AK$98,J$1,工数管理!$Q$3:$Q$98,"&lt;="&amp;$H162,工数管理!$R$3:$R$98,"")+COUNTIFS(工数管理!$AK$3:$AK$98,J$1,工数管理!$S$3:$S$98,"&lt;="&amp;$H162,工数管理!$T$3:$T$98,"")+COUNTIFS(工数管理!$AK$3:$AK$98,J$1,工数管理!$U$3:$U$98,"&lt;="&amp;$H162,工数管理!$V$3:$V$98,"")+COUNTIFS(工数管理!$AK$3:$AK$98,J$1,工数管理!$W$3:$W$98,"&lt;="&amp;$H162,工数管理!$X$3:$X$98,"")+COUNTIFS(工数管理!$AK$3:$AK$98,J$1,工数管理!$Y$3:$Y$98,"&lt;="&amp;$H162,工数管理!$Z$3:$Z$98,"")+COUNTIFS(工数管理!$AK$3:$AK$98,J$1,工数管理!$AA$3:$AA$98,"&lt;="&amp;$H162,工数管理!$AB$3:$AB$98,"")+COUNTIFS(工数管理!$AK$3:$AK$98,J$1,工数管理!$AC$3:$AC$98,"&lt;="&amp;$H162,工数管理!$AD$3:$AD$98,"")+COUNTIFS(工数管理!$AK$3:$AK$98,J$1,工数管理!$AE$3:$AE$98,"&lt;="&amp;$H162,工数管理!$AF$3:$AF$98,"")+COUNTIFS(工数管理!$AK$3:$AK$98,J$1,工数管理!$AG$3:$AG$98,"&lt;="&amp;$H162,工数管理!$AH$3:$AH$98,""))*($H162&lt;=工数管理!$AI$1))</f>
        <v>0</v>
      </c>
      <c r="K162" s="42">
        <f ca="1">IF(K$1="",0,COUNTIFS(工数管理!$AK$3:$AK$98,K$1,工数管理!$K$3:$K$98,"&lt;="&amp;$H162,工数管理!$L$3:$L$98,"&gt;="&amp;$H162)+COUNTIFS(工数管理!$AK$3:$AK$98,K$1,工数管理!$M$3:$M$98,"&lt;="&amp;$H162,工数管理!$N$3:$N$98,"&gt;="&amp;$H162)+COUNTIFS(工数管理!$AK$3:$AK$98,K$1,工数管理!$O$3:$O$98,"&lt;="&amp;$H162,工数管理!$P$3:$P$98,"&gt;="&amp;$H162)+COUNTIFS(工数管理!$AK$3:$AK$98,K$1,工数管理!$Q$3:$Q$98,"&lt;="&amp;$H162,工数管理!$R$3:$R$98,"&gt;="&amp;$H162)+COUNTIFS(工数管理!$AK$3:$AK$98,K$1,工数管理!$S$3:$S$98,"&lt;="&amp;$H162,工数管理!$T$3:$T$98,"&gt;="&amp;$H162)+COUNTIFS(工数管理!$AK$3:$AK$98,K$1,工数管理!$U$3:$U$98,"&lt;="&amp;$H162,工数管理!$V$3:$V$98,"&gt;="&amp;$H162)+COUNTIFS(工数管理!$AK$3:$AK$98,K$1,工数管理!$W$3:$W$98,"&lt;="&amp;$H162,工数管理!$X$3:$X$98,"&gt;="&amp;$H162)+COUNTIFS(工数管理!$AK$3:$AK$98,K$1,工数管理!$Y$3:$Y$98,"&lt;="&amp;$H162,工数管理!$Z$3:$Z$98,"&gt;="&amp;$H162)+COUNTIFS(工数管理!$AK$3:$AK$98,K$1,工数管理!$AA$3:$AA$98,"&lt;="&amp;$H162,工数管理!$AB$3:$AB$98,"&gt;="&amp;$H162)+COUNTIFS(工数管理!$AK$3:$AK$98,K$1,工数管理!$AC$3:$AC$98,"&lt;="&amp;$H162,工数管理!$AD$3:$AD$98,"&gt;="&amp;$H162)+COUNTIFS(工数管理!$AK$3:$AK$98,K$1,工数管理!$AE$3:$AE$98,"&lt;="&amp;$H162,工数管理!$AF$3:$AF$98,"&gt;="&amp;$H162)+COUNTIFS(工数管理!$AK$3:$AK$98,K$1,工数管理!$AG$3:$AG$98,"&lt;="&amp;$H162,工数管理!$AH$3:$AH$98,"&gt;="&amp;$H162)+(COUNTIFS(工数管理!$AK$3:$AK$98,K$1,工数管理!$K$3:$K$98,"&lt;="&amp;$H162,工数管理!$L$3:$L$98,"")+COUNTIFS(工数管理!$AK$3:$AK$98,K$1,工数管理!$M$3:$M$98,"&lt;="&amp;$H162,工数管理!$N$3:$N$98,"")+COUNTIFS(工数管理!$AK$3:$AK$98,K$1,工数管理!$O$3:$O$98,"&lt;="&amp;$H162,工数管理!$P$3:$P$98,"")+COUNTIFS(工数管理!$AK$3:$AK$98,K$1,工数管理!$Q$3:$Q$98,"&lt;="&amp;$H162,工数管理!$R$3:$R$98,"")+COUNTIFS(工数管理!$AK$3:$AK$98,K$1,工数管理!$S$3:$S$98,"&lt;="&amp;$H162,工数管理!$T$3:$T$98,"")+COUNTIFS(工数管理!$AK$3:$AK$98,K$1,工数管理!$U$3:$U$98,"&lt;="&amp;$H162,工数管理!$V$3:$V$98,"")+COUNTIFS(工数管理!$AK$3:$AK$98,K$1,工数管理!$W$3:$W$98,"&lt;="&amp;$H162,工数管理!$X$3:$X$98,"")+COUNTIFS(工数管理!$AK$3:$AK$98,K$1,工数管理!$Y$3:$Y$98,"&lt;="&amp;$H162,工数管理!$Z$3:$Z$98,"")+COUNTIFS(工数管理!$AK$3:$AK$98,K$1,工数管理!$AA$3:$AA$98,"&lt;="&amp;$H162,工数管理!$AB$3:$AB$98,"")+COUNTIFS(工数管理!$AK$3:$AK$98,K$1,工数管理!$AC$3:$AC$98,"&lt;="&amp;$H162,工数管理!$AD$3:$AD$98,"")+COUNTIFS(工数管理!$AK$3:$AK$98,K$1,工数管理!$AE$3:$AE$98,"&lt;="&amp;$H162,工数管理!$AF$3:$AF$98,"")+COUNTIFS(工数管理!$AK$3:$AK$98,K$1,工数管理!$AG$3:$AG$98,"&lt;="&amp;$H162,工数管理!$AH$3:$AH$98,""))*($H162&lt;=工数管理!$AI$1))</f>
        <v>0</v>
      </c>
      <c r="L162" s="42">
        <f ca="1">IF(L$1="",0,COUNTIFS(工数管理!$AK$3:$AK$98,L$1,工数管理!$K$3:$K$98,"&lt;="&amp;$H162,工数管理!$L$3:$L$98,"&gt;="&amp;$H162)+COUNTIFS(工数管理!$AK$3:$AK$98,L$1,工数管理!$M$3:$M$98,"&lt;="&amp;$H162,工数管理!$N$3:$N$98,"&gt;="&amp;$H162)+COUNTIFS(工数管理!$AK$3:$AK$98,L$1,工数管理!$O$3:$O$98,"&lt;="&amp;$H162,工数管理!$P$3:$P$98,"&gt;="&amp;$H162)+COUNTIFS(工数管理!$AK$3:$AK$98,L$1,工数管理!$Q$3:$Q$98,"&lt;="&amp;$H162,工数管理!$R$3:$R$98,"&gt;="&amp;$H162)+COUNTIFS(工数管理!$AK$3:$AK$98,L$1,工数管理!$S$3:$S$98,"&lt;="&amp;$H162,工数管理!$T$3:$T$98,"&gt;="&amp;$H162)+COUNTIFS(工数管理!$AK$3:$AK$98,L$1,工数管理!$U$3:$U$98,"&lt;="&amp;$H162,工数管理!$V$3:$V$98,"&gt;="&amp;$H162)+COUNTIFS(工数管理!$AK$3:$AK$98,L$1,工数管理!$W$3:$W$98,"&lt;="&amp;$H162,工数管理!$X$3:$X$98,"&gt;="&amp;$H162)+COUNTIFS(工数管理!$AK$3:$AK$98,L$1,工数管理!$Y$3:$Y$98,"&lt;="&amp;$H162,工数管理!$Z$3:$Z$98,"&gt;="&amp;$H162)+COUNTIFS(工数管理!$AK$3:$AK$98,L$1,工数管理!$AA$3:$AA$98,"&lt;="&amp;$H162,工数管理!$AB$3:$AB$98,"&gt;="&amp;$H162)+COUNTIFS(工数管理!$AK$3:$AK$98,L$1,工数管理!$AC$3:$AC$98,"&lt;="&amp;$H162,工数管理!$AD$3:$AD$98,"&gt;="&amp;$H162)+COUNTIFS(工数管理!$AK$3:$AK$98,L$1,工数管理!$AE$3:$AE$98,"&lt;="&amp;$H162,工数管理!$AF$3:$AF$98,"&gt;="&amp;$H162)+COUNTIFS(工数管理!$AK$3:$AK$98,L$1,工数管理!$AG$3:$AG$98,"&lt;="&amp;$H162,工数管理!$AH$3:$AH$98,"&gt;="&amp;$H162)+(COUNTIFS(工数管理!$AK$3:$AK$98,L$1,工数管理!$K$3:$K$98,"&lt;="&amp;$H162,工数管理!$L$3:$L$98,"")+COUNTIFS(工数管理!$AK$3:$AK$98,L$1,工数管理!$M$3:$M$98,"&lt;="&amp;$H162,工数管理!$N$3:$N$98,"")+COUNTIFS(工数管理!$AK$3:$AK$98,L$1,工数管理!$O$3:$O$98,"&lt;="&amp;$H162,工数管理!$P$3:$P$98,"")+COUNTIFS(工数管理!$AK$3:$AK$98,L$1,工数管理!$Q$3:$Q$98,"&lt;="&amp;$H162,工数管理!$R$3:$R$98,"")+COUNTIFS(工数管理!$AK$3:$AK$98,L$1,工数管理!$S$3:$S$98,"&lt;="&amp;$H162,工数管理!$T$3:$T$98,"")+COUNTIFS(工数管理!$AK$3:$AK$98,L$1,工数管理!$U$3:$U$98,"&lt;="&amp;$H162,工数管理!$V$3:$V$98,"")+COUNTIFS(工数管理!$AK$3:$AK$98,L$1,工数管理!$W$3:$W$98,"&lt;="&amp;$H162,工数管理!$X$3:$X$98,"")+COUNTIFS(工数管理!$AK$3:$AK$98,L$1,工数管理!$Y$3:$Y$98,"&lt;="&amp;$H162,工数管理!$Z$3:$Z$98,"")+COUNTIFS(工数管理!$AK$3:$AK$98,L$1,工数管理!$AA$3:$AA$98,"&lt;="&amp;$H162,工数管理!$AB$3:$AB$98,"")+COUNTIFS(工数管理!$AK$3:$AK$98,L$1,工数管理!$AC$3:$AC$98,"&lt;="&amp;$H162,工数管理!$AD$3:$AD$98,"")+COUNTIFS(工数管理!$AK$3:$AK$98,L$1,工数管理!$AE$3:$AE$98,"&lt;="&amp;$H162,工数管理!$AF$3:$AF$98,"")+COUNTIFS(工数管理!$AK$3:$AK$98,L$1,工数管理!$AG$3:$AG$98,"&lt;="&amp;$H162,工数管理!$AH$3:$AH$98,""))*($H162&lt;=工数管理!$AI$1))</f>
        <v>0</v>
      </c>
    </row>
    <row r="163" spans="1:12" x14ac:dyDescent="0.15">
      <c r="A163" s="5"/>
      <c r="B163" s="6"/>
      <c r="H163" s="41">
        <f t="shared" si="5"/>
        <v>46331</v>
      </c>
      <c r="I163" s="42">
        <f t="shared" si="4"/>
        <v>1</v>
      </c>
      <c r="J163" s="42">
        <f ca="1">IF(J$1="",0,COUNTIFS(工数管理!$AK$3:$AK$98,J$1,工数管理!$K$3:$K$98,"&lt;="&amp;$H163,工数管理!$L$3:$L$98,"&gt;="&amp;$H163)+COUNTIFS(工数管理!$AK$3:$AK$98,J$1,工数管理!$M$3:$M$98,"&lt;="&amp;$H163,工数管理!$N$3:$N$98,"&gt;="&amp;$H163)+COUNTIFS(工数管理!$AK$3:$AK$98,J$1,工数管理!$O$3:$O$98,"&lt;="&amp;$H163,工数管理!$P$3:$P$98,"&gt;="&amp;$H163)+COUNTIFS(工数管理!$AK$3:$AK$98,J$1,工数管理!$Q$3:$Q$98,"&lt;="&amp;$H163,工数管理!$R$3:$R$98,"&gt;="&amp;$H163)+COUNTIFS(工数管理!$AK$3:$AK$98,J$1,工数管理!$S$3:$S$98,"&lt;="&amp;$H163,工数管理!$T$3:$T$98,"&gt;="&amp;$H163)+COUNTIFS(工数管理!$AK$3:$AK$98,J$1,工数管理!$U$3:$U$98,"&lt;="&amp;$H163,工数管理!$V$3:$V$98,"&gt;="&amp;$H163)+COUNTIFS(工数管理!$AK$3:$AK$98,J$1,工数管理!$W$3:$W$98,"&lt;="&amp;$H163,工数管理!$X$3:$X$98,"&gt;="&amp;$H163)+COUNTIFS(工数管理!$AK$3:$AK$98,J$1,工数管理!$Y$3:$Y$98,"&lt;="&amp;$H163,工数管理!$Z$3:$Z$98,"&gt;="&amp;$H163)+COUNTIFS(工数管理!$AK$3:$AK$98,J$1,工数管理!$AA$3:$AA$98,"&lt;="&amp;$H163,工数管理!$AB$3:$AB$98,"&gt;="&amp;$H163)+COUNTIFS(工数管理!$AK$3:$AK$98,J$1,工数管理!$AC$3:$AC$98,"&lt;="&amp;$H163,工数管理!$AD$3:$AD$98,"&gt;="&amp;$H163)+COUNTIFS(工数管理!$AK$3:$AK$98,J$1,工数管理!$AE$3:$AE$98,"&lt;="&amp;$H163,工数管理!$AF$3:$AF$98,"&gt;="&amp;$H163)+COUNTIFS(工数管理!$AK$3:$AK$98,J$1,工数管理!$AG$3:$AG$98,"&lt;="&amp;$H163,工数管理!$AH$3:$AH$98,"&gt;="&amp;$H163)+(COUNTIFS(工数管理!$AK$3:$AK$98,J$1,工数管理!$K$3:$K$98,"&lt;="&amp;$H163,工数管理!$L$3:$L$98,"")+COUNTIFS(工数管理!$AK$3:$AK$98,J$1,工数管理!$M$3:$M$98,"&lt;="&amp;$H163,工数管理!$N$3:$N$98,"")+COUNTIFS(工数管理!$AK$3:$AK$98,J$1,工数管理!$O$3:$O$98,"&lt;="&amp;$H163,工数管理!$P$3:$P$98,"")+COUNTIFS(工数管理!$AK$3:$AK$98,J$1,工数管理!$Q$3:$Q$98,"&lt;="&amp;$H163,工数管理!$R$3:$R$98,"")+COUNTIFS(工数管理!$AK$3:$AK$98,J$1,工数管理!$S$3:$S$98,"&lt;="&amp;$H163,工数管理!$T$3:$T$98,"")+COUNTIFS(工数管理!$AK$3:$AK$98,J$1,工数管理!$U$3:$U$98,"&lt;="&amp;$H163,工数管理!$V$3:$V$98,"")+COUNTIFS(工数管理!$AK$3:$AK$98,J$1,工数管理!$W$3:$W$98,"&lt;="&amp;$H163,工数管理!$X$3:$X$98,"")+COUNTIFS(工数管理!$AK$3:$AK$98,J$1,工数管理!$Y$3:$Y$98,"&lt;="&amp;$H163,工数管理!$Z$3:$Z$98,"")+COUNTIFS(工数管理!$AK$3:$AK$98,J$1,工数管理!$AA$3:$AA$98,"&lt;="&amp;$H163,工数管理!$AB$3:$AB$98,"")+COUNTIFS(工数管理!$AK$3:$AK$98,J$1,工数管理!$AC$3:$AC$98,"&lt;="&amp;$H163,工数管理!$AD$3:$AD$98,"")+COUNTIFS(工数管理!$AK$3:$AK$98,J$1,工数管理!$AE$3:$AE$98,"&lt;="&amp;$H163,工数管理!$AF$3:$AF$98,"")+COUNTIFS(工数管理!$AK$3:$AK$98,J$1,工数管理!$AG$3:$AG$98,"&lt;="&amp;$H163,工数管理!$AH$3:$AH$98,""))*($H163&lt;=工数管理!$AI$1))</f>
        <v>0</v>
      </c>
      <c r="K163" s="42">
        <f ca="1">IF(K$1="",0,COUNTIFS(工数管理!$AK$3:$AK$98,K$1,工数管理!$K$3:$K$98,"&lt;="&amp;$H163,工数管理!$L$3:$L$98,"&gt;="&amp;$H163)+COUNTIFS(工数管理!$AK$3:$AK$98,K$1,工数管理!$M$3:$M$98,"&lt;="&amp;$H163,工数管理!$N$3:$N$98,"&gt;="&amp;$H163)+COUNTIFS(工数管理!$AK$3:$AK$98,K$1,工数管理!$O$3:$O$98,"&lt;="&amp;$H163,工数管理!$P$3:$P$98,"&gt;="&amp;$H163)+COUNTIFS(工数管理!$AK$3:$AK$98,K$1,工数管理!$Q$3:$Q$98,"&lt;="&amp;$H163,工数管理!$R$3:$R$98,"&gt;="&amp;$H163)+COUNTIFS(工数管理!$AK$3:$AK$98,K$1,工数管理!$S$3:$S$98,"&lt;="&amp;$H163,工数管理!$T$3:$T$98,"&gt;="&amp;$H163)+COUNTIFS(工数管理!$AK$3:$AK$98,K$1,工数管理!$U$3:$U$98,"&lt;="&amp;$H163,工数管理!$V$3:$V$98,"&gt;="&amp;$H163)+COUNTIFS(工数管理!$AK$3:$AK$98,K$1,工数管理!$W$3:$W$98,"&lt;="&amp;$H163,工数管理!$X$3:$X$98,"&gt;="&amp;$H163)+COUNTIFS(工数管理!$AK$3:$AK$98,K$1,工数管理!$Y$3:$Y$98,"&lt;="&amp;$H163,工数管理!$Z$3:$Z$98,"&gt;="&amp;$H163)+COUNTIFS(工数管理!$AK$3:$AK$98,K$1,工数管理!$AA$3:$AA$98,"&lt;="&amp;$H163,工数管理!$AB$3:$AB$98,"&gt;="&amp;$H163)+COUNTIFS(工数管理!$AK$3:$AK$98,K$1,工数管理!$AC$3:$AC$98,"&lt;="&amp;$H163,工数管理!$AD$3:$AD$98,"&gt;="&amp;$H163)+COUNTIFS(工数管理!$AK$3:$AK$98,K$1,工数管理!$AE$3:$AE$98,"&lt;="&amp;$H163,工数管理!$AF$3:$AF$98,"&gt;="&amp;$H163)+COUNTIFS(工数管理!$AK$3:$AK$98,K$1,工数管理!$AG$3:$AG$98,"&lt;="&amp;$H163,工数管理!$AH$3:$AH$98,"&gt;="&amp;$H163)+(COUNTIFS(工数管理!$AK$3:$AK$98,K$1,工数管理!$K$3:$K$98,"&lt;="&amp;$H163,工数管理!$L$3:$L$98,"")+COUNTIFS(工数管理!$AK$3:$AK$98,K$1,工数管理!$M$3:$M$98,"&lt;="&amp;$H163,工数管理!$N$3:$N$98,"")+COUNTIFS(工数管理!$AK$3:$AK$98,K$1,工数管理!$O$3:$O$98,"&lt;="&amp;$H163,工数管理!$P$3:$P$98,"")+COUNTIFS(工数管理!$AK$3:$AK$98,K$1,工数管理!$Q$3:$Q$98,"&lt;="&amp;$H163,工数管理!$R$3:$R$98,"")+COUNTIFS(工数管理!$AK$3:$AK$98,K$1,工数管理!$S$3:$S$98,"&lt;="&amp;$H163,工数管理!$T$3:$T$98,"")+COUNTIFS(工数管理!$AK$3:$AK$98,K$1,工数管理!$U$3:$U$98,"&lt;="&amp;$H163,工数管理!$V$3:$V$98,"")+COUNTIFS(工数管理!$AK$3:$AK$98,K$1,工数管理!$W$3:$W$98,"&lt;="&amp;$H163,工数管理!$X$3:$X$98,"")+COUNTIFS(工数管理!$AK$3:$AK$98,K$1,工数管理!$Y$3:$Y$98,"&lt;="&amp;$H163,工数管理!$Z$3:$Z$98,"")+COUNTIFS(工数管理!$AK$3:$AK$98,K$1,工数管理!$AA$3:$AA$98,"&lt;="&amp;$H163,工数管理!$AB$3:$AB$98,"")+COUNTIFS(工数管理!$AK$3:$AK$98,K$1,工数管理!$AC$3:$AC$98,"&lt;="&amp;$H163,工数管理!$AD$3:$AD$98,"")+COUNTIFS(工数管理!$AK$3:$AK$98,K$1,工数管理!$AE$3:$AE$98,"&lt;="&amp;$H163,工数管理!$AF$3:$AF$98,"")+COUNTIFS(工数管理!$AK$3:$AK$98,K$1,工数管理!$AG$3:$AG$98,"&lt;="&amp;$H163,工数管理!$AH$3:$AH$98,""))*($H163&lt;=工数管理!$AI$1))</f>
        <v>0</v>
      </c>
      <c r="L163" s="42">
        <f ca="1">IF(L$1="",0,COUNTIFS(工数管理!$AK$3:$AK$98,L$1,工数管理!$K$3:$K$98,"&lt;="&amp;$H163,工数管理!$L$3:$L$98,"&gt;="&amp;$H163)+COUNTIFS(工数管理!$AK$3:$AK$98,L$1,工数管理!$M$3:$M$98,"&lt;="&amp;$H163,工数管理!$N$3:$N$98,"&gt;="&amp;$H163)+COUNTIFS(工数管理!$AK$3:$AK$98,L$1,工数管理!$O$3:$O$98,"&lt;="&amp;$H163,工数管理!$P$3:$P$98,"&gt;="&amp;$H163)+COUNTIFS(工数管理!$AK$3:$AK$98,L$1,工数管理!$Q$3:$Q$98,"&lt;="&amp;$H163,工数管理!$R$3:$R$98,"&gt;="&amp;$H163)+COUNTIFS(工数管理!$AK$3:$AK$98,L$1,工数管理!$S$3:$S$98,"&lt;="&amp;$H163,工数管理!$T$3:$T$98,"&gt;="&amp;$H163)+COUNTIFS(工数管理!$AK$3:$AK$98,L$1,工数管理!$U$3:$U$98,"&lt;="&amp;$H163,工数管理!$V$3:$V$98,"&gt;="&amp;$H163)+COUNTIFS(工数管理!$AK$3:$AK$98,L$1,工数管理!$W$3:$W$98,"&lt;="&amp;$H163,工数管理!$X$3:$X$98,"&gt;="&amp;$H163)+COUNTIFS(工数管理!$AK$3:$AK$98,L$1,工数管理!$Y$3:$Y$98,"&lt;="&amp;$H163,工数管理!$Z$3:$Z$98,"&gt;="&amp;$H163)+COUNTIFS(工数管理!$AK$3:$AK$98,L$1,工数管理!$AA$3:$AA$98,"&lt;="&amp;$H163,工数管理!$AB$3:$AB$98,"&gt;="&amp;$H163)+COUNTIFS(工数管理!$AK$3:$AK$98,L$1,工数管理!$AC$3:$AC$98,"&lt;="&amp;$H163,工数管理!$AD$3:$AD$98,"&gt;="&amp;$H163)+COUNTIFS(工数管理!$AK$3:$AK$98,L$1,工数管理!$AE$3:$AE$98,"&lt;="&amp;$H163,工数管理!$AF$3:$AF$98,"&gt;="&amp;$H163)+COUNTIFS(工数管理!$AK$3:$AK$98,L$1,工数管理!$AG$3:$AG$98,"&lt;="&amp;$H163,工数管理!$AH$3:$AH$98,"&gt;="&amp;$H163)+(COUNTIFS(工数管理!$AK$3:$AK$98,L$1,工数管理!$K$3:$K$98,"&lt;="&amp;$H163,工数管理!$L$3:$L$98,"")+COUNTIFS(工数管理!$AK$3:$AK$98,L$1,工数管理!$M$3:$M$98,"&lt;="&amp;$H163,工数管理!$N$3:$N$98,"")+COUNTIFS(工数管理!$AK$3:$AK$98,L$1,工数管理!$O$3:$O$98,"&lt;="&amp;$H163,工数管理!$P$3:$P$98,"")+COUNTIFS(工数管理!$AK$3:$AK$98,L$1,工数管理!$Q$3:$Q$98,"&lt;="&amp;$H163,工数管理!$R$3:$R$98,"")+COUNTIFS(工数管理!$AK$3:$AK$98,L$1,工数管理!$S$3:$S$98,"&lt;="&amp;$H163,工数管理!$T$3:$T$98,"")+COUNTIFS(工数管理!$AK$3:$AK$98,L$1,工数管理!$U$3:$U$98,"&lt;="&amp;$H163,工数管理!$V$3:$V$98,"")+COUNTIFS(工数管理!$AK$3:$AK$98,L$1,工数管理!$W$3:$W$98,"&lt;="&amp;$H163,工数管理!$X$3:$X$98,"")+COUNTIFS(工数管理!$AK$3:$AK$98,L$1,工数管理!$Y$3:$Y$98,"&lt;="&amp;$H163,工数管理!$Z$3:$Z$98,"")+COUNTIFS(工数管理!$AK$3:$AK$98,L$1,工数管理!$AA$3:$AA$98,"&lt;="&amp;$H163,工数管理!$AB$3:$AB$98,"")+COUNTIFS(工数管理!$AK$3:$AK$98,L$1,工数管理!$AC$3:$AC$98,"&lt;="&amp;$H163,工数管理!$AD$3:$AD$98,"")+COUNTIFS(工数管理!$AK$3:$AK$98,L$1,工数管理!$AE$3:$AE$98,"&lt;="&amp;$H163,工数管理!$AF$3:$AF$98,"")+COUNTIFS(工数管理!$AK$3:$AK$98,L$1,工数管理!$AG$3:$AG$98,"&lt;="&amp;$H163,工数管理!$AH$3:$AH$98,""))*($H163&lt;=工数管理!$AI$1))</f>
        <v>0</v>
      </c>
    </row>
    <row r="164" spans="1:12" x14ac:dyDescent="0.15">
      <c r="A164" s="5"/>
      <c r="B164" s="6"/>
      <c r="H164" s="41">
        <f t="shared" si="5"/>
        <v>46332</v>
      </c>
      <c r="I164" s="42">
        <f t="shared" si="4"/>
        <v>1</v>
      </c>
      <c r="J164" s="42">
        <f ca="1">IF(J$1="",0,COUNTIFS(工数管理!$AK$3:$AK$98,J$1,工数管理!$K$3:$K$98,"&lt;="&amp;$H164,工数管理!$L$3:$L$98,"&gt;="&amp;$H164)+COUNTIFS(工数管理!$AK$3:$AK$98,J$1,工数管理!$M$3:$M$98,"&lt;="&amp;$H164,工数管理!$N$3:$N$98,"&gt;="&amp;$H164)+COUNTIFS(工数管理!$AK$3:$AK$98,J$1,工数管理!$O$3:$O$98,"&lt;="&amp;$H164,工数管理!$P$3:$P$98,"&gt;="&amp;$H164)+COUNTIFS(工数管理!$AK$3:$AK$98,J$1,工数管理!$Q$3:$Q$98,"&lt;="&amp;$H164,工数管理!$R$3:$R$98,"&gt;="&amp;$H164)+COUNTIFS(工数管理!$AK$3:$AK$98,J$1,工数管理!$S$3:$S$98,"&lt;="&amp;$H164,工数管理!$T$3:$T$98,"&gt;="&amp;$H164)+COUNTIFS(工数管理!$AK$3:$AK$98,J$1,工数管理!$U$3:$U$98,"&lt;="&amp;$H164,工数管理!$V$3:$V$98,"&gt;="&amp;$H164)+COUNTIFS(工数管理!$AK$3:$AK$98,J$1,工数管理!$W$3:$W$98,"&lt;="&amp;$H164,工数管理!$X$3:$X$98,"&gt;="&amp;$H164)+COUNTIFS(工数管理!$AK$3:$AK$98,J$1,工数管理!$Y$3:$Y$98,"&lt;="&amp;$H164,工数管理!$Z$3:$Z$98,"&gt;="&amp;$H164)+COUNTIFS(工数管理!$AK$3:$AK$98,J$1,工数管理!$AA$3:$AA$98,"&lt;="&amp;$H164,工数管理!$AB$3:$AB$98,"&gt;="&amp;$H164)+COUNTIFS(工数管理!$AK$3:$AK$98,J$1,工数管理!$AC$3:$AC$98,"&lt;="&amp;$H164,工数管理!$AD$3:$AD$98,"&gt;="&amp;$H164)+COUNTIFS(工数管理!$AK$3:$AK$98,J$1,工数管理!$AE$3:$AE$98,"&lt;="&amp;$H164,工数管理!$AF$3:$AF$98,"&gt;="&amp;$H164)+COUNTIFS(工数管理!$AK$3:$AK$98,J$1,工数管理!$AG$3:$AG$98,"&lt;="&amp;$H164,工数管理!$AH$3:$AH$98,"&gt;="&amp;$H164)+(COUNTIFS(工数管理!$AK$3:$AK$98,J$1,工数管理!$K$3:$K$98,"&lt;="&amp;$H164,工数管理!$L$3:$L$98,"")+COUNTIFS(工数管理!$AK$3:$AK$98,J$1,工数管理!$M$3:$M$98,"&lt;="&amp;$H164,工数管理!$N$3:$N$98,"")+COUNTIFS(工数管理!$AK$3:$AK$98,J$1,工数管理!$O$3:$O$98,"&lt;="&amp;$H164,工数管理!$P$3:$P$98,"")+COUNTIFS(工数管理!$AK$3:$AK$98,J$1,工数管理!$Q$3:$Q$98,"&lt;="&amp;$H164,工数管理!$R$3:$R$98,"")+COUNTIFS(工数管理!$AK$3:$AK$98,J$1,工数管理!$S$3:$S$98,"&lt;="&amp;$H164,工数管理!$T$3:$T$98,"")+COUNTIFS(工数管理!$AK$3:$AK$98,J$1,工数管理!$U$3:$U$98,"&lt;="&amp;$H164,工数管理!$V$3:$V$98,"")+COUNTIFS(工数管理!$AK$3:$AK$98,J$1,工数管理!$W$3:$W$98,"&lt;="&amp;$H164,工数管理!$X$3:$X$98,"")+COUNTIFS(工数管理!$AK$3:$AK$98,J$1,工数管理!$Y$3:$Y$98,"&lt;="&amp;$H164,工数管理!$Z$3:$Z$98,"")+COUNTIFS(工数管理!$AK$3:$AK$98,J$1,工数管理!$AA$3:$AA$98,"&lt;="&amp;$H164,工数管理!$AB$3:$AB$98,"")+COUNTIFS(工数管理!$AK$3:$AK$98,J$1,工数管理!$AC$3:$AC$98,"&lt;="&amp;$H164,工数管理!$AD$3:$AD$98,"")+COUNTIFS(工数管理!$AK$3:$AK$98,J$1,工数管理!$AE$3:$AE$98,"&lt;="&amp;$H164,工数管理!$AF$3:$AF$98,"")+COUNTIFS(工数管理!$AK$3:$AK$98,J$1,工数管理!$AG$3:$AG$98,"&lt;="&amp;$H164,工数管理!$AH$3:$AH$98,""))*($H164&lt;=工数管理!$AI$1))</f>
        <v>0</v>
      </c>
      <c r="K164" s="42">
        <f ca="1">IF(K$1="",0,COUNTIFS(工数管理!$AK$3:$AK$98,K$1,工数管理!$K$3:$K$98,"&lt;="&amp;$H164,工数管理!$L$3:$L$98,"&gt;="&amp;$H164)+COUNTIFS(工数管理!$AK$3:$AK$98,K$1,工数管理!$M$3:$M$98,"&lt;="&amp;$H164,工数管理!$N$3:$N$98,"&gt;="&amp;$H164)+COUNTIFS(工数管理!$AK$3:$AK$98,K$1,工数管理!$O$3:$O$98,"&lt;="&amp;$H164,工数管理!$P$3:$P$98,"&gt;="&amp;$H164)+COUNTIFS(工数管理!$AK$3:$AK$98,K$1,工数管理!$Q$3:$Q$98,"&lt;="&amp;$H164,工数管理!$R$3:$R$98,"&gt;="&amp;$H164)+COUNTIFS(工数管理!$AK$3:$AK$98,K$1,工数管理!$S$3:$S$98,"&lt;="&amp;$H164,工数管理!$T$3:$T$98,"&gt;="&amp;$H164)+COUNTIFS(工数管理!$AK$3:$AK$98,K$1,工数管理!$U$3:$U$98,"&lt;="&amp;$H164,工数管理!$V$3:$V$98,"&gt;="&amp;$H164)+COUNTIFS(工数管理!$AK$3:$AK$98,K$1,工数管理!$W$3:$W$98,"&lt;="&amp;$H164,工数管理!$X$3:$X$98,"&gt;="&amp;$H164)+COUNTIFS(工数管理!$AK$3:$AK$98,K$1,工数管理!$Y$3:$Y$98,"&lt;="&amp;$H164,工数管理!$Z$3:$Z$98,"&gt;="&amp;$H164)+COUNTIFS(工数管理!$AK$3:$AK$98,K$1,工数管理!$AA$3:$AA$98,"&lt;="&amp;$H164,工数管理!$AB$3:$AB$98,"&gt;="&amp;$H164)+COUNTIFS(工数管理!$AK$3:$AK$98,K$1,工数管理!$AC$3:$AC$98,"&lt;="&amp;$H164,工数管理!$AD$3:$AD$98,"&gt;="&amp;$H164)+COUNTIFS(工数管理!$AK$3:$AK$98,K$1,工数管理!$AE$3:$AE$98,"&lt;="&amp;$H164,工数管理!$AF$3:$AF$98,"&gt;="&amp;$H164)+COUNTIFS(工数管理!$AK$3:$AK$98,K$1,工数管理!$AG$3:$AG$98,"&lt;="&amp;$H164,工数管理!$AH$3:$AH$98,"&gt;="&amp;$H164)+(COUNTIFS(工数管理!$AK$3:$AK$98,K$1,工数管理!$K$3:$K$98,"&lt;="&amp;$H164,工数管理!$L$3:$L$98,"")+COUNTIFS(工数管理!$AK$3:$AK$98,K$1,工数管理!$M$3:$M$98,"&lt;="&amp;$H164,工数管理!$N$3:$N$98,"")+COUNTIFS(工数管理!$AK$3:$AK$98,K$1,工数管理!$O$3:$O$98,"&lt;="&amp;$H164,工数管理!$P$3:$P$98,"")+COUNTIFS(工数管理!$AK$3:$AK$98,K$1,工数管理!$Q$3:$Q$98,"&lt;="&amp;$H164,工数管理!$R$3:$R$98,"")+COUNTIFS(工数管理!$AK$3:$AK$98,K$1,工数管理!$S$3:$S$98,"&lt;="&amp;$H164,工数管理!$T$3:$T$98,"")+COUNTIFS(工数管理!$AK$3:$AK$98,K$1,工数管理!$U$3:$U$98,"&lt;="&amp;$H164,工数管理!$V$3:$V$98,"")+COUNTIFS(工数管理!$AK$3:$AK$98,K$1,工数管理!$W$3:$W$98,"&lt;="&amp;$H164,工数管理!$X$3:$X$98,"")+COUNTIFS(工数管理!$AK$3:$AK$98,K$1,工数管理!$Y$3:$Y$98,"&lt;="&amp;$H164,工数管理!$Z$3:$Z$98,"")+COUNTIFS(工数管理!$AK$3:$AK$98,K$1,工数管理!$AA$3:$AA$98,"&lt;="&amp;$H164,工数管理!$AB$3:$AB$98,"")+COUNTIFS(工数管理!$AK$3:$AK$98,K$1,工数管理!$AC$3:$AC$98,"&lt;="&amp;$H164,工数管理!$AD$3:$AD$98,"")+COUNTIFS(工数管理!$AK$3:$AK$98,K$1,工数管理!$AE$3:$AE$98,"&lt;="&amp;$H164,工数管理!$AF$3:$AF$98,"")+COUNTIFS(工数管理!$AK$3:$AK$98,K$1,工数管理!$AG$3:$AG$98,"&lt;="&amp;$H164,工数管理!$AH$3:$AH$98,""))*($H164&lt;=工数管理!$AI$1))</f>
        <v>0</v>
      </c>
      <c r="L164" s="42">
        <f ca="1">IF(L$1="",0,COUNTIFS(工数管理!$AK$3:$AK$98,L$1,工数管理!$K$3:$K$98,"&lt;="&amp;$H164,工数管理!$L$3:$L$98,"&gt;="&amp;$H164)+COUNTIFS(工数管理!$AK$3:$AK$98,L$1,工数管理!$M$3:$M$98,"&lt;="&amp;$H164,工数管理!$N$3:$N$98,"&gt;="&amp;$H164)+COUNTIFS(工数管理!$AK$3:$AK$98,L$1,工数管理!$O$3:$O$98,"&lt;="&amp;$H164,工数管理!$P$3:$P$98,"&gt;="&amp;$H164)+COUNTIFS(工数管理!$AK$3:$AK$98,L$1,工数管理!$Q$3:$Q$98,"&lt;="&amp;$H164,工数管理!$R$3:$R$98,"&gt;="&amp;$H164)+COUNTIFS(工数管理!$AK$3:$AK$98,L$1,工数管理!$S$3:$S$98,"&lt;="&amp;$H164,工数管理!$T$3:$T$98,"&gt;="&amp;$H164)+COUNTIFS(工数管理!$AK$3:$AK$98,L$1,工数管理!$U$3:$U$98,"&lt;="&amp;$H164,工数管理!$V$3:$V$98,"&gt;="&amp;$H164)+COUNTIFS(工数管理!$AK$3:$AK$98,L$1,工数管理!$W$3:$W$98,"&lt;="&amp;$H164,工数管理!$X$3:$X$98,"&gt;="&amp;$H164)+COUNTIFS(工数管理!$AK$3:$AK$98,L$1,工数管理!$Y$3:$Y$98,"&lt;="&amp;$H164,工数管理!$Z$3:$Z$98,"&gt;="&amp;$H164)+COUNTIFS(工数管理!$AK$3:$AK$98,L$1,工数管理!$AA$3:$AA$98,"&lt;="&amp;$H164,工数管理!$AB$3:$AB$98,"&gt;="&amp;$H164)+COUNTIFS(工数管理!$AK$3:$AK$98,L$1,工数管理!$AC$3:$AC$98,"&lt;="&amp;$H164,工数管理!$AD$3:$AD$98,"&gt;="&amp;$H164)+COUNTIFS(工数管理!$AK$3:$AK$98,L$1,工数管理!$AE$3:$AE$98,"&lt;="&amp;$H164,工数管理!$AF$3:$AF$98,"&gt;="&amp;$H164)+COUNTIFS(工数管理!$AK$3:$AK$98,L$1,工数管理!$AG$3:$AG$98,"&lt;="&amp;$H164,工数管理!$AH$3:$AH$98,"&gt;="&amp;$H164)+(COUNTIFS(工数管理!$AK$3:$AK$98,L$1,工数管理!$K$3:$K$98,"&lt;="&amp;$H164,工数管理!$L$3:$L$98,"")+COUNTIFS(工数管理!$AK$3:$AK$98,L$1,工数管理!$M$3:$M$98,"&lt;="&amp;$H164,工数管理!$N$3:$N$98,"")+COUNTIFS(工数管理!$AK$3:$AK$98,L$1,工数管理!$O$3:$O$98,"&lt;="&amp;$H164,工数管理!$P$3:$P$98,"")+COUNTIFS(工数管理!$AK$3:$AK$98,L$1,工数管理!$Q$3:$Q$98,"&lt;="&amp;$H164,工数管理!$R$3:$R$98,"")+COUNTIFS(工数管理!$AK$3:$AK$98,L$1,工数管理!$S$3:$S$98,"&lt;="&amp;$H164,工数管理!$T$3:$T$98,"")+COUNTIFS(工数管理!$AK$3:$AK$98,L$1,工数管理!$U$3:$U$98,"&lt;="&amp;$H164,工数管理!$V$3:$V$98,"")+COUNTIFS(工数管理!$AK$3:$AK$98,L$1,工数管理!$W$3:$W$98,"&lt;="&amp;$H164,工数管理!$X$3:$X$98,"")+COUNTIFS(工数管理!$AK$3:$AK$98,L$1,工数管理!$Y$3:$Y$98,"&lt;="&amp;$H164,工数管理!$Z$3:$Z$98,"")+COUNTIFS(工数管理!$AK$3:$AK$98,L$1,工数管理!$AA$3:$AA$98,"&lt;="&amp;$H164,工数管理!$AB$3:$AB$98,"")+COUNTIFS(工数管理!$AK$3:$AK$98,L$1,工数管理!$AC$3:$AC$98,"&lt;="&amp;$H164,工数管理!$AD$3:$AD$98,"")+COUNTIFS(工数管理!$AK$3:$AK$98,L$1,工数管理!$AE$3:$AE$98,"&lt;="&amp;$H164,工数管理!$AF$3:$AF$98,"")+COUNTIFS(工数管理!$AK$3:$AK$98,L$1,工数管理!$AG$3:$AG$98,"&lt;="&amp;$H164,工数管理!$AH$3:$AH$98,""))*($H164&lt;=工数管理!$AI$1))</f>
        <v>0</v>
      </c>
    </row>
    <row r="165" spans="1:12" x14ac:dyDescent="0.15">
      <c r="A165" s="5"/>
      <c r="B165" s="6"/>
      <c r="H165" s="41">
        <f t="shared" si="5"/>
        <v>46333</v>
      </c>
      <c r="I165" s="42">
        <f t="shared" si="4"/>
        <v>0</v>
      </c>
      <c r="J165" s="42">
        <f ca="1">IF(J$1="",0,COUNTIFS(工数管理!$AK$3:$AK$98,J$1,工数管理!$K$3:$K$98,"&lt;="&amp;$H165,工数管理!$L$3:$L$98,"&gt;="&amp;$H165)+COUNTIFS(工数管理!$AK$3:$AK$98,J$1,工数管理!$M$3:$M$98,"&lt;="&amp;$H165,工数管理!$N$3:$N$98,"&gt;="&amp;$H165)+COUNTIFS(工数管理!$AK$3:$AK$98,J$1,工数管理!$O$3:$O$98,"&lt;="&amp;$H165,工数管理!$P$3:$P$98,"&gt;="&amp;$H165)+COUNTIFS(工数管理!$AK$3:$AK$98,J$1,工数管理!$Q$3:$Q$98,"&lt;="&amp;$H165,工数管理!$R$3:$R$98,"&gt;="&amp;$H165)+COUNTIFS(工数管理!$AK$3:$AK$98,J$1,工数管理!$S$3:$S$98,"&lt;="&amp;$H165,工数管理!$T$3:$T$98,"&gt;="&amp;$H165)+COUNTIFS(工数管理!$AK$3:$AK$98,J$1,工数管理!$U$3:$U$98,"&lt;="&amp;$H165,工数管理!$V$3:$V$98,"&gt;="&amp;$H165)+COUNTIFS(工数管理!$AK$3:$AK$98,J$1,工数管理!$W$3:$W$98,"&lt;="&amp;$H165,工数管理!$X$3:$X$98,"&gt;="&amp;$H165)+COUNTIFS(工数管理!$AK$3:$AK$98,J$1,工数管理!$Y$3:$Y$98,"&lt;="&amp;$H165,工数管理!$Z$3:$Z$98,"&gt;="&amp;$H165)+COUNTIFS(工数管理!$AK$3:$AK$98,J$1,工数管理!$AA$3:$AA$98,"&lt;="&amp;$H165,工数管理!$AB$3:$AB$98,"&gt;="&amp;$H165)+COUNTIFS(工数管理!$AK$3:$AK$98,J$1,工数管理!$AC$3:$AC$98,"&lt;="&amp;$H165,工数管理!$AD$3:$AD$98,"&gt;="&amp;$H165)+COUNTIFS(工数管理!$AK$3:$AK$98,J$1,工数管理!$AE$3:$AE$98,"&lt;="&amp;$H165,工数管理!$AF$3:$AF$98,"&gt;="&amp;$H165)+COUNTIFS(工数管理!$AK$3:$AK$98,J$1,工数管理!$AG$3:$AG$98,"&lt;="&amp;$H165,工数管理!$AH$3:$AH$98,"&gt;="&amp;$H165)+(COUNTIFS(工数管理!$AK$3:$AK$98,J$1,工数管理!$K$3:$K$98,"&lt;="&amp;$H165,工数管理!$L$3:$L$98,"")+COUNTIFS(工数管理!$AK$3:$AK$98,J$1,工数管理!$M$3:$M$98,"&lt;="&amp;$H165,工数管理!$N$3:$N$98,"")+COUNTIFS(工数管理!$AK$3:$AK$98,J$1,工数管理!$O$3:$O$98,"&lt;="&amp;$H165,工数管理!$P$3:$P$98,"")+COUNTIFS(工数管理!$AK$3:$AK$98,J$1,工数管理!$Q$3:$Q$98,"&lt;="&amp;$H165,工数管理!$R$3:$R$98,"")+COUNTIFS(工数管理!$AK$3:$AK$98,J$1,工数管理!$S$3:$S$98,"&lt;="&amp;$H165,工数管理!$T$3:$T$98,"")+COUNTIFS(工数管理!$AK$3:$AK$98,J$1,工数管理!$U$3:$U$98,"&lt;="&amp;$H165,工数管理!$V$3:$V$98,"")+COUNTIFS(工数管理!$AK$3:$AK$98,J$1,工数管理!$W$3:$W$98,"&lt;="&amp;$H165,工数管理!$X$3:$X$98,"")+COUNTIFS(工数管理!$AK$3:$AK$98,J$1,工数管理!$Y$3:$Y$98,"&lt;="&amp;$H165,工数管理!$Z$3:$Z$98,"")+COUNTIFS(工数管理!$AK$3:$AK$98,J$1,工数管理!$AA$3:$AA$98,"&lt;="&amp;$H165,工数管理!$AB$3:$AB$98,"")+COUNTIFS(工数管理!$AK$3:$AK$98,J$1,工数管理!$AC$3:$AC$98,"&lt;="&amp;$H165,工数管理!$AD$3:$AD$98,"")+COUNTIFS(工数管理!$AK$3:$AK$98,J$1,工数管理!$AE$3:$AE$98,"&lt;="&amp;$H165,工数管理!$AF$3:$AF$98,"")+COUNTIFS(工数管理!$AK$3:$AK$98,J$1,工数管理!$AG$3:$AG$98,"&lt;="&amp;$H165,工数管理!$AH$3:$AH$98,""))*($H165&lt;=工数管理!$AI$1))</f>
        <v>0</v>
      </c>
      <c r="K165" s="42">
        <f ca="1">IF(K$1="",0,COUNTIFS(工数管理!$AK$3:$AK$98,K$1,工数管理!$K$3:$K$98,"&lt;="&amp;$H165,工数管理!$L$3:$L$98,"&gt;="&amp;$H165)+COUNTIFS(工数管理!$AK$3:$AK$98,K$1,工数管理!$M$3:$M$98,"&lt;="&amp;$H165,工数管理!$N$3:$N$98,"&gt;="&amp;$H165)+COUNTIFS(工数管理!$AK$3:$AK$98,K$1,工数管理!$O$3:$O$98,"&lt;="&amp;$H165,工数管理!$P$3:$P$98,"&gt;="&amp;$H165)+COUNTIFS(工数管理!$AK$3:$AK$98,K$1,工数管理!$Q$3:$Q$98,"&lt;="&amp;$H165,工数管理!$R$3:$R$98,"&gt;="&amp;$H165)+COUNTIFS(工数管理!$AK$3:$AK$98,K$1,工数管理!$S$3:$S$98,"&lt;="&amp;$H165,工数管理!$T$3:$T$98,"&gt;="&amp;$H165)+COUNTIFS(工数管理!$AK$3:$AK$98,K$1,工数管理!$U$3:$U$98,"&lt;="&amp;$H165,工数管理!$V$3:$V$98,"&gt;="&amp;$H165)+COUNTIFS(工数管理!$AK$3:$AK$98,K$1,工数管理!$W$3:$W$98,"&lt;="&amp;$H165,工数管理!$X$3:$X$98,"&gt;="&amp;$H165)+COUNTIFS(工数管理!$AK$3:$AK$98,K$1,工数管理!$Y$3:$Y$98,"&lt;="&amp;$H165,工数管理!$Z$3:$Z$98,"&gt;="&amp;$H165)+COUNTIFS(工数管理!$AK$3:$AK$98,K$1,工数管理!$AA$3:$AA$98,"&lt;="&amp;$H165,工数管理!$AB$3:$AB$98,"&gt;="&amp;$H165)+COUNTIFS(工数管理!$AK$3:$AK$98,K$1,工数管理!$AC$3:$AC$98,"&lt;="&amp;$H165,工数管理!$AD$3:$AD$98,"&gt;="&amp;$H165)+COUNTIFS(工数管理!$AK$3:$AK$98,K$1,工数管理!$AE$3:$AE$98,"&lt;="&amp;$H165,工数管理!$AF$3:$AF$98,"&gt;="&amp;$H165)+COUNTIFS(工数管理!$AK$3:$AK$98,K$1,工数管理!$AG$3:$AG$98,"&lt;="&amp;$H165,工数管理!$AH$3:$AH$98,"&gt;="&amp;$H165)+(COUNTIFS(工数管理!$AK$3:$AK$98,K$1,工数管理!$K$3:$K$98,"&lt;="&amp;$H165,工数管理!$L$3:$L$98,"")+COUNTIFS(工数管理!$AK$3:$AK$98,K$1,工数管理!$M$3:$M$98,"&lt;="&amp;$H165,工数管理!$N$3:$N$98,"")+COUNTIFS(工数管理!$AK$3:$AK$98,K$1,工数管理!$O$3:$O$98,"&lt;="&amp;$H165,工数管理!$P$3:$P$98,"")+COUNTIFS(工数管理!$AK$3:$AK$98,K$1,工数管理!$Q$3:$Q$98,"&lt;="&amp;$H165,工数管理!$R$3:$R$98,"")+COUNTIFS(工数管理!$AK$3:$AK$98,K$1,工数管理!$S$3:$S$98,"&lt;="&amp;$H165,工数管理!$T$3:$T$98,"")+COUNTIFS(工数管理!$AK$3:$AK$98,K$1,工数管理!$U$3:$U$98,"&lt;="&amp;$H165,工数管理!$V$3:$V$98,"")+COUNTIFS(工数管理!$AK$3:$AK$98,K$1,工数管理!$W$3:$W$98,"&lt;="&amp;$H165,工数管理!$X$3:$X$98,"")+COUNTIFS(工数管理!$AK$3:$AK$98,K$1,工数管理!$Y$3:$Y$98,"&lt;="&amp;$H165,工数管理!$Z$3:$Z$98,"")+COUNTIFS(工数管理!$AK$3:$AK$98,K$1,工数管理!$AA$3:$AA$98,"&lt;="&amp;$H165,工数管理!$AB$3:$AB$98,"")+COUNTIFS(工数管理!$AK$3:$AK$98,K$1,工数管理!$AC$3:$AC$98,"&lt;="&amp;$H165,工数管理!$AD$3:$AD$98,"")+COUNTIFS(工数管理!$AK$3:$AK$98,K$1,工数管理!$AE$3:$AE$98,"&lt;="&amp;$H165,工数管理!$AF$3:$AF$98,"")+COUNTIFS(工数管理!$AK$3:$AK$98,K$1,工数管理!$AG$3:$AG$98,"&lt;="&amp;$H165,工数管理!$AH$3:$AH$98,""))*($H165&lt;=工数管理!$AI$1))</f>
        <v>0</v>
      </c>
      <c r="L165" s="42">
        <f ca="1">IF(L$1="",0,COUNTIFS(工数管理!$AK$3:$AK$98,L$1,工数管理!$K$3:$K$98,"&lt;="&amp;$H165,工数管理!$L$3:$L$98,"&gt;="&amp;$H165)+COUNTIFS(工数管理!$AK$3:$AK$98,L$1,工数管理!$M$3:$M$98,"&lt;="&amp;$H165,工数管理!$N$3:$N$98,"&gt;="&amp;$H165)+COUNTIFS(工数管理!$AK$3:$AK$98,L$1,工数管理!$O$3:$O$98,"&lt;="&amp;$H165,工数管理!$P$3:$P$98,"&gt;="&amp;$H165)+COUNTIFS(工数管理!$AK$3:$AK$98,L$1,工数管理!$Q$3:$Q$98,"&lt;="&amp;$H165,工数管理!$R$3:$R$98,"&gt;="&amp;$H165)+COUNTIFS(工数管理!$AK$3:$AK$98,L$1,工数管理!$S$3:$S$98,"&lt;="&amp;$H165,工数管理!$T$3:$T$98,"&gt;="&amp;$H165)+COUNTIFS(工数管理!$AK$3:$AK$98,L$1,工数管理!$U$3:$U$98,"&lt;="&amp;$H165,工数管理!$V$3:$V$98,"&gt;="&amp;$H165)+COUNTIFS(工数管理!$AK$3:$AK$98,L$1,工数管理!$W$3:$W$98,"&lt;="&amp;$H165,工数管理!$X$3:$X$98,"&gt;="&amp;$H165)+COUNTIFS(工数管理!$AK$3:$AK$98,L$1,工数管理!$Y$3:$Y$98,"&lt;="&amp;$H165,工数管理!$Z$3:$Z$98,"&gt;="&amp;$H165)+COUNTIFS(工数管理!$AK$3:$AK$98,L$1,工数管理!$AA$3:$AA$98,"&lt;="&amp;$H165,工数管理!$AB$3:$AB$98,"&gt;="&amp;$H165)+COUNTIFS(工数管理!$AK$3:$AK$98,L$1,工数管理!$AC$3:$AC$98,"&lt;="&amp;$H165,工数管理!$AD$3:$AD$98,"&gt;="&amp;$H165)+COUNTIFS(工数管理!$AK$3:$AK$98,L$1,工数管理!$AE$3:$AE$98,"&lt;="&amp;$H165,工数管理!$AF$3:$AF$98,"&gt;="&amp;$H165)+COUNTIFS(工数管理!$AK$3:$AK$98,L$1,工数管理!$AG$3:$AG$98,"&lt;="&amp;$H165,工数管理!$AH$3:$AH$98,"&gt;="&amp;$H165)+(COUNTIFS(工数管理!$AK$3:$AK$98,L$1,工数管理!$K$3:$K$98,"&lt;="&amp;$H165,工数管理!$L$3:$L$98,"")+COUNTIFS(工数管理!$AK$3:$AK$98,L$1,工数管理!$M$3:$M$98,"&lt;="&amp;$H165,工数管理!$N$3:$N$98,"")+COUNTIFS(工数管理!$AK$3:$AK$98,L$1,工数管理!$O$3:$O$98,"&lt;="&amp;$H165,工数管理!$P$3:$P$98,"")+COUNTIFS(工数管理!$AK$3:$AK$98,L$1,工数管理!$Q$3:$Q$98,"&lt;="&amp;$H165,工数管理!$R$3:$R$98,"")+COUNTIFS(工数管理!$AK$3:$AK$98,L$1,工数管理!$S$3:$S$98,"&lt;="&amp;$H165,工数管理!$T$3:$T$98,"")+COUNTIFS(工数管理!$AK$3:$AK$98,L$1,工数管理!$U$3:$U$98,"&lt;="&amp;$H165,工数管理!$V$3:$V$98,"")+COUNTIFS(工数管理!$AK$3:$AK$98,L$1,工数管理!$W$3:$W$98,"&lt;="&amp;$H165,工数管理!$X$3:$X$98,"")+COUNTIFS(工数管理!$AK$3:$AK$98,L$1,工数管理!$Y$3:$Y$98,"&lt;="&amp;$H165,工数管理!$Z$3:$Z$98,"")+COUNTIFS(工数管理!$AK$3:$AK$98,L$1,工数管理!$AA$3:$AA$98,"&lt;="&amp;$H165,工数管理!$AB$3:$AB$98,"")+COUNTIFS(工数管理!$AK$3:$AK$98,L$1,工数管理!$AC$3:$AC$98,"&lt;="&amp;$H165,工数管理!$AD$3:$AD$98,"")+COUNTIFS(工数管理!$AK$3:$AK$98,L$1,工数管理!$AE$3:$AE$98,"&lt;="&amp;$H165,工数管理!$AF$3:$AF$98,"")+COUNTIFS(工数管理!$AK$3:$AK$98,L$1,工数管理!$AG$3:$AG$98,"&lt;="&amp;$H165,工数管理!$AH$3:$AH$98,""))*($H165&lt;=工数管理!$AI$1))</f>
        <v>0</v>
      </c>
    </row>
    <row r="166" spans="1:12" x14ac:dyDescent="0.15">
      <c r="A166" s="5"/>
      <c r="B166" s="6"/>
      <c r="H166" s="41">
        <f t="shared" si="5"/>
        <v>46334</v>
      </c>
      <c r="I166" s="42">
        <f t="shared" si="4"/>
        <v>0</v>
      </c>
      <c r="J166" s="42">
        <f ca="1">IF(J$1="",0,COUNTIFS(工数管理!$AK$3:$AK$98,J$1,工数管理!$K$3:$K$98,"&lt;="&amp;$H166,工数管理!$L$3:$L$98,"&gt;="&amp;$H166)+COUNTIFS(工数管理!$AK$3:$AK$98,J$1,工数管理!$M$3:$M$98,"&lt;="&amp;$H166,工数管理!$N$3:$N$98,"&gt;="&amp;$H166)+COUNTIFS(工数管理!$AK$3:$AK$98,J$1,工数管理!$O$3:$O$98,"&lt;="&amp;$H166,工数管理!$P$3:$P$98,"&gt;="&amp;$H166)+COUNTIFS(工数管理!$AK$3:$AK$98,J$1,工数管理!$Q$3:$Q$98,"&lt;="&amp;$H166,工数管理!$R$3:$R$98,"&gt;="&amp;$H166)+COUNTIFS(工数管理!$AK$3:$AK$98,J$1,工数管理!$S$3:$S$98,"&lt;="&amp;$H166,工数管理!$T$3:$T$98,"&gt;="&amp;$H166)+COUNTIFS(工数管理!$AK$3:$AK$98,J$1,工数管理!$U$3:$U$98,"&lt;="&amp;$H166,工数管理!$V$3:$V$98,"&gt;="&amp;$H166)+COUNTIFS(工数管理!$AK$3:$AK$98,J$1,工数管理!$W$3:$W$98,"&lt;="&amp;$H166,工数管理!$X$3:$X$98,"&gt;="&amp;$H166)+COUNTIFS(工数管理!$AK$3:$AK$98,J$1,工数管理!$Y$3:$Y$98,"&lt;="&amp;$H166,工数管理!$Z$3:$Z$98,"&gt;="&amp;$H166)+COUNTIFS(工数管理!$AK$3:$AK$98,J$1,工数管理!$AA$3:$AA$98,"&lt;="&amp;$H166,工数管理!$AB$3:$AB$98,"&gt;="&amp;$H166)+COUNTIFS(工数管理!$AK$3:$AK$98,J$1,工数管理!$AC$3:$AC$98,"&lt;="&amp;$H166,工数管理!$AD$3:$AD$98,"&gt;="&amp;$H166)+COUNTIFS(工数管理!$AK$3:$AK$98,J$1,工数管理!$AE$3:$AE$98,"&lt;="&amp;$H166,工数管理!$AF$3:$AF$98,"&gt;="&amp;$H166)+COUNTIFS(工数管理!$AK$3:$AK$98,J$1,工数管理!$AG$3:$AG$98,"&lt;="&amp;$H166,工数管理!$AH$3:$AH$98,"&gt;="&amp;$H166)+(COUNTIFS(工数管理!$AK$3:$AK$98,J$1,工数管理!$K$3:$K$98,"&lt;="&amp;$H166,工数管理!$L$3:$L$98,"")+COUNTIFS(工数管理!$AK$3:$AK$98,J$1,工数管理!$M$3:$M$98,"&lt;="&amp;$H166,工数管理!$N$3:$N$98,"")+COUNTIFS(工数管理!$AK$3:$AK$98,J$1,工数管理!$O$3:$O$98,"&lt;="&amp;$H166,工数管理!$P$3:$P$98,"")+COUNTIFS(工数管理!$AK$3:$AK$98,J$1,工数管理!$Q$3:$Q$98,"&lt;="&amp;$H166,工数管理!$R$3:$R$98,"")+COUNTIFS(工数管理!$AK$3:$AK$98,J$1,工数管理!$S$3:$S$98,"&lt;="&amp;$H166,工数管理!$T$3:$T$98,"")+COUNTIFS(工数管理!$AK$3:$AK$98,J$1,工数管理!$U$3:$U$98,"&lt;="&amp;$H166,工数管理!$V$3:$V$98,"")+COUNTIFS(工数管理!$AK$3:$AK$98,J$1,工数管理!$W$3:$W$98,"&lt;="&amp;$H166,工数管理!$X$3:$X$98,"")+COUNTIFS(工数管理!$AK$3:$AK$98,J$1,工数管理!$Y$3:$Y$98,"&lt;="&amp;$H166,工数管理!$Z$3:$Z$98,"")+COUNTIFS(工数管理!$AK$3:$AK$98,J$1,工数管理!$AA$3:$AA$98,"&lt;="&amp;$H166,工数管理!$AB$3:$AB$98,"")+COUNTIFS(工数管理!$AK$3:$AK$98,J$1,工数管理!$AC$3:$AC$98,"&lt;="&amp;$H166,工数管理!$AD$3:$AD$98,"")+COUNTIFS(工数管理!$AK$3:$AK$98,J$1,工数管理!$AE$3:$AE$98,"&lt;="&amp;$H166,工数管理!$AF$3:$AF$98,"")+COUNTIFS(工数管理!$AK$3:$AK$98,J$1,工数管理!$AG$3:$AG$98,"&lt;="&amp;$H166,工数管理!$AH$3:$AH$98,""))*($H166&lt;=工数管理!$AI$1))</f>
        <v>0</v>
      </c>
      <c r="K166" s="42">
        <f ca="1">IF(K$1="",0,COUNTIFS(工数管理!$AK$3:$AK$98,K$1,工数管理!$K$3:$K$98,"&lt;="&amp;$H166,工数管理!$L$3:$L$98,"&gt;="&amp;$H166)+COUNTIFS(工数管理!$AK$3:$AK$98,K$1,工数管理!$M$3:$M$98,"&lt;="&amp;$H166,工数管理!$N$3:$N$98,"&gt;="&amp;$H166)+COUNTIFS(工数管理!$AK$3:$AK$98,K$1,工数管理!$O$3:$O$98,"&lt;="&amp;$H166,工数管理!$P$3:$P$98,"&gt;="&amp;$H166)+COUNTIFS(工数管理!$AK$3:$AK$98,K$1,工数管理!$Q$3:$Q$98,"&lt;="&amp;$H166,工数管理!$R$3:$R$98,"&gt;="&amp;$H166)+COUNTIFS(工数管理!$AK$3:$AK$98,K$1,工数管理!$S$3:$S$98,"&lt;="&amp;$H166,工数管理!$T$3:$T$98,"&gt;="&amp;$H166)+COUNTIFS(工数管理!$AK$3:$AK$98,K$1,工数管理!$U$3:$U$98,"&lt;="&amp;$H166,工数管理!$V$3:$V$98,"&gt;="&amp;$H166)+COUNTIFS(工数管理!$AK$3:$AK$98,K$1,工数管理!$W$3:$W$98,"&lt;="&amp;$H166,工数管理!$X$3:$X$98,"&gt;="&amp;$H166)+COUNTIFS(工数管理!$AK$3:$AK$98,K$1,工数管理!$Y$3:$Y$98,"&lt;="&amp;$H166,工数管理!$Z$3:$Z$98,"&gt;="&amp;$H166)+COUNTIFS(工数管理!$AK$3:$AK$98,K$1,工数管理!$AA$3:$AA$98,"&lt;="&amp;$H166,工数管理!$AB$3:$AB$98,"&gt;="&amp;$H166)+COUNTIFS(工数管理!$AK$3:$AK$98,K$1,工数管理!$AC$3:$AC$98,"&lt;="&amp;$H166,工数管理!$AD$3:$AD$98,"&gt;="&amp;$H166)+COUNTIFS(工数管理!$AK$3:$AK$98,K$1,工数管理!$AE$3:$AE$98,"&lt;="&amp;$H166,工数管理!$AF$3:$AF$98,"&gt;="&amp;$H166)+COUNTIFS(工数管理!$AK$3:$AK$98,K$1,工数管理!$AG$3:$AG$98,"&lt;="&amp;$H166,工数管理!$AH$3:$AH$98,"&gt;="&amp;$H166)+(COUNTIFS(工数管理!$AK$3:$AK$98,K$1,工数管理!$K$3:$K$98,"&lt;="&amp;$H166,工数管理!$L$3:$L$98,"")+COUNTIFS(工数管理!$AK$3:$AK$98,K$1,工数管理!$M$3:$M$98,"&lt;="&amp;$H166,工数管理!$N$3:$N$98,"")+COUNTIFS(工数管理!$AK$3:$AK$98,K$1,工数管理!$O$3:$O$98,"&lt;="&amp;$H166,工数管理!$P$3:$P$98,"")+COUNTIFS(工数管理!$AK$3:$AK$98,K$1,工数管理!$Q$3:$Q$98,"&lt;="&amp;$H166,工数管理!$R$3:$R$98,"")+COUNTIFS(工数管理!$AK$3:$AK$98,K$1,工数管理!$S$3:$S$98,"&lt;="&amp;$H166,工数管理!$T$3:$T$98,"")+COUNTIFS(工数管理!$AK$3:$AK$98,K$1,工数管理!$U$3:$U$98,"&lt;="&amp;$H166,工数管理!$V$3:$V$98,"")+COUNTIFS(工数管理!$AK$3:$AK$98,K$1,工数管理!$W$3:$W$98,"&lt;="&amp;$H166,工数管理!$X$3:$X$98,"")+COUNTIFS(工数管理!$AK$3:$AK$98,K$1,工数管理!$Y$3:$Y$98,"&lt;="&amp;$H166,工数管理!$Z$3:$Z$98,"")+COUNTIFS(工数管理!$AK$3:$AK$98,K$1,工数管理!$AA$3:$AA$98,"&lt;="&amp;$H166,工数管理!$AB$3:$AB$98,"")+COUNTIFS(工数管理!$AK$3:$AK$98,K$1,工数管理!$AC$3:$AC$98,"&lt;="&amp;$H166,工数管理!$AD$3:$AD$98,"")+COUNTIFS(工数管理!$AK$3:$AK$98,K$1,工数管理!$AE$3:$AE$98,"&lt;="&amp;$H166,工数管理!$AF$3:$AF$98,"")+COUNTIFS(工数管理!$AK$3:$AK$98,K$1,工数管理!$AG$3:$AG$98,"&lt;="&amp;$H166,工数管理!$AH$3:$AH$98,""))*($H166&lt;=工数管理!$AI$1))</f>
        <v>0</v>
      </c>
      <c r="L166" s="42">
        <f ca="1">IF(L$1="",0,COUNTIFS(工数管理!$AK$3:$AK$98,L$1,工数管理!$K$3:$K$98,"&lt;="&amp;$H166,工数管理!$L$3:$L$98,"&gt;="&amp;$H166)+COUNTIFS(工数管理!$AK$3:$AK$98,L$1,工数管理!$M$3:$M$98,"&lt;="&amp;$H166,工数管理!$N$3:$N$98,"&gt;="&amp;$H166)+COUNTIFS(工数管理!$AK$3:$AK$98,L$1,工数管理!$O$3:$O$98,"&lt;="&amp;$H166,工数管理!$P$3:$P$98,"&gt;="&amp;$H166)+COUNTIFS(工数管理!$AK$3:$AK$98,L$1,工数管理!$Q$3:$Q$98,"&lt;="&amp;$H166,工数管理!$R$3:$R$98,"&gt;="&amp;$H166)+COUNTIFS(工数管理!$AK$3:$AK$98,L$1,工数管理!$S$3:$S$98,"&lt;="&amp;$H166,工数管理!$T$3:$T$98,"&gt;="&amp;$H166)+COUNTIFS(工数管理!$AK$3:$AK$98,L$1,工数管理!$U$3:$U$98,"&lt;="&amp;$H166,工数管理!$V$3:$V$98,"&gt;="&amp;$H166)+COUNTIFS(工数管理!$AK$3:$AK$98,L$1,工数管理!$W$3:$W$98,"&lt;="&amp;$H166,工数管理!$X$3:$X$98,"&gt;="&amp;$H166)+COUNTIFS(工数管理!$AK$3:$AK$98,L$1,工数管理!$Y$3:$Y$98,"&lt;="&amp;$H166,工数管理!$Z$3:$Z$98,"&gt;="&amp;$H166)+COUNTIFS(工数管理!$AK$3:$AK$98,L$1,工数管理!$AA$3:$AA$98,"&lt;="&amp;$H166,工数管理!$AB$3:$AB$98,"&gt;="&amp;$H166)+COUNTIFS(工数管理!$AK$3:$AK$98,L$1,工数管理!$AC$3:$AC$98,"&lt;="&amp;$H166,工数管理!$AD$3:$AD$98,"&gt;="&amp;$H166)+COUNTIFS(工数管理!$AK$3:$AK$98,L$1,工数管理!$AE$3:$AE$98,"&lt;="&amp;$H166,工数管理!$AF$3:$AF$98,"&gt;="&amp;$H166)+COUNTIFS(工数管理!$AK$3:$AK$98,L$1,工数管理!$AG$3:$AG$98,"&lt;="&amp;$H166,工数管理!$AH$3:$AH$98,"&gt;="&amp;$H166)+(COUNTIFS(工数管理!$AK$3:$AK$98,L$1,工数管理!$K$3:$K$98,"&lt;="&amp;$H166,工数管理!$L$3:$L$98,"")+COUNTIFS(工数管理!$AK$3:$AK$98,L$1,工数管理!$M$3:$M$98,"&lt;="&amp;$H166,工数管理!$N$3:$N$98,"")+COUNTIFS(工数管理!$AK$3:$AK$98,L$1,工数管理!$O$3:$O$98,"&lt;="&amp;$H166,工数管理!$P$3:$P$98,"")+COUNTIFS(工数管理!$AK$3:$AK$98,L$1,工数管理!$Q$3:$Q$98,"&lt;="&amp;$H166,工数管理!$R$3:$R$98,"")+COUNTIFS(工数管理!$AK$3:$AK$98,L$1,工数管理!$S$3:$S$98,"&lt;="&amp;$H166,工数管理!$T$3:$T$98,"")+COUNTIFS(工数管理!$AK$3:$AK$98,L$1,工数管理!$U$3:$U$98,"&lt;="&amp;$H166,工数管理!$V$3:$V$98,"")+COUNTIFS(工数管理!$AK$3:$AK$98,L$1,工数管理!$W$3:$W$98,"&lt;="&amp;$H166,工数管理!$X$3:$X$98,"")+COUNTIFS(工数管理!$AK$3:$AK$98,L$1,工数管理!$Y$3:$Y$98,"&lt;="&amp;$H166,工数管理!$Z$3:$Z$98,"")+COUNTIFS(工数管理!$AK$3:$AK$98,L$1,工数管理!$AA$3:$AA$98,"&lt;="&amp;$H166,工数管理!$AB$3:$AB$98,"")+COUNTIFS(工数管理!$AK$3:$AK$98,L$1,工数管理!$AC$3:$AC$98,"&lt;="&amp;$H166,工数管理!$AD$3:$AD$98,"")+COUNTIFS(工数管理!$AK$3:$AK$98,L$1,工数管理!$AE$3:$AE$98,"&lt;="&amp;$H166,工数管理!$AF$3:$AF$98,"")+COUNTIFS(工数管理!$AK$3:$AK$98,L$1,工数管理!$AG$3:$AG$98,"&lt;="&amp;$H166,工数管理!$AH$3:$AH$98,""))*($H166&lt;=工数管理!$AI$1))</f>
        <v>0</v>
      </c>
    </row>
    <row r="167" spans="1:12" x14ac:dyDescent="0.15">
      <c r="A167" s="5"/>
      <c r="B167" s="6"/>
      <c r="H167" s="41">
        <f t="shared" si="5"/>
        <v>46335</v>
      </c>
      <c r="I167" s="42">
        <f t="shared" si="4"/>
        <v>1</v>
      </c>
      <c r="J167" s="42">
        <f ca="1">IF(J$1="",0,COUNTIFS(工数管理!$AK$3:$AK$98,J$1,工数管理!$K$3:$K$98,"&lt;="&amp;$H167,工数管理!$L$3:$L$98,"&gt;="&amp;$H167)+COUNTIFS(工数管理!$AK$3:$AK$98,J$1,工数管理!$M$3:$M$98,"&lt;="&amp;$H167,工数管理!$N$3:$N$98,"&gt;="&amp;$H167)+COUNTIFS(工数管理!$AK$3:$AK$98,J$1,工数管理!$O$3:$O$98,"&lt;="&amp;$H167,工数管理!$P$3:$P$98,"&gt;="&amp;$H167)+COUNTIFS(工数管理!$AK$3:$AK$98,J$1,工数管理!$Q$3:$Q$98,"&lt;="&amp;$H167,工数管理!$R$3:$R$98,"&gt;="&amp;$H167)+COUNTIFS(工数管理!$AK$3:$AK$98,J$1,工数管理!$S$3:$S$98,"&lt;="&amp;$H167,工数管理!$T$3:$T$98,"&gt;="&amp;$H167)+COUNTIFS(工数管理!$AK$3:$AK$98,J$1,工数管理!$U$3:$U$98,"&lt;="&amp;$H167,工数管理!$V$3:$V$98,"&gt;="&amp;$H167)+COUNTIFS(工数管理!$AK$3:$AK$98,J$1,工数管理!$W$3:$W$98,"&lt;="&amp;$H167,工数管理!$X$3:$X$98,"&gt;="&amp;$H167)+COUNTIFS(工数管理!$AK$3:$AK$98,J$1,工数管理!$Y$3:$Y$98,"&lt;="&amp;$H167,工数管理!$Z$3:$Z$98,"&gt;="&amp;$H167)+COUNTIFS(工数管理!$AK$3:$AK$98,J$1,工数管理!$AA$3:$AA$98,"&lt;="&amp;$H167,工数管理!$AB$3:$AB$98,"&gt;="&amp;$H167)+COUNTIFS(工数管理!$AK$3:$AK$98,J$1,工数管理!$AC$3:$AC$98,"&lt;="&amp;$H167,工数管理!$AD$3:$AD$98,"&gt;="&amp;$H167)+COUNTIFS(工数管理!$AK$3:$AK$98,J$1,工数管理!$AE$3:$AE$98,"&lt;="&amp;$H167,工数管理!$AF$3:$AF$98,"&gt;="&amp;$H167)+COUNTIFS(工数管理!$AK$3:$AK$98,J$1,工数管理!$AG$3:$AG$98,"&lt;="&amp;$H167,工数管理!$AH$3:$AH$98,"&gt;="&amp;$H167)+(COUNTIFS(工数管理!$AK$3:$AK$98,J$1,工数管理!$K$3:$K$98,"&lt;="&amp;$H167,工数管理!$L$3:$L$98,"")+COUNTIFS(工数管理!$AK$3:$AK$98,J$1,工数管理!$M$3:$M$98,"&lt;="&amp;$H167,工数管理!$N$3:$N$98,"")+COUNTIFS(工数管理!$AK$3:$AK$98,J$1,工数管理!$O$3:$O$98,"&lt;="&amp;$H167,工数管理!$P$3:$P$98,"")+COUNTIFS(工数管理!$AK$3:$AK$98,J$1,工数管理!$Q$3:$Q$98,"&lt;="&amp;$H167,工数管理!$R$3:$R$98,"")+COUNTIFS(工数管理!$AK$3:$AK$98,J$1,工数管理!$S$3:$S$98,"&lt;="&amp;$H167,工数管理!$T$3:$T$98,"")+COUNTIFS(工数管理!$AK$3:$AK$98,J$1,工数管理!$U$3:$U$98,"&lt;="&amp;$H167,工数管理!$V$3:$V$98,"")+COUNTIFS(工数管理!$AK$3:$AK$98,J$1,工数管理!$W$3:$W$98,"&lt;="&amp;$H167,工数管理!$X$3:$X$98,"")+COUNTIFS(工数管理!$AK$3:$AK$98,J$1,工数管理!$Y$3:$Y$98,"&lt;="&amp;$H167,工数管理!$Z$3:$Z$98,"")+COUNTIFS(工数管理!$AK$3:$AK$98,J$1,工数管理!$AA$3:$AA$98,"&lt;="&amp;$H167,工数管理!$AB$3:$AB$98,"")+COUNTIFS(工数管理!$AK$3:$AK$98,J$1,工数管理!$AC$3:$AC$98,"&lt;="&amp;$H167,工数管理!$AD$3:$AD$98,"")+COUNTIFS(工数管理!$AK$3:$AK$98,J$1,工数管理!$AE$3:$AE$98,"&lt;="&amp;$H167,工数管理!$AF$3:$AF$98,"")+COUNTIFS(工数管理!$AK$3:$AK$98,J$1,工数管理!$AG$3:$AG$98,"&lt;="&amp;$H167,工数管理!$AH$3:$AH$98,""))*($H167&lt;=工数管理!$AI$1))</f>
        <v>0</v>
      </c>
      <c r="K167" s="42">
        <f ca="1">IF(K$1="",0,COUNTIFS(工数管理!$AK$3:$AK$98,K$1,工数管理!$K$3:$K$98,"&lt;="&amp;$H167,工数管理!$L$3:$L$98,"&gt;="&amp;$H167)+COUNTIFS(工数管理!$AK$3:$AK$98,K$1,工数管理!$M$3:$M$98,"&lt;="&amp;$H167,工数管理!$N$3:$N$98,"&gt;="&amp;$H167)+COUNTIFS(工数管理!$AK$3:$AK$98,K$1,工数管理!$O$3:$O$98,"&lt;="&amp;$H167,工数管理!$P$3:$P$98,"&gt;="&amp;$H167)+COUNTIFS(工数管理!$AK$3:$AK$98,K$1,工数管理!$Q$3:$Q$98,"&lt;="&amp;$H167,工数管理!$R$3:$R$98,"&gt;="&amp;$H167)+COUNTIFS(工数管理!$AK$3:$AK$98,K$1,工数管理!$S$3:$S$98,"&lt;="&amp;$H167,工数管理!$T$3:$T$98,"&gt;="&amp;$H167)+COUNTIFS(工数管理!$AK$3:$AK$98,K$1,工数管理!$U$3:$U$98,"&lt;="&amp;$H167,工数管理!$V$3:$V$98,"&gt;="&amp;$H167)+COUNTIFS(工数管理!$AK$3:$AK$98,K$1,工数管理!$W$3:$W$98,"&lt;="&amp;$H167,工数管理!$X$3:$X$98,"&gt;="&amp;$H167)+COUNTIFS(工数管理!$AK$3:$AK$98,K$1,工数管理!$Y$3:$Y$98,"&lt;="&amp;$H167,工数管理!$Z$3:$Z$98,"&gt;="&amp;$H167)+COUNTIFS(工数管理!$AK$3:$AK$98,K$1,工数管理!$AA$3:$AA$98,"&lt;="&amp;$H167,工数管理!$AB$3:$AB$98,"&gt;="&amp;$H167)+COUNTIFS(工数管理!$AK$3:$AK$98,K$1,工数管理!$AC$3:$AC$98,"&lt;="&amp;$H167,工数管理!$AD$3:$AD$98,"&gt;="&amp;$H167)+COUNTIFS(工数管理!$AK$3:$AK$98,K$1,工数管理!$AE$3:$AE$98,"&lt;="&amp;$H167,工数管理!$AF$3:$AF$98,"&gt;="&amp;$H167)+COUNTIFS(工数管理!$AK$3:$AK$98,K$1,工数管理!$AG$3:$AG$98,"&lt;="&amp;$H167,工数管理!$AH$3:$AH$98,"&gt;="&amp;$H167)+(COUNTIFS(工数管理!$AK$3:$AK$98,K$1,工数管理!$K$3:$K$98,"&lt;="&amp;$H167,工数管理!$L$3:$L$98,"")+COUNTIFS(工数管理!$AK$3:$AK$98,K$1,工数管理!$M$3:$M$98,"&lt;="&amp;$H167,工数管理!$N$3:$N$98,"")+COUNTIFS(工数管理!$AK$3:$AK$98,K$1,工数管理!$O$3:$O$98,"&lt;="&amp;$H167,工数管理!$P$3:$P$98,"")+COUNTIFS(工数管理!$AK$3:$AK$98,K$1,工数管理!$Q$3:$Q$98,"&lt;="&amp;$H167,工数管理!$R$3:$R$98,"")+COUNTIFS(工数管理!$AK$3:$AK$98,K$1,工数管理!$S$3:$S$98,"&lt;="&amp;$H167,工数管理!$T$3:$T$98,"")+COUNTIFS(工数管理!$AK$3:$AK$98,K$1,工数管理!$U$3:$U$98,"&lt;="&amp;$H167,工数管理!$V$3:$V$98,"")+COUNTIFS(工数管理!$AK$3:$AK$98,K$1,工数管理!$W$3:$W$98,"&lt;="&amp;$H167,工数管理!$X$3:$X$98,"")+COUNTIFS(工数管理!$AK$3:$AK$98,K$1,工数管理!$Y$3:$Y$98,"&lt;="&amp;$H167,工数管理!$Z$3:$Z$98,"")+COUNTIFS(工数管理!$AK$3:$AK$98,K$1,工数管理!$AA$3:$AA$98,"&lt;="&amp;$H167,工数管理!$AB$3:$AB$98,"")+COUNTIFS(工数管理!$AK$3:$AK$98,K$1,工数管理!$AC$3:$AC$98,"&lt;="&amp;$H167,工数管理!$AD$3:$AD$98,"")+COUNTIFS(工数管理!$AK$3:$AK$98,K$1,工数管理!$AE$3:$AE$98,"&lt;="&amp;$H167,工数管理!$AF$3:$AF$98,"")+COUNTIFS(工数管理!$AK$3:$AK$98,K$1,工数管理!$AG$3:$AG$98,"&lt;="&amp;$H167,工数管理!$AH$3:$AH$98,""))*($H167&lt;=工数管理!$AI$1))</f>
        <v>0</v>
      </c>
      <c r="L167" s="42">
        <f ca="1">IF(L$1="",0,COUNTIFS(工数管理!$AK$3:$AK$98,L$1,工数管理!$K$3:$K$98,"&lt;="&amp;$H167,工数管理!$L$3:$L$98,"&gt;="&amp;$H167)+COUNTIFS(工数管理!$AK$3:$AK$98,L$1,工数管理!$M$3:$M$98,"&lt;="&amp;$H167,工数管理!$N$3:$N$98,"&gt;="&amp;$H167)+COUNTIFS(工数管理!$AK$3:$AK$98,L$1,工数管理!$O$3:$O$98,"&lt;="&amp;$H167,工数管理!$P$3:$P$98,"&gt;="&amp;$H167)+COUNTIFS(工数管理!$AK$3:$AK$98,L$1,工数管理!$Q$3:$Q$98,"&lt;="&amp;$H167,工数管理!$R$3:$R$98,"&gt;="&amp;$H167)+COUNTIFS(工数管理!$AK$3:$AK$98,L$1,工数管理!$S$3:$S$98,"&lt;="&amp;$H167,工数管理!$T$3:$T$98,"&gt;="&amp;$H167)+COUNTIFS(工数管理!$AK$3:$AK$98,L$1,工数管理!$U$3:$U$98,"&lt;="&amp;$H167,工数管理!$V$3:$V$98,"&gt;="&amp;$H167)+COUNTIFS(工数管理!$AK$3:$AK$98,L$1,工数管理!$W$3:$W$98,"&lt;="&amp;$H167,工数管理!$X$3:$X$98,"&gt;="&amp;$H167)+COUNTIFS(工数管理!$AK$3:$AK$98,L$1,工数管理!$Y$3:$Y$98,"&lt;="&amp;$H167,工数管理!$Z$3:$Z$98,"&gt;="&amp;$H167)+COUNTIFS(工数管理!$AK$3:$AK$98,L$1,工数管理!$AA$3:$AA$98,"&lt;="&amp;$H167,工数管理!$AB$3:$AB$98,"&gt;="&amp;$H167)+COUNTIFS(工数管理!$AK$3:$AK$98,L$1,工数管理!$AC$3:$AC$98,"&lt;="&amp;$H167,工数管理!$AD$3:$AD$98,"&gt;="&amp;$H167)+COUNTIFS(工数管理!$AK$3:$AK$98,L$1,工数管理!$AE$3:$AE$98,"&lt;="&amp;$H167,工数管理!$AF$3:$AF$98,"&gt;="&amp;$H167)+COUNTIFS(工数管理!$AK$3:$AK$98,L$1,工数管理!$AG$3:$AG$98,"&lt;="&amp;$H167,工数管理!$AH$3:$AH$98,"&gt;="&amp;$H167)+(COUNTIFS(工数管理!$AK$3:$AK$98,L$1,工数管理!$K$3:$K$98,"&lt;="&amp;$H167,工数管理!$L$3:$L$98,"")+COUNTIFS(工数管理!$AK$3:$AK$98,L$1,工数管理!$M$3:$M$98,"&lt;="&amp;$H167,工数管理!$N$3:$N$98,"")+COUNTIFS(工数管理!$AK$3:$AK$98,L$1,工数管理!$O$3:$O$98,"&lt;="&amp;$H167,工数管理!$P$3:$P$98,"")+COUNTIFS(工数管理!$AK$3:$AK$98,L$1,工数管理!$Q$3:$Q$98,"&lt;="&amp;$H167,工数管理!$R$3:$R$98,"")+COUNTIFS(工数管理!$AK$3:$AK$98,L$1,工数管理!$S$3:$S$98,"&lt;="&amp;$H167,工数管理!$T$3:$T$98,"")+COUNTIFS(工数管理!$AK$3:$AK$98,L$1,工数管理!$U$3:$U$98,"&lt;="&amp;$H167,工数管理!$V$3:$V$98,"")+COUNTIFS(工数管理!$AK$3:$AK$98,L$1,工数管理!$W$3:$W$98,"&lt;="&amp;$H167,工数管理!$X$3:$X$98,"")+COUNTIFS(工数管理!$AK$3:$AK$98,L$1,工数管理!$Y$3:$Y$98,"&lt;="&amp;$H167,工数管理!$Z$3:$Z$98,"")+COUNTIFS(工数管理!$AK$3:$AK$98,L$1,工数管理!$AA$3:$AA$98,"&lt;="&amp;$H167,工数管理!$AB$3:$AB$98,"")+COUNTIFS(工数管理!$AK$3:$AK$98,L$1,工数管理!$AC$3:$AC$98,"&lt;="&amp;$H167,工数管理!$AD$3:$AD$98,"")+COUNTIFS(工数管理!$AK$3:$AK$98,L$1,工数管理!$AE$3:$AE$98,"&lt;="&amp;$H167,工数管理!$AF$3:$AF$98,"")+COUNTIFS(工数管理!$AK$3:$AK$98,L$1,工数管理!$AG$3:$AG$98,"&lt;="&amp;$H167,工数管理!$AH$3:$AH$98,""))*($H167&lt;=工数管理!$AI$1))</f>
        <v>0</v>
      </c>
    </row>
    <row r="168" spans="1:12" x14ac:dyDescent="0.15">
      <c r="A168" s="5"/>
      <c r="B168" s="6"/>
      <c r="H168" s="41">
        <f t="shared" si="5"/>
        <v>46336</v>
      </c>
      <c r="I168" s="42">
        <f t="shared" si="4"/>
        <v>1</v>
      </c>
      <c r="J168" s="42">
        <f ca="1">IF(J$1="",0,COUNTIFS(工数管理!$AK$3:$AK$98,J$1,工数管理!$K$3:$K$98,"&lt;="&amp;$H168,工数管理!$L$3:$L$98,"&gt;="&amp;$H168)+COUNTIFS(工数管理!$AK$3:$AK$98,J$1,工数管理!$M$3:$M$98,"&lt;="&amp;$H168,工数管理!$N$3:$N$98,"&gt;="&amp;$H168)+COUNTIFS(工数管理!$AK$3:$AK$98,J$1,工数管理!$O$3:$O$98,"&lt;="&amp;$H168,工数管理!$P$3:$P$98,"&gt;="&amp;$H168)+COUNTIFS(工数管理!$AK$3:$AK$98,J$1,工数管理!$Q$3:$Q$98,"&lt;="&amp;$H168,工数管理!$R$3:$R$98,"&gt;="&amp;$H168)+COUNTIFS(工数管理!$AK$3:$AK$98,J$1,工数管理!$S$3:$S$98,"&lt;="&amp;$H168,工数管理!$T$3:$T$98,"&gt;="&amp;$H168)+COUNTIFS(工数管理!$AK$3:$AK$98,J$1,工数管理!$U$3:$U$98,"&lt;="&amp;$H168,工数管理!$V$3:$V$98,"&gt;="&amp;$H168)+COUNTIFS(工数管理!$AK$3:$AK$98,J$1,工数管理!$W$3:$W$98,"&lt;="&amp;$H168,工数管理!$X$3:$X$98,"&gt;="&amp;$H168)+COUNTIFS(工数管理!$AK$3:$AK$98,J$1,工数管理!$Y$3:$Y$98,"&lt;="&amp;$H168,工数管理!$Z$3:$Z$98,"&gt;="&amp;$H168)+COUNTIFS(工数管理!$AK$3:$AK$98,J$1,工数管理!$AA$3:$AA$98,"&lt;="&amp;$H168,工数管理!$AB$3:$AB$98,"&gt;="&amp;$H168)+COUNTIFS(工数管理!$AK$3:$AK$98,J$1,工数管理!$AC$3:$AC$98,"&lt;="&amp;$H168,工数管理!$AD$3:$AD$98,"&gt;="&amp;$H168)+COUNTIFS(工数管理!$AK$3:$AK$98,J$1,工数管理!$AE$3:$AE$98,"&lt;="&amp;$H168,工数管理!$AF$3:$AF$98,"&gt;="&amp;$H168)+COUNTIFS(工数管理!$AK$3:$AK$98,J$1,工数管理!$AG$3:$AG$98,"&lt;="&amp;$H168,工数管理!$AH$3:$AH$98,"&gt;="&amp;$H168)+(COUNTIFS(工数管理!$AK$3:$AK$98,J$1,工数管理!$K$3:$K$98,"&lt;="&amp;$H168,工数管理!$L$3:$L$98,"")+COUNTIFS(工数管理!$AK$3:$AK$98,J$1,工数管理!$M$3:$M$98,"&lt;="&amp;$H168,工数管理!$N$3:$N$98,"")+COUNTIFS(工数管理!$AK$3:$AK$98,J$1,工数管理!$O$3:$O$98,"&lt;="&amp;$H168,工数管理!$P$3:$P$98,"")+COUNTIFS(工数管理!$AK$3:$AK$98,J$1,工数管理!$Q$3:$Q$98,"&lt;="&amp;$H168,工数管理!$R$3:$R$98,"")+COUNTIFS(工数管理!$AK$3:$AK$98,J$1,工数管理!$S$3:$S$98,"&lt;="&amp;$H168,工数管理!$T$3:$T$98,"")+COUNTIFS(工数管理!$AK$3:$AK$98,J$1,工数管理!$U$3:$U$98,"&lt;="&amp;$H168,工数管理!$V$3:$V$98,"")+COUNTIFS(工数管理!$AK$3:$AK$98,J$1,工数管理!$W$3:$W$98,"&lt;="&amp;$H168,工数管理!$X$3:$X$98,"")+COUNTIFS(工数管理!$AK$3:$AK$98,J$1,工数管理!$Y$3:$Y$98,"&lt;="&amp;$H168,工数管理!$Z$3:$Z$98,"")+COUNTIFS(工数管理!$AK$3:$AK$98,J$1,工数管理!$AA$3:$AA$98,"&lt;="&amp;$H168,工数管理!$AB$3:$AB$98,"")+COUNTIFS(工数管理!$AK$3:$AK$98,J$1,工数管理!$AC$3:$AC$98,"&lt;="&amp;$H168,工数管理!$AD$3:$AD$98,"")+COUNTIFS(工数管理!$AK$3:$AK$98,J$1,工数管理!$AE$3:$AE$98,"&lt;="&amp;$H168,工数管理!$AF$3:$AF$98,"")+COUNTIFS(工数管理!$AK$3:$AK$98,J$1,工数管理!$AG$3:$AG$98,"&lt;="&amp;$H168,工数管理!$AH$3:$AH$98,""))*($H168&lt;=工数管理!$AI$1))</f>
        <v>0</v>
      </c>
      <c r="K168" s="42">
        <f ca="1">IF(K$1="",0,COUNTIFS(工数管理!$AK$3:$AK$98,K$1,工数管理!$K$3:$K$98,"&lt;="&amp;$H168,工数管理!$L$3:$L$98,"&gt;="&amp;$H168)+COUNTIFS(工数管理!$AK$3:$AK$98,K$1,工数管理!$M$3:$M$98,"&lt;="&amp;$H168,工数管理!$N$3:$N$98,"&gt;="&amp;$H168)+COUNTIFS(工数管理!$AK$3:$AK$98,K$1,工数管理!$O$3:$O$98,"&lt;="&amp;$H168,工数管理!$P$3:$P$98,"&gt;="&amp;$H168)+COUNTIFS(工数管理!$AK$3:$AK$98,K$1,工数管理!$Q$3:$Q$98,"&lt;="&amp;$H168,工数管理!$R$3:$R$98,"&gt;="&amp;$H168)+COUNTIFS(工数管理!$AK$3:$AK$98,K$1,工数管理!$S$3:$S$98,"&lt;="&amp;$H168,工数管理!$T$3:$T$98,"&gt;="&amp;$H168)+COUNTIFS(工数管理!$AK$3:$AK$98,K$1,工数管理!$U$3:$U$98,"&lt;="&amp;$H168,工数管理!$V$3:$V$98,"&gt;="&amp;$H168)+COUNTIFS(工数管理!$AK$3:$AK$98,K$1,工数管理!$W$3:$W$98,"&lt;="&amp;$H168,工数管理!$X$3:$X$98,"&gt;="&amp;$H168)+COUNTIFS(工数管理!$AK$3:$AK$98,K$1,工数管理!$Y$3:$Y$98,"&lt;="&amp;$H168,工数管理!$Z$3:$Z$98,"&gt;="&amp;$H168)+COUNTIFS(工数管理!$AK$3:$AK$98,K$1,工数管理!$AA$3:$AA$98,"&lt;="&amp;$H168,工数管理!$AB$3:$AB$98,"&gt;="&amp;$H168)+COUNTIFS(工数管理!$AK$3:$AK$98,K$1,工数管理!$AC$3:$AC$98,"&lt;="&amp;$H168,工数管理!$AD$3:$AD$98,"&gt;="&amp;$H168)+COUNTIFS(工数管理!$AK$3:$AK$98,K$1,工数管理!$AE$3:$AE$98,"&lt;="&amp;$H168,工数管理!$AF$3:$AF$98,"&gt;="&amp;$H168)+COUNTIFS(工数管理!$AK$3:$AK$98,K$1,工数管理!$AG$3:$AG$98,"&lt;="&amp;$H168,工数管理!$AH$3:$AH$98,"&gt;="&amp;$H168)+(COUNTIFS(工数管理!$AK$3:$AK$98,K$1,工数管理!$K$3:$K$98,"&lt;="&amp;$H168,工数管理!$L$3:$L$98,"")+COUNTIFS(工数管理!$AK$3:$AK$98,K$1,工数管理!$M$3:$M$98,"&lt;="&amp;$H168,工数管理!$N$3:$N$98,"")+COUNTIFS(工数管理!$AK$3:$AK$98,K$1,工数管理!$O$3:$O$98,"&lt;="&amp;$H168,工数管理!$P$3:$P$98,"")+COUNTIFS(工数管理!$AK$3:$AK$98,K$1,工数管理!$Q$3:$Q$98,"&lt;="&amp;$H168,工数管理!$R$3:$R$98,"")+COUNTIFS(工数管理!$AK$3:$AK$98,K$1,工数管理!$S$3:$S$98,"&lt;="&amp;$H168,工数管理!$T$3:$T$98,"")+COUNTIFS(工数管理!$AK$3:$AK$98,K$1,工数管理!$U$3:$U$98,"&lt;="&amp;$H168,工数管理!$V$3:$V$98,"")+COUNTIFS(工数管理!$AK$3:$AK$98,K$1,工数管理!$W$3:$W$98,"&lt;="&amp;$H168,工数管理!$X$3:$X$98,"")+COUNTIFS(工数管理!$AK$3:$AK$98,K$1,工数管理!$Y$3:$Y$98,"&lt;="&amp;$H168,工数管理!$Z$3:$Z$98,"")+COUNTIFS(工数管理!$AK$3:$AK$98,K$1,工数管理!$AA$3:$AA$98,"&lt;="&amp;$H168,工数管理!$AB$3:$AB$98,"")+COUNTIFS(工数管理!$AK$3:$AK$98,K$1,工数管理!$AC$3:$AC$98,"&lt;="&amp;$H168,工数管理!$AD$3:$AD$98,"")+COUNTIFS(工数管理!$AK$3:$AK$98,K$1,工数管理!$AE$3:$AE$98,"&lt;="&amp;$H168,工数管理!$AF$3:$AF$98,"")+COUNTIFS(工数管理!$AK$3:$AK$98,K$1,工数管理!$AG$3:$AG$98,"&lt;="&amp;$H168,工数管理!$AH$3:$AH$98,""))*($H168&lt;=工数管理!$AI$1))</f>
        <v>0</v>
      </c>
      <c r="L168" s="42">
        <f ca="1">IF(L$1="",0,COUNTIFS(工数管理!$AK$3:$AK$98,L$1,工数管理!$K$3:$K$98,"&lt;="&amp;$H168,工数管理!$L$3:$L$98,"&gt;="&amp;$H168)+COUNTIFS(工数管理!$AK$3:$AK$98,L$1,工数管理!$M$3:$M$98,"&lt;="&amp;$H168,工数管理!$N$3:$N$98,"&gt;="&amp;$H168)+COUNTIFS(工数管理!$AK$3:$AK$98,L$1,工数管理!$O$3:$O$98,"&lt;="&amp;$H168,工数管理!$P$3:$P$98,"&gt;="&amp;$H168)+COUNTIFS(工数管理!$AK$3:$AK$98,L$1,工数管理!$Q$3:$Q$98,"&lt;="&amp;$H168,工数管理!$R$3:$R$98,"&gt;="&amp;$H168)+COUNTIFS(工数管理!$AK$3:$AK$98,L$1,工数管理!$S$3:$S$98,"&lt;="&amp;$H168,工数管理!$T$3:$T$98,"&gt;="&amp;$H168)+COUNTIFS(工数管理!$AK$3:$AK$98,L$1,工数管理!$U$3:$U$98,"&lt;="&amp;$H168,工数管理!$V$3:$V$98,"&gt;="&amp;$H168)+COUNTIFS(工数管理!$AK$3:$AK$98,L$1,工数管理!$W$3:$W$98,"&lt;="&amp;$H168,工数管理!$X$3:$X$98,"&gt;="&amp;$H168)+COUNTIFS(工数管理!$AK$3:$AK$98,L$1,工数管理!$Y$3:$Y$98,"&lt;="&amp;$H168,工数管理!$Z$3:$Z$98,"&gt;="&amp;$H168)+COUNTIFS(工数管理!$AK$3:$AK$98,L$1,工数管理!$AA$3:$AA$98,"&lt;="&amp;$H168,工数管理!$AB$3:$AB$98,"&gt;="&amp;$H168)+COUNTIFS(工数管理!$AK$3:$AK$98,L$1,工数管理!$AC$3:$AC$98,"&lt;="&amp;$H168,工数管理!$AD$3:$AD$98,"&gt;="&amp;$H168)+COUNTIFS(工数管理!$AK$3:$AK$98,L$1,工数管理!$AE$3:$AE$98,"&lt;="&amp;$H168,工数管理!$AF$3:$AF$98,"&gt;="&amp;$H168)+COUNTIFS(工数管理!$AK$3:$AK$98,L$1,工数管理!$AG$3:$AG$98,"&lt;="&amp;$H168,工数管理!$AH$3:$AH$98,"&gt;="&amp;$H168)+(COUNTIFS(工数管理!$AK$3:$AK$98,L$1,工数管理!$K$3:$K$98,"&lt;="&amp;$H168,工数管理!$L$3:$L$98,"")+COUNTIFS(工数管理!$AK$3:$AK$98,L$1,工数管理!$M$3:$M$98,"&lt;="&amp;$H168,工数管理!$N$3:$N$98,"")+COUNTIFS(工数管理!$AK$3:$AK$98,L$1,工数管理!$O$3:$O$98,"&lt;="&amp;$H168,工数管理!$P$3:$P$98,"")+COUNTIFS(工数管理!$AK$3:$AK$98,L$1,工数管理!$Q$3:$Q$98,"&lt;="&amp;$H168,工数管理!$R$3:$R$98,"")+COUNTIFS(工数管理!$AK$3:$AK$98,L$1,工数管理!$S$3:$S$98,"&lt;="&amp;$H168,工数管理!$T$3:$T$98,"")+COUNTIFS(工数管理!$AK$3:$AK$98,L$1,工数管理!$U$3:$U$98,"&lt;="&amp;$H168,工数管理!$V$3:$V$98,"")+COUNTIFS(工数管理!$AK$3:$AK$98,L$1,工数管理!$W$3:$W$98,"&lt;="&amp;$H168,工数管理!$X$3:$X$98,"")+COUNTIFS(工数管理!$AK$3:$AK$98,L$1,工数管理!$Y$3:$Y$98,"&lt;="&amp;$H168,工数管理!$Z$3:$Z$98,"")+COUNTIFS(工数管理!$AK$3:$AK$98,L$1,工数管理!$AA$3:$AA$98,"&lt;="&amp;$H168,工数管理!$AB$3:$AB$98,"")+COUNTIFS(工数管理!$AK$3:$AK$98,L$1,工数管理!$AC$3:$AC$98,"&lt;="&amp;$H168,工数管理!$AD$3:$AD$98,"")+COUNTIFS(工数管理!$AK$3:$AK$98,L$1,工数管理!$AE$3:$AE$98,"&lt;="&amp;$H168,工数管理!$AF$3:$AF$98,"")+COUNTIFS(工数管理!$AK$3:$AK$98,L$1,工数管理!$AG$3:$AG$98,"&lt;="&amp;$H168,工数管理!$AH$3:$AH$98,""))*($H168&lt;=工数管理!$AI$1))</f>
        <v>0</v>
      </c>
    </row>
    <row r="169" spans="1:12" x14ac:dyDescent="0.15">
      <c r="A169" s="5"/>
      <c r="B169" s="6"/>
      <c r="H169" s="41">
        <f t="shared" si="5"/>
        <v>46337</v>
      </c>
      <c r="I169" s="42">
        <f t="shared" si="4"/>
        <v>1</v>
      </c>
      <c r="J169" s="42">
        <f ca="1">IF(J$1="",0,COUNTIFS(工数管理!$AK$3:$AK$98,J$1,工数管理!$K$3:$K$98,"&lt;="&amp;$H169,工数管理!$L$3:$L$98,"&gt;="&amp;$H169)+COUNTIFS(工数管理!$AK$3:$AK$98,J$1,工数管理!$M$3:$M$98,"&lt;="&amp;$H169,工数管理!$N$3:$N$98,"&gt;="&amp;$H169)+COUNTIFS(工数管理!$AK$3:$AK$98,J$1,工数管理!$O$3:$O$98,"&lt;="&amp;$H169,工数管理!$P$3:$P$98,"&gt;="&amp;$H169)+COUNTIFS(工数管理!$AK$3:$AK$98,J$1,工数管理!$Q$3:$Q$98,"&lt;="&amp;$H169,工数管理!$R$3:$R$98,"&gt;="&amp;$H169)+COUNTIFS(工数管理!$AK$3:$AK$98,J$1,工数管理!$S$3:$S$98,"&lt;="&amp;$H169,工数管理!$T$3:$T$98,"&gt;="&amp;$H169)+COUNTIFS(工数管理!$AK$3:$AK$98,J$1,工数管理!$U$3:$U$98,"&lt;="&amp;$H169,工数管理!$V$3:$V$98,"&gt;="&amp;$H169)+COUNTIFS(工数管理!$AK$3:$AK$98,J$1,工数管理!$W$3:$W$98,"&lt;="&amp;$H169,工数管理!$X$3:$X$98,"&gt;="&amp;$H169)+COUNTIFS(工数管理!$AK$3:$AK$98,J$1,工数管理!$Y$3:$Y$98,"&lt;="&amp;$H169,工数管理!$Z$3:$Z$98,"&gt;="&amp;$H169)+COUNTIFS(工数管理!$AK$3:$AK$98,J$1,工数管理!$AA$3:$AA$98,"&lt;="&amp;$H169,工数管理!$AB$3:$AB$98,"&gt;="&amp;$H169)+COUNTIFS(工数管理!$AK$3:$AK$98,J$1,工数管理!$AC$3:$AC$98,"&lt;="&amp;$H169,工数管理!$AD$3:$AD$98,"&gt;="&amp;$H169)+COUNTIFS(工数管理!$AK$3:$AK$98,J$1,工数管理!$AE$3:$AE$98,"&lt;="&amp;$H169,工数管理!$AF$3:$AF$98,"&gt;="&amp;$H169)+COUNTIFS(工数管理!$AK$3:$AK$98,J$1,工数管理!$AG$3:$AG$98,"&lt;="&amp;$H169,工数管理!$AH$3:$AH$98,"&gt;="&amp;$H169)+(COUNTIFS(工数管理!$AK$3:$AK$98,J$1,工数管理!$K$3:$K$98,"&lt;="&amp;$H169,工数管理!$L$3:$L$98,"")+COUNTIFS(工数管理!$AK$3:$AK$98,J$1,工数管理!$M$3:$M$98,"&lt;="&amp;$H169,工数管理!$N$3:$N$98,"")+COUNTIFS(工数管理!$AK$3:$AK$98,J$1,工数管理!$O$3:$O$98,"&lt;="&amp;$H169,工数管理!$P$3:$P$98,"")+COUNTIFS(工数管理!$AK$3:$AK$98,J$1,工数管理!$Q$3:$Q$98,"&lt;="&amp;$H169,工数管理!$R$3:$R$98,"")+COUNTIFS(工数管理!$AK$3:$AK$98,J$1,工数管理!$S$3:$S$98,"&lt;="&amp;$H169,工数管理!$T$3:$T$98,"")+COUNTIFS(工数管理!$AK$3:$AK$98,J$1,工数管理!$U$3:$U$98,"&lt;="&amp;$H169,工数管理!$V$3:$V$98,"")+COUNTIFS(工数管理!$AK$3:$AK$98,J$1,工数管理!$W$3:$W$98,"&lt;="&amp;$H169,工数管理!$X$3:$X$98,"")+COUNTIFS(工数管理!$AK$3:$AK$98,J$1,工数管理!$Y$3:$Y$98,"&lt;="&amp;$H169,工数管理!$Z$3:$Z$98,"")+COUNTIFS(工数管理!$AK$3:$AK$98,J$1,工数管理!$AA$3:$AA$98,"&lt;="&amp;$H169,工数管理!$AB$3:$AB$98,"")+COUNTIFS(工数管理!$AK$3:$AK$98,J$1,工数管理!$AC$3:$AC$98,"&lt;="&amp;$H169,工数管理!$AD$3:$AD$98,"")+COUNTIFS(工数管理!$AK$3:$AK$98,J$1,工数管理!$AE$3:$AE$98,"&lt;="&amp;$H169,工数管理!$AF$3:$AF$98,"")+COUNTIFS(工数管理!$AK$3:$AK$98,J$1,工数管理!$AG$3:$AG$98,"&lt;="&amp;$H169,工数管理!$AH$3:$AH$98,""))*($H169&lt;=工数管理!$AI$1))</f>
        <v>0</v>
      </c>
      <c r="K169" s="42">
        <f ca="1">IF(K$1="",0,COUNTIFS(工数管理!$AK$3:$AK$98,K$1,工数管理!$K$3:$K$98,"&lt;="&amp;$H169,工数管理!$L$3:$L$98,"&gt;="&amp;$H169)+COUNTIFS(工数管理!$AK$3:$AK$98,K$1,工数管理!$M$3:$M$98,"&lt;="&amp;$H169,工数管理!$N$3:$N$98,"&gt;="&amp;$H169)+COUNTIFS(工数管理!$AK$3:$AK$98,K$1,工数管理!$O$3:$O$98,"&lt;="&amp;$H169,工数管理!$P$3:$P$98,"&gt;="&amp;$H169)+COUNTIFS(工数管理!$AK$3:$AK$98,K$1,工数管理!$Q$3:$Q$98,"&lt;="&amp;$H169,工数管理!$R$3:$R$98,"&gt;="&amp;$H169)+COUNTIFS(工数管理!$AK$3:$AK$98,K$1,工数管理!$S$3:$S$98,"&lt;="&amp;$H169,工数管理!$T$3:$T$98,"&gt;="&amp;$H169)+COUNTIFS(工数管理!$AK$3:$AK$98,K$1,工数管理!$U$3:$U$98,"&lt;="&amp;$H169,工数管理!$V$3:$V$98,"&gt;="&amp;$H169)+COUNTIFS(工数管理!$AK$3:$AK$98,K$1,工数管理!$W$3:$W$98,"&lt;="&amp;$H169,工数管理!$X$3:$X$98,"&gt;="&amp;$H169)+COUNTIFS(工数管理!$AK$3:$AK$98,K$1,工数管理!$Y$3:$Y$98,"&lt;="&amp;$H169,工数管理!$Z$3:$Z$98,"&gt;="&amp;$H169)+COUNTIFS(工数管理!$AK$3:$AK$98,K$1,工数管理!$AA$3:$AA$98,"&lt;="&amp;$H169,工数管理!$AB$3:$AB$98,"&gt;="&amp;$H169)+COUNTIFS(工数管理!$AK$3:$AK$98,K$1,工数管理!$AC$3:$AC$98,"&lt;="&amp;$H169,工数管理!$AD$3:$AD$98,"&gt;="&amp;$H169)+COUNTIFS(工数管理!$AK$3:$AK$98,K$1,工数管理!$AE$3:$AE$98,"&lt;="&amp;$H169,工数管理!$AF$3:$AF$98,"&gt;="&amp;$H169)+COUNTIFS(工数管理!$AK$3:$AK$98,K$1,工数管理!$AG$3:$AG$98,"&lt;="&amp;$H169,工数管理!$AH$3:$AH$98,"&gt;="&amp;$H169)+(COUNTIFS(工数管理!$AK$3:$AK$98,K$1,工数管理!$K$3:$K$98,"&lt;="&amp;$H169,工数管理!$L$3:$L$98,"")+COUNTIFS(工数管理!$AK$3:$AK$98,K$1,工数管理!$M$3:$M$98,"&lt;="&amp;$H169,工数管理!$N$3:$N$98,"")+COUNTIFS(工数管理!$AK$3:$AK$98,K$1,工数管理!$O$3:$O$98,"&lt;="&amp;$H169,工数管理!$P$3:$P$98,"")+COUNTIFS(工数管理!$AK$3:$AK$98,K$1,工数管理!$Q$3:$Q$98,"&lt;="&amp;$H169,工数管理!$R$3:$R$98,"")+COUNTIFS(工数管理!$AK$3:$AK$98,K$1,工数管理!$S$3:$S$98,"&lt;="&amp;$H169,工数管理!$T$3:$T$98,"")+COUNTIFS(工数管理!$AK$3:$AK$98,K$1,工数管理!$U$3:$U$98,"&lt;="&amp;$H169,工数管理!$V$3:$V$98,"")+COUNTIFS(工数管理!$AK$3:$AK$98,K$1,工数管理!$W$3:$W$98,"&lt;="&amp;$H169,工数管理!$X$3:$X$98,"")+COUNTIFS(工数管理!$AK$3:$AK$98,K$1,工数管理!$Y$3:$Y$98,"&lt;="&amp;$H169,工数管理!$Z$3:$Z$98,"")+COUNTIFS(工数管理!$AK$3:$AK$98,K$1,工数管理!$AA$3:$AA$98,"&lt;="&amp;$H169,工数管理!$AB$3:$AB$98,"")+COUNTIFS(工数管理!$AK$3:$AK$98,K$1,工数管理!$AC$3:$AC$98,"&lt;="&amp;$H169,工数管理!$AD$3:$AD$98,"")+COUNTIFS(工数管理!$AK$3:$AK$98,K$1,工数管理!$AE$3:$AE$98,"&lt;="&amp;$H169,工数管理!$AF$3:$AF$98,"")+COUNTIFS(工数管理!$AK$3:$AK$98,K$1,工数管理!$AG$3:$AG$98,"&lt;="&amp;$H169,工数管理!$AH$3:$AH$98,""))*($H169&lt;=工数管理!$AI$1))</f>
        <v>0</v>
      </c>
      <c r="L169" s="42">
        <f ca="1">IF(L$1="",0,COUNTIFS(工数管理!$AK$3:$AK$98,L$1,工数管理!$K$3:$K$98,"&lt;="&amp;$H169,工数管理!$L$3:$L$98,"&gt;="&amp;$H169)+COUNTIFS(工数管理!$AK$3:$AK$98,L$1,工数管理!$M$3:$M$98,"&lt;="&amp;$H169,工数管理!$N$3:$N$98,"&gt;="&amp;$H169)+COUNTIFS(工数管理!$AK$3:$AK$98,L$1,工数管理!$O$3:$O$98,"&lt;="&amp;$H169,工数管理!$P$3:$P$98,"&gt;="&amp;$H169)+COUNTIFS(工数管理!$AK$3:$AK$98,L$1,工数管理!$Q$3:$Q$98,"&lt;="&amp;$H169,工数管理!$R$3:$R$98,"&gt;="&amp;$H169)+COUNTIFS(工数管理!$AK$3:$AK$98,L$1,工数管理!$S$3:$S$98,"&lt;="&amp;$H169,工数管理!$T$3:$T$98,"&gt;="&amp;$H169)+COUNTIFS(工数管理!$AK$3:$AK$98,L$1,工数管理!$U$3:$U$98,"&lt;="&amp;$H169,工数管理!$V$3:$V$98,"&gt;="&amp;$H169)+COUNTIFS(工数管理!$AK$3:$AK$98,L$1,工数管理!$W$3:$W$98,"&lt;="&amp;$H169,工数管理!$X$3:$X$98,"&gt;="&amp;$H169)+COUNTIFS(工数管理!$AK$3:$AK$98,L$1,工数管理!$Y$3:$Y$98,"&lt;="&amp;$H169,工数管理!$Z$3:$Z$98,"&gt;="&amp;$H169)+COUNTIFS(工数管理!$AK$3:$AK$98,L$1,工数管理!$AA$3:$AA$98,"&lt;="&amp;$H169,工数管理!$AB$3:$AB$98,"&gt;="&amp;$H169)+COUNTIFS(工数管理!$AK$3:$AK$98,L$1,工数管理!$AC$3:$AC$98,"&lt;="&amp;$H169,工数管理!$AD$3:$AD$98,"&gt;="&amp;$H169)+COUNTIFS(工数管理!$AK$3:$AK$98,L$1,工数管理!$AE$3:$AE$98,"&lt;="&amp;$H169,工数管理!$AF$3:$AF$98,"&gt;="&amp;$H169)+COUNTIFS(工数管理!$AK$3:$AK$98,L$1,工数管理!$AG$3:$AG$98,"&lt;="&amp;$H169,工数管理!$AH$3:$AH$98,"&gt;="&amp;$H169)+(COUNTIFS(工数管理!$AK$3:$AK$98,L$1,工数管理!$K$3:$K$98,"&lt;="&amp;$H169,工数管理!$L$3:$L$98,"")+COUNTIFS(工数管理!$AK$3:$AK$98,L$1,工数管理!$M$3:$M$98,"&lt;="&amp;$H169,工数管理!$N$3:$N$98,"")+COUNTIFS(工数管理!$AK$3:$AK$98,L$1,工数管理!$O$3:$O$98,"&lt;="&amp;$H169,工数管理!$P$3:$P$98,"")+COUNTIFS(工数管理!$AK$3:$AK$98,L$1,工数管理!$Q$3:$Q$98,"&lt;="&amp;$H169,工数管理!$R$3:$R$98,"")+COUNTIFS(工数管理!$AK$3:$AK$98,L$1,工数管理!$S$3:$S$98,"&lt;="&amp;$H169,工数管理!$T$3:$T$98,"")+COUNTIFS(工数管理!$AK$3:$AK$98,L$1,工数管理!$U$3:$U$98,"&lt;="&amp;$H169,工数管理!$V$3:$V$98,"")+COUNTIFS(工数管理!$AK$3:$AK$98,L$1,工数管理!$W$3:$W$98,"&lt;="&amp;$H169,工数管理!$X$3:$X$98,"")+COUNTIFS(工数管理!$AK$3:$AK$98,L$1,工数管理!$Y$3:$Y$98,"&lt;="&amp;$H169,工数管理!$Z$3:$Z$98,"")+COUNTIFS(工数管理!$AK$3:$AK$98,L$1,工数管理!$AA$3:$AA$98,"&lt;="&amp;$H169,工数管理!$AB$3:$AB$98,"")+COUNTIFS(工数管理!$AK$3:$AK$98,L$1,工数管理!$AC$3:$AC$98,"&lt;="&amp;$H169,工数管理!$AD$3:$AD$98,"")+COUNTIFS(工数管理!$AK$3:$AK$98,L$1,工数管理!$AE$3:$AE$98,"&lt;="&amp;$H169,工数管理!$AF$3:$AF$98,"")+COUNTIFS(工数管理!$AK$3:$AK$98,L$1,工数管理!$AG$3:$AG$98,"&lt;="&amp;$H169,工数管理!$AH$3:$AH$98,""))*($H169&lt;=工数管理!$AI$1))</f>
        <v>0</v>
      </c>
    </row>
    <row r="170" spans="1:12" x14ac:dyDescent="0.15">
      <c r="A170" s="5"/>
      <c r="B170" s="6"/>
      <c r="H170" s="41">
        <f t="shared" si="5"/>
        <v>46338</v>
      </c>
      <c r="I170" s="42">
        <f t="shared" si="4"/>
        <v>1</v>
      </c>
      <c r="J170" s="42">
        <f ca="1">IF(J$1="",0,COUNTIFS(工数管理!$AK$3:$AK$98,J$1,工数管理!$K$3:$K$98,"&lt;="&amp;$H170,工数管理!$L$3:$L$98,"&gt;="&amp;$H170)+COUNTIFS(工数管理!$AK$3:$AK$98,J$1,工数管理!$M$3:$M$98,"&lt;="&amp;$H170,工数管理!$N$3:$N$98,"&gt;="&amp;$H170)+COUNTIFS(工数管理!$AK$3:$AK$98,J$1,工数管理!$O$3:$O$98,"&lt;="&amp;$H170,工数管理!$P$3:$P$98,"&gt;="&amp;$H170)+COUNTIFS(工数管理!$AK$3:$AK$98,J$1,工数管理!$Q$3:$Q$98,"&lt;="&amp;$H170,工数管理!$R$3:$R$98,"&gt;="&amp;$H170)+COUNTIFS(工数管理!$AK$3:$AK$98,J$1,工数管理!$S$3:$S$98,"&lt;="&amp;$H170,工数管理!$T$3:$T$98,"&gt;="&amp;$H170)+COUNTIFS(工数管理!$AK$3:$AK$98,J$1,工数管理!$U$3:$U$98,"&lt;="&amp;$H170,工数管理!$V$3:$V$98,"&gt;="&amp;$H170)+COUNTIFS(工数管理!$AK$3:$AK$98,J$1,工数管理!$W$3:$W$98,"&lt;="&amp;$H170,工数管理!$X$3:$X$98,"&gt;="&amp;$H170)+COUNTIFS(工数管理!$AK$3:$AK$98,J$1,工数管理!$Y$3:$Y$98,"&lt;="&amp;$H170,工数管理!$Z$3:$Z$98,"&gt;="&amp;$H170)+COUNTIFS(工数管理!$AK$3:$AK$98,J$1,工数管理!$AA$3:$AA$98,"&lt;="&amp;$H170,工数管理!$AB$3:$AB$98,"&gt;="&amp;$H170)+COUNTIFS(工数管理!$AK$3:$AK$98,J$1,工数管理!$AC$3:$AC$98,"&lt;="&amp;$H170,工数管理!$AD$3:$AD$98,"&gt;="&amp;$H170)+COUNTIFS(工数管理!$AK$3:$AK$98,J$1,工数管理!$AE$3:$AE$98,"&lt;="&amp;$H170,工数管理!$AF$3:$AF$98,"&gt;="&amp;$H170)+COUNTIFS(工数管理!$AK$3:$AK$98,J$1,工数管理!$AG$3:$AG$98,"&lt;="&amp;$H170,工数管理!$AH$3:$AH$98,"&gt;="&amp;$H170)+(COUNTIFS(工数管理!$AK$3:$AK$98,J$1,工数管理!$K$3:$K$98,"&lt;="&amp;$H170,工数管理!$L$3:$L$98,"")+COUNTIFS(工数管理!$AK$3:$AK$98,J$1,工数管理!$M$3:$M$98,"&lt;="&amp;$H170,工数管理!$N$3:$N$98,"")+COUNTIFS(工数管理!$AK$3:$AK$98,J$1,工数管理!$O$3:$O$98,"&lt;="&amp;$H170,工数管理!$P$3:$P$98,"")+COUNTIFS(工数管理!$AK$3:$AK$98,J$1,工数管理!$Q$3:$Q$98,"&lt;="&amp;$H170,工数管理!$R$3:$R$98,"")+COUNTIFS(工数管理!$AK$3:$AK$98,J$1,工数管理!$S$3:$S$98,"&lt;="&amp;$H170,工数管理!$T$3:$T$98,"")+COUNTIFS(工数管理!$AK$3:$AK$98,J$1,工数管理!$U$3:$U$98,"&lt;="&amp;$H170,工数管理!$V$3:$V$98,"")+COUNTIFS(工数管理!$AK$3:$AK$98,J$1,工数管理!$W$3:$W$98,"&lt;="&amp;$H170,工数管理!$X$3:$X$98,"")+COUNTIFS(工数管理!$AK$3:$AK$98,J$1,工数管理!$Y$3:$Y$98,"&lt;="&amp;$H170,工数管理!$Z$3:$Z$98,"")+COUNTIFS(工数管理!$AK$3:$AK$98,J$1,工数管理!$AA$3:$AA$98,"&lt;="&amp;$H170,工数管理!$AB$3:$AB$98,"")+COUNTIFS(工数管理!$AK$3:$AK$98,J$1,工数管理!$AC$3:$AC$98,"&lt;="&amp;$H170,工数管理!$AD$3:$AD$98,"")+COUNTIFS(工数管理!$AK$3:$AK$98,J$1,工数管理!$AE$3:$AE$98,"&lt;="&amp;$H170,工数管理!$AF$3:$AF$98,"")+COUNTIFS(工数管理!$AK$3:$AK$98,J$1,工数管理!$AG$3:$AG$98,"&lt;="&amp;$H170,工数管理!$AH$3:$AH$98,""))*($H170&lt;=工数管理!$AI$1))</f>
        <v>0</v>
      </c>
      <c r="K170" s="42">
        <f ca="1">IF(K$1="",0,COUNTIFS(工数管理!$AK$3:$AK$98,K$1,工数管理!$K$3:$K$98,"&lt;="&amp;$H170,工数管理!$L$3:$L$98,"&gt;="&amp;$H170)+COUNTIFS(工数管理!$AK$3:$AK$98,K$1,工数管理!$M$3:$M$98,"&lt;="&amp;$H170,工数管理!$N$3:$N$98,"&gt;="&amp;$H170)+COUNTIFS(工数管理!$AK$3:$AK$98,K$1,工数管理!$O$3:$O$98,"&lt;="&amp;$H170,工数管理!$P$3:$P$98,"&gt;="&amp;$H170)+COUNTIFS(工数管理!$AK$3:$AK$98,K$1,工数管理!$Q$3:$Q$98,"&lt;="&amp;$H170,工数管理!$R$3:$R$98,"&gt;="&amp;$H170)+COUNTIFS(工数管理!$AK$3:$AK$98,K$1,工数管理!$S$3:$S$98,"&lt;="&amp;$H170,工数管理!$T$3:$T$98,"&gt;="&amp;$H170)+COUNTIFS(工数管理!$AK$3:$AK$98,K$1,工数管理!$U$3:$U$98,"&lt;="&amp;$H170,工数管理!$V$3:$V$98,"&gt;="&amp;$H170)+COUNTIFS(工数管理!$AK$3:$AK$98,K$1,工数管理!$W$3:$W$98,"&lt;="&amp;$H170,工数管理!$X$3:$X$98,"&gt;="&amp;$H170)+COUNTIFS(工数管理!$AK$3:$AK$98,K$1,工数管理!$Y$3:$Y$98,"&lt;="&amp;$H170,工数管理!$Z$3:$Z$98,"&gt;="&amp;$H170)+COUNTIFS(工数管理!$AK$3:$AK$98,K$1,工数管理!$AA$3:$AA$98,"&lt;="&amp;$H170,工数管理!$AB$3:$AB$98,"&gt;="&amp;$H170)+COUNTIFS(工数管理!$AK$3:$AK$98,K$1,工数管理!$AC$3:$AC$98,"&lt;="&amp;$H170,工数管理!$AD$3:$AD$98,"&gt;="&amp;$H170)+COUNTIFS(工数管理!$AK$3:$AK$98,K$1,工数管理!$AE$3:$AE$98,"&lt;="&amp;$H170,工数管理!$AF$3:$AF$98,"&gt;="&amp;$H170)+COUNTIFS(工数管理!$AK$3:$AK$98,K$1,工数管理!$AG$3:$AG$98,"&lt;="&amp;$H170,工数管理!$AH$3:$AH$98,"&gt;="&amp;$H170)+(COUNTIFS(工数管理!$AK$3:$AK$98,K$1,工数管理!$K$3:$K$98,"&lt;="&amp;$H170,工数管理!$L$3:$L$98,"")+COUNTIFS(工数管理!$AK$3:$AK$98,K$1,工数管理!$M$3:$M$98,"&lt;="&amp;$H170,工数管理!$N$3:$N$98,"")+COUNTIFS(工数管理!$AK$3:$AK$98,K$1,工数管理!$O$3:$O$98,"&lt;="&amp;$H170,工数管理!$P$3:$P$98,"")+COUNTIFS(工数管理!$AK$3:$AK$98,K$1,工数管理!$Q$3:$Q$98,"&lt;="&amp;$H170,工数管理!$R$3:$R$98,"")+COUNTIFS(工数管理!$AK$3:$AK$98,K$1,工数管理!$S$3:$S$98,"&lt;="&amp;$H170,工数管理!$T$3:$T$98,"")+COUNTIFS(工数管理!$AK$3:$AK$98,K$1,工数管理!$U$3:$U$98,"&lt;="&amp;$H170,工数管理!$V$3:$V$98,"")+COUNTIFS(工数管理!$AK$3:$AK$98,K$1,工数管理!$W$3:$W$98,"&lt;="&amp;$H170,工数管理!$X$3:$X$98,"")+COUNTIFS(工数管理!$AK$3:$AK$98,K$1,工数管理!$Y$3:$Y$98,"&lt;="&amp;$H170,工数管理!$Z$3:$Z$98,"")+COUNTIFS(工数管理!$AK$3:$AK$98,K$1,工数管理!$AA$3:$AA$98,"&lt;="&amp;$H170,工数管理!$AB$3:$AB$98,"")+COUNTIFS(工数管理!$AK$3:$AK$98,K$1,工数管理!$AC$3:$AC$98,"&lt;="&amp;$H170,工数管理!$AD$3:$AD$98,"")+COUNTIFS(工数管理!$AK$3:$AK$98,K$1,工数管理!$AE$3:$AE$98,"&lt;="&amp;$H170,工数管理!$AF$3:$AF$98,"")+COUNTIFS(工数管理!$AK$3:$AK$98,K$1,工数管理!$AG$3:$AG$98,"&lt;="&amp;$H170,工数管理!$AH$3:$AH$98,""))*($H170&lt;=工数管理!$AI$1))</f>
        <v>0</v>
      </c>
      <c r="L170" s="42">
        <f ca="1">IF(L$1="",0,COUNTIFS(工数管理!$AK$3:$AK$98,L$1,工数管理!$K$3:$K$98,"&lt;="&amp;$H170,工数管理!$L$3:$L$98,"&gt;="&amp;$H170)+COUNTIFS(工数管理!$AK$3:$AK$98,L$1,工数管理!$M$3:$M$98,"&lt;="&amp;$H170,工数管理!$N$3:$N$98,"&gt;="&amp;$H170)+COUNTIFS(工数管理!$AK$3:$AK$98,L$1,工数管理!$O$3:$O$98,"&lt;="&amp;$H170,工数管理!$P$3:$P$98,"&gt;="&amp;$H170)+COUNTIFS(工数管理!$AK$3:$AK$98,L$1,工数管理!$Q$3:$Q$98,"&lt;="&amp;$H170,工数管理!$R$3:$R$98,"&gt;="&amp;$H170)+COUNTIFS(工数管理!$AK$3:$AK$98,L$1,工数管理!$S$3:$S$98,"&lt;="&amp;$H170,工数管理!$T$3:$T$98,"&gt;="&amp;$H170)+COUNTIFS(工数管理!$AK$3:$AK$98,L$1,工数管理!$U$3:$U$98,"&lt;="&amp;$H170,工数管理!$V$3:$V$98,"&gt;="&amp;$H170)+COUNTIFS(工数管理!$AK$3:$AK$98,L$1,工数管理!$W$3:$W$98,"&lt;="&amp;$H170,工数管理!$X$3:$X$98,"&gt;="&amp;$H170)+COUNTIFS(工数管理!$AK$3:$AK$98,L$1,工数管理!$Y$3:$Y$98,"&lt;="&amp;$H170,工数管理!$Z$3:$Z$98,"&gt;="&amp;$H170)+COUNTIFS(工数管理!$AK$3:$AK$98,L$1,工数管理!$AA$3:$AA$98,"&lt;="&amp;$H170,工数管理!$AB$3:$AB$98,"&gt;="&amp;$H170)+COUNTIFS(工数管理!$AK$3:$AK$98,L$1,工数管理!$AC$3:$AC$98,"&lt;="&amp;$H170,工数管理!$AD$3:$AD$98,"&gt;="&amp;$H170)+COUNTIFS(工数管理!$AK$3:$AK$98,L$1,工数管理!$AE$3:$AE$98,"&lt;="&amp;$H170,工数管理!$AF$3:$AF$98,"&gt;="&amp;$H170)+COUNTIFS(工数管理!$AK$3:$AK$98,L$1,工数管理!$AG$3:$AG$98,"&lt;="&amp;$H170,工数管理!$AH$3:$AH$98,"&gt;="&amp;$H170)+(COUNTIFS(工数管理!$AK$3:$AK$98,L$1,工数管理!$K$3:$K$98,"&lt;="&amp;$H170,工数管理!$L$3:$L$98,"")+COUNTIFS(工数管理!$AK$3:$AK$98,L$1,工数管理!$M$3:$M$98,"&lt;="&amp;$H170,工数管理!$N$3:$N$98,"")+COUNTIFS(工数管理!$AK$3:$AK$98,L$1,工数管理!$O$3:$O$98,"&lt;="&amp;$H170,工数管理!$P$3:$P$98,"")+COUNTIFS(工数管理!$AK$3:$AK$98,L$1,工数管理!$Q$3:$Q$98,"&lt;="&amp;$H170,工数管理!$R$3:$R$98,"")+COUNTIFS(工数管理!$AK$3:$AK$98,L$1,工数管理!$S$3:$S$98,"&lt;="&amp;$H170,工数管理!$T$3:$T$98,"")+COUNTIFS(工数管理!$AK$3:$AK$98,L$1,工数管理!$U$3:$U$98,"&lt;="&amp;$H170,工数管理!$V$3:$V$98,"")+COUNTIFS(工数管理!$AK$3:$AK$98,L$1,工数管理!$W$3:$W$98,"&lt;="&amp;$H170,工数管理!$X$3:$X$98,"")+COUNTIFS(工数管理!$AK$3:$AK$98,L$1,工数管理!$Y$3:$Y$98,"&lt;="&amp;$H170,工数管理!$Z$3:$Z$98,"")+COUNTIFS(工数管理!$AK$3:$AK$98,L$1,工数管理!$AA$3:$AA$98,"&lt;="&amp;$H170,工数管理!$AB$3:$AB$98,"")+COUNTIFS(工数管理!$AK$3:$AK$98,L$1,工数管理!$AC$3:$AC$98,"&lt;="&amp;$H170,工数管理!$AD$3:$AD$98,"")+COUNTIFS(工数管理!$AK$3:$AK$98,L$1,工数管理!$AE$3:$AE$98,"&lt;="&amp;$H170,工数管理!$AF$3:$AF$98,"")+COUNTIFS(工数管理!$AK$3:$AK$98,L$1,工数管理!$AG$3:$AG$98,"&lt;="&amp;$H170,工数管理!$AH$3:$AH$98,""))*($H170&lt;=工数管理!$AI$1))</f>
        <v>0</v>
      </c>
    </row>
    <row r="171" spans="1:12" x14ac:dyDescent="0.15">
      <c r="A171" s="5"/>
      <c r="B171" s="6"/>
      <c r="H171" s="41">
        <f t="shared" si="5"/>
        <v>46339</v>
      </c>
      <c r="I171" s="42">
        <f t="shared" si="4"/>
        <v>1</v>
      </c>
      <c r="J171" s="42">
        <f ca="1">IF(J$1="",0,COUNTIFS(工数管理!$AK$3:$AK$98,J$1,工数管理!$K$3:$K$98,"&lt;="&amp;$H171,工数管理!$L$3:$L$98,"&gt;="&amp;$H171)+COUNTIFS(工数管理!$AK$3:$AK$98,J$1,工数管理!$M$3:$M$98,"&lt;="&amp;$H171,工数管理!$N$3:$N$98,"&gt;="&amp;$H171)+COUNTIFS(工数管理!$AK$3:$AK$98,J$1,工数管理!$O$3:$O$98,"&lt;="&amp;$H171,工数管理!$P$3:$P$98,"&gt;="&amp;$H171)+COUNTIFS(工数管理!$AK$3:$AK$98,J$1,工数管理!$Q$3:$Q$98,"&lt;="&amp;$H171,工数管理!$R$3:$R$98,"&gt;="&amp;$H171)+COUNTIFS(工数管理!$AK$3:$AK$98,J$1,工数管理!$S$3:$S$98,"&lt;="&amp;$H171,工数管理!$T$3:$T$98,"&gt;="&amp;$H171)+COUNTIFS(工数管理!$AK$3:$AK$98,J$1,工数管理!$U$3:$U$98,"&lt;="&amp;$H171,工数管理!$V$3:$V$98,"&gt;="&amp;$H171)+COUNTIFS(工数管理!$AK$3:$AK$98,J$1,工数管理!$W$3:$W$98,"&lt;="&amp;$H171,工数管理!$X$3:$X$98,"&gt;="&amp;$H171)+COUNTIFS(工数管理!$AK$3:$AK$98,J$1,工数管理!$Y$3:$Y$98,"&lt;="&amp;$H171,工数管理!$Z$3:$Z$98,"&gt;="&amp;$H171)+COUNTIFS(工数管理!$AK$3:$AK$98,J$1,工数管理!$AA$3:$AA$98,"&lt;="&amp;$H171,工数管理!$AB$3:$AB$98,"&gt;="&amp;$H171)+COUNTIFS(工数管理!$AK$3:$AK$98,J$1,工数管理!$AC$3:$AC$98,"&lt;="&amp;$H171,工数管理!$AD$3:$AD$98,"&gt;="&amp;$H171)+COUNTIFS(工数管理!$AK$3:$AK$98,J$1,工数管理!$AE$3:$AE$98,"&lt;="&amp;$H171,工数管理!$AF$3:$AF$98,"&gt;="&amp;$H171)+COUNTIFS(工数管理!$AK$3:$AK$98,J$1,工数管理!$AG$3:$AG$98,"&lt;="&amp;$H171,工数管理!$AH$3:$AH$98,"&gt;="&amp;$H171)+(COUNTIFS(工数管理!$AK$3:$AK$98,J$1,工数管理!$K$3:$K$98,"&lt;="&amp;$H171,工数管理!$L$3:$L$98,"")+COUNTIFS(工数管理!$AK$3:$AK$98,J$1,工数管理!$M$3:$M$98,"&lt;="&amp;$H171,工数管理!$N$3:$N$98,"")+COUNTIFS(工数管理!$AK$3:$AK$98,J$1,工数管理!$O$3:$O$98,"&lt;="&amp;$H171,工数管理!$P$3:$P$98,"")+COUNTIFS(工数管理!$AK$3:$AK$98,J$1,工数管理!$Q$3:$Q$98,"&lt;="&amp;$H171,工数管理!$R$3:$R$98,"")+COUNTIFS(工数管理!$AK$3:$AK$98,J$1,工数管理!$S$3:$S$98,"&lt;="&amp;$H171,工数管理!$T$3:$T$98,"")+COUNTIFS(工数管理!$AK$3:$AK$98,J$1,工数管理!$U$3:$U$98,"&lt;="&amp;$H171,工数管理!$V$3:$V$98,"")+COUNTIFS(工数管理!$AK$3:$AK$98,J$1,工数管理!$W$3:$W$98,"&lt;="&amp;$H171,工数管理!$X$3:$X$98,"")+COUNTIFS(工数管理!$AK$3:$AK$98,J$1,工数管理!$Y$3:$Y$98,"&lt;="&amp;$H171,工数管理!$Z$3:$Z$98,"")+COUNTIFS(工数管理!$AK$3:$AK$98,J$1,工数管理!$AA$3:$AA$98,"&lt;="&amp;$H171,工数管理!$AB$3:$AB$98,"")+COUNTIFS(工数管理!$AK$3:$AK$98,J$1,工数管理!$AC$3:$AC$98,"&lt;="&amp;$H171,工数管理!$AD$3:$AD$98,"")+COUNTIFS(工数管理!$AK$3:$AK$98,J$1,工数管理!$AE$3:$AE$98,"&lt;="&amp;$H171,工数管理!$AF$3:$AF$98,"")+COUNTIFS(工数管理!$AK$3:$AK$98,J$1,工数管理!$AG$3:$AG$98,"&lt;="&amp;$H171,工数管理!$AH$3:$AH$98,""))*($H171&lt;=工数管理!$AI$1))</f>
        <v>0</v>
      </c>
      <c r="K171" s="42">
        <f ca="1">IF(K$1="",0,COUNTIFS(工数管理!$AK$3:$AK$98,K$1,工数管理!$K$3:$K$98,"&lt;="&amp;$H171,工数管理!$L$3:$L$98,"&gt;="&amp;$H171)+COUNTIFS(工数管理!$AK$3:$AK$98,K$1,工数管理!$M$3:$M$98,"&lt;="&amp;$H171,工数管理!$N$3:$N$98,"&gt;="&amp;$H171)+COUNTIFS(工数管理!$AK$3:$AK$98,K$1,工数管理!$O$3:$O$98,"&lt;="&amp;$H171,工数管理!$P$3:$P$98,"&gt;="&amp;$H171)+COUNTIFS(工数管理!$AK$3:$AK$98,K$1,工数管理!$Q$3:$Q$98,"&lt;="&amp;$H171,工数管理!$R$3:$R$98,"&gt;="&amp;$H171)+COUNTIFS(工数管理!$AK$3:$AK$98,K$1,工数管理!$S$3:$S$98,"&lt;="&amp;$H171,工数管理!$T$3:$T$98,"&gt;="&amp;$H171)+COUNTIFS(工数管理!$AK$3:$AK$98,K$1,工数管理!$U$3:$U$98,"&lt;="&amp;$H171,工数管理!$V$3:$V$98,"&gt;="&amp;$H171)+COUNTIFS(工数管理!$AK$3:$AK$98,K$1,工数管理!$W$3:$W$98,"&lt;="&amp;$H171,工数管理!$X$3:$X$98,"&gt;="&amp;$H171)+COUNTIFS(工数管理!$AK$3:$AK$98,K$1,工数管理!$Y$3:$Y$98,"&lt;="&amp;$H171,工数管理!$Z$3:$Z$98,"&gt;="&amp;$H171)+COUNTIFS(工数管理!$AK$3:$AK$98,K$1,工数管理!$AA$3:$AA$98,"&lt;="&amp;$H171,工数管理!$AB$3:$AB$98,"&gt;="&amp;$H171)+COUNTIFS(工数管理!$AK$3:$AK$98,K$1,工数管理!$AC$3:$AC$98,"&lt;="&amp;$H171,工数管理!$AD$3:$AD$98,"&gt;="&amp;$H171)+COUNTIFS(工数管理!$AK$3:$AK$98,K$1,工数管理!$AE$3:$AE$98,"&lt;="&amp;$H171,工数管理!$AF$3:$AF$98,"&gt;="&amp;$H171)+COUNTIFS(工数管理!$AK$3:$AK$98,K$1,工数管理!$AG$3:$AG$98,"&lt;="&amp;$H171,工数管理!$AH$3:$AH$98,"&gt;="&amp;$H171)+(COUNTIFS(工数管理!$AK$3:$AK$98,K$1,工数管理!$K$3:$K$98,"&lt;="&amp;$H171,工数管理!$L$3:$L$98,"")+COUNTIFS(工数管理!$AK$3:$AK$98,K$1,工数管理!$M$3:$M$98,"&lt;="&amp;$H171,工数管理!$N$3:$N$98,"")+COUNTIFS(工数管理!$AK$3:$AK$98,K$1,工数管理!$O$3:$O$98,"&lt;="&amp;$H171,工数管理!$P$3:$P$98,"")+COUNTIFS(工数管理!$AK$3:$AK$98,K$1,工数管理!$Q$3:$Q$98,"&lt;="&amp;$H171,工数管理!$R$3:$R$98,"")+COUNTIFS(工数管理!$AK$3:$AK$98,K$1,工数管理!$S$3:$S$98,"&lt;="&amp;$H171,工数管理!$T$3:$T$98,"")+COUNTIFS(工数管理!$AK$3:$AK$98,K$1,工数管理!$U$3:$U$98,"&lt;="&amp;$H171,工数管理!$V$3:$V$98,"")+COUNTIFS(工数管理!$AK$3:$AK$98,K$1,工数管理!$W$3:$W$98,"&lt;="&amp;$H171,工数管理!$X$3:$X$98,"")+COUNTIFS(工数管理!$AK$3:$AK$98,K$1,工数管理!$Y$3:$Y$98,"&lt;="&amp;$H171,工数管理!$Z$3:$Z$98,"")+COUNTIFS(工数管理!$AK$3:$AK$98,K$1,工数管理!$AA$3:$AA$98,"&lt;="&amp;$H171,工数管理!$AB$3:$AB$98,"")+COUNTIFS(工数管理!$AK$3:$AK$98,K$1,工数管理!$AC$3:$AC$98,"&lt;="&amp;$H171,工数管理!$AD$3:$AD$98,"")+COUNTIFS(工数管理!$AK$3:$AK$98,K$1,工数管理!$AE$3:$AE$98,"&lt;="&amp;$H171,工数管理!$AF$3:$AF$98,"")+COUNTIFS(工数管理!$AK$3:$AK$98,K$1,工数管理!$AG$3:$AG$98,"&lt;="&amp;$H171,工数管理!$AH$3:$AH$98,""))*($H171&lt;=工数管理!$AI$1))</f>
        <v>0</v>
      </c>
      <c r="L171" s="42">
        <f ca="1">IF(L$1="",0,COUNTIFS(工数管理!$AK$3:$AK$98,L$1,工数管理!$K$3:$K$98,"&lt;="&amp;$H171,工数管理!$L$3:$L$98,"&gt;="&amp;$H171)+COUNTIFS(工数管理!$AK$3:$AK$98,L$1,工数管理!$M$3:$M$98,"&lt;="&amp;$H171,工数管理!$N$3:$N$98,"&gt;="&amp;$H171)+COUNTIFS(工数管理!$AK$3:$AK$98,L$1,工数管理!$O$3:$O$98,"&lt;="&amp;$H171,工数管理!$P$3:$P$98,"&gt;="&amp;$H171)+COUNTIFS(工数管理!$AK$3:$AK$98,L$1,工数管理!$Q$3:$Q$98,"&lt;="&amp;$H171,工数管理!$R$3:$R$98,"&gt;="&amp;$H171)+COUNTIFS(工数管理!$AK$3:$AK$98,L$1,工数管理!$S$3:$S$98,"&lt;="&amp;$H171,工数管理!$T$3:$T$98,"&gt;="&amp;$H171)+COUNTIFS(工数管理!$AK$3:$AK$98,L$1,工数管理!$U$3:$U$98,"&lt;="&amp;$H171,工数管理!$V$3:$V$98,"&gt;="&amp;$H171)+COUNTIFS(工数管理!$AK$3:$AK$98,L$1,工数管理!$W$3:$W$98,"&lt;="&amp;$H171,工数管理!$X$3:$X$98,"&gt;="&amp;$H171)+COUNTIFS(工数管理!$AK$3:$AK$98,L$1,工数管理!$Y$3:$Y$98,"&lt;="&amp;$H171,工数管理!$Z$3:$Z$98,"&gt;="&amp;$H171)+COUNTIFS(工数管理!$AK$3:$AK$98,L$1,工数管理!$AA$3:$AA$98,"&lt;="&amp;$H171,工数管理!$AB$3:$AB$98,"&gt;="&amp;$H171)+COUNTIFS(工数管理!$AK$3:$AK$98,L$1,工数管理!$AC$3:$AC$98,"&lt;="&amp;$H171,工数管理!$AD$3:$AD$98,"&gt;="&amp;$H171)+COUNTIFS(工数管理!$AK$3:$AK$98,L$1,工数管理!$AE$3:$AE$98,"&lt;="&amp;$H171,工数管理!$AF$3:$AF$98,"&gt;="&amp;$H171)+COUNTIFS(工数管理!$AK$3:$AK$98,L$1,工数管理!$AG$3:$AG$98,"&lt;="&amp;$H171,工数管理!$AH$3:$AH$98,"&gt;="&amp;$H171)+(COUNTIFS(工数管理!$AK$3:$AK$98,L$1,工数管理!$K$3:$K$98,"&lt;="&amp;$H171,工数管理!$L$3:$L$98,"")+COUNTIFS(工数管理!$AK$3:$AK$98,L$1,工数管理!$M$3:$M$98,"&lt;="&amp;$H171,工数管理!$N$3:$N$98,"")+COUNTIFS(工数管理!$AK$3:$AK$98,L$1,工数管理!$O$3:$O$98,"&lt;="&amp;$H171,工数管理!$P$3:$P$98,"")+COUNTIFS(工数管理!$AK$3:$AK$98,L$1,工数管理!$Q$3:$Q$98,"&lt;="&amp;$H171,工数管理!$R$3:$R$98,"")+COUNTIFS(工数管理!$AK$3:$AK$98,L$1,工数管理!$S$3:$S$98,"&lt;="&amp;$H171,工数管理!$T$3:$T$98,"")+COUNTIFS(工数管理!$AK$3:$AK$98,L$1,工数管理!$U$3:$U$98,"&lt;="&amp;$H171,工数管理!$V$3:$V$98,"")+COUNTIFS(工数管理!$AK$3:$AK$98,L$1,工数管理!$W$3:$W$98,"&lt;="&amp;$H171,工数管理!$X$3:$X$98,"")+COUNTIFS(工数管理!$AK$3:$AK$98,L$1,工数管理!$Y$3:$Y$98,"&lt;="&amp;$H171,工数管理!$Z$3:$Z$98,"")+COUNTIFS(工数管理!$AK$3:$AK$98,L$1,工数管理!$AA$3:$AA$98,"&lt;="&amp;$H171,工数管理!$AB$3:$AB$98,"")+COUNTIFS(工数管理!$AK$3:$AK$98,L$1,工数管理!$AC$3:$AC$98,"&lt;="&amp;$H171,工数管理!$AD$3:$AD$98,"")+COUNTIFS(工数管理!$AK$3:$AK$98,L$1,工数管理!$AE$3:$AE$98,"&lt;="&amp;$H171,工数管理!$AF$3:$AF$98,"")+COUNTIFS(工数管理!$AK$3:$AK$98,L$1,工数管理!$AG$3:$AG$98,"&lt;="&amp;$H171,工数管理!$AH$3:$AH$98,""))*($H171&lt;=工数管理!$AI$1))</f>
        <v>0</v>
      </c>
    </row>
    <row r="172" spans="1:12" x14ac:dyDescent="0.15">
      <c r="A172" s="5"/>
      <c r="B172" s="6"/>
      <c r="H172" s="41">
        <f t="shared" si="5"/>
        <v>46340</v>
      </c>
      <c r="I172" s="42">
        <f t="shared" si="4"/>
        <v>0</v>
      </c>
      <c r="J172" s="42">
        <f ca="1">IF(J$1="",0,COUNTIFS(工数管理!$AK$3:$AK$98,J$1,工数管理!$K$3:$K$98,"&lt;="&amp;$H172,工数管理!$L$3:$L$98,"&gt;="&amp;$H172)+COUNTIFS(工数管理!$AK$3:$AK$98,J$1,工数管理!$M$3:$M$98,"&lt;="&amp;$H172,工数管理!$N$3:$N$98,"&gt;="&amp;$H172)+COUNTIFS(工数管理!$AK$3:$AK$98,J$1,工数管理!$O$3:$O$98,"&lt;="&amp;$H172,工数管理!$P$3:$P$98,"&gt;="&amp;$H172)+COUNTIFS(工数管理!$AK$3:$AK$98,J$1,工数管理!$Q$3:$Q$98,"&lt;="&amp;$H172,工数管理!$R$3:$R$98,"&gt;="&amp;$H172)+COUNTIFS(工数管理!$AK$3:$AK$98,J$1,工数管理!$S$3:$S$98,"&lt;="&amp;$H172,工数管理!$T$3:$T$98,"&gt;="&amp;$H172)+COUNTIFS(工数管理!$AK$3:$AK$98,J$1,工数管理!$U$3:$U$98,"&lt;="&amp;$H172,工数管理!$V$3:$V$98,"&gt;="&amp;$H172)+COUNTIFS(工数管理!$AK$3:$AK$98,J$1,工数管理!$W$3:$W$98,"&lt;="&amp;$H172,工数管理!$X$3:$X$98,"&gt;="&amp;$H172)+COUNTIFS(工数管理!$AK$3:$AK$98,J$1,工数管理!$Y$3:$Y$98,"&lt;="&amp;$H172,工数管理!$Z$3:$Z$98,"&gt;="&amp;$H172)+COUNTIFS(工数管理!$AK$3:$AK$98,J$1,工数管理!$AA$3:$AA$98,"&lt;="&amp;$H172,工数管理!$AB$3:$AB$98,"&gt;="&amp;$H172)+COUNTIFS(工数管理!$AK$3:$AK$98,J$1,工数管理!$AC$3:$AC$98,"&lt;="&amp;$H172,工数管理!$AD$3:$AD$98,"&gt;="&amp;$H172)+COUNTIFS(工数管理!$AK$3:$AK$98,J$1,工数管理!$AE$3:$AE$98,"&lt;="&amp;$H172,工数管理!$AF$3:$AF$98,"&gt;="&amp;$H172)+COUNTIFS(工数管理!$AK$3:$AK$98,J$1,工数管理!$AG$3:$AG$98,"&lt;="&amp;$H172,工数管理!$AH$3:$AH$98,"&gt;="&amp;$H172)+(COUNTIFS(工数管理!$AK$3:$AK$98,J$1,工数管理!$K$3:$K$98,"&lt;="&amp;$H172,工数管理!$L$3:$L$98,"")+COUNTIFS(工数管理!$AK$3:$AK$98,J$1,工数管理!$M$3:$M$98,"&lt;="&amp;$H172,工数管理!$N$3:$N$98,"")+COUNTIFS(工数管理!$AK$3:$AK$98,J$1,工数管理!$O$3:$O$98,"&lt;="&amp;$H172,工数管理!$P$3:$P$98,"")+COUNTIFS(工数管理!$AK$3:$AK$98,J$1,工数管理!$Q$3:$Q$98,"&lt;="&amp;$H172,工数管理!$R$3:$R$98,"")+COUNTIFS(工数管理!$AK$3:$AK$98,J$1,工数管理!$S$3:$S$98,"&lt;="&amp;$H172,工数管理!$T$3:$T$98,"")+COUNTIFS(工数管理!$AK$3:$AK$98,J$1,工数管理!$U$3:$U$98,"&lt;="&amp;$H172,工数管理!$V$3:$V$98,"")+COUNTIFS(工数管理!$AK$3:$AK$98,J$1,工数管理!$W$3:$W$98,"&lt;="&amp;$H172,工数管理!$X$3:$X$98,"")+COUNTIFS(工数管理!$AK$3:$AK$98,J$1,工数管理!$Y$3:$Y$98,"&lt;="&amp;$H172,工数管理!$Z$3:$Z$98,"")+COUNTIFS(工数管理!$AK$3:$AK$98,J$1,工数管理!$AA$3:$AA$98,"&lt;="&amp;$H172,工数管理!$AB$3:$AB$98,"")+COUNTIFS(工数管理!$AK$3:$AK$98,J$1,工数管理!$AC$3:$AC$98,"&lt;="&amp;$H172,工数管理!$AD$3:$AD$98,"")+COUNTIFS(工数管理!$AK$3:$AK$98,J$1,工数管理!$AE$3:$AE$98,"&lt;="&amp;$H172,工数管理!$AF$3:$AF$98,"")+COUNTIFS(工数管理!$AK$3:$AK$98,J$1,工数管理!$AG$3:$AG$98,"&lt;="&amp;$H172,工数管理!$AH$3:$AH$98,""))*($H172&lt;=工数管理!$AI$1))</f>
        <v>0</v>
      </c>
      <c r="K172" s="42">
        <f ca="1">IF(K$1="",0,COUNTIFS(工数管理!$AK$3:$AK$98,K$1,工数管理!$K$3:$K$98,"&lt;="&amp;$H172,工数管理!$L$3:$L$98,"&gt;="&amp;$H172)+COUNTIFS(工数管理!$AK$3:$AK$98,K$1,工数管理!$M$3:$M$98,"&lt;="&amp;$H172,工数管理!$N$3:$N$98,"&gt;="&amp;$H172)+COUNTIFS(工数管理!$AK$3:$AK$98,K$1,工数管理!$O$3:$O$98,"&lt;="&amp;$H172,工数管理!$P$3:$P$98,"&gt;="&amp;$H172)+COUNTIFS(工数管理!$AK$3:$AK$98,K$1,工数管理!$Q$3:$Q$98,"&lt;="&amp;$H172,工数管理!$R$3:$R$98,"&gt;="&amp;$H172)+COUNTIFS(工数管理!$AK$3:$AK$98,K$1,工数管理!$S$3:$S$98,"&lt;="&amp;$H172,工数管理!$T$3:$T$98,"&gt;="&amp;$H172)+COUNTIFS(工数管理!$AK$3:$AK$98,K$1,工数管理!$U$3:$U$98,"&lt;="&amp;$H172,工数管理!$V$3:$V$98,"&gt;="&amp;$H172)+COUNTIFS(工数管理!$AK$3:$AK$98,K$1,工数管理!$W$3:$W$98,"&lt;="&amp;$H172,工数管理!$X$3:$X$98,"&gt;="&amp;$H172)+COUNTIFS(工数管理!$AK$3:$AK$98,K$1,工数管理!$Y$3:$Y$98,"&lt;="&amp;$H172,工数管理!$Z$3:$Z$98,"&gt;="&amp;$H172)+COUNTIFS(工数管理!$AK$3:$AK$98,K$1,工数管理!$AA$3:$AA$98,"&lt;="&amp;$H172,工数管理!$AB$3:$AB$98,"&gt;="&amp;$H172)+COUNTIFS(工数管理!$AK$3:$AK$98,K$1,工数管理!$AC$3:$AC$98,"&lt;="&amp;$H172,工数管理!$AD$3:$AD$98,"&gt;="&amp;$H172)+COUNTIFS(工数管理!$AK$3:$AK$98,K$1,工数管理!$AE$3:$AE$98,"&lt;="&amp;$H172,工数管理!$AF$3:$AF$98,"&gt;="&amp;$H172)+COUNTIFS(工数管理!$AK$3:$AK$98,K$1,工数管理!$AG$3:$AG$98,"&lt;="&amp;$H172,工数管理!$AH$3:$AH$98,"&gt;="&amp;$H172)+(COUNTIFS(工数管理!$AK$3:$AK$98,K$1,工数管理!$K$3:$K$98,"&lt;="&amp;$H172,工数管理!$L$3:$L$98,"")+COUNTIFS(工数管理!$AK$3:$AK$98,K$1,工数管理!$M$3:$M$98,"&lt;="&amp;$H172,工数管理!$N$3:$N$98,"")+COUNTIFS(工数管理!$AK$3:$AK$98,K$1,工数管理!$O$3:$O$98,"&lt;="&amp;$H172,工数管理!$P$3:$P$98,"")+COUNTIFS(工数管理!$AK$3:$AK$98,K$1,工数管理!$Q$3:$Q$98,"&lt;="&amp;$H172,工数管理!$R$3:$R$98,"")+COUNTIFS(工数管理!$AK$3:$AK$98,K$1,工数管理!$S$3:$S$98,"&lt;="&amp;$H172,工数管理!$T$3:$T$98,"")+COUNTIFS(工数管理!$AK$3:$AK$98,K$1,工数管理!$U$3:$U$98,"&lt;="&amp;$H172,工数管理!$V$3:$V$98,"")+COUNTIFS(工数管理!$AK$3:$AK$98,K$1,工数管理!$W$3:$W$98,"&lt;="&amp;$H172,工数管理!$X$3:$X$98,"")+COUNTIFS(工数管理!$AK$3:$AK$98,K$1,工数管理!$Y$3:$Y$98,"&lt;="&amp;$H172,工数管理!$Z$3:$Z$98,"")+COUNTIFS(工数管理!$AK$3:$AK$98,K$1,工数管理!$AA$3:$AA$98,"&lt;="&amp;$H172,工数管理!$AB$3:$AB$98,"")+COUNTIFS(工数管理!$AK$3:$AK$98,K$1,工数管理!$AC$3:$AC$98,"&lt;="&amp;$H172,工数管理!$AD$3:$AD$98,"")+COUNTIFS(工数管理!$AK$3:$AK$98,K$1,工数管理!$AE$3:$AE$98,"&lt;="&amp;$H172,工数管理!$AF$3:$AF$98,"")+COUNTIFS(工数管理!$AK$3:$AK$98,K$1,工数管理!$AG$3:$AG$98,"&lt;="&amp;$H172,工数管理!$AH$3:$AH$98,""))*($H172&lt;=工数管理!$AI$1))</f>
        <v>0</v>
      </c>
      <c r="L172" s="42">
        <f ca="1">IF(L$1="",0,COUNTIFS(工数管理!$AK$3:$AK$98,L$1,工数管理!$K$3:$K$98,"&lt;="&amp;$H172,工数管理!$L$3:$L$98,"&gt;="&amp;$H172)+COUNTIFS(工数管理!$AK$3:$AK$98,L$1,工数管理!$M$3:$M$98,"&lt;="&amp;$H172,工数管理!$N$3:$N$98,"&gt;="&amp;$H172)+COUNTIFS(工数管理!$AK$3:$AK$98,L$1,工数管理!$O$3:$O$98,"&lt;="&amp;$H172,工数管理!$P$3:$P$98,"&gt;="&amp;$H172)+COUNTIFS(工数管理!$AK$3:$AK$98,L$1,工数管理!$Q$3:$Q$98,"&lt;="&amp;$H172,工数管理!$R$3:$R$98,"&gt;="&amp;$H172)+COUNTIFS(工数管理!$AK$3:$AK$98,L$1,工数管理!$S$3:$S$98,"&lt;="&amp;$H172,工数管理!$T$3:$T$98,"&gt;="&amp;$H172)+COUNTIFS(工数管理!$AK$3:$AK$98,L$1,工数管理!$U$3:$U$98,"&lt;="&amp;$H172,工数管理!$V$3:$V$98,"&gt;="&amp;$H172)+COUNTIFS(工数管理!$AK$3:$AK$98,L$1,工数管理!$W$3:$W$98,"&lt;="&amp;$H172,工数管理!$X$3:$X$98,"&gt;="&amp;$H172)+COUNTIFS(工数管理!$AK$3:$AK$98,L$1,工数管理!$Y$3:$Y$98,"&lt;="&amp;$H172,工数管理!$Z$3:$Z$98,"&gt;="&amp;$H172)+COUNTIFS(工数管理!$AK$3:$AK$98,L$1,工数管理!$AA$3:$AA$98,"&lt;="&amp;$H172,工数管理!$AB$3:$AB$98,"&gt;="&amp;$H172)+COUNTIFS(工数管理!$AK$3:$AK$98,L$1,工数管理!$AC$3:$AC$98,"&lt;="&amp;$H172,工数管理!$AD$3:$AD$98,"&gt;="&amp;$H172)+COUNTIFS(工数管理!$AK$3:$AK$98,L$1,工数管理!$AE$3:$AE$98,"&lt;="&amp;$H172,工数管理!$AF$3:$AF$98,"&gt;="&amp;$H172)+COUNTIFS(工数管理!$AK$3:$AK$98,L$1,工数管理!$AG$3:$AG$98,"&lt;="&amp;$H172,工数管理!$AH$3:$AH$98,"&gt;="&amp;$H172)+(COUNTIFS(工数管理!$AK$3:$AK$98,L$1,工数管理!$K$3:$K$98,"&lt;="&amp;$H172,工数管理!$L$3:$L$98,"")+COUNTIFS(工数管理!$AK$3:$AK$98,L$1,工数管理!$M$3:$M$98,"&lt;="&amp;$H172,工数管理!$N$3:$N$98,"")+COUNTIFS(工数管理!$AK$3:$AK$98,L$1,工数管理!$O$3:$O$98,"&lt;="&amp;$H172,工数管理!$P$3:$P$98,"")+COUNTIFS(工数管理!$AK$3:$AK$98,L$1,工数管理!$Q$3:$Q$98,"&lt;="&amp;$H172,工数管理!$R$3:$R$98,"")+COUNTIFS(工数管理!$AK$3:$AK$98,L$1,工数管理!$S$3:$S$98,"&lt;="&amp;$H172,工数管理!$T$3:$T$98,"")+COUNTIFS(工数管理!$AK$3:$AK$98,L$1,工数管理!$U$3:$U$98,"&lt;="&amp;$H172,工数管理!$V$3:$V$98,"")+COUNTIFS(工数管理!$AK$3:$AK$98,L$1,工数管理!$W$3:$W$98,"&lt;="&amp;$H172,工数管理!$X$3:$X$98,"")+COUNTIFS(工数管理!$AK$3:$AK$98,L$1,工数管理!$Y$3:$Y$98,"&lt;="&amp;$H172,工数管理!$Z$3:$Z$98,"")+COUNTIFS(工数管理!$AK$3:$AK$98,L$1,工数管理!$AA$3:$AA$98,"&lt;="&amp;$H172,工数管理!$AB$3:$AB$98,"")+COUNTIFS(工数管理!$AK$3:$AK$98,L$1,工数管理!$AC$3:$AC$98,"&lt;="&amp;$H172,工数管理!$AD$3:$AD$98,"")+COUNTIFS(工数管理!$AK$3:$AK$98,L$1,工数管理!$AE$3:$AE$98,"&lt;="&amp;$H172,工数管理!$AF$3:$AF$98,"")+COUNTIFS(工数管理!$AK$3:$AK$98,L$1,工数管理!$AG$3:$AG$98,"&lt;="&amp;$H172,工数管理!$AH$3:$AH$98,""))*($H172&lt;=工数管理!$AI$1))</f>
        <v>0</v>
      </c>
    </row>
    <row r="173" spans="1:12" x14ac:dyDescent="0.15">
      <c r="A173" s="5"/>
      <c r="B173" s="6"/>
      <c r="H173" s="41">
        <f t="shared" si="5"/>
        <v>46341</v>
      </c>
      <c r="I173" s="42">
        <f t="shared" si="4"/>
        <v>0</v>
      </c>
      <c r="J173" s="42">
        <f ca="1">IF(J$1="",0,COUNTIFS(工数管理!$AK$3:$AK$98,J$1,工数管理!$K$3:$K$98,"&lt;="&amp;$H173,工数管理!$L$3:$L$98,"&gt;="&amp;$H173)+COUNTIFS(工数管理!$AK$3:$AK$98,J$1,工数管理!$M$3:$M$98,"&lt;="&amp;$H173,工数管理!$N$3:$N$98,"&gt;="&amp;$H173)+COUNTIFS(工数管理!$AK$3:$AK$98,J$1,工数管理!$O$3:$O$98,"&lt;="&amp;$H173,工数管理!$P$3:$P$98,"&gt;="&amp;$H173)+COUNTIFS(工数管理!$AK$3:$AK$98,J$1,工数管理!$Q$3:$Q$98,"&lt;="&amp;$H173,工数管理!$R$3:$R$98,"&gt;="&amp;$H173)+COUNTIFS(工数管理!$AK$3:$AK$98,J$1,工数管理!$S$3:$S$98,"&lt;="&amp;$H173,工数管理!$T$3:$T$98,"&gt;="&amp;$H173)+COUNTIFS(工数管理!$AK$3:$AK$98,J$1,工数管理!$U$3:$U$98,"&lt;="&amp;$H173,工数管理!$V$3:$V$98,"&gt;="&amp;$H173)+COUNTIFS(工数管理!$AK$3:$AK$98,J$1,工数管理!$W$3:$W$98,"&lt;="&amp;$H173,工数管理!$X$3:$X$98,"&gt;="&amp;$H173)+COUNTIFS(工数管理!$AK$3:$AK$98,J$1,工数管理!$Y$3:$Y$98,"&lt;="&amp;$H173,工数管理!$Z$3:$Z$98,"&gt;="&amp;$H173)+COUNTIFS(工数管理!$AK$3:$AK$98,J$1,工数管理!$AA$3:$AA$98,"&lt;="&amp;$H173,工数管理!$AB$3:$AB$98,"&gt;="&amp;$H173)+COUNTIFS(工数管理!$AK$3:$AK$98,J$1,工数管理!$AC$3:$AC$98,"&lt;="&amp;$H173,工数管理!$AD$3:$AD$98,"&gt;="&amp;$H173)+COUNTIFS(工数管理!$AK$3:$AK$98,J$1,工数管理!$AE$3:$AE$98,"&lt;="&amp;$H173,工数管理!$AF$3:$AF$98,"&gt;="&amp;$H173)+COUNTIFS(工数管理!$AK$3:$AK$98,J$1,工数管理!$AG$3:$AG$98,"&lt;="&amp;$H173,工数管理!$AH$3:$AH$98,"&gt;="&amp;$H173)+(COUNTIFS(工数管理!$AK$3:$AK$98,J$1,工数管理!$K$3:$K$98,"&lt;="&amp;$H173,工数管理!$L$3:$L$98,"")+COUNTIFS(工数管理!$AK$3:$AK$98,J$1,工数管理!$M$3:$M$98,"&lt;="&amp;$H173,工数管理!$N$3:$N$98,"")+COUNTIFS(工数管理!$AK$3:$AK$98,J$1,工数管理!$O$3:$O$98,"&lt;="&amp;$H173,工数管理!$P$3:$P$98,"")+COUNTIFS(工数管理!$AK$3:$AK$98,J$1,工数管理!$Q$3:$Q$98,"&lt;="&amp;$H173,工数管理!$R$3:$R$98,"")+COUNTIFS(工数管理!$AK$3:$AK$98,J$1,工数管理!$S$3:$S$98,"&lt;="&amp;$H173,工数管理!$T$3:$T$98,"")+COUNTIFS(工数管理!$AK$3:$AK$98,J$1,工数管理!$U$3:$U$98,"&lt;="&amp;$H173,工数管理!$V$3:$V$98,"")+COUNTIFS(工数管理!$AK$3:$AK$98,J$1,工数管理!$W$3:$W$98,"&lt;="&amp;$H173,工数管理!$X$3:$X$98,"")+COUNTIFS(工数管理!$AK$3:$AK$98,J$1,工数管理!$Y$3:$Y$98,"&lt;="&amp;$H173,工数管理!$Z$3:$Z$98,"")+COUNTIFS(工数管理!$AK$3:$AK$98,J$1,工数管理!$AA$3:$AA$98,"&lt;="&amp;$H173,工数管理!$AB$3:$AB$98,"")+COUNTIFS(工数管理!$AK$3:$AK$98,J$1,工数管理!$AC$3:$AC$98,"&lt;="&amp;$H173,工数管理!$AD$3:$AD$98,"")+COUNTIFS(工数管理!$AK$3:$AK$98,J$1,工数管理!$AE$3:$AE$98,"&lt;="&amp;$H173,工数管理!$AF$3:$AF$98,"")+COUNTIFS(工数管理!$AK$3:$AK$98,J$1,工数管理!$AG$3:$AG$98,"&lt;="&amp;$H173,工数管理!$AH$3:$AH$98,""))*($H173&lt;=工数管理!$AI$1))</f>
        <v>0</v>
      </c>
      <c r="K173" s="42">
        <f ca="1">IF(K$1="",0,COUNTIFS(工数管理!$AK$3:$AK$98,K$1,工数管理!$K$3:$K$98,"&lt;="&amp;$H173,工数管理!$L$3:$L$98,"&gt;="&amp;$H173)+COUNTIFS(工数管理!$AK$3:$AK$98,K$1,工数管理!$M$3:$M$98,"&lt;="&amp;$H173,工数管理!$N$3:$N$98,"&gt;="&amp;$H173)+COUNTIFS(工数管理!$AK$3:$AK$98,K$1,工数管理!$O$3:$O$98,"&lt;="&amp;$H173,工数管理!$P$3:$P$98,"&gt;="&amp;$H173)+COUNTIFS(工数管理!$AK$3:$AK$98,K$1,工数管理!$Q$3:$Q$98,"&lt;="&amp;$H173,工数管理!$R$3:$R$98,"&gt;="&amp;$H173)+COUNTIFS(工数管理!$AK$3:$AK$98,K$1,工数管理!$S$3:$S$98,"&lt;="&amp;$H173,工数管理!$T$3:$T$98,"&gt;="&amp;$H173)+COUNTIFS(工数管理!$AK$3:$AK$98,K$1,工数管理!$U$3:$U$98,"&lt;="&amp;$H173,工数管理!$V$3:$V$98,"&gt;="&amp;$H173)+COUNTIFS(工数管理!$AK$3:$AK$98,K$1,工数管理!$W$3:$W$98,"&lt;="&amp;$H173,工数管理!$X$3:$X$98,"&gt;="&amp;$H173)+COUNTIFS(工数管理!$AK$3:$AK$98,K$1,工数管理!$Y$3:$Y$98,"&lt;="&amp;$H173,工数管理!$Z$3:$Z$98,"&gt;="&amp;$H173)+COUNTIFS(工数管理!$AK$3:$AK$98,K$1,工数管理!$AA$3:$AA$98,"&lt;="&amp;$H173,工数管理!$AB$3:$AB$98,"&gt;="&amp;$H173)+COUNTIFS(工数管理!$AK$3:$AK$98,K$1,工数管理!$AC$3:$AC$98,"&lt;="&amp;$H173,工数管理!$AD$3:$AD$98,"&gt;="&amp;$H173)+COUNTIFS(工数管理!$AK$3:$AK$98,K$1,工数管理!$AE$3:$AE$98,"&lt;="&amp;$H173,工数管理!$AF$3:$AF$98,"&gt;="&amp;$H173)+COUNTIFS(工数管理!$AK$3:$AK$98,K$1,工数管理!$AG$3:$AG$98,"&lt;="&amp;$H173,工数管理!$AH$3:$AH$98,"&gt;="&amp;$H173)+(COUNTIFS(工数管理!$AK$3:$AK$98,K$1,工数管理!$K$3:$K$98,"&lt;="&amp;$H173,工数管理!$L$3:$L$98,"")+COUNTIFS(工数管理!$AK$3:$AK$98,K$1,工数管理!$M$3:$M$98,"&lt;="&amp;$H173,工数管理!$N$3:$N$98,"")+COUNTIFS(工数管理!$AK$3:$AK$98,K$1,工数管理!$O$3:$O$98,"&lt;="&amp;$H173,工数管理!$P$3:$P$98,"")+COUNTIFS(工数管理!$AK$3:$AK$98,K$1,工数管理!$Q$3:$Q$98,"&lt;="&amp;$H173,工数管理!$R$3:$R$98,"")+COUNTIFS(工数管理!$AK$3:$AK$98,K$1,工数管理!$S$3:$S$98,"&lt;="&amp;$H173,工数管理!$T$3:$T$98,"")+COUNTIFS(工数管理!$AK$3:$AK$98,K$1,工数管理!$U$3:$U$98,"&lt;="&amp;$H173,工数管理!$V$3:$V$98,"")+COUNTIFS(工数管理!$AK$3:$AK$98,K$1,工数管理!$W$3:$W$98,"&lt;="&amp;$H173,工数管理!$X$3:$X$98,"")+COUNTIFS(工数管理!$AK$3:$AK$98,K$1,工数管理!$Y$3:$Y$98,"&lt;="&amp;$H173,工数管理!$Z$3:$Z$98,"")+COUNTIFS(工数管理!$AK$3:$AK$98,K$1,工数管理!$AA$3:$AA$98,"&lt;="&amp;$H173,工数管理!$AB$3:$AB$98,"")+COUNTIFS(工数管理!$AK$3:$AK$98,K$1,工数管理!$AC$3:$AC$98,"&lt;="&amp;$H173,工数管理!$AD$3:$AD$98,"")+COUNTIFS(工数管理!$AK$3:$AK$98,K$1,工数管理!$AE$3:$AE$98,"&lt;="&amp;$H173,工数管理!$AF$3:$AF$98,"")+COUNTIFS(工数管理!$AK$3:$AK$98,K$1,工数管理!$AG$3:$AG$98,"&lt;="&amp;$H173,工数管理!$AH$3:$AH$98,""))*($H173&lt;=工数管理!$AI$1))</f>
        <v>0</v>
      </c>
      <c r="L173" s="42">
        <f ca="1">IF(L$1="",0,COUNTIFS(工数管理!$AK$3:$AK$98,L$1,工数管理!$K$3:$K$98,"&lt;="&amp;$H173,工数管理!$L$3:$L$98,"&gt;="&amp;$H173)+COUNTIFS(工数管理!$AK$3:$AK$98,L$1,工数管理!$M$3:$M$98,"&lt;="&amp;$H173,工数管理!$N$3:$N$98,"&gt;="&amp;$H173)+COUNTIFS(工数管理!$AK$3:$AK$98,L$1,工数管理!$O$3:$O$98,"&lt;="&amp;$H173,工数管理!$P$3:$P$98,"&gt;="&amp;$H173)+COUNTIFS(工数管理!$AK$3:$AK$98,L$1,工数管理!$Q$3:$Q$98,"&lt;="&amp;$H173,工数管理!$R$3:$R$98,"&gt;="&amp;$H173)+COUNTIFS(工数管理!$AK$3:$AK$98,L$1,工数管理!$S$3:$S$98,"&lt;="&amp;$H173,工数管理!$T$3:$T$98,"&gt;="&amp;$H173)+COUNTIFS(工数管理!$AK$3:$AK$98,L$1,工数管理!$U$3:$U$98,"&lt;="&amp;$H173,工数管理!$V$3:$V$98,"&gt;="&amp;$H173)+COUNTIFS(工数管理!$AK$3:$AK$98,L$1,工数管理!$W$3:$W$98,"&lt;="&amp;$H173,工数管理!$X$3:$X$98,"&gt;="&amp;$H173)+COUNTIFS(工数管理!$AK$3:$AK$98,L$1,工数管理!$Y$3:$Y$98,"&lt;="&amp;$H173,工数管理!$Z$3:$Z$98,"&gt;="&amp;$H173)+COUNTIFS(工数管理!$AK$3:$AK$98,L$1,工数管理!$AA$3:$AA$98,"&lt;="&amp;$H173,工数管理!$AB$3:$AB$98,"&gt;="&amp;$H173)+COUNTIFS(工数管理!$AK$3:$AK$98,L$1,工数管理!$AC$3:$AC$98,"&lt;="&amp;$H173,工数管理!$AD$3:$AD$98,"&gt;="&amp;$H173)+COUNTIFS(工数管理!$AK$3:$AK$98,L$1,工数管理!$AE$3:$AE$98,"&lt;="&amp;$H173,工数管理!$AF$3:$AF$98,"&gt;="&amp;$H173)+COUNTIFS(工数管理!$AK$3:$AK$98,L$1,工数管理!$AG$3:$AG$98,"&lt;="&amp;$H173,工数管理!$AH$3:$AH$98,"&gt;="&amp;$H173)+(COUNTIFS(工数管理!$AK$3:$AK$98,L$1,工数管理!$K$3:$K$98,"&lt;="&amp;$H173,工数管理!$L$3:$L$98,"")+COUNTIFS(工数管理!$AK$3:$AK$98,L$1,工数管理!$M$3:$M$98,"&lt;="&amp;$H173,工数管理!$N$3:$N$98,"")+COUNTIFS(工数管理!$AK$3:$AK$98,L$1,工数管理!$O$3:$O$98,"&lt;="&amp;$H173,工数管理!$P$3:$P$98,"")+COUNTIFS(工数管理!$AK$3:$AK$98,L$1,工数管理!$Q$3:$Q$98,"&lt;="&amp;$H173,工数管理!$R$3:$R$98,"")+COUNTIFS(工数管理!$AK$3:$AK$98,L$1,工数管理!$S$3:$S$98,"&lt;="&amp;$H173,工数管理!$T$3:$T$98,"")+COUNTIFS(工数管理!$AK$3:$AK$98,L$1,工数管理!$U$3:$U$98,"&lt;="&amp;$H173,工数管理!$V$3:$V$98,"")+COUNTIFS(工数管理!$AK$3:$AK$98,L$1,工数管理!$W$3:$W$98,"&lt;="&amp;$H173,工数管理!$X$3:$X$98,"")+COUNTIFS(工数管理!$AK$3:$AK$98,L$1,工数管理!$Y$3:$Y$98,"&lt;="&amp;$H173,工数管理!$Z$3:$Z$98,"")+COUNTIFS(工数管理!$AK$3:$AK$98,L$1,工数管理!$AA$3:$AA$98,"&lt;="&amp;$H173,工数管理!$AB$3:$AB$98,"")+COUNTIFS(工数管理!$AK$3:$AK$98,L$1,工数管理!$AC$3:$AC$98,"&lt;="&amp;$H173,工数管理!$AD$3:$AD$98,"")+COUNTIFS(工数管理!$AK$3:$AK$98,L$1,工数管理!$AE$3:$AE$98,"&lt;="&amp;$H173,工数管理!$AF$3:$AF$98,"")+COUNTIFS(工数管理!$AK$3:$AK$98,L$1,工数管理!$AG$3:$AG$98,"&lt;="&amp;$H173,工数管理!$AH$3:$AH$98,""))*($H173&lt;=工数管理!$AI$1))</f>
        <v>0</v>
      </c>
    </row>
    <row r="174" spans="1:12" x14ac:dyDescent="0.15">
      <c r="A174" s="5"/>
      <c r="B174" s="6"/>
      <c r="H174" s="41">
        <f t="shared" si="5"/>
        <v>46342</v>
      </c>
      <c r="I174" s="42">
        <f t="shared" si="4"/>
        <v>1</v>
      </c>
      <c r="J174" s="42">
        <f ca="1">IF(J$1="",0,COUNTIFS(工数管理!$AK$3:$AK$98,J$1,工数管理!$K$3:$K$98,"&lt;="&amp;$H174,工数管理!$L$3:$L$98,"&gt;="&amp;$H174)+COUNTIFS(工数管理!$AK$3:$AK$98,J$1,工数管理!$M$3:$M$98,"&lt;="&amp;$H174,工数管理!$N$3:$N$98,"&gt;="&amp;$H174)+COUNTIFS(工数管理!$AK$3:$AK$98,J$1,工数管理!$O$3:$O$98,"&lt;="&amp;$H174,工数管理!$P$3:$P$98,"&gt;="&amp;$H174)+COUNTIFS(工数管理!$AK$3:$AK$98,J$1,工数管理!$Q$3:$Q$98,"&lt;="&amp;$H174,工数管理!$R$3:$R$98,"&gt;="&amp;$H174)+COUNTIFS(工数管理!$AK$3:$AK$98,J$1,工数管理!$S$3:$S$98,"&lt;="&amp;$H174,工数管理!$T$3:$T$98,"&gt;="&amp;$H174)+COUNTIFS(工数管理!$AK$3:$AK$98,J$1,工数管理!$U$3:$U$98,"&lt;="&amp;$H174,工数管理!$V$3:$V$98,"&gt;="&amp;$H174)+COUNTIFS(工数管理!$AK$3:$AK$98,J$1,工数管理!$W$3:$W$98,"&lt;="&amp;$H174,工数管理!$X$3:$X$98,"&gt;="&amp;$H174)+COUNTIFS(工数管理!$AK$3:$AK$98,J$1,工数管理!$Y$3:$Y$98,"&lt;="&amp;$H174,工数管理!$Z$3:$Z$98,"&gt;="&amp;$H174)+COUNTIFS(工数管理!$AK$3:$AK$98,J$1,工数管理!$AA$3:$AA$98,"&lt;="&amp;$H174,工数管理!$AB$3:$AB$98,"&gt;="&amp;$H174)+COUNTIFS(工数管理!$AK$3:$AK$98,J$1,工数管理!$AC$3:$AC$98,"&lt;="&amp;$H174,工数管理!$AD$3:$AD$98,"&gt;="&amp;$H174)+COUNTIFS(工数管理!$AK$3:$AK$98,J$1,工数管理!$AE$3:$AE$98,"&lt;="&amp;$H174,工数管理!$AF$3:$AF$98,"&gt;="&amp;$H174)+COUNTIFS(工数管理!$AK$3:$AK$98,J$1,工数管理!$AG$3:$AG$98,"&lt;="&amp;$H174,工数管理!$AH$3:$AH$98,"&gt;="&amp;$H174)+(COUNTIFS(工数管理!$AK$3:$AK$98,J$1,工数管理!$K$3:$K$98,"&lt;="&amp;$H174,工数管理!$L$3:$L$98,"")+COUNTIFS(工数管理!$AK$3:$AK$98,J$1,工数管理!$M$3:$M$98,"&lt;="&amp;$H174,工数管理!$N$3:$N$98,"")+COUNTIFS(工数管理!$AK$3:$AK$98,J$1,工数管理!$O$3:$O$98,"&lt;="&amp;$H174,工数管理!$P$3:$P$98,"")+COUNTIFS(工数管理!$AK$3:$AK$98,J$1,工数管理!$Q$3:$Q$98,"&lt;="&amp;$H174,工数管理!$R$3:$R$98,"")+COUNTIFS(工数管理!$AK$3:$AK$98,J$1,工数管理!$S$3:$S$98,"&lt;="&amp;$H174,工数管理!$T$3:$T$98,"")+COUNTIFS(工数管理!$AK$3:$AK$98,J$1,工数管理!$U$3:$U$98,"&lt;="&amp;$H174,工数管理!$V$3:$V$98,"")+COUNTIFS(工数管理!$AK$3:$AK$98,J$1,工数管理!$W$3:$W$98,"&lt;="&amp;$H174,工数管理!$X$3:$X$98,"")+COUNTIFS(工数管理!$AK$3:$AK$98,J$1,工数管理!$Y$3:$Y$98,"&lt;="&amp;$H174,工数管理!$Z$3:$Z$98,"")+COUNTIFS(工数管理!$AK$3:$AK$98,J$1,工数管理!$AA$3:$AA$98,"&lt;="&amp;$H174,工数管理!$AB$3:$AB$98,"")+COUNTIFS(工数管理!$AK$3:$AK$98,J$1,工数管理!$AC$3:$AC$98,"&lt;="&amp;$H174,工数管理!$AD$3:$AD$98,"")+COUNTIFS(工数管理!$AK$3:$AK$98,J$1,工数管理!$AE$3:$AE$98,"&lt;="&amp;$H174,工数管理!$AF$3:$AF$98,"")+COUNTIFS(工数管理!$AK$3:$AK$98,J$1,工数管理!$AG$3:$AG$98,"&lt;="&amp;$H174,工数管理!$AH$3:$AH$98,""))*($H174&lt;=工数管理!$AI$1))</f>
        <v>0</v>
      </c>
      <c r="K174" s="42">
        <f ca="1">IF(K$1="",0,COUNTIFS(工数管理!$AK$3:$AK$98,K$1,工数管理!$K$3:$K$98,"&lt;="&amp;$H174,工数管理!$L$3:$L$98,"&gt;="&amp;$H174)+COUNTIFS(工数管理!$AK$3:$AK$98,K$1,工数管理!$M$3:$M$98,"&lt;="&amp;$H174,工数管理!$N$3:$N$98,"&gt;="&amp;$H174)+COUNTIFS(工数管理!$AK$3:$AK$98,K$1,工数管理!$O$3:$O$98,"&lt;="&amp;$H174,工数管理!$P$3:$P$98,"&gt;="&amp;$H174)+COUNTIFS(工数管理!$AK$3:$AK$98,K$1,工数管理!$Q$3:$Q$98,"&lt;="&amp;$H174,工数管理!$R$3:$R$98,"&gt;="&amp;$H174)+COUNTIFS(工数管理!$AK$3:$AK$98,K$1,工数管理!$S$3:$S$98,"&lt;="&amp;$H174,工数管理!$T$3:$T$98,"&gt;="&amp;$H174)+COUNTIFS(工数管理!$AK$3:$AK$98,K$1,工数管理!$U$3:$U$98,"&lt;="&amp;$H174,工数管理!$V$3:$V$98,"&gt;="&amp;$H174)+COUNTIFS(工数管理!$AK$3:$AK$98,K$1,工数管理!$W$3:$W$98,"&lt;="&amp;$H174,工数管理!$X$3:$X$98,"&gt;="&amp;$H174)+COUNTIFS(工数管理!$AK$3:$AK$98,K$1,工数管理!$Y$3:$Y$98,"&lt;="&amp;$H174,工数管理!$Z$3:$Z$98,"&gt;="&amp;$H174)+COUNTIFS(工数管理!$AK$3:$AK$98,K$1,工数管理!$AA$3:$AA$98,"&lt;="&amp;$H174,工数管理!$AB$3:$AB$98,"&gt;="&amp;$H174)+COUNTIFS(工数管理!$AK$3:$AK$98,K$1,工数管理!$AC$3:$AC$98,"&lt;="&amp;$H174,工数管理!$AD$3:$AD$98,"&gt;="&amp;$H174)+COUNTIFS(工数管理!$AK$3:$AK$98,K$1,工数管理!$AE$3:$AE$98,"&lt;="&amp;$H174,工数管理!$AF$3:$AF$98,"&gt;="&amp;$H174)+COUNTIFS(工数管理!$AK$3:$AK$98,K$1,工数管理!$AG$3:$AG$98,"&lt;="&amp;$H174,工数管理!$AH$3:$AH$98,"&gt;="&amp;$H174)+(COUNTIFS(工数管理!$AK$3:$AK$98,K$1,工数管理!$K$3:$K$98,"&lt;="&amp;$H174,工数管理!$L$3:$L$98,"")+COUNTIFS(工数管理!$AK$3:$AK$98,K$1,工数管理!$M$3:$M$98,"&lt;="&amp;$H174,工数管理!$N$3:$N$98,"")+COUNTIFS(工数管理!$AK$3:$AK$98,K$1,工数管理!$O$3:$O$98,"&lt;="&amp;$H174,工数管理!$P$3:$P$98,"")+COUNTIFS(工数管理!$AK$3:$AK$98,K$1,工数管理!$Q$3:$Q$98,"&lt;="&amp;$H174,工数管理!$R$3:$R$98,"")+COUNTIFS(工数管理!$AK$3:$AK$98,K$1,工数管理!$S$3:$S$98,"&lt;="&amp;$H174,工数管理!$T$3:$T$98,"")+COUNTIFS(工数管理!$AK$3:$AK$98,K$1,工数管理!$U$3:$U$98,"&lt;="&amp;$H174,工数管理!$V$3:$V$98,"")+COUNTIFS(工数管理!$AK$3:$AK$98,K$1,工数管理!$W$3:$W$98,"&lt;="&amp;$H174,工数管理!$X$3:$X$98,"")+COUNTIFS(工数管理!$AK$3:$AK$98,K$1,工数管理!$Y$3:$Y$98,"&lt;="&amp;$H174,工数管理!$Z$3:$Z$98,"")+COUNTIFS(工数管理!$AK$3:$AK$98,K$1,工数管理!$AA$3:$AA$98,"&lt;="&amp;$H174,工数管理!$AB$3:$AB$98,"")+COUNTIFS(工数管理!$AK$3:$AK$98,K$1,工数管理!$AC$3:$AC$98,"&lt;="&amp;$H174,工数管理!$AD$3:$AD$98,"")+COUNTIFS(工数管理!$AK$3:$AK$98,K$1,工数管理!$AE$3:$AE$98,"&lt;="&amp;$H174,工数管理!$AF$3:$AF$98,"")+COUNTIFS(工数管理!$AK$3:$AK$98,K$1,工数管理!$AG$3:$AG$98,"&lt;="&amp;$H174,工数管理!$AH$3:$AH$98,""))*($H174&lt;=工数管理!$AI$1))</f>
        <v>0</v>
      </c>
      <c r="L174" s="42">
        <f ca="1">IF(L$1="",0,COUNTIFS(工数管理!$AK$3:$AK$98,L$1,工数管理!$K$3:$K$98,"&lt;="&amp;$H174,工数管理!$L$3:$L$98,"&gt;="&amp;$H174)+COUNTIFS(工数管理!$AK$3:$AK$98,L$1,工数管理!$M$3:$M$98,"&lt;="&amp;$H174,工数管理!$N$3:$N$98,"&gt;="&amp;$H174)+COUNTIFS(工数管理!$AK$3:$AK$98,L$1,工数管理!$O$3:$O$98,"&lt;="&amp;$H174,工数管理!$P$3:$P$98,"&gt;="&amp;$H174)+COUNTIFS(工数管理!$AK$3:$AK$98,L$1,工数管理!$Q$3:$Q$98,"&lt;="&amp;$H174,工数管理!$R$3:$R$98,"&gt;="&amp;$H174)+COUNTIFS(工数管理!$AK$3:$AK$98,L$1,工数管理!$S$3:$S$98,"&lt;="&amp;$H174,工数管理!$T$3:$T$98,"&gt;="&amp;$H174)+COUNTIFS(工数管理!$AK$3:$AK$98,L$1,工数管理!$U$3:$U$98,"&lt;="&amp;$H174,工数管理!$V$3:$V$98,"&gt;="&amp;$H174)+COUNTIFS(工数管理!$AK$3:$AK$98,L$1,工数管理!$W$3:$W$98,"&lt;="&amp;$H174,工数管理!$X$3:$X$98,"&gt;="&amp;$H174)+COUNTIFS(工数管理!$AK$3:$AK$98,L$1,工数管理!$Y$3:$Y$98,"&lt;="&amp;$H174,工数管理!$Z$3:$Z$98,"&gt;="&amp;$H174)+COUNTIFS(工数管理!$AK$3:$AK$98,L$1,工数管理!$AA$3:$AA$98,"&lt;="&amp;$H174,工数管理!$AB$3:$AB$98,"&gt;="&amp;$H174)+COUNTIFS(工数管理!$AK$3:$AK$98,L$1,工数管理!$AC$3:$AC$98,"&lt;="&amp;$H174,工数管理!$AD$3:$AD$98,"&gt;="&amp;$H174)+COUNTIFS(工数管理!$AK$3:$AK$98,L$1,工数管理!$AE$3:$AE$98,"&lt;="&amp;$H174,工数管理!$AF$3:$AF$98,"&gt;="&amp;$H174)+COUNTIFS(工数管理!$AK$3:$AK$98,L$1,工数管理!$AG$3:$AG$98,"&lt;="&amp;$H174,工数管理!$AH$3:$AH$98,"&gt;="&amp;$H174)+(COUNTIFS(工数管理!$AK$3:$AK$98,L$1,工数管理!$K$3:$K$98,"&lt;="&amp;$H174,工数管理!$L$3:$L$98,"")+COUNTIFS(工数管理!$AK$3:$AK$98,L$1,工数管理!$M$3:$M$98,"&lt;="&amp;$H174,工数管理!$N$3:$N$98,"")+COUNTIFS(工数管理!$AK$3:$AK$98,L$1,工数管理!$O$3:$O$98,"&lt;="&amp;$H174,工数管理!$P$3:$P$98,"")+COUNTIFS(工数管理!$AK$3:$AK$98,L$1,工数管理!$Q$3:$Q$98,"&lt;="&amp;$H174,工数管理!$R$3:$R$98,"")+COUNTIFS(工数管理!$AK$3:$AK$98,L$1,工数管理!$S$3:$S$98,"&lt;="&amp;$H174,工数管理!$T$3:$T$98,"")+COUNTIFS(工数管理!$AK$3:$AK$98,L$1,工数管理!$U$3:$U$98,"&lt;="&amp;$H174,工数管理!$V$3:$V$98,"")+COUNTIFS(工数管理!$AK$3:$AK$98,L$1,工数管理!$W$3:$W$98,"&lt;="&amp;$H174,工数管理!$X$3:$X$98,"")+COUNTIFS(工数管理!$AK$3:$AK$98,L$1,工数管理!$Y$3:$Y$98,"&lt;="&amp;$H174,工数管理!$Z$3:$Z$98,"")+COUNTIFS(工数管理!$AK$3:$AK$98,L$1,工数管理!$AA$3:$AA$98,"&lt;="&amp;$H174,工数管理!$AB$3:$AB$98,"")+COUNTIFS(工数管理!$AK$3:$AK$98,L$1,工数管理!$AC$3:$AC$98,"&lt;="&amp;$H174,工数管理!$AD$3:$AD$98,"")+COUNTIFS(工数管理!$AK$3:$AK$98,L$1,工数管理!$AE$3:$AE$98,"&lt;="&amp;$H174,工数管理!$AF$3:$AF$98,"")+COUNTIFS(工数管理!$AK$3:$AK$98,L$1,工数管理!$AG$3:$AG$98,"&lt;="&amp;$H174,工数管理!$AH$3:$AH$98,""))*($H174&lt;=工数管理!$AI$1))</f>
        <v>0</v>
      </c>
    </row>
    <row r="175" spans="1:12" x14ac:dyDescent="0.15">
      <c r="A175" s="5"/>
      <c r="B175" s="6"/>
      <c r="H175" s="41">
        <f t="shared" si="5"/>
        <v>46343</v>
      </c>
      <c r="I175" s="42">
        <f t="shared" si="4"/>
        <v>1</v>
      </c>
      <c r="J175" s="42">
        <f ca="1">IF(J$1="",0,COUNTIFS(工数管理!$AK$3:$AK$98,J$1,工数管理!$K$3:$K$98,"&lt;="&amp;$H175,工数管理!$L$3:$L$98,"&gt;="&amp;$H175)+COUNTIFS(工数管理!$AK$3:$AK$98,J$1,工数管理!$M$3:$M$98,"&lt;="&amp;$H175,工数管理!$N$3:$N$98,"&gt;="&amp;$H175)+COUNTIFS(工数管理!$AK$3:$AK$98,J$1,工数管理!$O$3:$O$98,"&lt;="&amp;$H175,工数管理!$P$3:$P$98,"&gt;="&amp;$H175)+COUNTIFS(工数管理!$AK$3:$AK$98,J$1,工数管理!$Q$3:$Q$98,"&lt;="&amp;$H175,工数管理!$R$3:$R$98,"&gt;="&amp;$H175)+COUNTIFS(工数管理!$AK$3:$AK$98,J$1,工数管理!$S$3:$S$98,"&lt;="&amp;$H175,工数管理!$T$3:$T$98,"&gt;="&amp;$H175)+COUNTIFS(工数管理!$AK$3:$AK$98,J$1,工数管理!$U$3:$U$98,"&lt;="&amp;$H175,工数管理!$V$3:$V$98,"&gt;="&amp;$H175)+COUNTIFS(工数管理!$AK$3:$AK$98,J$1,工数管理!$W$3:$W$98,"&lt;="&amp;$H175,工数管理!$X$3:$X$98,"&gt;="&amp;$H175)+COUNTIFS(工数管理!$AK$3:$AK$98,J$1,工数管理!$Y$3:$Y$98,"&lt;="&amp;$H175,工数管理!$Z$3:$Z$98,"&gt;="&amp;$H175)+COUNTIFS(工数管理!$AK$3:$AK$98,J$1,工数管理!$AA$3:$AA$98,"&lt;="&amp;$H175,工数管理!$AB$3:$AB$98,"&gt;="&amp;$H175)+COUNTIFS(工数管理!$AK$3:$AK$98,J$1,工数管理!$AC$3:$AC$98,"&lt;="&amp;$H175,工数管理!$AD$3:$AD$98,"&gt;="&amp;$H175)+COUNTIFS(工数管理!$AK$3:$AK$98,J$1,工数管理!$AE$3:$AE$98,"&lt;="&amp;$H175,工数管理!$AF$3:$AF$98,"&gt;="&amp;$H175)+COUNTIFS(工数管理!$AK$3:$AK$98,J$1,工数管理!$AG$3:$AG$98,"&lt;="&amp;$H175,工数管理!$AH$3:$AH$98,"&gt;="&amp;$H175)+(COUNTIFS(工数管理!$AK$3:$AK$98,J$1,工数管理!$K$3:$K$98,"&lt;="&amp;$H175,工数管理!$L$3:$L$98,"")+COUNTIFS(工数管理!$AK$3:$AK$98,J$1,工数管理!$M$3:$M$98,"&lt;="&amp;$H175,工数管理!$N$3:$N$98,"")+COUNTIFS(工数管理!$AK$3:$AK$98,J$1,工数管理!$O$3:$O$98,"&lt;="&amp;$H175,工数管理!$P$3:$P$98,"")+COUNTIFS(工数管理!$AK$3:$AK$98,J$1,工数管理!$Q$3:$Q$98,"&lt;="&amp;$H175,工数管理!$R$3:$R$98,"")+COUNTIFS(工数管理!$AK$3:$AK$98,J$1,工数管理!$S$3:$S$98,"&lt;="&amp;$H175,工数管理!$T$3:$T$98,"")+COUNTIFS(工数管理!$AK$3:$AK$98,J$1,工数管理!$U$3:$U$98,"&lt;="&amp;$H175,工数管理!$V$3:$V$98,"")+COUNTIFS(工数管理!$AK$3:$AK$98,J$1,工数管理!$W$3:$W$98,"&lt;="&amp;$H175,工数管理!$X$3:$X$98,"")+COUNTIFS(工数管理!$AK$3:$AK$98,J$1,工数管理!$Y$3:$Y$98,"&lt;="&amp;$H175,工数管理!$Z$3:$Z$98,"")+COUNTIFS(工数管理!$AK$3:$AK$98,J$1,工数管理!$AA$3:$AA$98,"&lt;="&amp;$H175,工数管理!$AB$3:$AB$98,"")+COUNTIFS(工数管理!$AK$3:$AK$98,J$1,工数管理!$AC$3:$AC$98,"&lt;="&amp;$H175,工数管理!$AD$3:$AD$98,"")+COUNTIFS(工数管理!$AK$3:$AK$98,J$1,工数管理!$AE$3:$AE$98,"&lt;="&amp;$H175,工数管理!$AF$3:$AF$98,"")+COUNTIFS(工数管理!$AK$3:$AK$98,J$1,工数管理!$AG$3:$AG$98,"&lt;="&amp;$H175,工数管理!$AH$3:$AH$98,""))*($H175&lt;=工数管理!$AI$1))</f>
        <v>0</v>
      </c>
      <c r="K175" s="42">
        <f ca="1">IF(K$1="",0,COUNTIFS(工数管理!$AK$3:$AK$98,K$1,工数管理!$K$3:$K$98,"&lt;="&amp;$H175,工数管理!$L$3:$L$98,"&gt;="&amp;$H175)+COUNTIFS(工数管理!$AK$3:$AK$98,K$1,工数管理!$M$3:$M$98,"&lt;="&amp;$H175,工数管理!$N$3:$N$98,"&gt;="&amp;$H175)+COUNTIFS(工数管理!$AK$3:$AK$98,K$1,工数管理!$O$3:$O$98,"&lt;="&amp;$H175,工数管理!$P$3:$P$98,"&gt;="&amp;$H175)+COUNTIFS(工数管理!$AK$3:$AK$98,K$1,工数管理!$Q$3:$Q$98,"&lt;="&amp;$H175,工数管理!$R$3:$R$98,"&gt;="&amp;$H175)+COUNTIFS(工数管理!$AK$3:$AK$98,K$1,工数管理!$S$3:$S$98,"&lt;="&amp;$H175,工数管理!$T$3:$T$98,"&gt;="&amp;$H175)+COUNTIFS(工数管理!$AK$3:$AK$98,K$1,工数管理!$U$3:$U$98,"&lt;="&amp;$H175,工数管理!$V$3:$V$98,"&gt;="&amp;$H175)+COUNTIFS(工数管理!$AK$3:$AK$98,K$1,工数管理!$W$3:$W$98,"&lt;="&amp;$H175,工数管理!$X$3:$X$98,"&gt;="&amp;$H175)+COUNTIFS(工数管理!$AK$3:$AK$98,K$1,工数管理!$Y$3:$Y$98,"&lt;="&amp;$H175,工数管理!$Z$3:$Z$98,"&gt;="&amp;$H175)+COUNTIFS(工数管理!$AK$3:$AK$98,K$1,工数管理!$AA$3:$AA$98,"&lt;="&amp;$H175,工数管理!$AB$3:$AB$98,"&gt;="&amp;$H175)+COUNTIFS(工数管理!$AK$3:$AK$98,K$1,工数管理!$AC$3:$AC$98,"&lt;="&amp;$H175,工数管理!$AD$3:$AD$98,"&gt;="&amp;$H175)+COUNTIFS(工数管理!$AK$3:$AK$98,K$1,工数管理!$AE$3:$AE$98,"&lt;="&amp;$H175,工数管理!$AF$3:$AF$98,"&gt;="&amp;$H175)+COUNTIFS(工数管理!$AK$3:$AK$98,K$1,工数管理!$AG$3:$AG$98,"&lt;="&amp;$H175,工数管理!$AH$3:$AH$98,"&gt;="&amp;$H175)+(COUNTIFS(工数管理!$AK$3:$AK$98,K$1,工数管理!$K$3:$K$98,"&lt;="&amp;$H175,工数管理!$L$3:$L$98,"")+COUNTIFS(工数管理!$AK$3:$AK$98,K$1,工数管理!$M$3:$M$98,"&lt;="&amp;$H175,工数管理!$N$3:$N$98,"")+COUNTIFS(工数管理!$AK$3:$AK$98,K$1,工数管理!$O$3:$O$98,"&lt;="&amp;$H175,工数管理!$P$3:$P$98,"")+COUNTIFS(工数管理!$AK$3:$AK$98,K$1,工数管理!$Q$3:$Q$98,"&lt;="&amp;$H175,工数管理!$R$3:$R$98,"")+COUNTIFS(工数管理!$AK$3:$AK$98,K$1,工数管理!$S$3:$S$98,"&lt;="&amp;$H175,工数管理!$T$3:$T$98,"")+COUNTIFS(工数管理!$AK$3:$AK$98,K$1,工数管理!$U$3:$U$98,"&lt;="&amp;$H175,工数管理!$V$3:$V$98,"")+COUNTIFS(工数管理!$AK$3:$AK$98,K$1,工数管理!$W$3:$W$98,"&lt;="&amp;$H175,工数管理!$X$3:$X$98,"")+COUNTIFS(工数管理!$AK$3:$AK$98,K$1,工数管理!$Y$3:$Y$98,"&lt;="&amp;$H175,工数管理!$Z$3:$Z$98,"")+COUNTIFS(工数管理!$AK$3:$AK$98,K$1,工数管理!$AA$3:$AA$98,"&lt;="&amp;$H175,工数管理!$AB$3:$AB$98,"")+COUNTIFS(工数管理!$AK$3:$AK$98,K$1,工数管理!$AC$3:$AC$98,"&lt;="&amp;$H175,工数管理!$AD$3:$AD$98,"")+COUNTIFS(工数管理!$AK$3:$AK$98,K$1,工数管理!$AE$3:$AE$98,"&lt;="&amp;$H175,工数管理!$AF$3:$AF$98,"")+COUNTIFS(工数管理!$AK$3:$AK$98,K$1,工数管理!$AG$3:$AG$98,"&lt;="&amp;$H175,工数管理!$AH$3:$AH$98,""))*($H175&lt;=工数管理!$AI$1))</f>
        <v>0</v>
      </c>
      <c r="L175" s="42">
        <f ca="1">IF(L$1="",0,COUNTIFS(工数管理!$AK$3:$AK$98,L$1,工数管理!$K$3:$K$98,"&lt;="&amp;$H175,工数管理!$L$3:$L$98,"&gt;="&amp;$H175)+COUNTIFS(工数管理!$AK$3:$AK$98,L$1,工数管理!$M$3:$M$98,"&lt;="&amp;$H175,工数管理!$N$3:$N$98,"&gt;="&amp;$H175)+COUNTIFS(工数管理!$AK$3:$AK$98,L$1,工数管理!$O$3:$O$98,"&lt;="&amp;$H175,工数管理!$P$3:$P$98,"&gt;="&amp;$H175)+COUNTIFS(工数管理!$AK$3:$AK$98,L$1,工数管理!$Q$3:$Q$98,"&lt;="&amp;$H175,工数管理!$R$3:$R$98,"&gt;="&amp;$H175)+COUNTIFS(工数管理!$AK$3:$AK$98,L$1,工数管理!$S$3:$S$98,"&lt;="&amp;$H175,工数管理!$T$3:$T$98,"&gt;="&amp;$H175)+COUNTIFS(工数管理!$AK$3:$AK$98,L$1,工数管理!$U$3:$U$98,"&lt;="&amp;$H175,工数管理!$V$3:$V$98,"&gt;="&amp;$H175)+COUNTIFS(工数管理!$AK$3:$AK$98,L$1,工数管理!$W$3:$W$98,"&lt;="&amp;$H175,工数管理!$X$3:$X$98,"&gt;="&amp;$H175)+COUNTIFS(工数管理!$AK$3:$AK$98,L$1,工数管理!$Y$3:$Y$98,"&lt;="&amp;$H175,工数管理!$Z$3:$Z$98,"&gt;="&amp;$H175)+COUNTIFS(工数管理!$AK$3:$AK$98,L$1,工数管理!$AA$3:$AA$98,"&lt;="&amp;$H175,工数管理!$AB$3:$AB$98,"&gt;="&amp;$H175)+COUNTIFS(工数管理!$AK$3:$AK$98,L$1,工数管理!$AC$3:$AC$98,"&lt;="&amp;$H175,工数管理!$AD$3:$AD$98,"&gt;="&amp;$H175)+COUNTIFS(工数管理!$AK$3:$AK$98,L$1,工数管理!$AE$3:$AE$98,"&lt;="&amp;$H175,工数管理!$AF$3:$AF$98,"&gt;="&amp;$H175)+COUNTIFS(工数管理!$AK$3:$AK$98,L$1,工数管理!$AG$3:$AG$98,"&lt;="&amp;$H175,工数管理!$AH$3:$AH$98,"&gt;="&amp;$H175)+(COUNTIFS(工数管理!$AK$3:$AK$98,L$1,工数管理!$K$3:$K$98,"&lt;="&amp;$H175,工数管理!$L$3:$L$98,"")+COUNTIFS(工数管理!$AK$3:$AK$98,L$1,工数管理!$M$3:$M$98,"&lt;="&amp;$H175,工数管理!$N$3:$N$98,"")+COUNTIFS(工数管理!$AK$3:$AK$98,L$1,工数管理!$O$3:$O$98,"&lt;="&amp;$H175,工数管理!$P$3:$P$98,"")+COUNTIFS(工数管理!$AK$3:$AK$98,L$1,工数管理!$Q$3:$Q$98,"&lt;="&amp;$H175,工数管理!$R$3:$R$98,"")+COUNTIFS(工数管理!$AK$3:$AK$98,L$1,工数管理!$S$3:$S$98,"&lt;="&amp;$H175,工数管理!$T$3:$T$98,"")+COUNTIFS(工数管理!$AK$3:$AK$98,L$1,工数管理!$U$3:$U$98,"&lt;="&amp;$H175,工数管理!$V$3:$V$98,"")+COUNTIFS(工数管理!$AK$3:$AK$98,L$1,工数管理!$W$3:$W$98,"&lt;="&amp;$H175,工数管理!$X$3:$X$98,"")+COUNTIFS(工数管理!$AK$3:$AK$98,L$1,工数管理!$Y$3:$Y$98,"&lt;="&amp;$H175,工数管理!$Z$3:$Z$98,"")+COUNTIFS(工数管理!$AK$3:$AK$98,L$1,工数管理!$AA$3:$AA$98,"&lt;="&amp;$H175,工数管理!$AB$3:$AB$98,"")+COUNTIFS(工数管理!$AK$3:$AK$98,L$1,工数管理!$AC$3:$AC$98,"&lt;="&amp;$H175,工数管理!$AD$3:$AD$98,"")+COUNTIFS(工数管理!$AK$3:$AK$98,L$1,工数管理!$AE$3:$AE$98,"&lt;="&amp;$H175,工数管理!$AF$3:$AF$98,"")+COUNTIFS(工数管理!$AK$3:$AK$98,L$1,工数管理!$AG$3:$AG$98,"&lt;="&amp;$H175,工数管理!$AH$3:$AH$98,""))*($H175&lt;=工数管理!$AI$1))</f>
        <v>0</v>
      </c>
    </row>
    <row r="176" spans="1:12" x14ac:dyDescent="0.15">
      <c r="A176" s="5"/>
      <c r="B176" s="6"/>
      <c r="H176" s="41">
        <f t="shared" si="5"/>
        <v>46344</v>
      </c>
      <c r="I176" s="42">
        <f t="shared" si="4"/>
        <v>1</v>
      </c>
      <c r="J176" s="42">
        <f ca="1">IF(J$1="",0,COUNTIFS(工数管理!$AK$3:$AK$98,J$1,工数管理!$K$3:$K$98,"&lt;="&amp;$H176,工数管理!$L$3:$L$98,"&gt;="&amp;$H176)+COUNTIFS(工数管理!$AK$3:$AK$98,J$1,工数管理!$M$3:$M$98,"&lt;="&amp;$H176,工数管理!$N$3:$N$98,"&gt;="&amp;$H176)+COUNTIFS(工数管理!$AK$3:$AK$98,J$1,工数管理!$O$3:$O$98,"&lt;="&amp;$H176,工数管理!$P$3:$P$98,"&gt;="&amp;$H176)+COUNTIFS(工数管理!$AK$3:$AK$98,J$1,工数管理!$Q$3:$Q$98,"&lt;="&amp;$H176,工数管理!$R$3:$R$98,"&gt;="&amp;$H176)+COUNTIFS(工数管理!$AK$3:$AK$98,J$1,工数管理!$S$3:$S$98,"&lt;="&amp;$H176,工数管理!$T$3:$T$98,"&gt;="&amp;$H176)+COUNTIFS(工数管理!$AK$3:$AK$98,J$1,工数管理!$U$3:$U$98,"&lt;="&amp;$H176,工数管理!$V$3:$V$98,"&gt;="&amp;$H176)+COUNTIFS(工数管理!$AK$3:$AK$98,J$1,工数管理!$W$3:$W$98,"&lt;="&amp;$H176,工数管理!$X$3:$X$98,"&gt;="&amp;$H176)+COUNTIFS(工数管理!$AK$3:$AK$98,J$1,工数管理!$Y$3:$Y$98,"&lt;="&amp;$H176,工数管理!$Z$3:$Z$98,"&gt;="&amp;$H176)+COUNTIFS(工数管理!$AK$3:$AK$98,J$1,工数管理!$AA$3:$AA$98,"&lt;="&amp;$H176,工数管理!$AB$3:$AB$98,"&gt;="&amp;$H176)+COUNTIFS(工数管理!$AK$3:$AK$98,J$1,工数管理!$AC$3:$AC$98,"&lt;="&amp;$H176,工数管理!$AD$3:$AD$98,"&gt;="&amp;$H176)+COUNTIFS(工数管理!$AK$3:$AK$98,J$1,工数管理!$AE$3:$AE$98,"&lt;="&amp;$H176,工数管理!$AF$3:$AF$98,"&gt;="&amp;$H176)+COUNTIFS(工数管理!$AK$3:$AK$98,J$1,工数管理!$AG$3:$AG$98,"&lt;="&amp;$H176,工数管理!$AH$3:$AH$98,"&gt;="&amp;$H176)+(COUNTIFS(工数管理!$AK$3:$AK$98,J$1,工数管理!$K$3:$K$98,"&lt;="&amp;$H176,工数管理!$L$3:$L$98,"")+COUNTIFS(工数管理!$AK$3:$AK$98,J$1,工数管理!$M$3:$M$98,"&lt;="&amp;$H176,工数管理!$N$3:$N$98,"")+COUNTIFS(工数管理!$AK$3:$AK$98,J$1,工数管理!$O$3:$O$98,"&lt;="&amp;$H176,工数管理!$P$3:$P$98,"")+COUNTIFS(工数管理!$AK$3:$AK$98,J$1,工数管理!$Q$3:$Q$98,"&lt;="&amp;$H176,工数管理!$R$3:$R$98,"")+COUNTIFS(工数管理!$AK$3:$AK$98,J$1,工数管理!$S$3:$S$98,"&lt;="&amp;$H176,工数管理!$T$3:$T$98,"")+COUNTIFS(工数管理!$AK$3:$AK$98,J$1,工数管理!$U$3:$U$98,"&lt;="&amp;$H176,工数管理!$V$3:$V$98,"")+COUNTIFS(工数管理!$AK$3:$AK$98,J$1,工数管理!$W$3:$W$98,"&lt;="&amp;$H176,工数管理!$X$3:$X$98,"")+COUNTIFS(工数管理!$AK$3:$AK$98,J$1,工数管理!$Y$3:$Y$98,"&lt;="&amp;$H176,工数管理!$Z$3:$Z$98,"")+COUNTIFS(工数管理!$AK$3:$AK$98,J$1,工数管理!$AA$3:$AA$98,"&lt;="&amp;$H176,工数管理!$AB$3:$AB$98,"")+COUNTIFS(工数管理!$AK$3:$AK$98,J$1,工数管理!$AC$3:$AC$98,"&lt;="&amp;$H176,工数管理!$AD$3:$AD$98,"")+COUNTIFS(工数管理!$AK$3:$AK$98,J$1,工数管理!$AE$3:$AE$98,"&lt;="&amp;$H176,工数管理!$AF$3:$AF$98,"")+COUNTIFS(工数管理!$AK$3:$AK$98,J$1,工数管理!$AG$3:$AG$98,"&lt;="&amp;$H176,工数管理!$AH$3:$AH$98,""))*($H176&lt;=工数管理!$AI$1))</f>
        <v>0</v>
      </c>
      <c r="K176" s="42">
        <f ca="1">IF(K$1="",0,COUNTIFS(工数管理!$AK$3:$AK$98,K$1,工数管理!$K$3:$K$98,"&lt;="&amp;$H176,工数管理!$L$3:$L$98,"&gt;="&amp;$H176)+COUNTIFS(工数管理!$AK$3:$AK$98,K$1,工数管理!$M$3:$M$98,"&lt;="&amp;$H176,工数管理!$N$3:$N$98,"&gt;="&amp;$H176)+COUNTIFS(工数管理!$AK$3:$AK$98,K$1,工数管理!$O$3:$O$98,"&lt;="&amp;$H176,工数管理!$P$3:$P$98,"&gt;="&amp;$H176)+COUNTIFS(工数管理!$AK$3:$AK$98,K$1,工数管理!$Q$3:$Q$98,"&lt;="&amp;$H176,工数管理!$R$3:$R$98,"&gt;="&amp;$H176)+COUNTIFS(工数管理!$AK$3:$AK$98,K$1,工数管理!$S$3:$S$98,"&lt;="&amp;$H176,工数管理!$T$3:$T$98,"&gt;="&amp;$H176)+COUNTIFS(工数管理!$AK$3:$AK$98,K$1,工数管理!$U$3:$U$98,"&lt;="&amp;$H176,工数管理!$V$3:$V$98,"&gt;="&amp;$H176)+COUNTIFS(工数管理!$AK$3:$AK$98,K$1,工数管理!$W$3:$W$98,"&lt;="&amp;$H176,工数管理!$X$3:$X$98,"&gt;="&amp;$H176)+COUNTIFS(工数管理!$AK$3:$AK$98,K$1,工数管理!$Y$3:$Y$98,"&lt;="&amp;$H176,工数管理!$Z$3:$Z$98,"&gt;="&amp;$H176)+COUNTIFS(工数管理!$AK$3:$AK$98,K$1,工数管理!$AA$3:$AA$98,"&lt;="&amp;$H176,工数管理!$AB$3:$AB$98,"&gt;="&amp;$H176)+COUNTIFS(工数管理!$AK$3:$AK$98,K$1,工数管理!$AC$3:$AC$98,"&lt;="&amp;$H176,工数管理!$AD$3:$AD$98,"&gt;="&amp;$H176)+COUNTIFS(工数管理!$AK$3:$AK$98,K$1,工数管理!$AE$3:$AE$98,"&lt;="&amp;$H176,工数管理!$AF$3:$AF$98,"&gt;="&amp;$H176)+COUNTIFS(工数管理!$AK$3:$AK$98,K$1,工数管理!$AG$3:$AG$98,"&lt;="&amp;$H176,工数管理!$AH$3:$AH$98,"&gt;="&amp;$H176)+(COUNTIFS(工数管理!$AK$3:$AK$98,K$1,工数管理!$K$3:$K$98,"&lt;="&amp;$H176,工数管理!$L$3:$L$98,"")+COUNTIFS(工数管理!$AK$3:$AK$98,K$1,工数管理!$M$3:$M$98,"&lt;="&amp;$H176,工数管理!$N$3:$N$98,"")+COUNTIFS(工数管理!$AK$3:$AK$98,K$1,工数管理!$O$3:$O$98,"&lt;="&amp;$H176,工数管理!$P$3:$P$98,"")+COUNTIFS(工数管理!$AK$3:$AK$98,K$1,工数管理!$Q$3:$Q$98,"&lt;="&amp;$H176,工数管理!$R$3:$R$98,"")+COUNTIFS(工数管理!$AK$3:$AK$98,K$1,工数管理!$S$3:$S$98,"&lt;="&amp;$H176,工数管理!$T$3:$T$98,"")+COUNTIFS(工数管理!$AK$3:$AK$98,K$1,工数管理!$U$3:$U$98,"&lt;="&amp;$H176,工数管理!$V$3:$V$98,"")+COUNTIFS(工数管理!$AK$3:$AK$98,K$1,工数管理!$W$3:$W$98,"&lt;="&amp;$H176,工数管理!$X$3:$X$98,"")+COUNTIFS(工数管理!$AK$3:$AK$98,K$1,工数管理!$Y$3:$Y$98,"&lt;="&amp;$H176,工数管理!$Z$3:$Z$98,"")+COUNTIFS(工数管理!$AK$3:$AK$98,K$1,工数管理!$AA$3:$AA$98,"&lt;="&amp;$H176,工数管理!$AB$3:$AB$98,"")+COUNTIFS(工数管理!$AK$3:$AK$98,K$1,工数管理!$AC$3:$AC$98,"&lt;="&amp;$H176,工数管理!$AD$3:$AD$98,"")+COUNTIFS(工数管理!$AK$3:$AK$98,K$1,工数管理!$AE$3:$AE$98,"&lt;="&amp;$H176,工数管理!$AF$3:$AF$98,"")+COUNTIFS(工数管理!$AK$3:$AK$98,K$1,工数管理!$AG$3:$AG$98,"&lt;="&amp;$H176,工数管理!$AH$3:$AH$98,""))*($H176&lt;=工数管理!$AI$1))</f>
        <v>0</v>
      </c>
      <c r="L176" s="42">
        <f ca="1">IF(L$1="",0,COUNTIFS(工数管理!$AK$3:$AK$98,L$1,工数管理!$K$3:$K$98,"&lt;="&amp;$H176,工数管理!$L$3:$L$98,"&gt;="&amp;$H176)+COUNTIFS(工数管理!$AK$3:$AK$98,L$1,工数管理!$M$3:$M$98,"&lt;="&amp;$H176,工数管理!$N$3:$N$98,"&gt;="&amp;$H176)+COUNTIFS(工数管理!$AK$3:$AK$98,L$1,工数管理!$O$3:$O$98,"&lt;="&amp;$H176,工数管理!$P$3:$P$98,"&gt;="&amp;$H176)+COUNTIFS(工数管理!$AK$3:$AK$98,L$1,工数管理!$Q$3:$Q$98,"&lt;="&amp;$H176,工数管理!$R$3:$R$98,"&gt;="&amp;$H176)+COUNTIFS(工数管理!$AK$3:$AK$98,L$1,工数管理!$S$3:$S$98,"&lt;="&amp;$H176,工数管理!$T$3:$T$98,"&gt;="&amp;$H176)+COUNTIFS(工数管理!$AK$3:$AK$98,L$1,工数管理!$U$3:$U$98,"&lt;="&amp;$H176,工数管理!$V$3:$V$98,"&gt;="&amp;$H176)+COUNTIFS(工数管理!$AK$3:$AK$98,L$1,工数管理!$W$3:$W$98,"&lt;="&amp;$H176,工数管理!$X$3:$X$98,"&gt;="&amp;$H176)+COUNTIFS(工数管理!$AK$3:$AK$98,L$1,工数管理!$Y$3:$Y$98,"&lt;="&amp;$H176,工数管理!$Z$3:$Z$98,"&gt;="&amp;$H176)+COUNTIFS(工数管理!$AK$3:$AK$98,L$1,工数管理!$AA$3:$AA$98,"&lt;="&amp;$H176,工数管理!$AB$3:$AB$98,"&gt;="&amp;$H176)+COUNTIFS(工数管理!$AK$3:$AK$98,L$1,工数管理!$AC$3:$AC$98,"&lt;="&amp;$H176,工数管理!$AD$3:$AD$98,"&gt;="&amp;$H176)+COUNTIFS(工数管理!$AK$3:$AK$98,L$1,工数管理!$AE$3:$AE$98,"&lt;="&amp;$H176,工数管理!$AF$3:$AF$98,"&gt;="&amp;$H176)+COUNTIFS(工数管理!$AK$3:$AK$98,L$1,工数管理!$AG$3:$AG$98,"&lt;="&amp;$H176,工数管理!$AH$3:$AH$98,"&gt;="&amp;$H176)+(COUNTIFS(工数管理!$AK$3:$AK$98,L$1,工数管理!$K$3:$K$98,"&lt;="&amp;$H176,工数管理!$L$3:$L$98,"")+COUNTIFS(工数管理!$AK$3:$AK$98,L$1,工数管理!$M$3:$M$98,"&lt;="&amp;$H176,工数管理!$N$3:$N$98,"")+COUNTIFS(工数管理!$AK$3:$AK$98,L$1,工数管理!$O$3:$O$98,"&lt;="&amp;$H176,工数管理!$P$3:$P$98,"")+COUNTIFS(工数管理!$AK$3:$AK$98,L$1,工数管理!$Q$3:$Q$98,"&lt;="&amp;$H176,工数管理!$R$3:$R$98,"")+COUNTIFS(工数管理!$AK$3:$AK$98,L$1,工数管理!$S$3:$S$98,"&lt;="&amp;$H176,工数管理!$T$3:$T$98,"")+COUNTIFS(工数管理!$AK$3:$AK$98,L$1,工数管理!$U$3:$U$98,"&lt;="&amp;$H176,工数管理!$V$3:$V$98,"")+COUNTIFS(工数管理!$AK$3:$AK$98,L$1,工数管理!$W$3:$W$98,"&lt;="&amp;$H176,工数管理!$X$3:$X$98,"")+COUNTIFS(工数管理!$AK$3:$AK$98,L$1,工数管理!$Y$3:$Y$98,"&lt;="&amp;$H176,工数管理!$Z$3:$Z$98,"")+COUNTIFS(工数管理!$AK$3:$AK$98,L$1,工数管理!$AA$3:$AA$98,"&lt;="&amp;$H176,工数管理!$AB$3:$AB$98,"")+COUNTIFS(工数管理!$AK$3:$AK$98,L$1,工数管理!$AC$3:$AC$98,"&lt;="&amp;$H176,工数管理!$AD$3:$AD$98,"")+COUNTIFS(工数管理!$AK$3:$AK$98,L$1,工数管理!$AE$3:$AE$98,"&lt;="&amp;$H176,工数管理!$AF$3:$AF$98,"")+COUNTIFS(工数管理!$AK$3:$AK$98,L$1,工数管理!$AG$3:$AG$98,"&lt;="&amp;$H176,工数管理!$AH$3:$AH$98,""))*($H176&lt;=工数管理!$AI$1))</f>
        <v>0</v>
      </c>
    </row>
    <row r="177" spans="1:12" x14ac:dyDescent="0.15">
      <c r="A177" s="5"/>
      <c r="B177" s="6"/>
      <c r="H177" s="41">
        <f t="shared" si="5"/>
        <v>46345</v>
      </c>
      <c r="I177" s="42">
        <f t="shared" si="4"/>
        <v>1</v>
      </c>
      <c r="J177" s="42">
        <f ca="1">IF(J$1="",0,COUNTIFS(工数管理!$AK$3:$AK$98,J$1,工数管理!$K$3:$K$98,"&lt;="&amp;$H177,工数管理!$L$3:$L$98,"&gt;="&amp;$H177)+COUNTIFS(工数管理!$AK$3:$AK$98,J$1,工数管理!$M$3:$M$98,"&lt;="&amp;$H177,工数管理!$N$3:$N$98,"&gt;="&amp;$H177)+COUNTIFS(工数管理!$AK$3:$AK$98,J$1,工数管理!$O$3:$O$98,"&lt;="&amp;$H177,工数管理!$P$3:$P$98,"&gt;="&amp;$H177)+COUNTIFS(工数管理!$AK$3:$AK$98,J$1,工数管理!$Q$3:$Q$98,"&lt;="&amp;$H177,工数管理!$R$3:$R$98,"&gt;="&amp;$H177)+COUNTIFS(工数管理!$AK$3:$AK$98,J$1,工数管理!$S$3:$S$98,"&lt;="&amp;$H177,工数管理!$T$3:$T$98,"&gt;="&amp;$H177)+COUNTIFS(工数管理!$AK$3:$AK$98,J$1,工数管理!$U$3:$U$98,"&lt;="&amp;$H177,工数管理!$V$3:$V$98,"&gt;="&amp;$H177)+COUNTIFS(工数管理!$AK$3:$AK$98,J$1,工数管理!$W$3:$W$98,"&lt;="&amp;$H177,工数管理!$X$3:$X$98,"&gt;="&amp;$H177)+COUNTIFS(工数管理!$AK$3:$AK$98,J$1,工数管理!$Y$3:$Y$98,"&lt;="&amp;$H177,工数管理!$Z$3:$Z$98,"&gt;="&amp;$H177)+COUNTIFS(工数管理!$AK$3:$AK$98,J$1,工数管理!$AA$3:$AA$98,"&lt;="&amp;$H177,工数管理!$AB$3:$AB$98,"&gt;="&amp;$H177)+COUNTIFS(工数管理!$AK$3:$AK$98,J$1,工数管理!$AC$3:$AC$98,"&lt;="&amp;$H177,工数管理!$AD$3:$AD$98,"&gt;="&amp;$H177)+COUNTIFS(工数管理!$AK$3:$AK$98,J$1,工数管理!$AE$3:$AE$98,"&lt;="&amp;$H177,工数管理!$AF$3:$AF$98,"&gt;="&amp;$H177)+COUNTIFS(工数管理!$AK$3:$AK$98,J$1,工数管理!$AG$3:$AG$98,"&lt;="&amp;$H177,工数管理!$AH$3:$AH$98,"&gt;="&amp;$H177)+(COUNTIFS(工数管理!$AK$3:$AK$98,J$1,工数管理!$K$3:$K$98,"&lt;="&amp;$H177,工数管理!$L$3:$L$98,"")+COUNTIFS(工数管理!$AK$3:$AK$98,J$1,工数管理!$M$3:$M$98,"&lt;="&amp;$H177,工数管理!$N$3:$N$98,"")+COUNTIFS(工数管理!$AK$3:$AK$98,J$1,工数管理!$O$3:$O$98,"&lt;="&amp;$H177,工数管理!$P$3:$P$98,"")+COUNTIFS(工数管理!$AK$3:$AK$98,J$1,工数管理!$Q$3:$Q$98,"&lt;="&amp;$H177,工数管理!$R$3:$R$98,"")+COUNTIFS(工数管理!$AK$3:$AK$98,J$1,工数管理!$S$3:$S$98,"&lt;="&amp;$H177,工数管理!$T$3:$T$98,"")+COUNTIFS(工数管理!$AK$3:$AK$98,J$1,工数管理!$U$3:$U$98,"&lt;="&amp;$H177,工数管理!$V$3:$V$98,"")+COUNTIFS(工数管理!$AK$3:$AK$98,J$1,工数管理!$W$3:$W$98,"&lt;="&amp;$H177,工数管理!$X$3:$X$98,"")+COUNTIFS(工数管理!$AK$3:$AK$98,J$1,工数管理!$Y$3:$Y$98,"&lt;="&amp;$H177,工数管理!$Z$3:$Z$98,"")+COUNTIFS(工数管理!$AK$3:$AK$98,J$1,工数管理!$AA$3:$AA$98,"&lt;="&amp;$H177,工数管理!$AB$3:$AB$98,"")+COUNTIFS(工数管理!$AK$3:$AK$98,J$1,工数管理!$AC$3:$AC$98,"&lt;="&amp;$H177,工数管理!$AD$3:$AD$98,"")+COUNTIFS(工数管理!$AK$3:$AK$98,J$1,工数管理!$AE$3:$AE$98,"&lt;="&amp;$H177,工数管理!$AF$3:$AF$98,"")+COUNTIFS(工数管理!$AK$3:$AK$98,J$1,工数管理!$AG$3:$AG$98,"&lt;="&amp;$H177,工数管理!$AH$3:$AH$98,""))*($H177&lt;=工数管理!$AI$1))</f>
        <v>0</v>
      </c>
      <c r="K177" s="42">
        <f ca="1">IF(K$1="",0,COUNTIFS(工数管理!$AK$3:$AK$98,K$1,工数管理!$K$3:$K$98,"&lt;="&amp;$H177,工数管理!$L$3:$L$98,"&gt;="&amp;$H177)+COUNTIFS(工数管理!$AK$3:$AK$98,K$1,工数管理!$M$3:$M$98,"&lt;="&amp;$H177,工数管理!$N$3:$N$98,"&gt;="&amp;$H177)+COUNTIFS(工数管理!$AK$3:$AK$98,K$1,工数管理!$O$3:$O$98,"&lt;="&amp;$H177,工数管理!$P$3:$P$98,"&gt;="&amp;$H177)+COUNTIFS(工数管理!$AK$3:$AK$98,K$1,工数管理!$Q$3:$Q$98,"&lt;="&amp;$H177,工数管理!$R$3:$R$98,"&gt;="&amp;$H177)+COUNTIFS(工数管理!$AK$3:$AK$98,K$1,工数管理!$S$3:$S$98,"&lt;="&amp;$H177,工数管理!$T$3:$T$98,"&gt;="&amp;$H177)+COUNTIFS(工数管理!$AK$3:$AK$98,K$1,工数管理!$U$3:$U$98,"&lt;="&amp;$H177,工数管理!$V$3:$V$98,"&gt;="&amp;$H177)+COUNTIFS(工数管理!$AK$3:$AK$98,K$1,工数管理!$W$3:$W$98,"&lt;="&amp;$H177,工数管理!$X$3:$X$98,"&gt;="&amp;$H177)+COUNTIFS(工数管理!$AK$3:$AK$98,K$1,工数管理!$Y$3:$Y$98,"&lt;="&amp;$H177,工数管理!$Z$3:$Z$98,"&gt;="&amp;$H177)+COUNTIFS(工数管理!$AK$3:$AK$98,K$1,工数管理!$AA$3:$AA$98,"&lt;="&amp;$H177,工数管理!$AB$3:$AB$98,"&gt;="&amp;$H177)+COUNTIFS(工数管理!$AK$3:$AK$98,K$1,工数管理!$AC$3:$AC$98,"&lt;="&amp;$H177,工数管理!$AD$3:$AD$98,"&gt;="&amp;$H177)+COUNTIFS(工数管理!$AK$3:$AK$98,K$1,工数管理!$AE$3:$AE$98,"&lt;="&amp;$H177,工数管理!$AF$3:$AF$98,"&gt;="&amp;$H177)+COUNTIFS(工数管理!$AK$3:$AK$98,K$1,工数管理!$AG$3:$AG$98,"&lt;="&amp;$H177,工数管理!$AH$3:$AH$98,"&gt;="&amp;$H177)+(COUNTIFS(工数管理!$AK$3:$AK$98,K$1,工数管理!$K$3:$K$98,"&lt;="&amp;$H177,工数管理!$L$3:$L$98,"")+COUNTIFS(工数管理!$AK$3:$AK$98,K$1,工数管理!$M$3:$M$98,"&lt;="&amp;$H177,工数管理!$N$3:$N$98,"")+COUNTIFS(工数管理!$AK$3:$AK$98,K$1,工数管理!$O$3:$O$98,"&lt;="&amp;$H177,工数管理!$P$3:$P$98,"")+COUNTIFS(工数管理!$AK$3:$AK$98,K$1,工数管理!$Q$3:$Q$98,"&lt;="&amp;$H177,工数管理!$R$3:$R$98,"")+COUNTIFS(工数管理!$AK$3:$AK$98,K$1,工数管理!$S$3:$S$98,"&lt;="&amp;$H177,工数管理!$T$3:$T$98,"")+COUNTIFS(工数管理!$AK$3:$AK$98,K$1,工数管理!$U$3:$U$98,"&lt;="&amp;$H177,工数管理!$V$3:$V$98,"")+COUNTIFS(工数管理!$AK$3:$AK$98,K$1,工数管理!$W$3:$W$98,"&lt;="&amp;$H177,工数管理!$X$3:$X$98,"")+COUNTIFS(工数管理!$AK$3:$AK$98,K$1,工数管理!$Y$3:$Y$98,"&lt;="&amp;$H177,工数管理!$Z$3:$Z$98,"")+COUNTIFS(工数管理!$AK$3:$AK$98,K$1,工数管理!$AA$3:$AA$98,"&lt;="&amp;$H177,工数管理!$AB$3:$AB$98,"")+COUNTIFS(工数管理!$AK$3:$AK$98,K$1,工数管理!$AC$3:$AC$98,"&lt;="&amp;$H177,工数管理!$AD$3:$AD$98,"")+COUNTIFS(工数管理!$AK$3:$AK$98,K$1,工数管理!$AE$3:$AE$98,"&lt;="&amp;$H177,工数管理!$AF$3:$AF$98,"")+COUNTIFS(工数管理!$AK$3:$AK$98,K$1,工数管理!$AG$3:$AG$98,"&lt;="&amp;$H177,工数管理!$AH$3:$AH$98,""))*($H177&lt;=工数管理!$AI$1))</f>
        <v>0</v>
      </c>
      <c r="L177" s="42">
        <f ca="1">IF(L$1="",0,COUNTIFS(工数管理!$AK$3:$AK$98,L$1,工数管理!$K$3:$K$98,"&lt;="&amp;$H177,工数管理!$L$3:$L$98,"&gt;="&amp;$H177)+COUNTIFS(工数管理!$AK$3:$AK$98,L$1,工数管理!$M$3:$M$98,"&lt;="&amp;$H177,工数管理!$N$3:$N$98,"&gt;="&amp;$H177)+COUNTIFS(工数管理!$AK$3:$AK$98,L$1,工数管理!$O$3:$O$98,"&lt;="&amp;$H177,工数管理!$P$3:$P$98,"&gt;="&amp;$H177)+COUNTIFS(工数管理!$AK$3:$AK$98,L$1,工数管理!$Q$3:$Q$98,"&lt;="&amp;$H177,工数管理!$R$3:$R$98,"&gt;="&amp;$H177)+COUNTIFS(工数管理!$AK$3:$AK$98,L$1,工数管理!$S$3:$S$98,"&lt;="&amp;$H177,工数管理!$T$3:$T$98,"&gt;="&amp;$H177)+COUNTIFS(工数管理!$AK$3:$AK$98,L$1,工数管理!$U$3:$U$98,"&lt;="&amp;$H177,工数管理!$V$3:$V$98,"&gt;="&amp;$H177)+COUNTIFS(工数管理!$AK$3:$AK$98,L$1,工数管理!$W$3:$W$98,"&lt;="&amp;$H177,工数管理!$X$3:$X$98,"&gt;="&amp;$H177)+COUNTIFS(工数管理!$AK$3:$AK$98,L$1,工数管理!$Y$3:$Y$98,"&lt;="&amp;$H177,工数管理!$Z$3:$Z$98,"&gt;="&amp;$H177)+COUNTIFS(工数管理!$AK$3:$AK$98,L$1,工数管理!$AA$3:$AA$98,"&lt;="&amp;$H177,工数管理!$AB$3:$AB$98,"&gt;="&amp;$H177)+COUNTIFS(工数管理!$AK$3:$AK$98,L$1,工数管理!$AC$3:$AC$98,"&lt;="&amp;$H177,工数管理!$AD$3:$AD$98,"&gt;="&amp;$H177)+COUNTIFS(工数管理!$AK$3:$AK$98,L$1,工数管理!$AE$3:$AE$98,"&lt;="&amp;$H177,工数管理!$AF$3:$AF$98,"&gt;="&amp;$H177)+COUNTIFS(工数管理!$AK$3:$AK$98,L$1,工数管理!$AG$3:$AG$98,"&lt;="&amp;$H177,工数管理!$AH$3:$AH$98,"&gt;="&amp;$H177)+(COUNTIFS(工数管理!$AK$3:$AK$98,L$1,工数管理!$K$3:$K$98,"&lt;="&amp;$H177,工数管理!$L$3:$L$98,"")+COUNTIFS(工数管理!$AK$3:$AK$98,L$1,工数管理!$M$3:$M$98,"&lt;="&amp;$H177,工数管理!$N$3:$N$98,"")+COUNTIFS(工数管理!$AK$3:$AK$98,L$1,工数管理!$O$3:$O$98,"&lt;="&amp;$H177,工数管理!$P$3:$P$98,"")+COUNTIFS(工数管理!$AK$3:$AK$98,L$1,工数管理!$Q$3:$Q$98,"&lt;="&amp;$H177,工数管理!$R$3:$R$98,"")+COUNTIFS(工数管理!$AK$3:$AK$98,L$1,工数管理!$S$3:$S$98,"&lt;="&amp;$H177,工数管理!$T$3:$T$98,"")+COUNTIFS(工数管理!$AK$3:$AK$98,L$1,工数管理!$U$3:$U$98,"&lt;="&amp;$H177,工数管理!$V$3:$V$98,"")+COUNTIFS(工数管理!$AK$3:$AK$98,L$1,工数管理!$W$3:$W$98,"&lt;="&amp;$H177,工数管理!$X$3:$X$98,"")+COUNTIFS(工数管理!$AK$3:$AK$98,L$1,工数管理!$Y$3:$Y$98,"&lt;="&amp;$H177,工数管理!$Z$3:$Z$98,"")+COUNTIFS(工数管理!$AK$3:$AK$98,L$1,工数管理!$AA$3:$AA$98,"&lt;="&amp;$H177,工数管理!$AB$3:$AB$98,"")+COUNTIFS(工数管理!$AK$3:$AK$98,L$1,工数管理!$AC$3:$AC$98,"&lt;="&amp;$H177,工数管理!$AD$3:$AD$98,"")+COUNTIFS(工数管理!$AK$3:$AK$98,L$1,工数管理!$AE$3:$AE$98,"&lt;="&amp;$H177,工数管理!$AF$3:$AF$98,"")+COUNTIFS(工数管理!$AK$3:$AK$98,L$1,工数管理!$AG$3:$AG$98,"&lt;="&amp;$H177,工数管理!$AH$3:$AH$98,""))*($H177&lt;=工数管理!$AI$1))</f>
        <v>0</v>
      </c>
    </row>
    <row r="178" spans="1:12" x14ac:dyDescent="0.15">
      <c r="A178" s="5"/>
      <c r="B178" s="6"/>
      <c r="H178" s="41">
        <f t="shared" si="5"/>
        <v>46346</v>
      </c>
      <c r="I178" s="42">
        <f t="shared" si="4"/>
        <v>1</v>
      </c>
      <c r="J178" s="42">
        <f ca="1">IF(J$1="",0,COUNTIFS(工数管理!$AK$3:$AK$98,J$1,工数管理!$K$3:$K$98,"&lt;="&amp;$H178,工数管理!$L$3:$L$98,"&gt;="&amp;$H178)+COUNTIFS(工数管理!$AK$3:$AK$98,J$1,工数管理!$M$3:$M$98,"&lt;="&amp;$H178,工数管理!$N$3:$N$98,"&gt;="&amp;$H178)+COUNTIFS(工数管理!$AK$3:$AK$98,J$1,工数管理!$O$3:$O$98,"&lt;="&amp;$H178,工数管理!$P$3:$P$98,"&gt;="&amp;$H178)+COUNTIFS(工数管理!$AK$3:$AK$98,J$1,工数管理!$Q$3:$Q$98,"&lt;="&amp;$H178,工数管理!$R$3:$R$98,"&gt;="&amp;$H178)+COUNTIFS(工数管理!$AK$3:$AK$98,J$1,工数管理!$S$3:$S$98,"&lt;="&amp;$H178,工数管理!$T$3:$T$98,"&gt;="&amp;$H178)+COUNTIFS(工数管理!$AK$3:$AK$98,J$1,工数管理!$U$3:$U$98,"&lt;="&amp;$H178,工数管理!$V$3:$V$98,"&gt;="&amp;$H178)+COUNTIFS(工数管理!$AK$3:$AK$98,J$1,工数管理!$W$3:$W$98,"&lt;="&amp;$H178,工数管理!$X$3:$X$98,"&gt;="&amp;$H178)+COUNTIFS(工数管理!$AK$3:$AK$98,J$1,工数管理!$Y$3:$Y$98,"&lt;="&amp;$H178,工数管理!$Z$3:$Z$98,"&gt;="&amp;$H178)+COUNTIFS(工数管理!$AK$3:$AK$98,J$1,工数管理!$AA$3:$AA$98,"&lt;="&amp;$H178,工数管理!$AB$3:$AB$98,"&gt;="&amp;$H178)+COUNTIFS(工数管理!$AK$3:$AK$98,J$1,工数管理!$AC$3:$AC$98,"&lt;="&amp;$H178,工数管理!$AD$3:$AD$98,"&gt;="&amp;$H178)+COUNTIFS(工数管理!$AK$3:$AK$98,J$1,工数管理!$AE$3:$AE$98,"&lt;="&amp;$H178,工数管理!$AF$3:$AF$98,"&gt;="&amp;$H178)+COUNTIFS(工数管理!$AK$3:$AK$98,J$1,工数管理!$AG$3:$AG$98,"&lt;="&amp;$H178,工数管理!$AH$3:$AH$98,"&gt;="&amp;$H178)+(COUNTIFS(工数管理!$AK$3:$AK$98,J$1,工数管理!$K$3:$K$98,"&lt;="&amp;$H178,工数管理!$L$3:$L$98,"")+COUNTIFS(工数管理!$AK$3:$AK$98,J$1,工数管理!$M$3:$M$98,"&lt;="&amp;$H178,工数管理!$N$3:$N$98,"")+COUNTIFS(工数管理!$AK$3:$AK$98,J$1,工数管理!$O$3:$O$98,"&lt;="&amp;$H178,工数管理!$P$3:$P$98,"")+COUNTIFS(工数管理!$AK$3:$AK$98,J$1,工数管理!$Q$3:$Q$98,"&lt;="&amp;$H178,工数管理!$R$3:$R$98,"")+COUNTIFS(工数管理!$AK$3:$AK$98,J$1,工数管理!$S$3:$S$98,"&lt;="&amp;$H178,工数管理!$T$3:$T$98,"")+COUNTIFS(工数管理!$AK$3:$AK$98,J$1,工数管理!$U$3:$U$98,"&lt;="&amp;$H178,工数管理!$V$3:$V$98,"")+COUNTIFS(工数管理!$AK$3:$AK$98,J$1,工数管理!$W$3:$W$98,"&lt;="&amp;$H178,工数管理!$X$3:$X$98,"")+COUNTIFS(工数管理!$AK$3:$AK$98,J$1,工数管理!$Y$3:$Y$98,"&lt;="&amp;$H178,工数管理!$Z$3:$Z$98,"")+COUNTIFS(工数管理!$AK$3:$AK$98,J$1,工数管理!$AA$3:$AA$98,"&lt;="&amp;$H178,工数管理!$AB$3:$AB$98,"")+COUNTIFS(工数管理!$AK$3:$AK$98,J$1,工数管理!$AC$3:$AC$98,"&lt;="&amp;$H178,工数管理!$AD$3:$AD$98,"")+COUNTIFS(工数管理!$AK$3:$AK$98,J$1,工数管理!$AE$3:$AE$98,"&lt;="&amp;$H178,工数管理!$AF$3:$AF$98,"")+COUNTIFS(工数管理!$AK$3:$AK$98,J$1,工数管理!$AG$3:$AG$98,"&lt;="&amp;$H178,工数管理!$AH$3:$AH$98,""))*($H178&lt;=工数管理!$AI$1))</f>
        <v>0</v>
      </c>
      <c r="K178" s="42">
        <f ca="1">IF(K$1="",0,COUNTIFS(工数管理!$AK$3:$AK$98,K$1,工数管理!$K$3:$K$98,"&lt;="&amp;$H178,工数管理!$L$3:$L$98,"&gt;="&amp;$H178)+COUNTIFS(工数管理!$AK$3:$AK$98,K$1,工数管理!$M$3:$M$98,"&lt;="&amp;$H178,工数管理!$N$3:$N$98,"&gt;="&amp;$H178)+COUNTIFS(工数管理!$AK$3:$AK$98,K$1,工数管理!$O$3:$O$98,"&lt;="&amp;$H178,工数管理!$P$3:$P$98,"&gt;="&amp;$H178)+COUNTIFS(工数管理!$AK$3:$AK$98,K$1,工数管理!$Q$3:$Q$98,"&lt;="&amp;$H178,工数管理!$R$3:$R$98,"&gt;="&amp;$H178)+COUNTIFS(工数管理!$AK$3:$AK$98,K$1,工数管理!$S$3:$S$98,"&lt;="&amp;$H178,工数管理!$T$3:$T$98,"&gt;="&amp;$H178)+COUNTIFS(工数管理!$AK$3:$AK$98,K$1,工数管理!$U$3:$U$98,"&lt;="&amp;$H178,工数管理!$V$3:$V$98,"&gt;="&amp;$H178)+COUNTIFS(工数管理!$AK$3:$AK$98,K$1,工数管理!$W$3:$W$98,"&lt;="&amp;$H178,工数管理!$X$3:$X$98,"&gt;="&amp;$H178)+COUNTIFS(工数管理!$AK$3:$AK$98,K$1,工数管理!$Y$3:$Y$98,"&lt;="&amp;$H178,工数管理!$Z$3:$Z$98,"&gt;="&amp;$H178)+COUNTIFS(工数管理!$AK$3:$AK$98,K$1,工数管理!$AA$3:$AA$98,"&lt;="&amp;$H178,工数管理!$AB$3:$AB$98,"&gt;="&amp;$H178)+COUNTIFS(工数管理!$AK$3:$AK$98,K$1,工数管理!$AC$3:$AC$98,"&lt;="&amp;$H178,工数管理!$AD$3:$AD$98,"&gt;="&amp;$H178)+COUNTIFS(工数管理!$AK$3:$AK$98,K$1,工数管理!$AE$3:$AE$98,"&lt;="&amp;$H178,工数管理!$AF$3:$AF$98,"&gt;="&amp;$H178)+COUNTIFS(工数管理!$AK$3:$AK$98,K$1,工数管理!$AG$3:$AG$98,"&lt;="&amp;$H178,工数管理!$AH$3:$AH$98,"&gt;="&amp;$H178)+(COUNTIFS(工数管理!$AK$3:$AK$98,K$1,工数管理!$K$3:$K$98,"&lt;="&amp;$H178,工数管理!$L$3:$L$98,"")+COUNTIFS(工数管理!$AK$3:$AK$98,K$1,工数管理!$M$3:$M$98,"&lt;="&amp;$H178,工数管理!$N$3:$N$98,"")+COUNTIFS(工数管理!$AK$3:$AK$98,K$1,工数管理!$O$3:$O$98,"&lt;="&amp;$H178,工数管理!$P$3:$P$98,"")+COUNTIFS(工数管理!$AK$3:$AK$98,K$1,工数管理!$Q$3:$Q$98,"&lt;="&amp;$H178,工数管理!$R$3:$R$98,"")+COUNTIFS(工数管理!$AK$3:$AK$98,K$1,工数管理!$S$3:$S$98,"&lt;="&amp;$H178,工数管理!$T$3:$T$98,"")+COUNTIFS(工数管理!$AK$3:$AK$98,K$1,工数管理!$U$3:$U$98,"&lt;="&amp;$H178,工数管理!$V$3:$V$98,"")+COUNTIFS(工数管理!$AK$3:$AK$98,K$1,工数管理!$W$3:$W$98,"&lt;="&amp;$H178,工数管理!$X$3:$X$98,"")+COUNTIFS(工数管理!$AK$3:$AK$98,K$1,工数管理!$Y$3:$Y$98,"&lt;="&amp;$H178,工数管理!$Z$3:$Z$98,"")+COUNTIFS(工数管理!$AK$3:$AK$98,K$1,工数管理!$AA$3:$AA$98,"&lt;="&amp;$H178,工数管理!$AB$3:$AB$98,"")+COUNTIFS(工数管理!$AK$3:$AK$98,K$1,工数管理!$AC$3:$AC$98,"&lt;="&amp;$H178,工数管理!$AD$3:$AD$98,"")+COUNTIFS(工数管理!$AK$3:$AK$98,K$1,工数管理!$AE$3:$AE$98,"&lt;="&amp;$H178,工数管理!$AF$3:$AF$98,"")+COUNTIFS(工数管理!$AK$3:$AK$98,K$1,工数管理!$AG$3:$AG$98,"&lt;="&amp;$H178,工数管理!$AH$3:$AH$98,""))*($H178&lt;=工数管理!$AI$1))</f>
        <v>0</v>
      </c>
      <c r="L178" s="42">
        <f ca="1">IF(L$1="",0,COUNTIFS(工数管理!$AK$3:$AK$98,L$1,工数管理!$K$3:$K$98,"&lt;="&amp;$H178,工数管理!$L$3:$L$98,"&gt;="&amp;$H178)+COUNTIFS(工数管理!$AK$3:$AK$98,L$1,工数管理!$M$3:$M$98,"&lt;="&amp;$H178,工数管理!$N$3:$N$98,"&gt;="&amp;$H178)+COUNTIFS(工数管理!$AK$3:$AK$98,L$1,工数管理!$O$3:$O$98,"&lt;="&amp;$H178,工数管理!$P$3:$P$98,"&gt;="&amp;$H178)+COUNTIFS(工数管理!$AK$3:$AK$98,L$1,工数管理!$Q$3:$Q$98,"&lt;="&amp;$H178,工数管理!$R$3:$R$98,"&gt;="&amp;$H178)+COUNTIFS(工数管理!$AK$3:$AK$98,L$1,工数管理!$S$3:$S$98,"&lt;="&amp;$H178,工数管理!$T$3:$T$98,"&gt;="&amp;$H178)+COUNTIFS(工数管理!$AK$3:$AK$98,L$1,工数管理!$U$3:$U$98,"&lt;="&amp;$H178,工数管理!$V$3:$V$98,"&gt;="&amp;$H178)+COUNTIFS(工数管理!$AK$3:$AK$98,L$1,工数管理!$W$3:$W$98,"&lt;="&amp;$H178,工数管理!$X$3:$X$98,"&gt;="&amp;$H178)+COUNTIFS(工数管理!$AK$3:$AK$98,L$1,工数管理!$Y$3:$Y$98,"&lt;="&amp;$H178,工数管理!$Z$3:$Z$98,"&gt;="&amp;$H178)+COUNTIFS(工数管理!$AK$3:$AK$98,L$1,工数管理!$AA$3:$AA$98,"&lt;="&amp;$H178,工数管理!$AB$3:$AB$98,"&gt;="&amp;$H178)+COUNTIFS(工数管理!$AK$3:$AK$98,L$1,工数管理!$AC$3:$AC$98,"&lt;="&amp;$H178,工数管理!$AD$3:$AD$98,"&gt;="&amp;$H178)+COUNTIFS(工数管理!$AK$3:$AK$98,L$1,工数管理!$AE$3:$AE$98,"&lt;="&amp;$H178,工数管理!$AF$3:$AF$98,"&gt;="&amp;$H178)+COUNTIFS(工数管理!$AK$3:$AK$98,L$1,工数管理!$AG$3:$AG$98,"&lt;="&amp;$H178,工数管理!$AH$3:$AH$98,"&gt;="&amp;$H178)+(COUNTIFS(工数管理!$AK$3:$AK$98,L$1,工数管理!$K$3:$K$98,"&lt;="&amp;$H178,工数管理!$L$3:$L$98,"")+COUNTIFS(工数管理!$AK$3:$AK$98,L$1,工数管理!$M$3:$M$98,"&lt;="&amp;$H178,工数管理!$N$3:$N$98,"")+COUNTIFS(工数管理!$AK$3:$AK$98,L$1,工数管理!$O$3:$O$98,"&lt;="&amp;$H178,工数管理!$P$3:$P$98,"")+COUNTIFS(工数管理!$AK$3:$AK$98,L$1,工数管理!$Q$3:$Q$98,"&lt;="&amp;$H178,工数管理!$R$3:$R$98,"")+COUNTIFS(工数管理!$AK$3:$AK$98,L$1,工数管理!$S$3:$S$98,"&lt;="&amp;$H178,工数管理!$T$3:$T$98,"")+COUNTIFS(工数管理!$AK$3:$AK$98,L$1,工数管理!$U$3:$U$98,"&lt;="&amp;$H178,工数管理!$V$3:$V$98,"")+COUNTIFS(工数管理!$AK$3:$AK$98,L$1,工数管理!$W$3:$W$98,"&lt;="&amp;$H178,工数管理!$X$3:$X$98,"")+COUNTIFS(工数管理!$AK$3:$AK$98,L$1,工数管理!$Y$3:$Y$98,"&lt;="&amp;$H178,工数管理!$Z$3:$Z$98,"")+COUNTIFS(工数管理!$AK$3:$AK$98,L$1,工数管理!$AA$3:$AA$98,"&lt;="&amp;$H178,工数管理!$AB$3:$AB$98,"")+COUNTIFS(工数管理!$AK$3:$AK$98,L$1,工数管理!$AC$3:$AC$98,"&lt;="&amp;$H178,工数管理!$AD$3:$AD$98,"")+COUNTIFS(工数管理!$AK$3:$AK$98,L$1,工数管理!$AE$3:$AE$98,"&lt;="&amp;$H178,工数管理!$AF$3:$AF$98,"")+COUNTIFS(工数管理!$AK$3:$AK$98,L$1,工数管理!$AG$3:$AG$98,"&lt;="&amp;$H178,工数管理!$AH$3:$AH$98,""))*($H178&lt;=工数管理!$AI$1))</f>
        <v>0</v>
      </c>
    </row>
    <row r="179" spans="1:12" x14ac:dyDescent="0.15">
      <c r="A179" s="5"/>
      <c r="B179" s="6"/>
      <c r="H179" s="41">
        <f t="shared" si="5"/>
        <v>46347</v>
      </c>
      <c r="I179" s="42">
        <f t="shared" si="4"/>
        <v>0</v>
      </c>
      <c r="J179" s="42">
        <f ca="1">IF(J$1="",0,COUNTIFS(工数管理!$AK$3:$AK$98,J$1,工数管理!$K$3:$K$98,"&lt;="&amp;$H179,工数管理!$L$3:$L$98,"&gt;="&amp;$H179)+COUNTIFS(工数管理!$AK$3:$AK$98,J$1,工数管理!$M$3:$M$98,"&lt;="&amp;$H179,工数管理!$N$3:$N$98,"&gt;="&amp;$H179)+COUNTIFS(工数管理!$AK$3:$AK$98,J$1,工数管理!$O$3:$O$98,"&lt;="&amp;$H179,工数管理!$P$3:$P$98,"&gt;="&amp;$H179)+COUNTIFS(工数管理!$AK$3:$AK$98,J$1,工数管理!$Q$3:$Q$98,"&lt;="&amp;$H179,工数管理!$R$3:$R$98,"&gt;="&amp;$H179)+COUNTIFS(工数管理!$AK$3:$AK$98,J$1,工数管理!$S$3:$S$98,"&lt;="&amp;$H179,工数管理!$T$3:$T$98,"&gt;="&amp;$H179)+COUNTIFS(工数管理!$AK$3:$AK$98,J$1,工数管理!$U$3:$U$98,"&lt;="&amp;$H179,工数管理!$V$3:$V$98,"&gt;="&amp;$H179)+COUNTIFS(工数管理!$AK$3:$AK$98,J$1,工数管理!$W$3:$W$98,"&lt;="&amp;$H179,工数管理!$X$3:$X$98,"&gt;="&amp;$H179)+COUNTIFS(工数管理!$AK$3:$AK$98,J$1,工数管理!$Y$3:$Y$98,"&lt;="&amp;$H179,工数管理!$Z$3:$Z$98,"&gt;="&amp;$H179)+COUNTIFS(工数管理!$AK$3:$AK$98,J$1,工数管理!$AA$3:$AA$98,"&lt;="&amp;$H179,工数管理!$AB$3:$AB$98,"&gt;="&amp;$H179)+COUNTIFS(工数管理!$AK$3:$AK$98,J$1,工数管理!$AC$3:$AC$98,"&lt;="&amp;$H179,工数管理!$AD$3:$AD$98,"&gt;="&amp;$H179)+COUNTIFS(工数管理!$AK$3:$AK$98,J$1,工数管理!$AE$3:$AE$98,"&lt;="&amp;$H179,工数管理!$AF$3:$AF$98,"&gt;="&amp;$H179)+COUNTIFS(工数管理!$AK$3:$AK$98,J$1,工数管理!$AG$3:$AG$98,"&lt;="&amp;$H179,工数管理!$AH$3:$AH$98,"&gt;="&amp;$H179)+(COUNTIFS(工数管理!$AK$3:$AK$98,J$1,工数管理!$K$3:$K$98,"&lt;="&amp;$H179,工数管理!$L$3:$L$98,"")+COUNTIFS(工数管理!$AK$3:$AK$98,J$1,工数管理!$M$3:$M$98,"&lt;="&amp;$H179,工数管理!$N$3:$N$98,"")+COUNTIFS(工数管理!$AK$3:$AK$98,J$1,工数管理!$O$3:$O$98,"&lt;="&amp;$H179,工数管理!$P$3:$P$98,"")+COUNTIFS(工数管理!$AK$3:$AK$98,J$1,工数管理!$Q$3:$Q$98,"&lt;="&amp;$H179,工数管理!$R$3:$R$98,"")+COUNTIFS(工数管理!$AK$3:$AK$98,J$1,工数管理!$S$3:$S$98,"&lt;="&amp;$H179,工数管理!$T$3:$T$98,"")+COUNTIFS(工数管理!$AK$3:$AK$98,J$1,工数管理!$U$3:$U$98,"&lt;="&amp;$H179,工数管理!$V$3:$V$98,"")+COUNTIFS(工数管理!$AK$3:$AK$98,J$1,工数管理!$W$3:$W$98,"&lt;="&amp;$H179,工数管理!$X$3:$X$98,"")+COUNTIFS(工数管理!$AK$3:$AK$98,J$1,工数管理!$Y$3:$Y$98,"&lt;="&amp;$H179,工数管理!$Z$3:$Z$98,"")+COUNTIFS(工数管理!$AK$3:$AK$98,J$1,工数管理!$AA$3:$AA$98,"&lt;="&amp;$H179,工数管理!$AB$3:$AB$98,"")+COUNTIFS(工数管理!$AK$3:$AK$98,J$1,工数管理!$AC$3:$AC$98,"&lt;="&amp;$H179,工数管理!$AD$3:$AD$98,"")+COUNTIFS(工数管理!$AK$3:$AK$98,J$1,工数管理!$AE$3:$AE$98,"&lt;="&amp;$H179,工数管理!$AF$3:$AF$98,"")+COUNTIFS(工数管理!$AK$3:$AK$98,J$1,工数管理!$AG$3:$AG$98,"&lt;="&amp;$H179,工数管理!$AH$3:$AH$98,""))*($H179&lt;=工数管理!$AI$1))</f>
        <v>0</v>
      </c>
      <c r="K179" s="42">
        <f ca="1">IF(K$1="",0,COUNTIFS(工数管理!$AK$3:$AK$98,K$1,工数管理!$K$3:$K$98,"&lt;="&amp;$H179,工数管理!$L$3:$L$98,"&gt;="&amp;$H179)+COUNTIFS(工数管理!$AK$3:$AK$98,K$1,工数管理!$M$3:$M$98,"&lt;="&amp;$H179,工数管理!$N$3:$N$98,"&gt;="&amp;$H179)+COUNTIFS(工数管理!$AK$3:$AK$98,K$1,工数管理!$O$3:$O$98,"&lt;="&amp;$H179,工数管理!$P$3:$P$98,"&gt;="&amp;$H179)+COUNTIFS(工数管理!$AK$3:$AK$98,K$1,工数管理!$Q$3:$Q$98,"&lt;="&amp;$H179,工数管理!$R$3:$R$98,"&gt;="&amp;$H179)+COUNTIFS(工数管理!$AK$3:$AK$98,K$1,工数管理!$S$3:$S$98,"&lt;="&amp;$H179,工数管理!$T$3:$T$98,"&gt;="&amp;$H179)+COUNTIFS(工数管理!$AK$3:$AK$98,K$1,工数管理!$U$3:$U$98,"&lt;="&amp;$H179,工数管理!$V$3:$V$98,"&gt;="&amp;$H179)+COUNTIFS(工数管理!$AK$3:$AK$98,K$1,工数管理!$W$3:$W$98,"&lt;="&amp;$H179,工数管理!$X$3:$X$98,"&gt;="&amp;$H179)+COUNTIFS(工数管理!$AK$3:$AK$98,K$1,工数管理!$Y$3:$Y$98,"&lt;="&amp;$H179,工数管理!$Z$3:$Z$98,"&gt;="&amp;$H179)+COUNTIFS(工数管理!$AK$3:$AK$98,K$1,工数管理!$AA$3:$AA$98,"&lt;="&amp;$H179,工数管理!$AB$3:$AB$98,"&gt;="&amp;$H179)+COUNTIFS(工数管理!$AK$3:$AK$98,K$1,工数管理!$AC$3:$AC$98,"&lt;="&amp;$H179,工数管理!$AD$3:$AD$98,"&gt;="&amp;$H179)+COUNTIFS(工数管理!$AK$3:$AK$98,K$1,工数管理!$AE$3:$AE$98,"&lt;="&amp;$H179,工数管理!$AF$3:$AF$98,"&gt;="&amp;$H179)+COUNTIFS(工数管理!$AK$3:$AK$98,K$1,工数管理!$AG$3:$AG$98,"&lt;="&amp;$H179,工数管理!$AH$3:$AH$98,"&gt;="&amp;$H179)+(COUNTIFS(工数管理!$AK$3:$AK$98,K$1,工数管理!$K$3:$K$98,"&lt;="&amp;$H179,工数管理!$L$3:$L$98,"")+COUNTIFS(工数管理!$AK$3:$AK$98,K$1,工数管理!$M$3:$M$98,"&lt;="&amp;$H179,工数管理!$N$3:$N$98,"")+COUNTIFS(工数管理!$AK$3:$AK$98,K$1,工数管理!$O$3:$O$98,"&lt;="&amp;$H179,工数管理!$P$3:$P$98,"")+COUNTIFS(工数管理!$AK$3:$AK$98,K$1,工数管理!$Q$3:$Q$98,"&lt;="&amp;$H179,工数管理!$R$3:$R$98,"")+COUNTIFS(工数管理!$AK$3:$AK$98,K$1,工数管理!$S$3:$S$98,"&lt;="&amp;$H179,工数管理!$T$3:$T$98,"")+COUNTIFS(工数管理!$AK$3:$AK$98,K$1,工数管理!$U$3:$U$98,"&lt;="&amp;$H179,工数管理!$V$3:$V$98,"")+COUNTIFS(工数管理!$AK$3:$AK$98,K$1,工数管理!$W$3:$W$98,"&lt;="&amp;$H179,工数管理!$X$3:$X$98,"")+COUNTIFS(工数管理!$AK$3:$AK$98,K$1,工数管理!$Y$3:$Y$98,"&lt;="&amp;$H179,工数管理!$Z$3:$Z$98,"")+COUNTIFS(工数管理!$AK$3:$AK$98,K$1,工数管理!$AA$3:$AA$98,"&lt;="&amp;$H179,工数管理!$AB$3:$AB$98,"")+COUNTIFS(工数管理!$AK$3:$AK$98,K$1,工数管理!$AC$3:$AC$98,"&lt;="&amp;$H179,工数管理!$AD$3:$AD$98,"")+COUNTIFS(工数管理!$AK$3:$AK$98,K$1,工数管理!$AE$3:$AE$98,"&lt;="&amp;$H179,工数管理!$AF$3:$AF$98,"")+COUNTIFS(工数管理!$AK$3:$AK$98,K$1,工数管理!$AG$3:$AG$98,"&lt;="&amp;$H179,工数管理!$AH$3:$AH$98,""))*($H179&lt;=工数管理!$AI$1))</f>
        <v>0</v>
      </c>
      <c r="L179" s="42">
        <f ca="1">IF(L$1="",0,COUNTIFS(工数管理!$AK$3:$AK$98,L$1,工数管理!$K$3:$K$98,"&lt;="&amp;$H179,工数管理!$L$3:$L$98,"&gt;="&amp;$H179)+COUNTIFS(工数管理!$AK$3:$AK$98,L$1,工数管理!$M$3:$M$98,"&lt;="&amp;$H179,工数管理!$N$3:$N$98,"&gt;="&amp;$H179)+COUNTIFS(工数管理!$AK$3:$AK$98,L$1,工数管理!$O$3:$O$98,"&lt;="&amp;$H179,工数管理!$P$3:$P$98,"&gt;="&amp;$H179)+COUNTIFS(工数管理!$AK$3:$AK$98,L$1,工数管理!$Q$3:$Q$98,"&lt;="&amp;$H179,工数管理!$R$3:$R$98,"&gt;="&amp;$H179)+COUNTIFS(工数管理!$AK$3:$AK$98,L$1,工数管理!$S$3:$S$98,"&lt;="&amp;$H179,工数管理!$T$3:$T$98,"&gt;="&amp;$H179)+COUNTIFS(工数管理!$AK$3:$AK$98,L$1,工数管理!$U$3:$U$98,"&lt;="&amp;$H179,工数管理!$V$3:$V$98,"&gt;="&amp;$H179)+COUNTIFS(工数管理!$AK$3:$AK$98,L$1,工数管理!$W$3:$W$98,"&lt;="&amp;$H179,工数管理!$X$3:$X$98,"&gt;="&amp;$H179)+COUNTIFS(工数管理!$AK$3:$AK$98,L$1,工数管理!$Y$3:$Y$98,"&lt;="&amp;$H179,工数管理!$Z$3:$Z$98,"&gt;="&amp;$H179)+COUNTIFS(工数管理!$AK$3:$AK$98,L$1,工数管理!$AA$3:$AA$98,"&lt;="&amp;$H179,工数管理!$AB$3:$AB$98,"&gt;="&amp;$H179)+COUNTIFS(工数管理!$AK$3:$AK$98,L$1,工数管理!$AC$3:$AC$98,"&lt;="&amp;$H179,工数管理!$AD$3:$AD$98,"&gt;="&amp;$H179)+COUNTIFS(工数管理!$AK$3:$AK$98,L$1,工数管理!$AE$3:$AE$98,"&lt;="&amp;$H179,工数管理!$AF$3:$AF$98,"&gt;="&amp;$H179)+COUNTIFS(工数管理!$AK$3:$AK$98,L$1,工数管理!$AG$3:$AG$98,"&lt;="&amp;$H179,工数管理!$AH$3:$AH$98,"&gt;="&amp;$H179)+(COUNTIFS(工数管理!$AK$3:$AK$98,L$1,工数管理!$K$3:$K$98,"&lt;="&amp;$H179,工数管理!$L$3:$L$98,"")+COUNTIFS(工数管理!$AK$3:$AK$98,L$1,工数管理!$M$3:$M$98,"&lt;="&amp;$H179,工数管理!$N$3:$N$98,"")+COUNTIFS(工数管理!$AK$3:$AK$98,L$1,工数管理!$O$3:$O$98,"&lt;="&amp;$H179,工数管理!$P$3:$P$98,"")+COUNTIFS(工数管理!$AK$3:$AK$98,L$1,工数管理!$Q$3:$Q$98,"&lt;="&amp;$H179,工数管理!$R$3:$R$98,"")+COUNTIFS(工数管理!$AK$3:$AK$98,L$1,工数管理!$S$3:$S$98,"&lt;="&amp;$H179,工数管理!$T$3:$T$98,"")+COUNTIFS(工数管理!$AK$3:$AK$98,L$1,工数管理!$U$3:$U$98,"&lt;="&amp;$H179,工数管理!$V$3:$V$98,"")+COUNTIFS(工数管理!$AK$3:$AK$98,L$1,工数管理!$W$3:$W$98,"&lt;="&amp;$H179,工数管理!$X$3:$X$98,"")+COUNTIFS(工数管理!$AK$3:$AK$98,L$1,工数管理!$Y$3:$Y$98,"&lt;="&amp;$H179,工数管理!$Z$3:$Z$98,"")+COUNTIFS(工数管理!$AK$3:$AK$98,L$1,工数管理!$AA$3:$AA$98,"&lt;="&amp;$H179,工数管理!$AB$3:$AB$98,"")+COUNTIFS(工数管理!$AK$3:$AK$98,L$1,工数管理!$AC$3:$AC$98,"&lt;="&amp;$H179,工数管理!$AD$3:$AD$98,"")+COUNTIFS(工数管理!$AK$3:$AK$98,L$1,工数管理!$AE$3:$AE$98,"&lt;="&amp;$H179,工数管理!$AF$3:$AF$98,"")+COUNTIFS(工数管理!$AK$3:$AK$98,L$1,工数管理!$AG$3:$AG$98,"&lt;="&amp;$H179,工数管理!$AH$3:$AH$98,""))*($H179&lt;=工数管理!$AI$1))</f>
        <v>0</v>
      </c>
    </row>
    <row r="180" spans="1:12" x14ac:dyDescent="0.15">
      <c r="A180" s="5"/>
      <c r="B180" s="6"/>
      <c r="H180" s="41">
        <f t="shared" si="5"/>
        <v>46348</v>
      </c>
      <c r="I180" s="42">
        <f t="shared" si="4"/>
        <v>0</v>
      </c>
      <c r="J180" s="42">
        <f ca="1">IF(J$1="",0,COUNTIFS(工数管理!$AK$3:$AK$98,J$1,工数管理!$K$3:$K$98,"&lt;="&amp;$H180,工数管理!$L$3:$L$98,"&gt;="&amp;$H180)+COUNTIFS(工数管理!$AK$3:$AK$98,J$1,工数管理!$M$3:$M$98,"&lt;="&amp;$H180,工数管理!$N$3:$N$98,"&gt;="&amp;$H180)+COUNTIFS(工数管理!$AK$3:$AK$98,J$1,工数管理!$O$3:$O$98,"&lt;="&amp;$H180,工数管理!$P$3:$P$98,"&gt;="&amp;$H180)+COUNTIFS(工数管理!$AK$3:$AK$98,J$1,工数管理!$Q$3:$Q$98,"&lt;="&amp;$H180,工数管理!$R$3:$R$98,"&gt;="&amp;$H180)+COUNTIFS(工数管理!$AK$3:$AK$98,J$1,工数管理!$S$3:$S$98,"&lt;="&amp;$H180,工数管理!$T$3:$T$98,"&gt;="&amp;$H180)+COUNTIFS(工数管理!$AK$3:$AK$98,J$1,工数管理!$U$3:$U$98,"&lt;="&amp;$H180,工数管理!$V$3:$V$98,"&gt;="&amp;$H180)+COUNTIFS(工数管理!$AK$3:$AK$98,J$1,工数管理!$W$3:$W$98,"&lt;="&amp;$H180,工数管理!$X$3:$X$98,"&gt;="&amp;$H180)+COUNTIFS(工数管理!$AK$3:$AK$98,J$1,工数管理!$Y$3:$Y$98,"&lt;="&amp;$H180,工数管理!$Z$3:$Z$98,"&gt;="&amp;$H180)+COUNTIFS(工数管理!$AK$3:$AK$98,J$1,工数管理!$AA$3:$AA$98,"&lt;="&amp;$H180,工数管理!$AB$3:$AB$98,"&gt;="&amp;$H180)+COUNTIFS(工数管理!$AK$3:$AK$98,J$1,工数管理!$AC$3:$AC$98,"&lt;="&amp;$H180,工数管理!$AD$3:$AD$98,"&gt;="&amp;$H180)+COUNTIFS(工数管理!$AK$3:$AK$98,J$1,工数管理!$AE$3:$AE$98,"&lt;="&amp;$H180,工数管理!$AF$3:$AF$98,"&gt;="&amp;$H180)+COUNTIFS(工数管理!$AK$3:$AK$98,J$1,工数管理!$AG$3:$AG$98,"&lt;="&amp;$H180,工数管理!$AH$3:$AH$98,"&gt;="&amp;$H180)+(COUNTIFS(工数管理!$AK$3:$AK$98,J$1,工数管理!$K$3:$K$98,"&lt;="&amp;$H180,工数管理!$L$3:$L$98,"")+COUNTIFS(工数管理!$AK$3:$AK$98,J$1,工数管理!$M$3:$M$98,"&lt;="&amp;$H180,工数管理!$N$3:$N$98,"")+COUNTIFS(工数管理!$AK$3:$AK$98,J$1,工数管理!$O$3:$O$98,"&lt;="&amp;$H180,工数管理!$P$3:$P$98,"")+COUNTIFS(工数管理!$AK$3:$AK$98,J$1,工数管理!$Q$3:$Q$98,"&lt;="&amp;$H180,工数管理!$R$3:$R$98,"")+COUNTIFS(工数管理!$AK$3:$AK$98,J$1,工数管理!$S$3:$S$98,"&lt;="&amp;$H180,工数管理!$T$3:$T$98,"")+COUNTIFS(工数管理!$AK$3:$AK$98,J$1,工数管理!$U$3:$U$98,"&lt;="&amp;$H180,工数管理!$V$3:$V$98,"")+COUNTIFS(工数管理!$AK$3:$AK$98,J$1,工数管理!$W$3:$W$98,"&lt;="&amp;$H180,工数管理!$X$3:$X$98,"")+COUNTIFS(工数管理!$AK$3:$AK$98,J$1,工数管理!$Y$3:$Y$98,"&lt;="&amp;$H180,工数管理!$Z$3:$Z$98,"")+COUNTIFS(工数管理!$AK$3:$AK$98,J$1,工数管理!$AA$3:$AA$98,"&lt;="&amp;$H180,工数管理!$AB$3:$AB$98,"")+COUNTIFS(工数管理!$AK$3:$AK$98,J$1,工数管理!$AC$3:$AC$98,"&lt;="&amp;$H180,工数管理!$AD$3:$AD$98,"")+COUNTIFS(工数管理!$AK$3:$AK$98,J$1,工数管理!$AE$3:$AE$98,"&lt;="&amp;$H180,工数管理!$AF$3:$AF$98,"")+COUNTIFS(工数管理!$AK$3:$AK$98,J$1,工数管理!$AG$3:$AG$98,"&lt;="&amp;$H180,工数管理!$AH$3:$AH$98,""))*($H180&lt;=工数管理!$AI$1))</f>
        <v>0</v>
      </c>
      <c r="K180" s="42">
        <f ca="1">IF(K$1="",0,COUNTIFS(工数管理!$AK$3:$AK$98,K$1,工数管理!$K$3:$K$98,"&lt;="&amp;$H180,工数管理!$L$3:$L$98,"&gt;="&amp;$H180)+COUNTIFS(工数管理!$AK$3:$AK$98,K$1,工数管理!$M$3:$M$98,"&lt;="&amp;$H180,工数管理!$N$3:$N$98,"&gt;="&amp;$H180)+COUNTIFS(工数管理!$AK$3:$AK$98,K$1,工数管理!$O$3:$O$98,"&lt;="&amp;$H180,工数管理!$P$3:$P$98,"&gt;="&amp;$H180)+COUNTIFS(工数管理!$AK$3:$AK$98,K$1,工数管理!$Q$3:$Q$98,"&lt;="&amp;$H180,工数管理!$R$3:$R$98,"&gt;="&amp;$H180)+COUNTIFS(工数管理!$AK$3:$AK$98,K$1,工数管理!$S$3:$S$98,"&lt;="&amp;$H180,工数管理!$T$3:$T$98,"&gt;="&amp;$H180)+COUNTIFS(工数管理!$AK$3:$AK$98,K$1,工数管理!$U$3:$U$98,"&lt;="&amp;$H180,工数管理!$V$3:$V$98,"&gt;="&amp;$H180)+COUNTIFS(工数管理!$AK$3:$AK$98,K$1,工数管理!$W$3:$W$98,"&lt;="&amp;$H180,工数管理!$X$3:$X$98,"&gt;="&amp;$H180)+COUNTIFS(工数管理!$AK$3:$AK$98,K$1,工数管理!$Y$3:$Y$98,"&lt;="&amp;$H180,工数管理!$Z$3:$Z$98,"&gt;="&amp;$H180)+COUNTIFS(工数管理!$AK$3:$AK$98,K$1,工数管理!$AA$3:$AA$98,"&lt;="&amp;$H180,工数管理!$AB$3:$AB$98,"&gt;="&amp;$H180)+COUNTIFS(工数管理!$AK$3:$AK$98,K$1,工数管理!$AC$3:$AC$98,"&lt;="&amp;$H180,工数管理!$AD$3:$AD$98,"&gt;="&amp;$H180)+COUNTIFS(工数管理!$AK$3:$AK$98,K$1,工数管理!$AE$3:$AE$98,"&lt;="&amp;$H180,工数管理!$AF$3:$AF$98,"&gt;="&amp;$H180)+COUNTIFS(工数管理!$AK$3:$AK$98,K$1,工数管理!$AG$3:$AG$98,"&lt;="&amp;$H180,工数管理!$AH$3:$AH$98,"&gt;="&amp;$H180)+(COUNTIFS(工数管理!$AK$3:$AK$98,K$1,工数管理!$K$3:$K$98,"&lt;="&amp;$H180,工数管理!$L$3:$L$98,"")+COUNTIFS(工数管理!$AK$3:$AK$98,K$1,工数管理!$M$3:$M$98,"&lt;="&amp;$H180,工数管理!$N$3:$N$98,"")+COUNTIFS(工数管理!$AK$3:$AK$98,K$1,工数管理!$O$3:$O$98,"&lt;="&amp;$H180,工数管理!$P$3:$P$98,"")+COUNTIFS(工数管理!$AK$3:$AK$98,K$1,工数管理!$Q$3:$Q$98,"&lt;="&amp;$H180,工数管理!$R$3:$R$98,"")+COUNTIFS(工数管理!$AK$3:$AK$98,K$1,工数管理!$S$3:$S$98,"&lt;="&amp;$H180,工数管理!$T$3:$T$98,"")+COUNTIFS(工数管理!$AK$3:$AK$98,K$1,工数管理!$U$3:$U$98,"&lt;="&amp;$H180,工数管理!$V$3:$V$98,"")+COUNTIFS(工数管理!$AK$3:$AK$98,K$1,工数管理!$W$3:$W$98,"&lt;="&amp;$H180,工数管理!$X$3:$X$98,"")+COUNTIFS(工数管理!$AK$3:$AK$98,K$1,工数管理!$Y$3:$Y$98,"&lt;="&amp;$H180,工数管理!$Z$3:$Z$98,"")+COUNTIFS(工数管理!$AK$3:$AK$98,K$1,工数管理!$AA$3:$AA$98,"&lt;="&amp;$H180,工数管理!$AB$3:$AB$98,"")+COUNTIFS(工数管理!$AK$3:$AK$98,K$1,工数管理!$AC$3:$AC$98,"&lt;="&amp;$H180,工数管理!$AD$3:$AD$98,"")+COUNTIFS(工数管理!$AK$3:$AK$98,K$1,工数管理!$AE$3:$AE$98,"&lt;="&amp;$H180,工数管理!$AF$3:$AF$98,"")+COUNTIFS(工数管理!$AK$3:$AK$98,K$1,工数管理!$AG$3:$AG$98,"&lt;="&amp;$H180,工数管理!$AH$3:$AH$98,""))*($H180&lt;=工数管理!$AI$1))</f>
        <v>0</v>
      </c>
      <c r="L180" s="42">
        <f ca="1">IF(L$1="",0,COUNTIFS(工数管理!$AK$3:$AK$98,L$1,工数管理!$K$3:$K$98,"&lt;="&amp;$H180,工数管理!$L$3:$L$98,"&gt;="&amp;$H180)+COUNTIFS(工数管理!$AK$3:$AK$98,L$1,工数管理!$M$3:$M$98,"&lt;="&amp;$H180,工数管理!$N$3:$N$98,"&gt;="&amp;$H180)+COUNTIFS(工数管理!$AK$3:$AK$98,L$1,工数管理!$O$3:$O$98,"&lt;="&amp;$H180,工数管理!$P$3:$P$98,"&gt;="&amp;$H180)+COUNTIFS(工数管理!$AK$3:$AK$98,L$1,工数管理!$Q$3:$Q$98,"&lt;="&amp;$H180,工数管理!$R$3:$R$98,"&gt;="&amp;$H180)+COUNTIFS(工数管理!$AK$3:$AK$98,L$1,工数管理!$S$3:$S$98,"&lt;="&amp;$H180,工数管理!$T$3:$T$98,"&gt;="&amp;$H180)+COUNTIFS(工数管理!$AK$3:$AK$98,L$1,工数管理!$U$3:$U$98,"&lt;="&amp;$H180,工数管理!$V$3:$V$98,"&gt;="&amp;$H180)+COUNTIFS(工数管理!$AK$3:$AK$98,L$1,工数管理!$W$3:$W$98,"&lt;="&amp;$H180,工数管理!$X$3:$X$98,"&gt;="&amp;$H180)+COUNTIFS(工数管理!$AK$3:$AK$98,L$1,工数管理!$Y$3:$Y$98,"&lt;="&amp;$H180,工数管理!$Z$3:$Z$98,"&gt;="&amp;$H180)+COUNTIFS(工数管理!$AK$3:$AK$98,L$1,工数管理!$AA$3:$AA$98,"&lt;="&amp;$H180,工数管理!$AB$3:$AB$98,"&gt;="&amp;$H180)+COUNTIFS(工数管理!$AK$3:$AK$98,L$1,工数管理!$AC$3:$AC$98,"&lt;="&amp;$H180,工数管理!$AD$3:$AD$98,"&gt;="&amp;$H180)+COUNTIFS(工数管理!$AK$3:$AK$98,L$1,工数管理!$AE$3:$AE$98,"&lt;="&amp;$H180,工数管理!$AF$3:$AF$98,"&gt;="&amp;$H180)+COUNTIFS(工数管理!$AK$3:$AK$98,L$1,工数管理!$AG$3:$AG$98,"&lt;="&amp;$H180,工数管理!$AH$3:$AH$98,"&gt;="&amp;$H180)+(COUNTIFS(工数管理!$AK$3:$AK$98,L$1,工数管理!$K$3:$K$98,"&lt;="&amp;$H180,工数管理!$L$3:$L$98,"")+COUNTIFS(工数管理!$AK$3:$AK$98,L$1,工数管理!$M$3:$M$98,"&lt;="&amp;$H180,工数管理!$N$3:$N$98,"")+COUNTIFS(工数管理!$AK$3:$AK$98,L$1,工数管理!$O$3:$O$98,"&lt;="&amp;$H180,工数管理!$P$3:$P$98,"")+COUNTIFS(工数管理!$AK$3:$AK$98,L$1,工数管理!$Q$3:$Q$98,"&lt;="&amp;$H180,工数管理!$R$3:$R$98,"")+COUNTIFS(工数管理!$AK$3:$AK$98,L$1,工数管理!$S$3:$S$98,"&lt;="&amp;$H180,工数管理!$T$3:$T$98,"")+COUNTIFS(工数管理!$AK$3:$AK$98,L$1,工数管理!$U$3:$U$98,"&lt;="&amp;$H180,工数管理!$V$3:$V$98,"")+COUNTIFS(工数管理!$AK$3:$AK$98,L$1,工数管理!$W$3:$W$98,"&lt;="&amp;$H180,工数管理!$X$3:$X$98,"")+COUNTIFS(工数管理!$AK$3:$AK$98,L$1,工数管理!$Y$3:$Y$98,"&lt;="&amp;$H180,工数管理!$Z$3:$Z$98,"")+COUNTIFS(工数管理!$AK$3:$AK$98,L$1,工数管理!$AA$3:$AA$98,"&lt;="&amp;$H180,工数管理!$AB$3:$AB$98,"")+COUNTIFS(工数管理!$AK$3:$AK$98,L$1,工数管理!$AC$3:$AC$98,"&lt;="&amp;$H180,工数管理!$AD$3:$AD$98,"")+COUNTIFS(工数管理!$AK$3:$AK$98,L$1,工数管理!$AE$3:$AE$98,"&lt;="&amp;$H180,工数管理!$AF$3:$AF$98,"")+COUNTIFS(工数管理!$AK$3:$AK$98,L$1,工数管理!$AG$3:$AG$98,"&lt;="&amp;$H180,工数管理!$AH$3:$AH$98,""))*($H180&lt;=工数管理!$AI$1))</f>
        <v>0</v>
      </c>
    </row>
    <row r="181" spans="1:12" x14ac:dyDescent="0.15">
      <c r="A181" s="5"/>
      <c r="B181" s="6"/>
      <c r="H181" s="41">
        <f t="shared" si="5"/>
        <v>46349</v>
      </c>
      <c r="I181" s="42">
        <f t="shared" si="4"/>
        <v>0</v>
      </c>
      <c r="J181" s="42">
        <f ca="1">IF(J$1="",0,COUNTIFS(工数管理!$AK$3:$AK$98,J$1,工数管理!$K$3:$K$98,"&lt;="&amp;$H181,工数管理!$L$3:$L$98,"&gt;="&amp;$H181)+COUNTIFS(工数管理!$AK$3:$AK$98,J$1,工数管理!$M$3:$M$98,"&lt;="&amp;$H181,工数管理!$N$3:$N$98,"&gt;="&amp;$H181)+COUNTIFS(工数管理!$AK$3:$AK$98,J$1,工数管理!$O$3:$O$98,"&lt;="&amp;$H181,工数管理!$P$3:$P$98,"&gt;="&amp;$H181)+COUNTIFS(工数管理!$AK$3:$AK$98,J$1,工数管理!$Q$3:$Q$98,"&lt;="&amp;$H181,工数管理!$R$3:$R$98,"&gt;="&amp;$H181)+COUNTIFS(工数管理!$AK$3:$AK$98,J$1,工数管理!$S$3:$S$98,"&lt;="&amp;$H181,工数管理!$T$3:$T$98,"&gt;="&amp;$H181)+COUNTIFS(工数管理!$AK$3:$AK$98,J$1,工数管理!$U$3:$U$98,"&lt;="&amp;$H181,工数管理!$V$3:$V$98,"&gt;="&amp;$H181)+COUNTIFS(工数管理!$AK$3:$AK$98,J$1,工数管理!$W$3:$W$98,"&lt;="&amp;$H181,工数管理!$X$3:$X$98,"&gt;="&amp;$H181)+COUNTIFS(工数管理!$AK$3:$AK$98,J$1,工数管理!$Y$3:$Y$98,"&lt;="&amp;$H181,工数管理!$Z$3:$Z$98,"&gt;="&amp;$H181)+COUNTIFS(工数管理!$AK$3:$AK$98,J$1,工数管理!$AA$3:$AA$98,"&lt;="&amp;$H181,工数管理!$AB$3:$AB$98,"&gt;="&amp;$H181)+COUNTIFS(工数管理!$AK$3:$AK$98,J$1,工数管理!$AC$3:$AC$98,"&lt;="&amp;$H181,工数管理!$AD$3:$AD$98,"&gt;="&amp;$H181)+COUNTIFS(工数管理!$AK$3:$AK$98,J$1,工数管理!$AE$3:$AE$98,"&lt;="&amp;$H181,工数管理!$AF$3:$AF$98,"&gt;="&amp;$H181)+COUNTIFS(工数管理!$AK$3:$AK$98,J$1,工数管理!$AG$3:$AG$98,"&lt;="&amp;$H181,工数管理!$AH$3:$AH$98,"&gt;="&amp;$H181)+(COUNTIFS(工数管理!$AK$3:$AK$98,J$1,工数管理!$K$3:$K$98,"&lt;="&amp;$H181,工数管理!$L$3:$L$98,"")+COUNTIFS(工数管理!$AK$3:$AK$98,J$1,工数管理!$M$3:$M$98,"&lt;="&amp;$H181,工数管理!$N$3:$N$98,"")+COUNTIFS(工数管理!$AK$3:$AK$98,J$1,工数管理!$O$3:$O$98,"&lt;="&amp;$H181,工数管理!$P$3:$P$98,"")+COUNTIFS(工数管理!$AK$3:$AK$98,J$1,工数管理!$Q$3:$Q$98,"&lt;="&amp;$H181,工数管理!$R$3:$R$98,"")+COUNTIFS(工数管理!$AK$3:$AK$98,J$1,工数管理!$S$3:$S$98,"&lt;="&amp;$H181,工数管理!$T$3:$T$98,"")+COUNTIFS(工数管理!$AK$3:$AK$98,J$1,工数管理!$U$3:$U$98,"&lt;="&amp;$H181,工数管理!$V$3:$V$98,"")+COUNTIFS(工数管理!$AK$3:$AK$98,J$1,工数管理!$W$3:$W$98,"&lt;="&amp;$H181,工数管理!$X$3:$X$98,"")+COUNTIFS(工数管理!$AK$3:$AK$98,J$1,工数管理!$Y$3:$Y$98,"&lt;="&amp;$H181,工数管理!$Z$3:$Z$98,"")+COUNTIFS(工数管理!$AK$3:$AK$98,J$1,工数管理!$AA$3:$AA$98,"&lt;="&amp;$H181,工数管理!$AB$3:$AB$98,"")+COUNTIFS(工数管理!$AK$3:$AK$98,J$1,工数管理!$AC$3:$AC$98,"&lt;="&amp;$H181,工数管理!$AD$3:$AD$98,"")+COUNTIFS(工数管理!$AK$3:$AK$98,J$1,工数管理!$AE$3:$AE$98,"&lt;="&amp;$H181,工数管理!$AF$3:$AF$98,"")+COUNTIFS(工数管理!$AK$3:$AK$98,J$1,工数管理!$AG$3:$AG$98,"&lt;="&amp;$H181,工数管理!$AH$3:$AH$98,""))*($H181&lt;=工数管理!$AI$1))</f>
        <v>0</v>
      </c>
      <c r="K181" s="42">
        <f ca="1">IF(K$1="",0,COUNTIFS(工数管理!$AK$3:$AK$98,K$1,工数管理!$K$3:$K$98,"&lt;="&amp;$H181,工数管理!$L$3:$L$98,"&gt;="&amp;$H181)+COUNTIFS(工数管理!$AK$3:$AK$98,K$1,工数管理!$M$3:$M$98,"&lt;="&amp;$H181,工数管理!$N$3:$N$98,"&gt;="&amp;$H181)+COUNTIFS(工数管理!$AK$3:$AK$98,K$1,工数管理!$O$3:$O$98,"&lt;="&amp;$H181,工数管理!$P$3:$P$98,"&gt;="&amp;$H181)+COUNTIFS(工数管理!$AK$3:$AK$98,K$1,工数管理!$Q$3:$Q$98,"&lt;="&amp;$H181,工数管理!$R$3:$R$98,"&gt;="&amp;$H181)+COUNTIFS(工数管理!$AK$3:$AK$98,K$1,工数管理!$S$3:$S$98,"&lt;="&amp;$H181,工数管理!$T$3:$T$98,"&gt;="&amp;$H181)+COUNTIFS(工数管理!$AK$3:$AK$98,K$1,工数管理!$U$3:$U$98,"&lt;="&amp;$H181,工数管理!$V$3:$V$98,"&gt;="&amp;$H181)+COUNTIFS(工数管理!$AK$3:$AK$98,K$1,工数管理!$W$3:$W$98,"&lt;="&amp;$H181,工数管理!$X$3:$X$98,"&gt;="&amp;$H181)+COUNTIFS(工数管理!$AK$3:$AK$98,K$1,工数管理!$Y$3:$Y$98,"&lt;="&amp;$H181,工数管理!$Z$3:$Z$98,"&gt;="&amp;$H181)+COUNTIFS(工数管理!$AK$3:$AK$98,K$1,工数管理!$AA$3:$AA$98,"&lt;="&amp;$H181,工数管理!$AB$3:$AB$98,"&gt;="&amp;$H181)+COUNTIFS(工数管理!$AK$3:$AK$98,K$1,工数管理!$AC$3:$AC$98,"&lt;="&amp;$H181,工数管理!$AD$3:$AD$98,"&gt;="&amp;$H181)+COUNTIFS(工数管理!$AK$3:$AK$98,K$1,工数管理!$AE$3:$AE$98,"&lt;="&amp;$H181,工数管理!$AF$3:$AF$98,"&gt;="&amp;$H181)+COUNTIFS(工数管理!$AK$3:$AK$98,K$1,工数管理!$AG$3:$AG$98,"&lt;="&amp;$H181,工数管理!$AH$3:$AH$98,"&gt;="&amp;$H181)+(COUNTIFS(工数管理!$AK$3:$AK$98,K$1,工数管理!$K$3:$K$98,"&lt;="&amp;$H181,工数管理!$L$3:$L$98,"")+COUNTIFS(工数管理!$AK$3:$AK$98,K$1,工数管理!$M$3:$M$98,"&lt;="&amp;$H181,工数管理!$N$3:$N$98,"")+COUNTIFS(工数管理!$AK$3:$AK$98,K$1,工数管理!$O$3:$O$98,"&lt;="&amp;$H181,工数管理!$P$3:$P$98,"")+COUNTIFS(工数管理!$AK$3:$AK$98,K$1,工数管理!$Q$3:$Q$98,"&lt;="&amp;$H181,工数管理!$R$3:$R$98,"")+COUNTIFS(工数管理!$AK$3:$AK$98,K$1,工数管理!$S$3:$S$98,"&lt;="&amp;$H181,工数管理!$T$3:$T$98,"")+COUNTIFS(工数管理!$AK$3:$AK$98,K$1,工数管理!$U$3:$U$98,"&lt;="&amp;$H181,工数管理!$V$3:$V$98,"")+COUNTIFS(工数管理!$AK$3:$AK$98,K$1,工数管理!$W$3:$W$98,"&lt;="&amp;$H181,工数管理!$X$3:$X$98,"")+COUNTIFS(工数管理!$AK$3:$AK$98,K$1,工数管理!$Y$3:$Y$98,"&lt;="&amp;$H181,工数管理!$Z$3:$Z$98,"")+COUNTIFS(工数管理!$AK$3:$AK$98,K$1,工数管理!$AA$3:$AA$98,"&lt;="&amp;$H181,工数管理!$AB$3:$AB$98,"")+COUNTIFS(工数管理!$AK$3:$AK$98,K$1,工数管理!$AC$3:$AC$98,"&lt;="&amp;$H181,工数管理!$AD$3:$AD$98,"")+COUNTIFS(工数管理!$AK$3:$AK$98,K$1,工数管理!$AE$3:$AE$98,"&lt;="&amp;$H181,工数管理!$AF$3:$AF$98,"")+COUNTIFS(工数管理!$AK$3:$AK$98,K$1,工数管理!$AG$3:$AG$98,"&lt;="&amp;$H181,工数管理!$AH$3:$AH$98,""))*($H181&lt;=工数管理!$AI$1))</f>
        <v>0</v>
      </c>
      <c r="L181" s="42">
        <f ca="1">IF(L$1="",0,COUNTIFS(工数管理!$AK$3:$AK$98,L$1,工数管理!$K$3:$K$98,"&lt;="&amp;$H181,工数管理!$L$3:$L$98,"&gt;="&amp;$H181)+COUNTIFS(工数管理!$AK$3:$AK$98,L$1,工数管理!$M$3:$M$98,"&lt;="&amp;$H181,工数管理!$N$3:$N$98,"&gt;="&amp;$H181)+COUNTIFS(工数管理!$AK$3:$AK$98,L$1,工数管理!$O$3:$O$98,"&lt;="&amp;$H181,工数管理!$P$3:$P$98,"&gt;="&amp;$H181)+COUNTIFS(工数管理!$AK$3:$AK$98,L$1,工数管理!$Q$3:$Q$98,"&lt;="&amp;$H181,工数管理!$R$3:$R$98,"&gt;="&amp;$H181)+COUNTIFS(工数管理!$AK$3:$AK$98,L$1,工数管理!$S$3:$S$98,"&lt;="&amp;$H181,工数管理!$T$3:$T$98,"&gt;="&amp;$H181)+COUNTIFS(工数管理!$AK$3:$AK$98,L$1,工数管理!$U$3:$U$98,"&lt;="&amp;$H181,工数管理!$V$3:$V$98,"&gt;="&amp;$H181)+COUNTIFS(工数管理!$AK$3:$AK$98,L$1,工数管理!$W$3:$W$98,"&lt;="&amp;$H181,工数管理!$X$3:$X$98,"&gt;="&amp;$H181)+COUNTIFS(工数管理!$AK$3:$AK$98,L$1,工数管理!$Y$3:$Y$98,"&lt;="&amp;$H181,工数管理!$Z$3:$Z$98,"&gt;="&amp;$H181)+COUNTIFS(工数管理!$AK$3:$AK$98,L$1,工数管理!$AA$3:$AA$98,"&lt;="&amp;$H181,工数管理!$AB$3:$AB$98,"&gt;="&amp;$H181)+COUNTIFS(工数管理!$AK$3:$AK$98,L$1,工数管理!$AC$3:$AC$98,"&lt;="&amp;$H181,工数管理!$AD$3:$AD$98,"&gt;="&amp;$H181)+COUNTIFS(工数管理!$AK$3:$AK$98,L$1,工数管理!$AE$3:$AE$98,"&lt;="&amp;$H181,工数管理!$AF$3:$AF$98,"&gt;="&amp;$H181)+COUNTIFS(工数管理!$AK$3:$AK$98,L$1,工数管理!$AG$3:$AG$98,"&lt;="&amp;$H181,工数管理!$AH$3:$AH$98,"&gt;="&amp;$H181)+(COUNTIFS(工数管理!$AK$3:$AK$98,L$1,工数管理!$K$3:$K$98,"&lt;="&amp;$H181,工数管理!$L$3:$L$98,"")+COUNTIFS(工数管理!$AK$3:$AK$98,L$1,工数管理!$M$3:$M$98,"&lt;="&amp;$H181,工数管理!$N$3:$N$98,"")+COUNTIFS(工数管理!$AK$3:$AK$98,L$1,工数管理!$O$3:$O$98,"&lt;="&amp;$H181,工数管理!$P$3:$P$98,"")+COUNTIFS(工数管理!$AK$3:$AK$98,L$1,工数管理!$Q$3:$Q$98,"&lt;="&amp;$H181,工数管理!$R$3:$R$98,"")+COUNTIFS(工数管理!$AK$3:$AK$98,L$1,工数管理!$S$3:$S$98,"&lt;="&amp;$H181,工数管理!$T$3:$T$98,"")+COUNTIFS(工数管理!$AK$3:$AK$98,L$1,工数管理!$U$3:$U$98,"&lt;="&amp;$H181,工数管理!$V$3:$V$98,"")+COUNTIFS(工数管理!$AK$3:$AK$98,L$1,工数管理!$W$3:$W$98,"&lt;="&amp;$H181,工数管理!$X$3:$X$98,"")+COUNTIFS(工数管理!$AK$3:$AK$98,L$1,工数管理!$Y$3:$Y$98,"&lt;="&amp;$H181,工数管理!$Z$3:$Z$98,"")+COUNTIFS(工数管理!$AK$3:$AK$98,L$1,工数管理!$AA$3:$AA$98,"&lt;="&amp;$H181,工数管理!$AB$3:$AB$98,"")+COUNTIFS(工数管理!$AK$3:$AK$98,L$1,工数管理!$AC$3:$AC$98,"&lt;="&amp;$H181,工数管理!$AD$3:$AD$98,"")+COUNTIFS(工数管理!$AK$3:$AK$98,L$1,工数管理!$AE$3:$AE$98,"&lt;="&amp;$H181,工数管理!$AF$3:$AF$98,"")+COUNTIFS(工数管理!$AK$3:$AK$98,L$1,工数管理!$AG$3:$AG$98,"&lt;="&amp;$H181,工数管理!$AH$3:$AH$98,""))*($H181&lt;=工数管理!$AI$1))</f>
        <v>0</v>
      </c>
    </row>
    <row r="182" spans="1:12" x14ac:dyDescent="0.15">
      <c r="A182" s="5"/>
      <c r="B182" s="6"/>
      <c r="H182" s="41">
        <f t="shared" si="5"/>
        <v>46350</v>
      </c>
      <c r="I182" s="42">
        <f t="shared" si="4"/>
        <v>1</v>
      </c>
      <c r="J182" s="42">
        <f ca="1">IF(J$1="",0,COUNTIFS(工数管理!$AK$3:$AK$98,J$1,工数管理!$K$3:$K$98,"&lt;="&amp;$H182,工数管理!$L$3:$L$98,"&gt;="&amp;$H182)+COUNTIFS(工数管理!$AK$3:$AK$98,J$1,工数管理!$M$3:$M$98,"&lt;="&amp;$H182,工数管理!$N$3:$N$98,"&gt;="&amp;$H182)+COUNTIFS(工数管理!$AK$3:$AK$98,J$1,工数管理!$O$3:$O$98,"&lt;="&amp;$H182,工数管理!$P$3:$P$98,"&gt;="&amp;$H182)+COUNTIFS(工数管理!$AK$3:$AK$98,J$1,工数管理!$Q$3:$Q$98,"&lt;="&amp;$H182,工数管理!$R$3:$R$98,"&gt;="&amp;$H182)+COUNTIFS(工数管理!$AK$3:$AK$98,J$1,工数管理!$S$3:$S$98,"&lt;="&amp;$H182,工数管理!$T$3:$T$98,"&gt;="&amp;$H182)+COUNTIFS(工数管理!$AK$3:$AK$98,J$1,工数管理!$U$3:$U$98,"&lt;="&amp;$H182,工数管理!$V$3:$V$98,"&gt;="&amp;$H182)+COUNTIFS(工数管理!$AK$3:$AK$98,J$1,工数管理!$W$3:$W$98,"&lt;="&amp;$H182,工数管理!$X$3:$X$98,"&gt;="&amp;$H182)+COUNTIFS(工数管理!$AK$3:$AK$98,J$1,工数管理!$Y$3:$Y$98,"&lt;="&amp;$H182,工数管理!$Z$3:$Z$98,"&gt;="&amp;$H182)+COUNTIFS(工数管理!$AK$3:$AK$98,J$1,工数管理!$AA$3:$AA$98,"&lt;="&amp;$H182,工数管理!$AB$3:$AB$98,"&gt;="&amp;$H182)+COUNTIFS(工数管理!$AK$3:$AK$98,J$1,工数管理!$AC$3:$AC$98,"&lt;="&amp;$H182,工数管理!$AD$3:$AD$98,"&gt;="&amp;$H182)+COUNTIFS(工数管理!$AK$3:$AK$98,J$1,工数管理!$AE$3:$AE$98,"&lt;="&amp;$H182,工数管理!$AF$3:$AF$98,"&gt;="&amp;$H182)+COUNTIFS(工数管理!$AK$3:$AK$98,J$1,工数管理!$AG$3:$AG$98,"&lt;="&amp;$H182,工数管理!$AH$3:$AH$98,"&gt;="&amp;$H182)+(COUNTIFS(工数管理!$AK$3:$AK$98,J$1,工数管理!$K$3:$K$98,"&lt;="&amp;$H182,工数管理!$L$3:$L$98,"")+COUNTIFS(工数管理!$AK$3:$AK$98,J$1,工数管理!$M$3:$M$98,"&lt;="&amp;$H182,工数管理!$N$3:$N$98,"")+COUNTIFS(工数管理!$AK$3:$AK$98,J$1,工数管理!$O$3:$O$98,"&lt;="&amp;$H182,工数管理!$P$3:$P$98,"")+COUNTIFS(工数管理!$AK$3:$AK$98,J$1,工数管理!$Q$3:$Q$98,"&lt;="&amp;$H182,工数管理!$R$3:$R$98,"")+COUNTIFS(工数管理!$AK$3:$AK$98,J$1,工数管理!$S$3:$S$98,"&lt;="&amp;$H182,工数管理!$T$3:$T$98,"")+COUNTIFS(工数管理!$AK$3:$AK$98,J$1,工数管理!$U$3:$U$98,"&lt;="&amp;$H182,工数管理!$V$3:$V$98,"")+COUNTIFS(工数管理!$AK$3:$AK$98,J$1,工数管理!$W$3:$W$98,"&lt;="&amp;$H182,工数管理!$X$3:$X$98,"")+COUNTIFS(工数管理!$AK$3:$AK$98,J$1,工数管理!$Y$3:$Y$98,"&lt;="&amp;$H182,工数管理!$Z$3:$Z$98,"")+COUNTIFS(工数管理!$AK$3:$AK$98,J$1,工数管理!$AA$3:$AA$98,"&lt;="&amp;$H182,工数管理!$AB$3:$AB$98,"")+COUNTIFS(工数管理!$AK$3:$AK$98,J$1,工数管理!$AC$3:$AC$98,"&lt;="&amp;$H182,工数管理!$AD$3:$AD$98,"")+COUNTIFS(工数管理!$AK$3:$AK$98,J$1,工数管理!$AE$3:$AE$98,"&lt;="&amp;$H182,工数管理!$AF$3:$AF$98,"")+COUNTIFS(工数管理!$AK$3:$AK$98,J$1,工数管理!$AG$3:$AG$98,"&lt;="&amp;$H182,工数管理!$AH$3:$AH$98,""))*($H182&lt;=工数管理!$AI$1))</f>
        <v>0</v>
      </c>
      <c r="K182" s="42">
        <f ca="1">IF(K$1="",0,COUNTIFS(工数管理!$AK$3:$AK$98,K$1,工数管理!$K$3:$K$98,"&lt;="&amp;$H182,工数管理!$L$3:$L$98,"&gt;="&amp;$H182)+COUNTIFS(工数管理!$AK$3:$AK$98,K$1,工数管理!$M$3:$M$98,"&lt;="&amp;$H182,工数管理!$N$3:$N$98,"&gt;="&amp;$H182)+COUNTIFS(工数管理!$AK$3:$AK$98,K$1,工数管理!$O$3:$O$98,"&lt;="&amp;$H182,工数管理!$P$3:$P$98,"&gt;="&amp;$H182)+COUNTIFS(工数管理!$AK$3:$AK$98,K$1,工数管理!$Q$3:$Q$98,"&lt;="&amp;$H182,工数管理!$R$3:$R$98,"&gt;="&amp;$H182)+COUNTIFS(工数管理!$AK$3:$AK$98,K$1,工数管理!$S$3:$S$98,"&lt;="&amp;$H182,工数管理!$T$3:$T$98,"&gt;="&amp;$H182)+COUNTIFS(工数管理!$AK$3:$AK$98,K$1,工数管理!$U$3:$U$98,"&lt;="&amp;$H182,工数管理!$V$3:$V$98,"&gt;="&amp;$H182)+COUNTIFS(工数管理!$AK$3:$AK$98,K$1,工数管理!$W$3:$W$98,"&lt;="&amp;$H182,工数管理!$X$3:$X$98,"&gt;="&amp;$H182)+COUNTIFS(工数管理!$AK$3:$AK$98,K$1,工数管理!$Y$3:$Y$98,"&lt;="&amp;$H182,工数管理!$Z$3:$Z$98,"&gt;="&amp;$H182)+COUNTIFS(工数管理!$AK$3:$AK$98,K$1,工数管理!$AA$3:$AA$98,"&lt;="&amp;$H182,工数管理!$AB$3:$AB$98,"&gt;="&amp;$H182)+COUNTIFS(工数管理!$AK$3:$AK$98,K$1,工数管理!$AC$3:$AC$98,"&lt;="&amp;$H182,工数管理!$AD$3:$AD$98,"&gt;="&amp;$H182)+COUNTIFS(工数管理!$AK$3:$AK$98,K$1,工数管理!$AE$3:$AE$98,"&lt;="&amp;$H182,工数管理!$AF$3:$AF$98,"&gt;="&amp;$H182)+COUNTIFS(工数管理!$AK$3:$AK$98,K$1,工数管理!$AG$3:$AG$98,"&lt;="&amp;$H182,工数管理!$AH$3:$AH$98,"&gt;="&amp;$H182)+(COUNTIFS(工数管理!$AK$3:$AK$98,K$1,工数管理!$K$3:$K$98,"&lt;="&amp;$H182,工数管理!$L$3:$L$98,"")+COUNTIFS(工数管理!$AK$3:$AK$98,K$1,工数管理!$M$3:$M$98,"&lt;="&amp;$H182,工数管理!$N$3:$N$98,"")+COUNTIFS(工数管理!$AK$3:$AK$98,K$1,工数管理!$O$3:$O$98,"&lt;="&amp;$H182,工数管理!$P$3:$P$98,"")+COUNTIFS(工数管理!$AK$3:$AK$98,K$1,工数管理!$Q$3:$Q$98,"&lt;="&amp;$H182,工数管理!$R$3:$R$98,"")+COUNTIFS(工数管理!$AK$3:$AK$98,K$1,工数管理!$S$3:$S$98,"&lt;="&amp;$H182,工数管理!$T$3:$T$98,"")+COUNTIFS(工数管理!$AK$3:$AK$98,K$1,工数管理!$U$3:$U$98,"&lt;="&amp;$H182,工数管理!$V$3:$V$98,"")+COUNTIFS(工数管理!$AK$3:$AK$98,K$1,工数管理!$W$3:$W$98,"&lt;="&amp;$H182,工数管理!$X$3:$X$98,"")+COUNTIFS(工数管理!$AK$3:$AK$98,K$1,工数管理!$Y$3:$Y$98,"&lt;="&amp;$H182,工数管理!$Z$3:$Z$98,"")+COUNTIFS(工数管理!$AK$3:$AK$98,K$1,工数管理!$AA$3:$AA$98,"&lt;="&amp;$H182,工数管理!$AB$3:$AB$98,"")+COUNTIFS(工数管理!$AK$3:$AK$98,K$1,工数管理!$AC$3:$AC$98,"&lt;="&amp;$H182,工数管理!$AD$3:$AD$98,"")+COUNTIFS(工数管理!$AK$3:$AK$98,K$1,工数管理!$AE$3:$AE$98,"&lt;="&amp;$H182,工数管理!$AF$3:$AF$98,"")+COUNTIFS(工数管理!$AK$3:$AK$98,K$1,工数管理!$AG$3:$AG$98,"&lt;="&amp;$H182,工数管理!$AH$3:$AH$98,""))*($H182&lt;=工数管理!$AI$1))</f>
        <v>0</v>
      </c>
      <c r="L182" s="42">
        <f ca="1">IF(L$1="",0,COUNTIFS(工数管理!$AK$3:$AK$98,L$1,工数管理!$K$3:$K$98,"&lt;="&amp;$H182,工数管理!$L$3:$L$98,"&gt;="&amp;$H182)+COUNTIFS(工数管理!$AK$3:$AK$98,L$1,工数管理!$M$3:$M$98,"&lt;="&amp;$H182,工数管理!$N$3:$N$98,"&gt;="&amp;$H182)+COUNTIFS(工数管理!$AK$3:$AK$98,L$1,工数管理!$O$3:$O$98,"&lt;="&amp;$H182,工数管理!$P$3:$P$98,"&gt;="&amp;$H182)+COUNTIFS(工数管理!$AK$3:$AK$98,L$1,工数管理!$Q$3:$Q$98,"&lt;="&amp;$H182,工数管理!$R$3:$R$98,"&gt;="&amp;$H182)+COUNTIFS(工数管理!$AK$3:$AK$98,L$1,工数管理!$S$3:$S$98,"&lt;="&amp;$H182,工数管理!$T$3:$T$98,"&gt;="&amp;$H182)+COUNTIFS(工数管理!$AK$3:$AK$98,L$1,工数管理!$U$3:$U$98,"&lt;="&amp;$H182,工数管理!$V$3:$V$98,"&gt;="&amp;$H182)+COUNTIFS(工数管理!$AK$3:$AK$98,L$1,工数管理!$W$3:$W$98,"&lt;="&amp;$H182,工数管理!$X$3:$X$98,"&gt;="&amp;$H182)+COUNTIFS(工数管理!$AK$3:$AK$98,L$1,工数管理!$Y$3:$Y$98,"&lt;="&amp;$H182,工数管理!$Z$3:$Z$98,"&gt;="&amp;$H182)+COUNTIFS(工数管理!$AK$3:$AK$98,L$1,工数管理!$AA$3:$AA$98,"&lt;="&amp;$H182,工数管理!$AB$3:$AB$98,"&gt;="&amp;$H182)+COUNTIFS(工数管理!$AK$3:$AK$98,L$1,工数管理!$AC$3:$AC$98,"&lt;="&amp;$H182,工数管理!$AD$3:$AD$98,"&gt;="&amp;$H182)+COUNTIFS(工数管理!$AK$3:$AK$98,L$1,工数管理!$AE$3:$AE$98,"&lt;="&amp;$H182,工数管理!$AF$3:$AF$98,"&gt;="&amp;$H182)+COUNTIFS(工数管理!$AK$3:$AK$98,L$1,工数管理!$AG$3:$AG$98,"&lt;="&amp;$H182,工数管理!$AH$3:$AH$98,"&gt;="&amp;$H182)+(COUNTIFS(工数管理!$AK$3:$AK$98,L$1,工数管理!$K$3:$K$98,"&lt;="&amp;$H182,工数管理!$L$3:$L$98,"")+COUNTIFS(工数管理!$AK$3:$AK$98,L$1,工数管理!$M$3:$M$98,"&lt;="&amp;$H182,工数管理!$N$3:$N$98,"")+COUNTIFS(工数管理!$AK$3:$AK$98,L$1,工数管理!$O$3:$O$98,"&lt;="&amp;$H182,工数管理!$P$3:$P$98,"")+COUNTIFS(工数管理!$AK$3:$AK$98,L$1,工数管理!$Q$3:$Q$98,"&lt;="&amp;$H182,工数管理!$R$3:$R$98,"")+COUNTIFS(工数管理!$AK$3:$AK$98,L$1,工数管理!$S$3:$S$98,"&lt;="&amp;$H182,工数管理!$T$3:$T$98,"")+COUNTIFS(工数管理!$AK$3:$AK$98,L$1,工数管理!$U$3:$U$98,"&lt;="&amp;$H182,工数管理!$V$3:$V$98,"")+COUNTIFS(工数管理!$AK$3:$AK$98,L$1,工数管理!$W$3:$W$98,"&lt;="&amp;$H182,工数管理!$X$3:$X$98,"")+COUNTIFS(工数管理!$AK$3:$AK$98,L$1,工数管理!$Y$3:$Y$98,"&lt;="&amp;$H182,工数管理!$Z$3:$Z$98,"")+COUNTIFS(工数管理!$AK$3:$AK$98,L$1,工数管理!$AA$3:$AA$98,"&lt;="&amp;$H182,工数管理!$AB$3:$AB$98,"")+COUNTIFS(工数管理!$AK$3:$AK$98,L$1,工数管理!$AC$3:$AC$98,"&lt;="&amp;$H182,工数管理!$AD$3:$AD$98,"")+COUNTIFS(工数管理!$AK$3:$AK$98,L$1,工数管理!$AE$3:$AE$98,"&lt;="&amp;$H182,工数管理!$AF$3:$AF$98,"")+COUNTIFS(工数管理!$AK$3:$AK$98,L$1,工数管理!$AG$3:$AG$98,"&lt;="&amp;$H182,工数管理!$AH$3:$AH$98,""))*($H182&lt;=工数管理!$AI$1))</f>
        <v>0</v>
      </c>
    </row>
    <row r="183" spans="1:12" x14ac:dyDescent="0.15">
      <c r="A183" s="5"/>
      <c r="B183" s="6"/>
      <c r="H183" s="41">
        <f t="shared" si="5"/>
        <v>46351</v>
      </c>
      <c r="I183" s="42">
        <f t="shared" si="4"/>
        <v>1</v>
      </c>
      <c r="J183" s="42">
        <f ca="1">IF(J$1="",0,COUNTIFS(工数管理!$AK$3:$AK$98,J$1,工数管理!$K$3:$K$98,"&lt;="&amp;$H183,工数管理!$L$3:$L$98,"&gt;="&amp;$H183)+COUNTIFS(工数管理!$AK$3:$AK$98,J$1,工数管理!$M$3:$M$98,"&lt;="&amp;$H183,工数管理!$N$3:$N$98,"&gt;="&amp;$H183)+COUNTIFS(工数管理!$AK$3:$AK$98,J$1,工数管理!$O$3:$O$98,"&lt;="&amp;$H183,工数管理!$P$3:$P$98,"&gt;="&amp;$H183)+COUNTIFS(工数管理!$AK$3:$AK$98,J$1,工数管理!$Q$3:$Q$98,"&lt;="&amp;$H183,工数管理!$R$3:$R$98,"&gt;="&amp;$H183)+COUNTIFS(工数管理!$AK$3:$AK$98,J$1,工数管理!$S$3:$S$98,"&lt;="&amp;$H183,工数管理!$T$3:$T$98,"&gt;="&amp;$H183)+COUNTIFS(工数管理!$AK$3:$AK$98,J$1,工数管理!$U$3:$U$98,"&lt;="&amp;$H183,工数管理!$V$3:$V$98,"&gt;="&amp;$H183)+COUNTIFS(工数管理!$AK$3:$AK$98,J$1,工数管理!$W$3:$W$98,"&lt;="&amp;$H183,工数管理!$X$3:$X$98,"&gt;="&amp;$H183)+COUNTIFS(工数管理!$AK$3:$AK$98,J$1,工数管理!$Y$3:$Y$98,"&lt;="&amp;$H183,工数管理!$Z$3:$Z$98,"&gt;="&amp;$H183)+COUNTIFS(工数管理!$AK$3:$AK$98,J$1,工数管理!$AA$3:$AA$98,"&lt;="&amp;$H183,工数管理!$AB$3:$AB$98,"&gt;="&amp;$H183)+COUNTIFS(工数管理!$AK$3:$AK$98,J$1,工数管理!$AC$3:$AC$98,"&lt;="&amp;$H183,工数管理!$AD$3:$AD$98,"&gt;="&amp;$H183)+COUNTIFS(工数管理!$AK$3:$AK$98,J$1,工数管理!$AE$3:$AE$98,"&lt;="&amp;$H183,工数管理!$AF$3:$AF$98,"&gt;="&amp;$H183)+COUNTIFS(工数管理!$AK$3:$AK$98,J$1,工数管理!$AG$3:$AG$98,"&lt;="&amp;$H183,工数管理!$AH$3:$AH$98,"&gt;="&amp;$H183)+(COUNTIFS(工数管理!$AK$3:$AK$98,J$1,工数管理!$K$3:$K$98,"&lt;="&amp;$H183,工数管理!$L$3:$L$98,"")+COUNTIFS(工数管理!$AK$3:$AK$98,J$1,工数管理!$M$3:$M$98,"&lt;="&amp;$H183,工数管理!$N$3:$N$98,"")+COUNTIFS(工数管理!$AK$3:$AK$98,J$1,工数管理!$O$3:$O$98,"&lt;="&amp;$H183,工数管理!$P$3:$P$98,"")+COUNTIFS(工数管理!$AK$3:$AK$98,J$1,工数管理!$Q$3:$Q$98,"&lt;="&amp;$H183,工数管理!$R$3:$R$98,"")+COUNTIFS(工数管理!$AK$3:$AK$98,J$1,工数管理!$S$3:$S$98,"&lt;="&amp;$H183,工数管理!$T$3:$T$98,"")+COUNTIFS(工数管理!$AK$3:$AK$98,J$1,工数管理!$U$3:$U$98,"&lt;="&amp;$H183,工数管理!$V$3:$V$98,"")+COUNTIFS(工数管理!$AK$3:$AK$98,J$1,工数管理!$W$3:$W$98,"&lt;="&amp;$H183,工数管理!$X$3:$X$98,"")+COUNTIFS(工数管理!$AK$3:$AK$98,J$1,工数管理!$Y$3:$Y$98,"&lt;="&amp;$H183,工数管理!$Z$3:$Z$98,"")+COUNTIFS(工数管理!$AK$3:$AK$98,J$1,工数管理!$AA$3:$AA$98,"&lt;="&amp;$H183,工数管理!$AB$3:$AB$98,"")+COUNTIFS(工数管理!$AK$3:$AK$98,J$1,工数管理!$AC$3:$AC$98,"&lt;="&amp;$H183,工数管理!$AD$3:$AD$98,"")+COUNTIFS(工数管理!$AK$3:$AK$98,J$1,工数管理!$AE$3:$AE$98,"&lt;="&amp;$H183,工数管理!$AF$3:$AF$98,"")+COUNTIFS(工数管理!$AK$3:$AK$98,J$1,工数管理!$AG$3:$AG$98,"&lt;="&amp;$H183,工数管理!$AH$3:$AH$98,""))*($H183&lt;=工数管理!$AI$1))</f>
        <v>0</v>
      </c>
      <c r="K183" s="42">
        <f ca="1">IF(K$1="",0,COUNTIFS(工数管理!$AK$3:$AK$98,K$1,工数管理!$K$3:$K$98,"&lt;="&amp;$H183,工数管理!$L$3:$L$98,"&gt;="&amp;$H183)+COUNTIFS(工数管理!$AK$3:$AK$98,K$1,工数管理!$M$3:$M$98,"&lt;="&amp;$H183,工数管理!$N$3:$N$98,"&gt;="&amp;$H183)+COUNTIFS(工数管理!$AK$3:$AK$98,K$1,工数管理!$O$3:$O$98,"&lt;="&amp;$H183,工数管理!$P$3:$P$98,"&gt;="&amp;$H183)+COUNTIFS(工数管理!$AK$3:$AK$98,K$1,工数管理!$Q$3:$Q$98,"&lt;="&amp;$H183,工数管理!$R$3:$R$98,"&gt;="&amp;$H183)+COUNTIFS(工数管理!$AK$3:$AK$98,K$1,工数管理!$S$3:$S$98,"&lt;="&amp;$H183,工数管理!$T$3:$T$98,"&gt;="&amp;$H183)+COUNTIFS(工数管理!$AK$3:$AK$98,K$1,工数管理!$U$3:$U$98,"&lt;="&amp;$H183,工数管理!$V$3:$V$98,"&gt;="&amp;$H183)+COUNTIFS(工数管理!$AK$3:$AK$98,K$1,工数管理!$W$3:$W$98,"&lt;="&amp;$H183,工数管理!$X$3:$X$98,"&gt;="&amp;$H183)+COUNTIFS(工数管理!$AK$3:$AK$98,K$1,工数管理!$Y$3:$Y$98,"&lt;="&amp;$H183,工数管理!$Z$3:$Z$98,"&gt;="&amp;$H183)+COUNTIFS(工数管理!$AK$3:$AK$98,K$1,工数管理!$AA$3:$AA$98,"&lt;="&amp;$H183,工数管理!$AB$3:$AB$98,"&gt;="&amp;$H183)+COUNTIFS(工数管理!$AK$3:$AK$98,K$1,工数管理!$AC$3:$AC$98,"&lt;="&amp;$H183,工数管理!$AD$3:$AD$98,"&gt;="&amp;$H183)+COUNTIFS(工数管理!$AK$3:$AK$98,K$1,工数管理!$AE$3:$AE$98,"&lt;="&amp;$H183,工数管理!$AF$3:$AF$98,"&gt;="&amp;$H183)+COUNTIFS(工数管理!$AK$3:$AK$98,K$1,工数管理!$AG$3:$AG$98,"&lt;="&amp;$H183,工数管理!$AH$3:$AH$98,"&gt;="&amp;$H183)+(COUNTIFS(工数管理!$AK$3:$AK$98,K$1,工数管理!$K$3:$K$98,"&lt;="&amp;$H183,工数管理!$L$3:$L$98,"")+COUNTIFS(工数管理!$AK$3:$AK$98,K$1,工数管理!$M$3:$M$98,"&lt;="&amp;$H183,工数管理!$N$3:$N$98,"")+COUNTIFS(工数管理!$AK$3:$AK$98,K$1,工数管理!$O$3:$O$98,"&lt;="&amp;$H183,工数管理!$P$3:$P$98,"")+COUNTIFS(工数管理!$AK$3:$AK$98,K$1,工数管理!$Q$3:$Q$98,"&lt;="&amp;$H183,工数管理!$R$3:$R$98,"")+COUNTIFS(工数管理!$AK$3:$AK$98,K$1,工数管理!$S$3:$S$98,"&lt;="&amp;$H183,工数管理!$T$3:$T$98,"")+COUNTIFS(工数管理!$AK$3:$AK$98,K$1,工数管理!$U$3:$U$98,"&lt;="&amp;$H183,工数管理!$V$3:$V$98,"")+COUNTIFS(工数管理!$AK$3:$AK$98,K$1,工数管理!$W$3:$W$98,"&lt;="&amp;$H183,工数管理!$X$3:$X$98,"")+COUNTIFS(工数管理!$AK$3:$AK$98,K$1,工数管理!$Y$3:$Y$98,"&lt;="&amp;$H183,工数管理!$Z$3:$Z$98,"")+COUNTIFS(工数管理!$AK$3:$AK$98,K$1,工数管理!$AA$3:$AA$98,"&lt;="&amp;$H183,工数管理!$AB$3:$AB$98,"")+COUNTIFS(工数管理!$AK$3:$AK$98,K$1,工数管理!$AC$3:$AC$98,"&lt;="&amp;$H183,工数管理!$AD$3:$AD$98,"")+COUNTIFS(工数管理!$AK$3:$AK$98,K$1,工数管理!$AE$3:$AE$98,"&lt;="&amp;$H183,工数管理!$AF$3:$AF$98,"")+COUNTIFS(工数管理!$AK$3:$AK$98,K$1,工数管理!$AG$3:$AG$98,"&lt;="&amp;$H183,工数管理!$AH$3:$AH$98,""))*($H183&lt;=工数管理!$AI$1))</f>
        <v>0</v>
      </c>
      <c r="L183" s="42">
        <f ca="1">IF(L$1="",0,COUNTIFS(工数管理!$AK$3:$AK$98,L$1,工数管理!$K$3:$K$98,"&lt;="&amp;$H183,工数管理!$L$3:$L$98,"&gt;="&amp;$H183)+COUNTIFS(工数管理!$AK$3:$AK$98,L$1,工数管理!$M$3:$M$98,"&lt;="&amp;$H183,工数管理!$N$3:$N$98,"&gt;="&amp;$H183)+COUNTIFS(工数管理!$AK$3:$AK$98,L$1,工数管理!$O$3:$O$98,"&lt;="&amp;$H183,工数管理!$P$3:$P$98,"&gt;="&amp;$H183)+COUNTIFS(工数管理!$AK$3:$AK$98,L$1,工数管理!$Q$3:$Q$98,"&lt;="&amp;$H183,工数管理!$R$3:$R$98,"&gt;="&amp;$H183)+COUNTIFS(工数管理!$AK$3:$AK$98,L$1,工数管理!$S$3:$S$98,"&lt;="&amp;$H183,工数管理!$T$3:$T$98,"&gt;="&amp;$H183)+COUNTIFS(工数管理!$AK$3:$AK$98,L$1,工数管理!$U$3:$U$98,"&lt;="&amp;$H183,工数管理!$V$3:$V$98,"&gt;="&amp;$H183)+COUNTIFS(工数管理!$AK$3:$AK$98,L$1,工数管理!$W$3:$W$98,"&lt;="&amp;$H183,工数管理!$X$3:$X$98,"&gt;="&amp;$H183)+COUNTIFS(工数管理!$AK$3:$AK$98,L$1,工数管理!$Y$3:$Y$98,"&lt;="&amp;$H183,工数管理!$Z$3:$Z$98,"&gt;="&amp;$H183)+COUNTIFS(工数管理!$AK$3:$AK$98,L$1,工数管理!$AA$3:$AA$98,"&lt;="&amp;$H183,工数管理!$AB$3:$AB$98,"&gt;="&amp;$H183)+COUNTIFS(工数管理!$AK$3:$AK$98,L$1,工数管理!$AC$3:$AC$98,"&lt;="&amp;$H183,工数管理!$AD$3:$AD$98,"&gt;="&amp;$H183)+COUNTIFS(工数管理!$AK$3:$AK$98,L$1,工数管理!$AE$3:$AE$98,"&lt;="&amp;$H183,工数管理!$AF$3:$AF$98,"&gt;="&amp;$H183)+COUNTIFS(工数管理!$AK$3:$AK$98,L$1,工数管理!$AG$3:$AG$98,"&lt;="&amp;$H183,工数管理!$AH$3:$AH$98,"&gt;="&amp;$H183)+(COUNTIFS(工数管理!$AK$3:$AK$98,L$1,工数管理!$K$3:$K$98,"&lt;="&amp;$H183,工数管理!$L$3:$L$98,"")+COUNTIFS(工数管理!$AK$3:$AK$98,L$1,工数管理!$M$3:$M$98,"&lt;="&amp;$H183,工数管理!$N$3:$N$98,"")+COUNTIFS(工数管理!$AK$3:$AK$98,L$1,工数管理!$O$3:$O$98,"&lt;="&amp;$H183,工数管理!$P$3:$P$98,"")+COUNTIFS(工数管理!$AK$3:$AK$98,L$1,工数管理!$Q$3:$Q$98,"&lt;="&amp;$H183,工数管理!$R$3:$R$98,"")+COUNTIFS(工数管理!$AK$3:$AK$98,L$1,工数管理!$S$3:$S$98,"&lt;="&amp;$H183,工数管理!$T$3:$T$98,"")+COUNTIFS(工数管理!$AK$3:$AK$98,L$1,工数管理!$U$3:$U$98,"&lt;="&amp;$H183,工数管理!$V$3:$V$98,"")+COUNTIFS(工数管理!$AK$3:$AK$98,L$1,工数管理!$W$3:$W$98,"&lt;="&amp;$H183,工数管理!$X$3:$X$98,"")+COUNTIFS(工数管理!$AK$3:$AK$98,L$1,工数管理!$Y$3:$Y$98,"&lt;="&amp;$H183,工数管理!$Z$3:$Z$98,"")+COUNTIFS(工数管理!$AK$3:$AK$98,L$1,工数管理!$AA$3:$AA$98,"&lt;="&amp;$H183,工数管理!$AB$3:$AB$98,"")+COUNTIFS(工数管理!$AK$3:$AK$98,L$1,工数管理!$AC$3:$AC$98,"&lt;="&amp;$H183,工数管理!$AD$3:$AD$98,"")+COUNTIFS(工数管理!$AK$3:$AK$98,L$1,工数管理!$AE$3:$AE$98,"&lt;="&amp;$H183,工数管理!$AF$3:$AF$98,"")+COUNTIFS(工数管理!$AK$3:$AK$98,L$1,工数管理!$AG$3:$AG$98,"&lt;="&amp;$H183,工数管理!$AH$3:$AH$98,""))*($H183&lt;=工数管理!$AI$1))</f>
        <v>0</v>
      </c>
    </row>
    <row r="184" spans="1:12" x14ac:dyDescent="0.15">
      <c r="A184" s="5"/>
      <c r="B184" s="6"/>
      <c r="H184" s="41">
        <f t="shared" si="5"/>
        <v>46352</v>
      </c>
      <c r="I184" s="42">
        <f t="shared" si="4"/>
        <v>1</v>
      </c>
      <c r="J184" s="42">
        <f ca="1">IF(J$1="",0,COUNTIFS(工数管理!$AK$3:$AK$98,J$1,工数管理!$K$3:$K$98,"&lt;="&amp;$H184,工数管理!$L$3:$L$98,"&gt;="&amp;$H184)+COUNTIFS(工数管理!$AK$3:$AK$98,J$1,工数管理!$M$3:$M$98,"&lt;="&amp;$H184,工数管理!$N$3:$N$98,"&gt;="&amp;$H184)+COUNTIFS(工数管理!$AK$3:$AK$98,J$1,工数管理!$O$3:$O$98,"&lt;="&amp;$H184,工数管理!$P$3:$P$98,"&gt;="&amp;$H184)+COUNTIFS(工数管理!$AK$3:$AK$98,J$1,工数管理!$Q$3:$Q$98,"&lt;="&amp;$H184,工数管理!$R$3:$R$98,"&gt;="&amp;$H184)+COUNTIFS(工数管理!$AK$3:$AK$98,J$1,工数管理!$S$3:$S$98,"&lt;="&amp;$H184,工数管理!$T$3:$T$98,"&gt;="&amp;$H184)+COUNTIFS(工数管理!$AK$3:$AK$98,J$1,工数管理!$U$3:$U$98,"&lt;="&amp;$H184,工数管理!$V$3:$V$98,"&gt;="&amp;$H184)+COUNTIFS(工数管理!$AK$3:$AK$98,J$1,工数管理!$W$3:$W$98,"&lt;="&amp;$H184,工数管理!$X$3:$X$98,"&gt;="&amp;$H184)+COUNTIFS(工数管理!$AK$3:$AK$98,J$1,工数管理!$Y$3:$Y$98,"&lt;="&amp;$H184,工数管理!$Z$3:$Z$98,"&gt;="&amp;$H184)+COUNTIFS(工数管理!$AK$3:$AK$98,J$1,工数管理!$AA$3:$AA$98,"&lt;="&amp;$H184,工数管理!$AB$3:$AB$98,"&gt;="&amp;$H184)+COUNTIFS(工数管理!$AK$3:$AK$98,J$1,工数管理!$AC$3:$AC$98,"&lt;="&amp;$H184,工数管理!$AD$3:$AD$98,"&gt;="&amp;$H184)+COUNTIFS(工数管理!$AK$3:$AK$98,J$1,工数管理!$AE$3:$AE$98,"&lt;="&amp;$H184,工数管理!$AF$3:$AF$98,"&gt;="&amp;$H184)+COUNTIFS(工数管理!$AK$3:$AK$98,J$1,工数管理!$AG$3:$AG$98,"&lt;="&amp;$H184,工数管理!$AH$3:$AH$98,"&gt;="&amp;$H184)+(COUNTIFS(工数管理!$AK$3:$AK$98,J$1,工数管理!$K$3:$K$98,"&lt;="&amp;$H184,工数管理!$L$3:$L$98,"")+COUNTIFS(工数管理!$AK$3:$AK$98,J$1,工数管理!$M$3:$M$98,"&lt;="&amp;$H184,工数管理!$N$3:$N$98,"")+COUNTIFS(工数管理!$AK$3:$AK$98,J$1,工数管理!$O$3:$O$98,"&lt;="&amp;$H184,工数管理!$P$3:$P$98,"")+COUNTIFS(工数管理!$AK$3:$AK$98,J$1,工数管理!$Q$3:$Q$98,"&lt;="&amp;$H184,工数管理!$R$3:$R$98,"")+COUNTIFS(工数管理!$AK$3:$AK$98,J$1,工数管理!$S$3:$S$98,"&lt;="&amp;$H184,工数管理!$T$3:$T$98,"")+COUNTIFS(工数管理!$AK$3:$AK$98,J$1,工数管理!$U$3:$U$98,"&lt;="&amp;$H184,工数管理!$V$3:$V$98,"")+COUNTIFS(工数管理!$AK$3:$AK$98,J$1,工数管理!$W$3:$W$98,"&lt;="&amp;$H184,工数管理!$X$3:$X$98,"")+COUNTIFS(工数管理!$AK$3:$AK$98,J$1,工数管理!$Y$3:$Y$98,"&lt;="&amp;$H184,工数管理!$Z$3:$Z$98,"")+COUNTIFS(工数管理!$AK$3:$AK$98,J$1,工数管理!$AA$3:$AA$98,"&lt;="&amp;$H184,工数管理!$AB$3:$AB$98,"")+COUNTIFS(工数管理!$AK$3:$AK$98,J$1,工数管理!$AC$3:$AC$98,"&lt;="&amp;$H184,工数管理!$AD$3:$AD$98,"")+COUNTIFS(工数管理!$AK$3:$AK$98,J$1,工数管理!$AE$3:$AE$98,"&lt;="&amp;$H184,工数管理!$AF$3:$AF$98,"")+COUNTIFS(工数管理!$AK$3:$AK$98,J$1,工数管理!$AG$3:$AG$98,"&lt;="&amp;$H184,工数管理!$AH$3:$AH$98,""))*($H184&lt;=工数管理!$AI$1))</f>
        <v>0</v>
      </c>
      <c r="K184" s="42">
        <f ca="1">IF(K$1="",0,COUNTIFS(工数管理!$AK$3:$AK$98,K$1,工数管理!$K$3:$K$98,"&lt;="&amp;$H184,工数管理!$L$3:$L$98,"&gt;="&amp;$H184)+COUNTIFS(工数管理!$AK$3:$AK$98,K$1,工数管理!$M$3:$M$98,"&lt;="&amp;$H184,工数管理!$N$3:$N$98,"&gt;="&amp;$H184)+COUNTIFS(工数管理!$AK$3:$AK$98,K$1,工数管理!$O$3:$O$98,"&lt;="&amp;$H184,工数管理!$P$3:$P$98,"&gt;="&amp;$H184)+COUNTIFS(工数管理!$AK$3:$AK$98,K$1,工数管理!$Q$3:$Q$98,"&lt;="&amp;$H184,工数管理!$R$3:$R$98,"&gt;="&amp;$H184)+COUNTIFS(工数管理!$AK$3:$AK$98,K$1,工数管理!$S$3:$S$98,"&lt;="&amp;$H184,工数管理!$T$3:$T$98,"&gt;="&amp;$H184)+COUNTIFS(工数管理!$AK$3:$AK$98,K$1,工数管理!$U$3:$U$98,"&lt;="&amp;$H184,工数管理!$V$3:$V$98,"&gt;="&amp;$H184)+COUNTIFS(工数管理!$AK$3:$AK$98,K$1,工数管理!$W$3:$W$98,"&lt;="&amp;$H184,工数管理!$X$3:$X$98,"&gt;="&amp;$H184)+COUNTIFS(工数管理!$AK$3:$AK$98,K$1,工数管理!$Y$3:$Y$98,"&lt;="&amp;$H184,工数管理!$Z$3:$Z$98,"&gt;="&amp;$H184)+COUNTIFS(工数管理!$AK$3:$AK$98,K$1,工数管理!$AA$3:$AA$98,"&lt;="&amp;$H184,工数管理!$AB$3:$AB$98,"&gt;="&amp;$H184)+COUNTIFS(工数管理!$AK$3:$AK$98,K$1,工数管理!$AC$3:$AC$98,"&lt;="&amp;$H184,工数管理!$AD$3:$AD$98,"&gt;="&amp;$H184)+COUNTIFS(工数管理!$AK$3:$AK$98,K$1,工数管理!$AE$3:$AE$98,"&lt;="&amp;$H184,工数管理!$AF$3:$AF$98,"&gt;="&amp;$H184)+COUNTIFS(工数管理!$AK$3:$AK$98,K$1,工数管理!$AG$3:$AG$98,"&lt;="&amp;$H184,工数管理!$AH$3:$AH$98,"&gt;="&amp;$H184)+(COUNTIFS(工数管理!$AK$3:$AK$98,K$1,工数管理!$K$3:$K$98,"&lt;="&amp;$H184,工数管理!$L$3:$L$98,"")+COUNTIFS(工数管理!$AK$3:$AK$98,K$1,工数管理!$M$3:$M$98,"&lt;="&amp;$H184,工数管理!$N$3:$N$98,"")+COUNTIFS(工数管理!$AK$3:$AK$98,K$1,工数管理!$O$3:$O$98,"&lt;="&amp;$H184,工数管理!$P$3:$P$98,"")+COUNTIFS(工数管理!$AK$3:$AK$98,K$1,工数管理!$Q$3:$Q$98,"&lt;="&amp;$H184,工数管理!$R$3:$R$98,"")+COUNTIFS(工数管理!$AK$3:$AK$98,K$1,工数管理!$S$3:$S$98,"&lt;="&amp;$H184,工数管理!$T$3:$T$98,"")+COUNTIFS(工数管理!$AK$3:$AK$98,K$1,工数管理!$U$3:$U$98,"&lt;="&amp;$H184,工数管理!$V$3:$V$98,"")+COUNTIFS(工数管理!$AK$3:$AK$98,K$1,工数管理!$W$3:$W$98,"&lt;="&amp;$H184,工数管理!$X$3:$X$98,"")+COUNTIFS(工数管理!$AK$3:$AK$98,K$1,工数管理!$Y$3:$Y$98,"&lt;="&amp;$H184,工数管理!$Z$3:$Z$98,"")+COUNTIFS(工数管理!$AK$3:$AK$98,K$1,工数管理!$AA$3:$AA$98,"&lt;="&amp;$H184,工数管理!$AB$3:$AB$98,"")+COUNTIFS(工数管理!$AK$3:$AK$98,K$1,工数管理!$AC$3:$AC$98,"&lt;="&amp;$H184,工数管理!$AD$3:$AD$98,"")+COUNTIFS(工数管理!$AK$3:$AK$98,K$1,工数管理!$AE$3:$AE$98,"&lt;="&amp;$H184,工数管理!$AF$3:$AF$98,"")+COUNTIFS(工数管理!$AK$3:$AK$98,K$1,工数管理!$AG$3:$AG$98,"&lt;="&amp;$H184,工数管理!$AH$3:$AH$98,""))*($H184&lt;=工数管理!$AI$1))</f>
        <v>0</v>
      </c>
      <c r="L184" s="42">
        <f ca="1">IF(L$1="",0,COUNTIFS(工数管理!$AK$3:$AK$98,L$1,工数管理!$K$3:$K$98,"&lt;="&amp;$H184,工数管理!$L$3:$L$98,"&gt;="&amp;$H184)+COUNTIFS(工数管理!$AK$3:$AK$98,L$1,工数管理!$M$3:$M$98,"&lt;="&amp;$H184,工数管理!$N$3:$N$98,"&gt;="&amp;$H184)+COUNTIFS(工数管理!$AK$3:$AK$98,L$1,工数管理!$O$3:$O$98,"&lt;="&amp;$H184,工数管理!$P$3:$P$98,"&gt;="&amp;$H184)+COUNTIFS(工数管理!$AK$3:$AK$98,L$1,工数管理!$Q$3:$Q$98,"&lt;="&amp;$H184,工数管理!$R$3:$R$98,"&gt;="&amp;$H184)+COUNTIFS(工数管理!$AK$3:$AK$98,L$1,工数管理!$S$3:$S$98,"&lt;="&amp;$H184,工数管理!$T$3:$T$98,"&gt;="&amp;$H184)+COUNTIFS(工数管理!$AK$3:$AK$98,L$1,工数管理!$U$3:$U$98,"&lt;="&amp;$H184,工数管理!$V$3:$V$98,"&gt;="&amp;$H184)+COUNTIFS(工数管理!$AK$3:$AK$98,L$1,工数管理!$W$3:$W$98,"&lt;="&amp;$H184,工数管理!$X$3:$X$98,"&gt;="&amp;$H184)+COUNTIFS(工数管理!$AK$3:$AK$98,L$1,工数管理!$Y$3:$Y$98,"&lt;="&amp;$H184,工数管理!$Z$3:$Z$98,"&gt;="&amp;$H184)+COUNTIFS(工数管理!$AK$3:$AK$98,L$1,工数管理!$AA$3:$AA$98,"&lt;="&amp;$H184,工数管理!$AB$3:$AB$98,"&gt;="&amp;$H184)+COUNTIFS(工数管理!$AK$3:$AK$98,L$1,工数管理!$AC$3:$AC$98,"&lt;="&amp;$H184,工数管理!$AD$3:$AD$98,"&gt;="&amp;$H184)+COUNTIFS(工数管理!$AK$3:$AK$98,L$1,工数管理!$AE$3:$AE$98,"&lt;="&amp;$H184,工数管理!$AF$3:$AF$98,"&gt;="&amp;$H184)+COUNTIFS(工数管理!$AK$3:$AK$98,L$1,工数管理!$AG$3:$AG$98,"&lt;="&amp;$H184,工数管理!$AH$3:$AH$98,"&gt;="&amp;$H184)+(COUNTIFS(工数管理!$AK$3:$AK$98,L$1,工数管理!$K$3:$K$98,"&lt;="&amp;$H184,工数管理!$L$3:$L$98,"")+COUNTIFS(工数管理!$AK$3:$AK$98,L$1,工数管理!$M$3:$M$98,"&lt;="&amp;$H184,工数管理!$N$3:$N$98,"")+COUNTIFS(工数管理!$AK$3:$AK$98,L$1,工数管理!$O$3:$O$98,"&lt;="&amp;$H184,工数管理!$P$3:$P$98,"")+COUNTIFS(工数管理!$AK$3:$AK$98,L$1,工数管理!$Q$3:$Q$98,"&lt;="&amp;$H184,工数管理!$R$3:$R$98,"")+COUNTIFS(工数管理!$AK$3:$AK$98,L$1,工数管理!$S$3:$S$98,"&lt;="&amp;$H184,工数管理!$T$3:$T$98,"")+COUNTIFS(工数管理!$AK$3:$AK$98,L$1,工数管理!$U$3:$U$98,"&lt;="&amp;$H184,工数管理!$V$3:$V$98,"")+COUNTIFS(工数管理!$AK$3:$AK$98,L$1,工数管理!$W$3:$W$98,"&lt;="&amp;$H184,工数管理!$X$3:$X$98,"")+COUNTIFS(工数管理!$AK$3:$AK$98,L$1,工数管理!$Y$3:$Y$98,"&lt;="&amp;$H184,工数管理!$Z$3:$Z$98,"")+COUNTIFS(工数管理!$AK$3:$AK$98,L$1,工数管理!$AA$3:$AA$98,"&lt;="&amp;$H184,工数管理!$AB$3:$AB$98,"")+COUNTIFS(工数管理!$AK$3:$AK$98,L$1,工数管理!$AC$3:$AC$98,"&lt;="&amp;$H184,工数管理!$AD$3:$AD$98,"")+COUNTIFS(工数管理!$AK$3:$AK$98,L$1,工数管理!$AE$3:$AE$98,"&lt;="&amp;$H184,工数管理!$AF$3:$AF$98,"")+COUNTIFS(工数管理!$AK$3:$AK$98,L$1,工数管理!$AG$3:$AG$98,"&lt;="&amp;$H184,工数管理!$AH$3:$AH$98,""))*($H184&lt;=工数管理!$AI$1))</f>
        <v>0</v>
      </c>
    </row>
    <row r="185" spans="1:12" x14ac:dyDescent="0.15">
      <c r="A185" s="5"/>
      <c r="B185" s="6"/>
      <c r="H185" s="41">
        <f t="shared" si="5"/>
        <v>46353</v>
      </c>
      <c r="I185" s="42">
        <f t="shared" si="4"/>
        <v>1</v>
      </c>
      <c r="J185" s="42">
        <f ca="1">IF(J$1="",0,COUNTIFS(工数管理!$AK$3:$AK$98,J$1,工数管理!$K$3:$K$98,"&lt;="&amp;$H185,工数管理!$L$3:$L$98,"&gt;="&amp;$H185)+COUNTIFS(工数管理!$AK$3:$AK$98,J$1,工数管理!$M$3:$M$98,"&lt;="&amp;$H185,工数管理!$N$3:$N$98,"&gt;="&amp;$H185)+COUNTIFS(工数管理!$AK$3:$AK$98,J$1,工数管理!$O$3:$O$98,"&lt;="&amp;$H185,工数管理!$P$3:$P$98,"&gt;="&amp;$H185)+COUNTIFS(工数管理!$AK$3:$AK$98,J$1,工数管理!$Q$3:$Q$98,"&lt;="&amp;$H185,工数管理!$R$3:$R$98,"&gt;="&amp;$H185)+COUNTIFS(工数管理!$AK$3:$AK$98,J$1,工数管理!$S$3:$S$98,"&lt;="&amp;$H185,工数管理!$T$3:$T$98,"&gt;="&amp;$H185)+COUNTIFS(工数管理!$AK$3:$AK$98,J$1,工数管理!$U$3:$U$98,"&lt;="&amp;$H185,工数管理!$V$3:$V$98,"&gt;="&amp;$H185)+COUNTIFS(工数管理!$AK$3:$AK$98,J$1,工数管理!$W$3:$W$98,"&lt;="&amp;$H185,工数管理!$X$3:$X$98,"&gt;="&amp;$H185)+COUNTIFS(工数管理!$AK$3:$AK$98,J$1,工数管理!$Y$3:$Y$98,"&lt;="&amp;$H185,工数管理!$Z$3:$Z$98,"&gt;="&amp;$H185)+COUNTIFS(工数管理!$AK$3:$AK$98,J$1,工数管理!$AA$3:$AA$98,"&lt;="&amp;$H185,工数管理!$AB$3:$AB$98,"&gt;="&amp;$H185)+COUNTIFS(工数管理!$AK$3:$AK$98,J$1,工数管理!$AC$3:$AC$98,"&lt;="&amp;$H185,工数管理!$AD$3:$AD$98,"&gt;="&amp;$H185)+COUNTIFS(工数管理!$AK$3:$AK$98,J$1,工数管理!$AE$3:$AE$98,"&lt;="&amp;$H185,工数管理!$AF$3:$AF$98,"&gt;="&amp;$H185)+COUNTIFS(工数管理!$AK$3:$AK$98,J$1,工数管理!$AG$3:$AG$98,"&lt;="&amp;$H185,工数管理!$AH$3:$AH$98,"&gt;="&amp;$H185)+(COUNTIFS(工数管理!$AK$3:$AK$98,J$1,工数管理!$K$3:$K$98,"&lt;="&amp;$H185,工数管理!$L$3:$L$98,"")+COUNTIFS(工数管理!$AK$3:$AK$98,J$1,工数管理!$M$3:$M$98,"&lt;="&amp;$H185,工数管理!$N$3:$N$98,"")+COUNTIFS(工数管理!$AK$3:$AK$98,J$1,工数管理!$O$3:$O$98,"&lt;="&amp;$H185,工数管理!$P$3:$P$98,"")+COUNTIFS(工数管理!$AK$3:$AK$98,J$1,工数管理!$Q$3:$Q$98,"&lt;="&amp;$H185,工数管理!$R$3:$R$98,"")+COUNTIFS(工数管理!$AK$3:$AK$98,J$1,工数管理!$S$3:$S$98,"&lt;="&amp;$H185,工数管理!$T$3:$T$98,"")+COUNTIFS(工数管理!$AK$3:$AK$98,J$1,工数管理!$U$3:$U$98,"&lt;="&amp;$H185,工数管理!$V$3:$V$98,"")+COUNTIFS(工数管理!$AK$3:$AK$98,J$1,工数管理!$W$3:$W$98,"&lt;="&amp;$H185,工数管理!$X$3:$X$98,"")+COUNTIFS(工数管理!$AK$3:$AK$98,J$1,工数管理!$Y$3:$Y$98,"&lt;="&amp;$H185,工数管理!$Z$3:$Z$98,"")+COUNTIFS(工数管理!$AK$3:$AK$98,J$1,工数管理!$AA$3:$AA$98,"&lt;="&amp;$H185,工数管理!$AB$3:$AB$98,"")+COUNTIFS(工数管理!$AK$3:$AK$98,J$1,工数管理!$AC$3:$AC$98,"&lt;="&amp;$H185,工数管理!$AD$3:$AD$98,"")+COUNTIFS(工数管理!$AK$3:$AK$98,J$1,工数管理!$AE$3:$AE$98,"&lt;="&amp;$H185,工数管理!$AF$3:$AF$98,"")+COUNTIFS(工数管理!$AK$3:$AK$98,J$1,工数管理!$AG$3:$AG$98,"&lt;="&amp;$H185,工数管理!$AH$3:$AH$98,""))*($H185&lt;=工数管理!$AI$1))</f>
        <v>0</v>
      </c>
      <c r="K185" s="42">
        <f ca="1">IF(K$1="",0,COUNTIFS(工数管理!$AK$3:$AK$98,K$1,工数管理!$K$3:$K$98,"&lt;="&amp;$H185,工数管理!$L$3:$L$98,"&gt;="&amp;$H185)+COUNTIFS(工数管理!$AK$3:$AK$98,K$1,工数管理!$M$3:$M$98,"&lt;="&amp;$H185,工数管理!$N$3:$N$98,"&gt;="&amp;$H185)+COUNTIFS(工数管理!$AK$3:$AK$98,K$1,工数管理!$O$3:$O$98,"&lt;="&amp;$H185,工数管理!$P$3:$P$98,"&gt;="&amp;$H185)+COUNTIFS(工数管理!$AK$3:$AK$98,K$1,工数管理!$Q$3:$Q$98,"&lt;="&amp;$H185,工数管理!$R$3:$R$98,"&gt;="&amp;$H185)+COUNTIFS(工数管理!$AK$3:$AK$98,K$1,工数管理!$S$3:$S$98,"&lt;="&amp;$H185,工数管理!$T$3:$T$98,"&gt;="&amp;$H185)+COUNTIFS(工数管理!$AK$3:$AK$98,K$1,工数管理!$U$3:$U$98,"&lt;="&amp;$H185,工数管理!$V$3:$V$98,"&gt;="&amp;$H185)+COUNTIFS(工数管理!$AK$3:$AK$98,K$1,工数管理!$W$3:$W$98,"&lt;="&amp;$H185,工数管理!$X$3:$X$98,"&gt;="&amp;$H185)+COUNTIFS(工数管理!$AK$3:$AK$98,K$1,工数管理!$Y$3:$Y$98,"&lt;="&amp;$H185,工数管理!$Z$3:$Z$98,"&gt;="&amp;$H185)+COUNTIFS(工数管理!$AK$3:$AK$98,K$1,工数管理!$AA$3:$AA$98,"&lt;="&amp;$H185,工数管理!$AB$3:$AB$98,"&gt;="&amp;$H185)+COUNTIFS(工数管理!$AK$3:$AK$98,K$1,工数管理!$AC$3:$AC$98,"&lt;="&amp;$H185,工数管理!$AD$3:$AD$98,"&gt;="&amp;$H185)+COUNTIFS(工数管理!$AK$3:$AK$98,K$1,工数管理!$AE$3:$AE$98,"&lt;="&amp;$H185,工数管理!$AF$3:$AF$98,"&gt;="&amp;$H185)+COUNTIFS(工数管理!$AK$3:$AK$98,K$1,工数管理!$AG$3:$AG$98,"&lt;="&amp;$H185,工数管理!$AH$3:$AH$98,"&gt;="&amp;$H185)+(COUNTIFS(工数管理!$AK$3:$AK$98,K$1,工数管理!$K$3:$K$98,"&lt;="&amp;$H185,工数管理!$L$3:$L$98,"")+COUNTIFS(工数管理!$AK$3:$AK$98,K$1,工数管理!$M$3:$M$98,"&lt;="&amp;$H185,工数管理!$N$3:$N$98,"")+COUNTIFS(工数管理!$AK$3:$AK$98,K$1,工数管理!$O$3:$O$98,"&lt;="&amp;$H185,工数管理!$P$3:$P$98,"")+COUNTIFS(工数管理!$AK$3:$AK$98,K$1,工数管理!$Q$3:$Q$98,"&lt;="&amp;$H185,工数管理!$R$3:$R$98,"")+COUNTIFS(工数管理!$AK$3:$AK$98,K$1,工数管理!$S$3:$S$98,"&lt;="&amp;$H185,工数管理!$T$3:$T$98,"")+COUNTIFS(工数管理!$AK$3:$AK$98,K$1,工数管理!$U$3:$U$98,"&lt;="&amp;$H185,工数管理!$V$3:$V$98,"")+COUNTIFS(工数管理!$AK$3:$AK$98,K$1,工数管理!$W$3:$W$98,"&lt;="&amp;$H185,工数管理!$X$3:$X$98,"")+COUNTIFS(工数管理!$AK$3:$AK$98,K$1,工数管理!$Y$3:$Y$98,"&lt;="&amp;$H185,工数管理!$Z$3:$Z$98,"")+COUNTIFS(工数管理!$AK$3:$AK$98,K$1,工数管理!$AA$3:$AA$98,"&lt;="&amp;$H185,工数管理!$AB$3:$AB$98,"")+COUNTIFS(工数管理!$AK$3:$AK$98,K$1,工数管理!$AC$3:$AC$98,"&lt;="&amp;$H185,工数管理!$AD$3:$AD$98,"")+COUNTIFS(工数管理!$AK$3:$AK$98,K$1,工数管理!$AE$3:$AE$98,"&lt;="&amp;$H185,工数管理!$AF$3:$AF$98,"")+COUNTIFS(工数管理!$AK$3:$AK$98,K$1,工数管理!$AG$3:$AG$98,"&lt;="&amp;$H185,工数管理!$AH$3:$AH$98,""))*($H185&lt;=工数管理!$AI$1))</f>
        <v>0</v>
      </c>
      <c r="L185" s="42">
        <f ca="1">IF(L$1="",0,COUNTIFS(工数管理!$AK$3:$AK$98,L$1,工数管理!$K$3:$K$98,"&lt;="&amp;$H185,工数管理!$L$3:$L$98,"&gt;="&amp;$H185)+COUNTIFS(工数管理!$AK$3:$AK$98,L$1,工数管理!$M$3:$M$98,"&lt;="&amp;$H185,工数管理!$N$3:$N$98,"&gt;="&amp;$H185)+COUNTIFS(工数管理!$AK$3:$AK$98,L$1,工数管理!$O$3:$O$98,"&lt;="&amp;$H185,工数管理!$P$3:$P$98,"&gt;="&amp;$H185)+COUNTIFS(工数管理!$AK$3:$AK$98,L$1,工数管理!$Q$3:$Q$98,"&lt;="&amp;$H185,工数管理!$R$3:$R$98,"&gt;="&amp;$H185)+COUNTIFS(工数管理!$AK$3:$AK$98,L$1,工数管理!$S$3:$S$98,"&lt;="&amp;$H185,工数管理!$T$3:$T$98,"&gt;="&amp;$H185)+COUNTIFS(工数管理!$AK$3:$AK$98,L$1,工数管理!$U$3:$U$98,"&lt;="&amp;$H185,工数管理!$V$3:$V$98,"&gt;="&amp;$H185)+COUNTIFS(工数管理!$AK$3:$AK$98,L$1,工数管理!$W$3:$W$98,"&lt;="&amp;$H185,工数管理!$X$3:$X$98,"&gt;="&amp;$H185)+COUNTIFS(工数管理!$AK$3:$AK$98,L$1,工数管理!$Y$3:$Y$98,"&lt;="&amp;$H185,工数管理!$Z$3:$Z$98,"&gt;="&amp;$H185)+COUNTIFS(工数管理!$AK$3:$AK$98,L$1,工数管理!$AA$3:$AA$98,"&lt;="&amp;$H185,工数管理!$AB$3:$AB$98,"&gt;="&amp;$H185)+COUNTIFS(工数管理!$AK$3:$AK$98,L$1,工数管理!$AC$3:$AC$98,"&lt;="&amp;$H185,工数管理!$AD$3:$AD$98,"&gt;="&amp;$H185)+COUNTIFS(工数管理!$AK$3:$AK$98,L$1,工数管理!$AE$3:$AE$98,"&lt;="&amp;$H185,工数管理!$AF$3:$AF$98,"&gt;="&amp;$H185)+COUNTIFS(工数管理!$AK$3:$AK$98,L$1,工数管理!$AG$3:$AG$98,"&lt;="&amp;$H185,工数管理!$AH$3:$AH$98,"&gt;="&amp;$H185)+(COUNTIFS(工数管理!$AK$3:$AK$98,L$1,工数管理!$K$3:$K$98,"&lt;="&amp;$H185,工数管理!$L$3:$L$98,"")+COUNTIFS(工数管理!$AK$3:$AK$98,L$1,工数管理!$M$3:$M$98,"&lt;="&amp;$H185,工数管理!$N$3:$N$98,"")+COUNTIFS(工数管理!$AK$3:$AK$98,L$1,工数管理!$O$3:$O$98,"&lt;="&amp;$H185,工数管理!$P$3:$P$98,"")+COUNTIFS(工数管理!$AK$3:$AK$98,L$1,工数管理!$Q$3:$Q$98,"&lt;="&amp;$H185,工数管理!$R$3:$R$98,"")+COUNTIFS(工数管理!$AK$3:$AK$98,L$1,工数管理!$S$3:$S$98,"&lt;="&amp;$H185,工数管理!$T$3:$T$98,"")+COUNTIFS(工数管理!$AK$3:$AK$98,L$1,工数管理!$U$3:$U$98,"&lt;="&amp;$H185,工数管理!$V$3:$V$98,"")+COUNTIFS(工数管理!$AK$3:$AK$98,L$1,工数管理!$W$3:$W$98,"&lt;="&amp;$H185,工数管理!$X$3:$X$98,"")+COUNTIFS(工数管理!$AK$3:$AK$98,L$1,工数管理!$Y$3:$Y$98,"&lt;="&amp;$H185,工数管理!$Z$3:$Z$98,"")+COUNTIFS(工数管理!$AK$3:$AK$98,L$1,工数管理!$AA$3:$AA$98,"&lt;="&amp;$H185,工数管理!$AB$3:$AB$98,"")+COUNTIFS(工数管理!$AK$3:$AK$98,L$1,工数管理!$AC$3:$AC$98,"&lt;="&amp;$H185,工数管理!$AD$3:$AD$98,"")+COUNTIFS(工数管理!$AK$3:$AK$98,L$1,工数管理!$AE$3:$AE$98,"&lt;="&amp;$H185,工数管理!$AF$3:$AF$98,"")+COUNTIFS(工数管理!$AK$3:$AK$98,L$1,工数管理!$AG$3:$AG$98,"&lt;="&amp;$H185,工数管理!$AH$3:$AH$98,""))*($H185&lt;=工数管理!$AI$1))</f>
        <v>0</v>
      </c>
    </row>
    <row r="186" spans="1:12" x14ac:dyDescent="0.15">
      <c r="A186" s="5"/>
      <c r="B186" s="6"/>
      <c r="H186" s="41">
        <f t="shared" si="5"/>
        <v>46354</v>
      </c>
      <c r="I186" s="42">
        <f t="shared" si="4"/>
        <v>0</v>
      </c>
      <c r="J186" s="42">
        <f ca="1">IF(J$1="",0,COUNTIFS(工数管理!$AK$3:$AK$98,J$1,工数管理!$K$3:$K$98,"&lt;="&amp;$H186,工数管理!$L$3:$L$98,"&gt;="&amp;$H186)+COUNTIFS(工数管理!$AK$3:$AK$98,J$1,工数管理!$M$3:$M$98,"&lt;="&amp;$H186,工数管理!$N$3:$N$98,"&gt;="&amp;$H186)+COUNTIFS(工数管理!$AK$3:$AK$98,J$1,工数管理!$O$3:$O$98,"&lt;="&amp;$H186,工数管理!$P$3:$P$98,"&gt;="&amp;$H186)+COUNTIFS(工数管理!$AK$3:$AK$98,J$1,工数管理!$Q$3:$Q$98,"&lt;="&amp;$H186,工数管理!$R$3:$R$98,"&gt;="&amp;$H186)+COUNTIFS(工数管理!$AK$3:$AK$98,J$1,工数管理!$S$3:$S$98,"&lt;="&amp;$H186,工数管理!$T$3:$T$98,"&gt;="&amp;$H186)+COUNTIFS(工数管理!$AK$3:$AK$98,J$1,工数管理!$U$3:$U$98,"&lt;="&amp;$H186,工数管理!$V$3:$V$98,"&gt;="&amp;$H186)+COUNTIFS(工数管理!$AK$3:$AK$98,J$1,工数管理!$W$3:$W$98,"&lt;="&amp;$H186,工数管理!$X$3:$X$98,"&gt;="&amp;$H186)+COUNTIFS(工数管理!$AK$3:$AK$98,J$1,工数管理!$Y$3:$Y$98,"&lt;="&amp;$H186,工数管理!$Z$3:$Z$98,"&gt;="&amp;$H186)+COUNTIFS(工数管理!$AK$3:$AK$98,J$1,工数管理!$AA$3:$AA$98,"&lt;="&amp;$H186,工数管理!$AB$3:$AB$98,"&gt;="&amp;$H186)+COUNTIFS(工数管理!$AK$3:$AK$98,J$1,工数管理!$AC$3:$AC$98,"&lt;="&amp;$H186,工数管理!$AD$3:$AD$98,"&gt;="&amp;$H186)+COUNTIFS(工数管理!$AK$3:$AK$98,J$1,工数管理!$AE$3:$AE$98,"&lt;="&amp;$H186,工数管理!$AF$3:$AF$98,"&gt;="&amp;$H186)+COUNTIFS(工数管理!$AK$3:$AK$98,J$1,工数管理!$AG$3:$AG$98,"&lt;="&amp;$H186,工数管理!$AH$3:$AH$98,"&gt;="&amp;$H186)+(COUNTIFS(工数管理!$AK$3:$AK$98,J$1,工数管理!$K$3:$K$98,"&lt;="&amp;$H186,工数管理!$L$3:$L$98,"")+COUNTIFS(工数管理!$AK$3:$AK$98,J$1,工数管理!$M$3:$M$98,"&lt;="&amp;$H186,工数管理!$N$3:$N$98,"")+COUNTIFS(工数管理!$AK$3:$AK$98,J$1,工数管理!$O$3:$O$98,"&lt;="&amp;$H186,工数管理!$P$3:$P$98,"")+COUNTIFS(工数管理!$AK$3:$AK$98,J$1,工数管理!$Q$3:$Q$98,"&lt;="&amp;$H186,工数管理!$R$3:$R$98,"")+COUNTIFS(工数管理!$AK$3:$AK$98,J$1,工数管理!$S$3:$S$98,"&lt;="&amp;$H186,工数管理!$T$3:$T$98,"")+COUNTIFS(工数管理!$AK$3:$AK$98,J$1,工数管理!$U$3:$U$98,"&lt;="&amp;$H186,工数管理!$V$3:$V$98,"")+COUNTIFS(工数管理!$AK$3:$AK$98,J$1,工数管理!$W$3:$W$98,"&lt;="&amp;$H186,工数管理!$X$3:$X$98,"")+COUNTIFS(工数管理!$AK$3:$AK$98,J$1,工数管理!$Y$3:$Y$98,"&lt;="&amp;$H186,工数管理!$Z$3:$Z$98,"")+COUNTIFS(工数管理!$AK$3:$AK$98,J$1,工数管理!$AA$3:$AA$98,"&lt;="&amp;$H186,工数管理!$AB$3:$AB$98,"")+COUNTIFS(工数管理!$AK$3:$AK$98,J$1,工数管理!$AC$3:$AC$98,"&lt;="&amp;$H186,工数管理!$AD$3:$AD$98,"")+COUNTIFS(工数管理!$AK$3:$AK$98,J$1,工数管理!$AE$3:$AE$98,"&lt;="&amp;$H186,工数管理!$AF$3:$AF$98,"")+COUNTIFS(工数管理!$AK$3:$AK$98,J$1,工数管理!$AG$3:$AG$98,"&lt;="&amp;$H186,工数管理!$AH$3:$AH$98,""))*($H186&lt;=工数管理!$AI$1))</f>
        <v>0</v>
      </c>
      <c r="K186" s="42">
        <f ca="1">IF(K$1="",0,COUNTIFS(工数管理!$AK$3:$AK$98,K$1,工数管理!$K$3:$K$98,"&lt;="&amp;$H186,工数管理!$L$3:$L$98,"&gt;="&amp;$H186)+COUNTIFS(工数管理!$AK$3:$AK$98,K$1,工数管理!$M$3:$M$98,"&lt;="&amp;$H186,工数管理!$N$3:$N$98,"&gt;="&amp;$H186)+COUNTIFS(工数管理!$AK$3:$AK$98,K$1,工数管理!$O$3:$O$98,"&lt;="&amp;$H186,工数管理!$P$3:$P$98,"&gt;="&amp;$H186)+COUNTIFS(工数管理!$AK$3:$AK$98,K$1,工数管理!$Q$3:$Q$98,"&lt;="&amp;$H186,工数管理!$R$3:$R$98,"&gt;="&amp;$H186)+COUNTIFS(工数管理!$AK$3:$AK$98,K$1,工数管理!$S$3:$S$98,"&lt;="&amp;$H186,工数管理!$T$3:$T$98,"&gt;="&amp;$H186)+COUNTIFS(工数管理!$AK$3:$AK$98,K$1,工数管理!$U$3:$U$98,"&lt;="&amp;$H186,工数管理!$V$3:$V$98,"&gt;="&amp;$H186)+COUNTIFS(工数管理!$AK$3:$AK$98,K$1,工数管理!$W$3:$W$98,"&lt;="&amp;$H186,工数管理!$X$3:$X$98,"&gt;="&amp;$H186)+COUNTIFS(工数管理!$AK$3:$AK$98,K$1,工数管理!$Y$3:$Y$98,"&lt;="&amp;$H186,工数管理!$Z$3:$Z$98,"&gt;="&amp;$H186)+COUNTIFS(工数管理!$AK$3:$AK$98,K$1,工数管理!$AA$3:$AA$98,"&lt;="&amp;$H186,工数管理!$AB$3:$AB$98,"&gt;="&amp;$H186)+COUNTIFS(工数管理!$AK$3:$AK$98,K$1,工数管理!$AC$3:$AC$98,"&lt;="&amp;$H186,工数管理!$AD$3:$AD$98,"&gt;="&amp;$H186)+COUNTIFS(工数管理!$AK$3:$AK$98,K$1,工数管理!$AE$3:$AE$98,"&lt;="&amp;$H186,工数管理!$AF$3:$AF$98,"&gt;="&amp;$H186)+COUNTIFS(工数管理!$AK$3:$AK$98,K$1,工数管理!$AG$3:$AG$98,"&lt;="&amp;$H186,工数管理!$AH$3:$AH$98,"&gt;="&amp;$H186)+(COUNTIFS(工数管理!$AK$3:$AK$98,K$1,工数管理!$K$3:$K$98,"&lt;="&amp;$H186,工数管理!$L$3:$L$98,"")+COUNTIFS(工数管理!$AK$3:$AK$98,K$1,工数管理!$M$3:$M$98,"&lt;="&amp;$H186,工数管理!$N$3:$N$98,"")+COUNTIFS(工数管理!$AK$3:$AK$98,K$1,工数管理!$O$3:$O$98,"&lt;="&amp;$H186,工数管理!$P$3:$P$98,"")+COUNTIFS(工数管理!$AK$3:$AK$98,K$1,工数管理!$Q$3:$Q$98,"&lt;="&amp;$H186,工数管理!$R$3:$R$98,"")+COUNTIFS(工数管理!$AK$3:$AK$98,K$1,工数管理!$S$3:$S$98,"&lt;="&amp;$H186,工数管理!$T$3:$T$98,"")+COUNTIFS(工数管理!$AK$3:$AK$98,K$1,工数管理!$U$3:$U$98,"&lt;="&amp;$H186,工数管理!$V$3:$V$98,"")+COUNTIFS(工数管理!$AK$3:$AK$98,K$1,工数管理!$W$3:$W$98,"&lt;="&amp;$H186,工数管理!$X$3:$X$98,"")+COUNTIFS(工数管理!$AK$3:$AK$98,K$1,工数管理!$Y$3:$Y$98,"&lt;="&amp;$H186,工数管理!$Z$3:$Z$98,"")+COUNTIFS(工数管理!$AK$3:$AK$98,K$1,工数管理!$AA$3:$AA$98,"&lt;="&amp;$H186,工数管理!$AB$3:$AB$98,"")+COUNTIFS(工数管理!$AK$3:$AK$98,K$1,工数管理!$AC$3:$AC$98,"&lt;="&amp;$H186,工数管理!$AD$3:$AD$98,"")+COUNTIFS(工数管理!$AK$3:$AK$98,K$1,工数管理!$AE$3:$AE$98,"&lt;="&amp;$H186,工数管理!$AF$3:$AF$98,"")+COUNTIFS(工数管理!$AK$3:$AK$98,K$1,工数管理!$AG$3:$AG$98,"&lt;="&amp;$H186,工数管理!$AH$3:$AH$98,""))*($H186&lt;=工数管理!$AI$1))</f>
        <v>0</v>
      </c>
      <c r="L186" s="42">
        <f ca="1">IF(L$1="",0,COUNTIFS(工数管理!$AK$3:$AK$98,L$1,工数管理!$K$3:$K$98,"&lt;="&amp;$H186,工数管理!$L$3:$L$98,"&gt;="&amp;$H186)+COUNTIFS(工数管理!$AK$3:$AK$98,L$1,工数管理!$M$3:$M$98,"&lt;="&amp;$H186,工数管理!$N$3:$N$98,"&gt;="&amp;$H186)+COUNTIFS(工数管理!$AK$3:$AK$98,L$1,工数管理!$O$3:$O$98,"&lt;="&amp;$H186,工数管理!$P$3:$P$98,"&gt;="&amp;$H186)+COUNTIFS(工数管理!$AK$3:$AK$98,L$1,工数管理!$Q$3:$Q$98,"&lt;="&amp;$H186,工数管理!$R$3:$R$98,"&gt;="&amp;$H186)+COUNTIFS(工数管理!$AK$3:$AK$98,L$1,工数管理!$S$3:$S$98,"&lt;="&amp;$H186,工数管理!$T$3:$T$98,"&gt;="&amp;$H186)+COUNTIFS(工数管理!$AK$3:$AK$98,L$1,工数管理!$U$3:$U$98,"&lt;="&amp;$H186,工数管理!$V$3:$V$98,"&gt;="&amp;$H186)+COUNTIFS(工数管理!$AK$3:$AK$98,L$1,工数管理!$W$3:$W$98,"&lt;="&amp;$H186,工数管理!$X$3:$X$98,"&gt;="&amp;$H186)+COUNTIFS(工数管理!$AK$3:$AK$98,L$1,工数管理!$Y$3:$Y$98,"&lt;="&amp;$H186,工数管理!$Z$3:$Z$98,"&gt;="&amp;$H186)+COUNTIFS(工数管理!$AK$3:$AK$98,L$1,工数管理!$AA$3:$AA$98,"&lt;="&amp;$H186,工数管理!$AB$3:$AB$98,"&gt;="&amp;$H186)+COUNTIFS(工数管理!$AK$3:$AK$98,L$1,工数管理!$AC$3:$AC$98,"&lt;="&amp;$H186,工数管理!$AD$3:$AD$98,"&gt;="&amp;$H186)+COUNTIFS(工数管理!$AK$3:$AK$98,L$1,工数管理!$AE$3:$AE$98,"&lt;="&amp;$H186,工数管理!$AF$3:$AF$98,"&gt;="&amp;$H186)+COUNTIFS(工数管理!$AK$3:$AK$98,L$1,工数管理!$AG$3:$AG$98,"&lt;="&amp;$H186,工数管理!$AH$3:$AH$98,"&gt;="&amp;$H186)+(COUNTIFS(工数管理!$AK$3:$AK$98,L$1,工数管理!$K$3:$K$98,"&lt;="&amp;$H186,工数管理!$L$3:$L$98,"")+COUNTIFS(工数管理!$AK$3:$AK$98,L$1,工数管理!$M$3:$M$98,"&lt;="&amp;$H186,工数管理!$N$3:$N$98,"")+COUNTIFS(工数管理!$AK$3:$AK$98,L$1,工数管理!$O$3:$O$98,"&lt;="&amp;$H186,工数管理!$P$3:$P$98,"")+COUNTIFS(工数管理!$AK$3:$AK$98,L$1,工数管理!$Q$3:$Q$98,"&lt;="&amp;$H186,工数管理!$R$3:$R$98,"")+COUNTIFS(工数管理!$AK$3:$AK$98,L$1,工数管理!$S$3:$S$98,"&lt;="&amp;$H186,工数管理!$T$3:$T$98,"")+COUNTIFS(工数管理!$AK$3:$AK$98,L$1,工数管理!$U$3:$U$98,"&lt;="&amp;$H186,工数管理!$V$3:$V$98,"")+COUNTIFS(工数管理!$AK$3:$AK$98,L$1,工数管理!$W$3:$W$98,"&lt;="&amp;$H186,工数管理!$X$3:$X$98,"")+COUNTIFS(工数管理!$AK$3:$AK$98,L$1,工数管理!$Y$3:$Y$98,"&lt;="&amp;$H186,工数管理!$Z$3:$Z$98,"")+COUNTIFS(工数管理!$AK$3:$AK$98,L$1,工数管理!$AA$3:$AA$98,"&lt;="&amp;$H186,工数管理!$AB$3:$AB$98,"")+COUNTIFS(工数管理!$AK$3:$AK$98,L$1,工数管理!$AC$3:$AC$98,"&lt;="&amp;$H186,工数管理!$AD$3:$AD$98,"")+COUNTIFS(工数管理!$AK$3:$AK$98,L$1,工数管理!$AE$3:$AE$98,"&lt;="&amp;$H186,工数管理!$AF$3:$AF$98,"")+COUNTIFS(工数管理!$AK$3:$AK$98,L$1,工数管理!$AG$3:$AG$98,"&lt;="&amp;$H186,工数管理!$AH$3:$AH$98,""))*($H186&lt;=工数管理!$AI$1))</f>
        <v>0</v>
      </c>
    </row>
    <row r="187" spans="1:12" x14ac:dyDescent="0.15">
      <c r="A187" s="5"/>
      <c r="B187" s="6"/>
      <c r="H187" s="41">
        <f t="shared" si="5"/>
        <v>46355</v>
      </c>
      <c r="I187" s="42">
        <f t="shared" si="4"/>
        <v>0</v>
      </c>
      <c r="J187" s="42">
        <f ca="1">IF(J$1="",0,COUNTIFS(工数管理!$AK$3:$AK$98,J$1,工数管理!$K$3:$K$98,"&lt;="&amp;$H187,工数管理!$L$3:$L$98,"&gt;="&amp;$H187)+COUNTIFS(工数管理!$AK$3:$AK$98,J$1,工数管理!$M$3:$M$98,"&lt;="&amp;$H187,工数管理!$N$3:$N$98,"&gt;="&amp;$H187)+COUNTIFS(工数管理!$AK$3:$AK$98,J$1,工数管理!$O$3:$O$98,"&lt;="&amp;$H187,工数管理!$P$3:$P$98,"&gt;="&amp;$H187)+COUNTIFS(工数管理!$AK$3:$AK$98,J$1,工数管理!$Q$3:$Q$98,"&lt;="&amp;$H187,工数管理!$R$3:$R$98,"&gt;="&amp;$H187)+COUNTIFS(工数管理!$AK$3:$AK$98,J$1,工数管理!$S$3:$S$98,"&lt;="&amp;$H187,工数管理!$T$3:$T$98,"&gt;="&amp;$H187)+COUNTIFS(工数管理!$AK$3:$AK$98,J$1,工数管理!$U$3:$U$98,"&lt;="&amp;$H187,工数管理!$V$3:$V$98,"&gt;="&amp;$H187)+COUNTIFS(工数管理!$AK$3:$AK$98,J$1,工数管理!$W$3:$W$98,"&lt;="&amp;$H187,工数管理!$X$3:$X$98,"&gt;="&amp;$H187)+COUNTIFS(工数管理!$AK$3:$AK$98,J$1,工数管理!$Y$3:$Y$98,"&lt;="&amp;$H187,工数管理!$Z$3:$Z$98,"&gt;="&amp;$H187)+COUNTIFS(工数管理!$AK$3:$AK$98,J$1,工数管理!$AA$3:$AA$98,"&lt;="&amp;$H187,工数管理!$AB$3:$AB$98,"&gt;="&amp;$H187)+COUNTIFS(工数管理!$AK$3:$AK$98,J$1,工数管理!$AC$3:$AC$98,"&lt;="&amp;$H187,工数管理!$AD$3:$AD$98,"&gt;="&amp;$H187)+COUNTIFS(工数管理!$AK$3:$AK$98,J$1,工数管理!$AE$3:$AE$98,"&lt;="&amp;$H187,工数管理!$AF$3:$AF$98,"&gt;="&amp;$H187)+COUNTIFS(工数管理!$AK$3:$AK$98,J$1,工数管理!$AG$3:$AG$98,"&lt;="&amp;$H187,工数管理!$AH$3:$AH$98,"&gt;="&amp;$H187)+(COUNTIFS(工数管理!$AK$3:$AK$98,J$1,工数管理!$K$3:$K$98,"&lt;="&amp;$H187,工数管理!$L$3:$L$98,"")+COUNTIFS(工数管理!$AK$3:$AK$98,J$1,工数管理!$M$3:$M$98,"&lt;="&amp;$H187,工数管理!$N$3:$N$98,"")+COUNTIFS(工数管理!$AK$3:$AK$98,J$1,工数管理!$O$3:$O$98,"&lt;="&amp;$H187,工数管理!$P$3:$P$98,"")+COUNTIFS(工数管理!$AK$3:$AK$98,J$1,工数管理!$Q$3:$Q$98,"&lt;="&amp;$H187,工数管理!$R$3:$R$98,"")+COUNTIFS(工数管理!$AK$3:$AK$98,J$1,工数管理!$S$3:$S$98,"&lt;="&amp;$H187,工数管理!$T$3:$T$98,"")+COUNTIFS(工数管理!$AK$3:$AK$98,J$1,工数管理!$U$3:$U$98,"&lt;="&amp;$H187,工数管理!$V$3:$V$98,"")+COUNTIFS(工数管理!$AK$3:$AK$98,J$1,工数管理!$W$3:$W$98,"&lt;="&amp;$H187,工数管理!$X$3:$X$98,"")+COUNTIFS(工数管理!$AK$3:$AK$98,J$1,工数管理!$Y$3:$Y$98,"&lt;="&amp;$H187,工数管理!$Z$3:$Z$98,"")+COUNTIFS(工数管理!$AK$3:$AK$98,J$1,工数管理!$AA$3:$AA$98,"&lt;="&amp;$H187,工数管理!$AB$3:$AB$98,"")+COUNTIFS(工数管理!$AK$3:$AK$98,J$1,工数管理!$AC$3:$AC$98,"&lt;="&amp;$H187,工数管理!$AD$3:$AD$98,"")+COUNTIFS(工数管理!$AK$3:$AK$98,J$1,工数管理!$AE$3:$AE$98,"&lt;="&amp;$H187,工数管理!$AF$3:$AF$98,"")+COUNTIFS(工数管理!$AK$3:$AK$98,J$1,工数管理!$AG$3:$AG$98,"&lt;="&amp;$H187,工数管理!$AH$3:$AH$98,""))*($H187&lt;=工数管理!$AI$1))</f>
        <v>0</v>
      </c>
      <c r="K187" s="42">
        <f ca="1">IF(K$1="",0,COUNTIFS(工数管理!$AK$3:$AK$98,K$1,工数管理!$K$3:$K$98,"&lt;="&amp;$H187,工数管理!$L$3:$L$98,"&gt;="&amp;$H187)+COUNTIFS(工数管理!$AK$3:$AK$98,K$1,工数管理!$M$3:$M$98,"&lt;="&amp;$H187,工数管理!$N$3:$N$98,"&gt;="&amp;$H187)+COUNTIFS(工数管理!$AK$3:$AK$98,K$1,工数管理!$O$3:$O$98,"&lt;="&amp;$H187,工数管理!$P$3:$P$98,"&gt;="&amp;$H187)+COUNTIFS(工数管理!$AK$3:$AK$98,K$1,工数管理!$Q$3:$Q$98,"&lt;="&amp;$H187,工数管理!$R$3:$R$98,"&gt;="&amp;$H187)+COUNTIFS(工数管理!$AK$3:$AK$98,K$1,工数管理!$S$3:$S$98,"&lt;="&amp;$H187,工数管理!$T$3:$T$98,"&gt;="&amp;$H187)+COUNTIFS(工数管理!$AK$3:$AK$98,K$1,工数管理!$U$3:$U$98,"&lt;="&amp;$H187,工数管理!$V$3:$V$98,"&gt;="&amp;$H187)+COUNTIFS(工数管理!$AK$3:$AK$98,K$1,工数管理!$W$3:$W$98,"&lt;="&amp;$H187,工数管理!$X$3:$X$98,"&gt;="&amp;$H187)+COUNTIFS(工数管理!$AK$3:$AK$98,K$1,工数管理!$Y$3:$Y$98,"&lt;="&amp;$H187,工数管理!$Z$3:$Z$98,"&gt;="&amp;$H187)+COUNTIFS(工数管理!$AK$3:$AK$98,K$1,工数管理!$AA$3:$AA$98,"&lt;="&amp;$H187,工数管理!$AB$3:$AB$98,"&gt;="&amp;$H187)+COUNTIFS(工数管理!$AK$3:$AK$98,K$1,工数管理!$AC$3:$AC$98,"&lt;="&amp;$H187,工数管理!$AD$3:$AD$98,"&gt;="&amp;$H187)+COUNTIFS(工数管理!$AK$3:$AK$98,K$1,工数管理!$AE$3:$AE$98,"&lt;="&amp;$H187,工数管理!$AF$3:$AF$98,"&gt;="&amp;$H187)+COUNTIFS(工数管理!$AK$3:$AK$98,K$1,工数管理!$AG$3:$AG$98,"&lt;="&amp;$H187,工数管理!$AH$3:$AH$98,"&gt;="&amp;$H187)+(COUNTIFS(工数管理!$AK$3:$AK$98,K$1,工数管理!$K$3:$K$98,"&lt;="&amp;$H187,工数管理!$L$3:$L$98,"")+COUNTIFS(工数管理!$AK$3:$AK$98,K$1,工数管理!$M$3:$M$98,"&lt;="&amp;$H187,工数管理!$N$3:$N$98,"")+COUNTIFS(工数管理!$AK$3:$AK$98,K$1,工数管理!$O$3:$O$98,"&lt;="&amp;$H187,工数管理!$P$3:$P$98,"")+COUNTIFS(工数管理!$AK$3:$AK$98,K$1,工数管理!$Q$3:$Q$98,"&lt;="&amp;$H187,工数管理!$R$3:$R$98,"")+COUNTIFS(工数管理!$AK$3:$AK$98,K$1,工数管理!$S$3:$S$98,"&lt;="&amp;$H187,工数管理!$T$3:$T$98,"")+COUNTIFS(工数管理!$AK$3:$AK$98,K$1,工数管理!$U$3:$U$98,"&lt;="&amp;$H187,工数管理!$V$3:$V$98,"")+COUNTIFS(工数管理!$AK$3:$AK$98,K$1,工数管理!$W$3:$W$98,"&lt;="&amp;$H187,工数管理!$X$3:$X$98,"")+COUNTIFS(工数管理!$AK$3:$AK$98,K$1,工数管理!$Y$3:$Y$98,"&lt;="&amp;$H187,工数管理!$Z$3:$Z$98,"")+COUNTIFS(工数管理!$AK$3:$AK$98,K$1,工数管理!$AA$3:$AA$98,"&lt;="&amp;$H187,工数管理!$AB$3:$AB$98,"")+COUNTIFS(工数管理!$AK$3:$AK$98,K$1,工数管理!$AC$3:$AC$98,"&lt;="&amp;$H187,工数管理!$AD$3:$AD$98,"")+COUNTIFS(工数管理!$AK$3:$AK$98,K$1,工数管理!$AE$3:$AE$98,"&lt;="&amp;$H187,工数管理!$AF$3:$AF$98,"")+COUNTIFS(工数管理!$AK$3:$AK$98,K$1,工数管理!$AG$3:$AG$98,"&lt;="&amp;$H187,工数管理!$AH$3:$AH$98,""))*($H187&lt;=工数管理!$AI$1))</f>
        <v>0</v>
      </c>
      <c r="L187" s="42">
        <f ca="1">IF(L$1="",0,COUNTIFS(工数管理!$AK$3:$AK$98,L$1,工数管理!$K$3:$K$98,"&lt;="&amp;$H187,工数管理!$L$3:$L$98,"&gt;="&amp;$H187)+COUNTIFS(工数管理!$AK$3:$AK$98,L$1,工数管理!$M$3:$M$98,"&lt;="&amp;$H187,工数管理!$N$3:$N$98,"&gt;="&amp;$H187)+COUNTIFS(工数管理!$AK$3:$AK$98,L$1,工数管理!$O$3:$O$98,"&lt;="&amp;$H187,工数管理!$P$3:$P$98,"&gt;="&amp;$H187)+COUNTIFS(工数管理!$AK$3:$AK$98,L$1,工数管理!$Q$3:$Q$98,"&lt;="&amp;$H187,工数管理!$R$3:$R$98,"&gt;="&amp;$H187)+COUNTIFS(工数管理!$AK$3:$AK$98,L$1,工数管理!$S$3:$S$98,"&lt;="&amp;$H187,工数管理!$T$3:$T$98,"&gt;="&amp;$H187)+COUNTIFS(工数管理!$AK$3:$AK$98,L$1,工数管理!$U$3:$U$98,"&lt;="&amp;$H187,工数管理!$V$3:$V$98,"&gt;="&amp;$H187)+COUNTIFS(工数管理!$AK$3:$AK$98,L$1,工数管理!$W$3:$W$98,"&lt;="&amp;$H187,工数管理!$X$3:$X$98,"&gt;="&amp;$H187)+COUNTIFS(工数管理!$AK$3:$AK$98,L$1,工数管理!$Y$3:$Y$98,"&lt;="&amp;$H187,工数管理!$Z$3:$Z$98,"&gt;="&amp;$H187)+COUNTIFS(工数管理!$AK$3:$AK$98,L$1,工数管理!$AA$3:$AA$98,"&lt;="&amp;$H187,工数管理!$AB$3:$AB$98,"&gt;="&amp;$H187)+COUNTIFS(工数管理!$AK$3:$AK$98,L$1,工数管理!$AC$3:$AC$98,"&lt;="&amp;$H187,工数管理!$AD$3:$AD$98,"&gt;="&amp;$H187)+COUNTIFS(工数管理!$AK$3:$AK$98,L$1,工数管理!$AE$3:$AE$98,"&lt;="&amp;$H187,工数管理!$AF$3:$AF$98,"&gt;="&amp;$H187)+COUNTIFS(工数管理!$AK$3:$AK$98,L$1,工数管理!$AG$3:$AG$98,"&lt;="&amp;$H187,工数管理!$AH$3:$AH$98,"&gt;="&amp;$H187)+(COUNTIFS(工数管理!$AK$3:$AK$98,L$1,工数管理!$K$3:$K$98,"&lt;="&amp;$H187,工数管理!$L$3:$L$98,"")+COUNTIFS(工数管理!$AK$3:$AK$98,L$1,工数管理!$M$3:$M$98,"&lt;="&amp;$H187,工数管理!$N$3:$N$98,"")+COUNTIFS(工数管理!$AK$3:$AK$98,L$1,工数管理!$O$3:$O$98,"&lt;="&amp;$H187,工数管理!$P$3:$P$98,"")+COUNTIFS(工数管理!$AK$3:$AK$98,L$1,工数管理!$Q$3:$Q$98,"&lt;="&amp;$H187,工数管理!$R$3:$R$98,"")+COUNTIFS(工数管理!$AK$3:$AK$98,L$1,工数管理!$S$3:$S$98,"&lt;="&amp;$H187,工数管理!$T$3:$T$98,"")+COUNTIFS(工数管理!$AK$3:$AK$98,L$1,工数管理!$U$3:$U$98,"&lt;="&amp;$H187,工数管理!$V$3:$V$98,"")+COUNTIFS(工数管理!$AK$3:$AK$98,L$1,工数管理!$W$3:$W$98,"&lt;="&amp;$H187,工数管理!$X$3:$X$98,"")+COUNTIFS(工数管理!$AK$3:$AK$98,L$1,工数管理!$Y$3:$Y$98,"&lt;="&amp;$H187,工数管理!$Z$3:$Z$98,"")+COUNTIFS(工数管理!$AK$3:$AK$98,L$1,工数管理!$AA$3:$AA$98,"&lt;="&amp;$H187,工数管理!$AB$3:$AB$98,"")+COUNTIFS(工数管理!$AK$3:$AK$98,L$1,工数管理!$AC$3:$AC$98,"&lt;="&amp;$H187,工数管理!$AD$3:$AD$98,"")+COUNTIFS(工数管理!$AK$3:$AK$98,L$1,工数管理!$AE$3:$AE$98,"&lt;="&amp;$H187,工数管理!$AF$3:$AF$98,"")+COUNTIFS(工数管理!$AK$3:$AK$98,L$1,工数管理!$AG$3:$AG$98,"&lt;="&amp;$H187,工数管理!$AH$3:$AH$98,""))*($H187&lt;=工数管理!$AI$1))</f>
        <v>0</v>
      </c>
    </row>
    <row r="188" spans="1:12" x14ac:dyDescent="0.15">
      <c r="A188" s="5"/>
      <c r="B188" s="6"/>
      <c r="H188" s="41">
        <f t="shared" si="5"/>
        <v>46356</v>
      </c>
      <c r="I188" s="42">
        <f t="shared" si="4"/>
        <v>1</v>
      </c>
      <c r="J188" s="42">
        <f ca="1">IF(J$1="",0,COUNTIFS(工数管理!$AK$3:$AK$98,J$1,工数管理!$K$3:$K$98,"&lt;="&amp;$H188,工数管理!$L$3:$L$98,"&gt;="&amp;$H188)+COUNTIFS(工数管理!$AK$3:$AK$98,J$1,工数管理!$M$3:$M$98,"&lt;="&amp;$H188,工数管理!$N$3:$N$98,"&gt;="&amp;$H188)+COUNTIFS(工数管理!$AK$3:$AK$98,J$1,工数管理!$O$3:$O$98,"&lt;="&amp;$H188,工数管理!$P$3:$P$98,"&gt;="&amp;$H188)+COUNTIFS(工数管理!$AK$3:$AK$98,J$1,工数管理!$Q$3:$Q$98,"&lt;="&amp;$H188,工数管理!$R$3:$R$98,"&gt;="&amp;$H188)+COUNTIFS(工数管理!$AK$3:$AK$98,J$1,工数管理!$S$3:$S$98,"&lt;="&amp;$H188,工数管理!$T$3:$T$98,"&gt;="&amp;$H188)+COUNTIFS(工数管理!$AK$3:$AK$98,J$1,工数管理!$U$3:$U$98,"&lt;="&amp;$H188,工数管理!$V$3:$V$98,"&gt;="&amp;$H188)+COUNTIFS(工数管理!$AK$3:$AK$98,J$1,工数管理!$W$3:$W$98,"&lt;="&amp;$H188,工数管理!$X$3:$X$98,"&gt;="&amp;$H188)+COUNTIFS(工数管理!$AK$3:$AK$98,J$1,工数管理!$Y$3:$Y$98,"&lt;="&amp;$H188,工数管理!$Z$3:$Z$98,"&gt;="&amp;$H188)+COUNTIFS(工数管理!$AK$3:$AK$98,J$1,工数管理!$AA$3:$AA$98,"&lt;="&amp;$H188,工数管理!$AB$3:$AB$98,"&gt;="&amp;$H188)+COUNTIFS(工数管理!$AK$3:$AK$98,J$1,工数管理!$AC$3:$AC$98,"&lt;="&amp;$H188,工数管理!$AD$3:$AD$98,"&gt;="&amp;$H188)+COUNTIFS(工数管理!$AK$3:$AK$98,J$1,工数管理!$AE$3:$AE$98,"&lt;="&amp;$H188,工数管理!$AF$3:$AF$98,"&gt;="&amp;$H188)+COUNTIFS(工数管理!$AK$3:$AK$98,J$1,工数管理!$AG$3:$AG$98,"&lt;="&amp;$H188,工数管理!$AH$3:$AH$98,"&gt;="&amp;$H188)+(COUNTIFS(工数管理!$AK$3:$AK$98,J$1,工数管理!$K$3:$K$98,"&lt;="&amp;$H188,工数管理!$L$3:$L$98,"")+COUNTIFS(工数管理!$AK$3:$AK$98,J$1,工数管理!$M$3:$M$98,"&lt;="&amp;$H188,工数管理!$N$3:$N$98,"")+COUNTIFS(工数管理!$AK$3:$AK$98,J$1,工数管理!$O$3:$O$98,"&lt;="&amp;$H188,工数管理!$P$3:$P$98,"")+COUNTIFS(工数管理!$AK$3:$AK$98,J$1,工数管理!$Q$3:$Q$98,"&lt;="&amp;$H188,工数管理!$R$3:$R$98,"")+COUNTIFS(工数管理!$AK$3:$AK$98,J$1,工数管理!$S$3:$S$98,"&lt;="&amp;$H188,工数管理!$T$3:$T$98,"")+COUNTIFS(工数管理!$AK$3:$AK$98,J$1,工数管理!$U$3:$U$98,"&lt;="&amp;$H188,工数管理!$V$3:$V$98,"")+COUNTIFS(工数管理!$AK$3:$AK$98,J$1,工数管理!$W$3:$W$98,"&lt;="&amp;$H188,工数管理!$X$3:$X$98,"")+COUNTIFS(工数管理!$AK$3:$AK$98,J$1,工数管理!$Y$3:$Y$98,"&lt;="&amp;$H188,工数管理!$Z$3:$Z$98,"")+COUNTIFS(工数管理!$AK$3:$AK$98,J$1,工数管理!$AA$3:$AA$98,"&lt;="&amp;$H188,工数管理!$AB$3:$AB$98,"")+COUNTIFS(工数管理!$AK$3:$AK$98,J$1,工数管理!$AC$3:$AC$98,"&lt;="&amp;$H188,工数管理!$AD$3:$AD$98,"")+COUNTIFS(工数管理!$AK$3:$AK$98,J$1,工数管理!$AE$3:$AE$98,"&lt;="&amp;$H188,工数管理!$AF$3:$AF$98,"")+COUNTIFS(工数管理!$AK$3:$AK$98,J$1,工数管理!$AG$3:$AG$98,"&lt;="&amp;$H188,工数管理!$AH$3:$AH$98,""))*($H188&lt;=工数管理!$AI$1))</f>
        <v>0</v>
      </c>
      <c r="K188" s="42">
        <f ca="1">IF(K$1="",0,COUNTIFS(工数管理!$AK$3:$AK$98,K$1,工数管理!$K$3:$K$98,"&lt;="&amp;$H188,工数管理!$L$3:$L$98,"&gt;="&amp;$H188)+COUNTIFS(工数管理!$AK$3:$AK$98,K$1,工数管理!$M$3:$M$98,"&lt;="&amp;$H188,工数管理!$N$3:$N$98,"&gt;="&amp;$H188)+COUNTIFS(工数管理!$AK$3:$AK$98,K$1,工数管理!$O$3:$O$98,"&lt;="&amp;$H188,工数管理!$P$3:$P$98,"&gt;="&amp;$H188)+COUNTIFS(工数管理!$AK$3:$AK$98,K$1,工数管理!$Q$3:$Q$98,"&lt;="&amp;$H188,工数管理!$R$3:$R$98,"&gt;="&amp;$H188)+COUNTIFS(工数管理!$AK$3:$AK$98,K$1,工数管理!$S$3:$S$98,"&lt;="&amp;$H188,工数管理!$T$3:$T$98,"&gt;="&amp;$H188)+COUNTIFS(工数管理!$AK$3:$AK$98,K$1,工数管理!$U$3:$U$98,"&lt;="&amp;$H188,工数管理!$V$3:$V$98,"&gt;="&amp;$H188)+COUNTIFS(工数管理!$AK$3:$AK$98,K$1,工数管理!$W$3:$W$98,"&lt;="&amp;$H188,工数管理!$X$3:$X$98,"&gt;="&amp;$H188)+COUNTIFS(工数管理!$AK$3:$AK$98,K$1,工数管理!$Y$3:$Y$98,"&lt;="&amp;$H188,工数管理!$Z$3:$Z$98,"&gt;="&amp;$H188)+COUNTIFS(工数管理!$AK$3:$AK$98,K$1,工数管理!$AA$3:$AA$98,"&lt;="&amp;$H188,工数管理!$AB$3:$AB$98,"&gt;="&amp;$H188)+COUNTIFS(工数管理!$AK$3:$AK$98,K$1,工数管理!$AC$3:$AC$98,"&lt;="&amp;$H188,工数管理!$AD$3:$AD$98,"&gt;="&amp;$H188)+COUNTIFS(工数管理!$AK$3:$AK$98,K$1,工数管理!$AE$3:$AE$98,"&lt;="&amp;$H188,工数管理!$AF$3:$AF$98,"&gt;="&amp;$H188)+COUNTIFS(工数管理!$AK$3:$AK$98,K$1,工数管理!$AG$3:$AG$98,"&lt;="&amp;$H188,工数管理!$AH$3:$AH$98,"&gt;="&amp;$H188)+(COUNTIFS(工数管理!$AK$3:$AK$98,K$1,工数管理!$K$3:$K$98,"&lt;="&amp;$H188,工数管理!$L$3:$L$98,"")+COUNTIFS(工数管理!$AK$3:$AK$98,K$1,工数管理!$M$3:$M$98,"&lt;="&amp;$H188,工数管理!$N$3:$N$98,"")+COUNTIFS(工数管理!$AK$3:$AK$98,K$1,工数管理!$O$3:$O$98,"&lt;="&amp;$H188,工数管理!$P$3:$P$98,"")+COUNTIFS(工数管理!$AK$3:$AK$98,K$1,工数管理!$Q$3:$Q$98,"&lt;="&amp;$H188,工数管理!$R$3:$R$98,"")+COUNTIFS(工数管理!$AK$3:$AK$98,K$1,工数管理!$S$3:$S$98,"&lt;="&amp;$H188,工数管理!$T$3:$T$98,"")+COUNTIFS(工数管理!$AK$3:$AK$98,K$1,工数管理!$U$3:$U$98,"&lt;="&amp;$H188,工数管理!$V$3:$V$98,"")+COUNTIFS(工数管理!$AK$3:$AK$98,K$1,工数管理!$W$3:$W$98,"&lt;="&amp;$H188,工数管理!$X$3:$X$98,"")+COUNTIFS(工数管理!$AK$3:$AK$98,K$1,工数管理!$Y$3:$Y$98,"&lt;="&amp;$H188,工数管理!$Z$3:$Z$98,"")+COUNTIFS(工数管理!$AK$3:$AK$98,K$1,工数管理!$AA$3:$AA$98,"&lt;="&amp;$H188,工数管理!$AB$3:$AB$98,"")+COUNTIFS(工数管理!$AK$3:$AK$98,K$1,工数管理!$AC$3:$AC$98,"&lt;="&amp;$H188,工数管理!$AD$3:$AD$98,"")+COUNTIFS(工数管理!$AK$3:$AK$98,K$1,工数管理!$AE$3:$AE$98,"&lt;="&amp;$H188,工数管理!$AF$3:$AF$98,"")+COUNTIFS(工数管理!$AK$3:$AK$98,K$1,工数管理!$AG$3:$AG$98,"&lt;="&amp;$H188,工数管理!$AH$3:$AH$98,""))*($H188&lt;=工数管理!$AI$1))</f>
        <v>0</v>
      </c>
      <c r="L188" s="42">
        <f ca="1">IF(L$1="",0,COUNTIFS(工数管理!$AK$3:$AK$98,L$1,工数管理!$K$3:$K$98,"&lt;="&amp;$H188,工数管理!$L$3:$L$98,"&gt;="&amp;$H188)+COUNTIFS(工数管理!$AK$3:$AK$98,L$1,工数管理!$M$3:$M$98,"&lt;="&amp;$H188,工数管理!$N$3:$N$98,"&gt;="&amp;$H188)+COUNTIFS(工数管理!$AK$3:$AK$98,L$1,工数管理!$O$3:$O$98,"&lt;="&amp;$H188,工数管理!$P$3:$P$98,"&gt;="&amp;$H188)+COUNTIFS(工数管理!$AK$3:$AK$98,L$1,工数管理!$Q$3:$Q$98,"&lt;="&amp;$H188,工数管理!$R$3:$R$98,"&gt;="&amp;$H188)+COUNTIFS(工数管理!$AK$3:$AK$98,L$1,工数管理!$S$3:$S$98,"&lt;="&amp;$H188,工数管理!$T$3:$T$98,"&gt;="&amp;$H188)+COUNTIFS(工数管理!$AK$3:$AK$98,L$1,工数管理!$U$3:$U$98,"&lt;="&amp;$H188,工数管理!$V$3:$V$98,"&gt;="&amp;$H188)+COUNTIFS(工数管理!$AK$3:$AK$98,L$1,工数管理!$W$3:$W$98,"&lt;="&amp;$H188,工数管理!$X$3:$X$98,"&gt;="&amp;$H188)+COUNTIFS(工数管理!$AK$3:$AK$98,L$1,工数管理!$Y$3:$Y$98,"&lt;="&amp;$H188,工数管理!$Z$3:$Z$98,"&gt;="&amp;$H188)+COUNTIFS(工数管理!$AK$3:$AK$98,L$1,工数管理!$AA$3:$AA$98,"&lt;="&amp;$H188,工数管理!$AB$3:$AB$98,"&gt;="&amp;$H188)+COUNTIFS(工数管理!$AK$3:$AK$98,L$1,工数管理!$AC$3:$AC$98,"&lt;="&amp;$H188,工数管理!$AD$3:$AD$98,"&gt;="&amp;$H188)+COUNTIFS(工数管理!$AK$3:$AK$98,L$1,工数管理!$AE$3:$AE$98,"&lt;="&amp;$H188,工数管理!$AF$3:$AF$98,"&gt;="&amp;$H188)+COUNTIFS(工数管理!$AK$3:$AK$98,L$1,工数管理!$AG$3:$AG$98,"&lt;="&amp;$H188,工数管理!$AH$3:$AH$98,"&gt;="&amp;$H188)+(COUNTIFS(工数管理!$AK$3:$AK$98,L$1,工数管理!$K$3:$K$98,"&lt;="&amp;$H188,工数管理!$L$3:$L$98,"")+COUNTIFS(工数管理!$AK$3:$AK$98,L$1,工数管理!$M$3:$M$98,"&lt;="&amp;$H188,工数管理!$N$3:$N$98,"")+COUNTIFS(工数管理!$AK$3:$AK$98,L$1,工数管理!$O$3:$O$98,"&lt;="&amp;$H188,工数管理!$P$3:$P$98,"")+COUNTIFS(工数管理!$AK$3:$AK$98,L$1,工数管理!$Q$3:$Q$98,"&lt;="&amp;$H188,工数管理!$R$3:$R$98,"")+COUNTIFS(工数管理!$AK$3:$AK$98,L$1,工数管理!$S$3:$S$98,"&lt;="&amp;$H188,工数管理!$T$3:$T$98,"")+COUNTIFS(工数管理!$AK$3:$AK$98,L$1,工数管理!$U$3:$U$98,"&lt;="&amp;$H188,工数管理!$V$3:$V$98,"")+COUNTIFS(工数管理!$AK$3:$AK$98,L$1,工数管理!$W$3:$W$98,"&lt;="&amp;$H188,工数管理!$X$3:$X$98,"")+COUNTIFS(工数管理!$AK$3:$AK$98,L$1,工数管理!$Y$3:$Y$98,"&lt;="&amp;$H188,工数管理!$Z$3:$Z$98,"")+COUNTIFS(工数管理!$AK$3:$AK$98,L$1,工数管理!$AA$3:$AA$98,"&lt;="&amp;$H188,工数管理!$AB$3:$AB$98,"")+COUNTIFS(工数管理!$AK$3:$AK$98,L$1,工数管理!$AC$3:$AC$98,"&lt;="&amp;$H188,工数管理!$AD$3:$AD$98,"")+COUNTIFS(工数管理!$AK$3:$AK$98,L$1,工数管理!$AE$3:$AE$98,"&lt;="&amp;$H188,工数管理!$AF$3:$AF$98,"")+COUNTIFS(工数管理!$AK$3:$AK$98,L$1,工数管理!$AG$3:$AG$98,"&lt;="&amp;$H188,工数管理!$AH$3:$AH$98,""))*($H188&lt;=工数管理!$AI$1))</f>
        <v>0</v>
      </c>
    </row>
    <row r="189" spans="1:12" x14ac:dyDescent="0.15">
      <c r="A189" s="5"/>
      <c r="B189" s="6"/>
      <c r="H189" s="41">
        <f t="shared" si="5"/>
        <v>46357</v>
      </c>
      <c r="I189" s="42">
        <f t="shared" si="4"/>
        <v>1</v>
      </c>
      <c r="J189" s="42">
        <f ca="1">IF(J$1="",0,COUNTIFS(工数管理!$AK$3:$AK$98,J$1,工数管理!$K$3:$K$98,"&lt;="&amp;$H189,工数管理!$L$3:$L$98,"&gt;="&amp;$H189)+COUNTIFS(工数管理!$AK$3:$AK$98,J$1,工数管理!$M$3:$M$98,"&lt;="&amp;$H189,工数管理!$N$3:$N$98,"&gt;="&amp;$H189)+COUNTIFS(工数管理!$AK$3:$AK$98,J$1,工数管理!$O$3:$O$98,"&lt;="&amp;$H189,工数管理!$P$3:$P$98,"&gt;="&amp;$H189)+COUNTIFS(工数管理!$AK$3:$AK$98,J$1,工数管理!$Q$3:$Q$98,"&lt;="&amp;$H189,工数管理!$R$3:$R$98,"&gt;="&amp;$H189)+COUNTIFS(工数管理!$AK$3:$AK$98,J$1,工数管理!$S$3:$S$98,"&lt;="&amp;$H189,工数管理!$T$3:$T$98,"&gt;="&amp;$H189)+COUNTIFS(工数管理!$AK$3:$AK$98,J$1,工数管理!$U$3:$U$98,"&lt;="&amp;$H189,工数管理!$V$3:$V$98,"&gt;="&amp;$H189)+COUNTIFS(工数管理!$AK$3:$AK$98,J$1,工数管理!$W$3:$W$98,"&lt;="&amp;$H189,工数管理!$X$3:$X$98,"&gt;="&amp;$H189)+COUNTIFS(工数管理!$AK$3:$AK$98,J$1,工数管理!$Y$3:$Y$98,"&lt;="&amp;$H189,工数管理!$Z$3:$Z$98,"&gt;="&amp;$H189)+COUNTIFS(工数管理!$AK$3:$AK$98,J$1,工数管理!$AA$3:$AA$98,"&lt;="&amp;$H189,工数管理!$AB$3:$AB$98,"&gt;="&amp;$H189)+COUNTIFS(工数管理!$AK$3:$AK$98,J$1,工数管理!$AC$3:$AC$98,"&lt;="&amp;$H189,工数管理!$AD$3:$AD$98,"&gt;="&amp;$H189)+COUNTIFS(工数管理!$AK$3:$AK$98,J$1,工数管理!$AE$3:$AE$98,"&lt;="&amp;$H189,工数管理!$AF$3:$AF$98,"&gt;="&amp;$H189)+COUNTIFS(工数管理!$AK$3:$AK$98,J$1,工数管理!$AG$3:$AG$98,"&lt;="&amp;$H189,工数管理!$AH$3:$AH$98,"&gt;="&amp;$H189)+(COUNTIFS(工数管理!$AK$3:$AK$98,J$1,工数管理!$K$3:$K$98,"&lt;="&amp;$H189,工数管理!$L$3:$L$98,"")+COUNTIFS(工数管理!$AK$3:$AK$98,J$1,工数管理!$M$3:$M$98,"&lt;="&amp;$H189,工数管理!$N$3:$N$98,"")+COUNTIFS(工数管理!$AK$3:$AK$98,J$1,工数管理!$O$3:$O$98,"&lt;="&amp;$H189,工数管理!$P$3:$P$98,"")+COUNTIFS(工数管理!$AK$3:$AK$98,J$1,工数管理!$Q$3:$Q$98,"&lt;="&amp;$H189,工数管理!$R$3:$R$98,"")+COUNTIFS(工数管理!$AK$3:$AK$98,J$1,工数管理!$S$3:$S$98,"&lt;="&amp;$H189,工数管理!$T$3:$T$98,"")+COUNTIFS(工数管理!$AK$3:$AK$98,J$1,工数管理!$U$3:$U$98,"&lt;="&amp;$H189,工数管理!$V$3:$V$98,"")+COUNTIFS(工数管理!$AK$3:$AK$98,J$1,工数管理!$W$3:$W$98,"&lt;="&amp;$H189,工数管理!$X$3:$X$98,"")+COUNTIFS(工数管理!$AK$3:$AK$98,J$1,工数管理!$Y$3:$Y$98,"&lt;="&amp;$H189,工数管理!$Z$3:$Z$98,"")+COUNTIFS(工数管理!$AK$3:$AK$98,J$1,工数管理!$AA$3:$AA$98,"&lt;="&amp;$H189,工数管理!$AB$3:$AB$98,"")+COUNTIFS(工数管理!$AK$3:$AK$98,J$1,工数管理!$AC$3:$AC$98,"&lt;="&amp;$H189,工数管理!$AD$3:$AD$98,"")+COUNTIFS(工数管理!$AK$3:$AK$98,J$1,工数管理!$AE$3:$AE$98,"&lt;="&amp;$H189,工数管理!$AF$3:$AF$98,"")+COUNTIFS(工数管理!$AK$3:$AK$98,J$1,工数管理!$AG$3:$AG$98,"&lt;="&amp;$H189,工数管理!$AH$3:$AH$98,""))*($H189&lt;=工数管理!$AI$1))</f>
        <v>0</v>
      </c>
      <c r="K189" s="42">
        <f ca="1">IF(K$1="",0,COUNTIFS(工数管理!$AK$3:$AK$98,K$1,工数管理!$K$3:$K$98,"&lt;="&amp;$H189,工数管理!$L$3:$L$98,"&gt;="&amp;$H189)+COUNTIFS(工数管理!$AK$3:$AK$98,K$1,工数管理!$M$3:$M$98,"&lt;="&amp;$H189,工数管理!$N$3:$N$98,"&gt;="&amp;$H189)+COUNTIFS(工数管理!$AK$3:$AK$98,K$1,工数管理!$O$3:$O$98,"&lt;="&amp;$H189,工数管理!$P$3:$P$98,"&gt;="&amp;$H189)+COUNTIFS(工数管理!$AK$3:$AK$98,K$1,工数管理!$Q$3:$Q$98,"&lt;="&amp;$H189,工数管理!$R$3:$R$98,"&gt;="&amp;$H189)+COUNTIFS(工数管理!$AK$3:$AK$98,K$1,工数管理!$S$3:$S$98,"&lt;="&amp;$H189,工数管理!$T$3:$T$98,"&gt;="&amp;$H189)+COUNTIFS(工数管理!$AK$3:$AK$98,K$1,工数管理!$U$3:$U$98,"&lt;="&amp;$H189,工数管理!$V$3:$V$98,"&gt;="&amp;$H189)+COUNTIFS(工数管理!$AK$3:$AK$98,K$1,工数管理!$W$3:$W$98,"&lt;="&amp;$H189,工数管理!$X$3:$X$98,"&gt;="&amp;$H189)+COUNTIFS(工数管理!$AK$3:$AK$98,K$1,工数管理!$Y$3:$Y$98,"&lt;="&amp;$H189,工数管理!$Z$3:$Z$98,"&gt;="&amp;$H189)+COUNTIFS(工数管理!$AK$3:$AK$98,K$1,工数管理!$AA$3:$AA$98,"&lt;="&amp;$H189,工数管理!$AB$3:$AB$98,"&gt;="&amp;$H189)+COUNTIFS(工数管理!$AK$3:$AK$98,K$1,工数管理!$AC$3:$AC$98,"&lt;="&amp;$H189,工数管理!$AD$3:$AD$98,"&gt;="&amp;$H189)+COUNTIFS(工数管理!$AK$3:$AK$98,K$1,工数管理!$AE$3:$AE$98,"&lt;="&amp;$H189,工数管理!$AF$3:$AF$98,"&gt;="&amp;$H189)+COUNTIFS(工数管理!$AK$3:$AK$98,K$1,工数管理!$AG$3:$AG$98,"&lt;="&amp;$H189,工数管理!$AH$3:$AH$98,"&gt;="&amp;$H189)+(COUNTIFS(工数管理!$AK$3:$AK$98,K$1,工数管理!$K$3:$K$98,"&lt;="&amp;$H189,工数管理!$L$3:$L$98,"")+COUNTIFS(工数管理!$AK$3:$AK$98,K$1,工数管理!$M$3:$M$98,"&lt;="&amp;$H189,工数管理!$N$3:$N$98,"")+COUNTIFS(工数管理!$AK$3:$AK$98,K$1,工数管理!$O$3:$O$98,"&lt;="&amp;$H189,工数管理!$P$3:$P$98,"")+COUNTIFS(工数管理!$AK$3:$AK$98,K$1,工数管理!$Q$3:$Q$98,"&lt;="&amp;$H189,工数管理!$R$3:$R$98,"")+COUNTIFS(工数管理!$AK$3:$AK$98,K$1,工数管理!$S$3:$S$98,"&lt;="&amp;$H189,工数管理!$T$3:$T$98,"")+COUNTIFS(工数管理!$AK$3:$AK$98,K$1,工数管理!$U$3:$U$98,"&lt;="&amp;$H189,工数管理!$V$3:$V$98,"")+COUNTIFS(工数管理!$AK$3:$AK$98,K$1,工数管理!$W$3:$W$98,"&lt;="&amp;$H189,工数管理!$X$3:$X$98,"")+COUNTIFS(工数管理!$AK$3:$AK$98,K$1,工数管理!$Y$3:$Y$98,"&lt;="&amp;$H189,工数管理!$Z$3:$Z$98,"")+COUNTIFS(工数管理!$AK$3:$AK$98,K$1,工数管理!$AA$3:$AA$98,"&lt;="&amp;$H189,工数管理!$AB$3:$AB$98,"")+COUNTIFS(工数管理!$AK$3:$AK$98,K$1,工数管理!$AC$3:$AC$98,"&lt;="&amp;$H189,工数管理!$AD$3:$AD$98,"")+COUNTIFS(工数管理!$AK$3:$AK$98,K$1,工数管理!$AE$3:$AE$98,"&lt;="&amp;$H189,工数管理!$AF$3:$AF$98,"")+COUNTIFS(工数管理!$AK$3:$AK$98,K$1,工数管理!$AG$3:$AG$98,"&lt;="&amp;$H189,工数管理!$AH$3:$AH$98,""))*($H189&lt;=工数管理!$AI$1))</f>
        <v>0</v>
      </c>
      <c r="L189" s="42">
        <f ca="1">IF(L$1="",0,COUNTIFS(工数管理!$AK$3:$AK$98,L$1,工数管理!$K$3:$K$98,"&lt;="&amp;$H189,工数管理!$L$3:$L$98,"&gt;="&amp;$H189)+COUNTIFS(工数管理!$AK$3:$AK$98,L$1,工数管理!$M$3:$M$98,"&lt;="&amp;$H189,工数管理!$N$3:$N$98,"&gt;="&amp;$H189)+COUNTIFS(工数管理!$AK$3:$AK$98,L$1,工数管理!$O$3:$O$98,"&lt;="&amp;$H189,工数管理!$P$3:$P$98,"&gt;="&amp;$H189)+COUNTIFS(工数管理!$AK$3:$AK$98,L$1,工数管理!$Q$3:$Q$98,"&lt;="&amp;$H189,工数管理!$R$3:$R$98,"&gt;="&amp;$H189)+COUNTIFS(工数管理!$AK$3:$AK$98,L$1,工数管理!$S$3:$S$98,"&lt;="&amp;$H189,工数管理!$T$3:$T$98,"&gt;="&amp;$H189)+COUNTIFS(工数管理!$AK$3:$AK$98,L$1,工数管理!$U$3:$U$98,"&lt;="&amp;$H189,工数管理!$V$3:$V$98,"&gt;="&amp;$H189)+COUNTIFS(工数管理!$AK$3:$AK$98,L$1,工数管理!$W$3:$W$98,"&lt;="&amp;$H189,工数管理!$X$3:$X$98,"&gt;="&amp;$H189)+COUNTIFS(工数管理!$AK$3:$AK$98,L$1,工数管理!$Y$3:$Y$98,"&lt;="&amp;$H189,工数管理!$Z$3:$Z$98,"&gt;="&amp;$H189)+COUNTIFS(工数管理!$AK$3:$AK$98,L$1,工数管理!$AA$3:$AA$98,"&lt;="&amp;$H189,工数管理!$AB$3:$AB$98,"&gt;="&amp;$H189)+COUNTIFS(工数管理!$AK$3:$AK$98,L$1,工数管理!$AC$3:$AC$98,"&lt;="&amp;$H189,工数管理!$AD$3:$AD$98,"&gt;="&amp;$H189)+COUNTIFS(工数管理!$AK$3:$AK$98,L$1,工数管理!$AE$3:$AE$98,"&lt;="&amp;$H189,工数管理!$AF$3:$AF$98,"&gt;="&amp;$H189)+COUNTIFS(工数管理!$AK$3:$AK$98,L$1,工数管理!$AG$3:$AG$98,"&lt;="&amp;$H189,工数管理!$AH$3:$AH$98,"&gt;="&amp;$H189)+(COUNTIFS(工数管理!$AK$3:$AK$98,L$1,工数管理!$K$3:$K$98,"&lt;="&amp;$H189,工数管理!$L$3:$L$98,"")+COUNTIFS(工数管理!$AK$3:$AK$98,L$1,工数管理!$M$3:$M$98,"&lt;="&amp;$H189,工数管理!$N$3:$N$98,"")+COUNTIFS(工数管理!$AK$3:$AK$98,L$1,工数管理!$O$3:$O$98,"&lt;="&amp;$H189,工数管理!$P$3:$P$98,"")+COUNTIFS(工数管理!$AK$3:$AK$98,L$1,工数管理!$Q$3:$Q$98,"&lt;="&amp;$H189,工数管理!$R$3:$R$98,"")+COUNTIFS(工数管理!$AK$3:$AK$98,L$1,工数管理!$S$3:$S$98,"&lt;="&amp;$H189,工数管理!$T$3:$T$98,"")+COUNTIFS(工数管理!$AK$3:$AK$98,L$1,工数管理!$U$3:$U$98,"&lt;="&amp;$H189,工数管理!$V$3:$V$98,"")+COUNTIFS(工数管理!$AK$3:$AK$98,L$1,工数管理!$W$3:$W$98,"&lt;="&amp;$H189,工数管理!$X$3:$X$98,"")+COUNTIFS(工数管理!$AK$3:$AK$98,L$1,工数管理!$Y$3:$Y$98,"&lt;="&amp;$H189,工数管理!$Z$3:$Z$98,"")+COUNTIFS(工数管理!$AK$3:$AK$98,L$1,工数管理!$AA$3:$AA$98,"&lt;="&amp;$H189,工数管理!$AB$3:$AB$98,"")+COUNTIFS(工数管理!$AK$3:$AK$98,L$1,工数管理!$AC$3:$AC$98,"&lt;="&amp;$H189,工数管理!$AD$3:$AD$98,"")+COUNTIFS(工数管理!$AK$3:$AK$98,L$1,工数管理!$AE$3:$AE$98,"&lt;="&amp;$H189,工数管理!$AF$3:$AF$98,"")+COUNTIFS(工数管理!$AK$3:$AK$98,L$1,工数管理!$AG$3:$AG$98,"&lt;="&amp;$H189,工数管理!$AH$3:$AH$98,""))*($H189&lt;=工数管理!$AI$1))</f>
        <v>0</v>
      </c>
    </row>
    <row r="190" spans="1:12" x14ac:dyDescent="0.15">
      <c r="A190" s="5"/>
      <c r="B190" s="6"/>
      <c r="H190" s="41">
        <f t="shared" si="5"/>
        <v>46358</v>
      </c>
      <c r="I190" s="42">
        <f t="shared" si="4"/>
        <v>1</v>
      </c>
      <c r="J190" s="42">
        <f ca="1">IF(J$1="",0,COUNTIFS(工数管理!$AK$3:$AK$98,J$1,工数管理!$K$3:$K$98,"&lt;="&amp;$H190,工数管理!$L$3:$L$98,"&gt;="&amp;$H190)+COUNTIFS(工数管理!$AK$3:$AK$98,J$1,工数管理!$M$3:$M$98,"&lt;="&amp;$H190,工数管理!$N$3:$N$98,"&gt;="&amp;$H190)+COUNTIFS(工数管理!$AK$3:$AK$98,J$1,工数管理!$O$3:$O$98,"&lt;="&amp;$H190,工数管理!$P$3:$P$98,"&gt;="&amp;$H190)+COUNTIFS(工数管理!$AK$3:$AK$98,J$1,工数管理!$Q$3:$Q$98,"&lt;="&amp;$H190,工数管理!$R$3:$R$98,"&gt;="&amp;$H190)+COUNTIFS(工数管理!$AK$3:$AK$98,J$1,工数管理!$S$3:$S$98,"&lt;="&amp;$H190,工数管理!$T$3:$T$98,"&gt;="&amp;$H190)+COUNTIFS(工数管理!$AK$3:$AK$98,J$1,工数管理!$U$3:$U$98,"&lt;="&amp;$H190,工数管理!$V$3:$V$98,"&gt;="&amp;$H190)+COUNTIFS(工数管理!$AK$3:$AK$98,J$1,工数管理!$W$3:$W$98,"&lt;="&amp;$H190,工数管理!$X$3:$X$98,"&gt;="&amp;$H190)+COUNTIFS(工数管理!$AK$3:$AK$98,J$1,工数管理!$Y$3:$Y$98,"&lt;="&amp;$H190,工数管理!$Z$3:$Z$98,"&gt;="&amp;$H190)+COUNTIFS(工数管理!$AK$3:$AK$98,J$1,工数管理!$AA$3:$AA$98,"&lt;="&amp;$H190,工数管理!$AB$3:$AB$98,"&gt;="&amp;$H190)+COUNTIFS(工数管理!$AK$3:$AK$98,J$1,工数管理!$AC$3:$AC$98,"&lt;="&amp;$H190,工数管理!$AD$3:$AD$98,"&gt;="&amp;$H190)+COUNTIFS(工数管理!$AK$3:$AK$98,J$1,工数管理!$AE$3:$AE$98,"&lt;="&amp;$H190,工数管理!$AF$3:$AF$98,"&gt;="&amp;$H190)+COUNTIFS(工数管理!$AK$3:$AK$98,J$1,工数管理!$AG$3:$AG$98,"&lt;="&amp;$H190,工数管理!$AH$3:$AH$98,"&gt;="&amp;$H190)+(COUNTIFS(工数管理!$AK$3:$AK$98,J$1,工数管理!$K$3:$K$98,"&lt;="&amp;$H190,工数管理!$L$3:$L$98,"")+COUNTIFS(工数管理!$AK$3:$AK$98,J$1,工数管理!$M$3:$M$98,"&lt;="&amp;$H190,工数管理!$N$3:$N$98,"")+COUNTIFS(工数管理!$AK$3:$AK$98,J$1,工数管理!$O$3:$O$98,"&lt;="&amp;$H190,工数管理!$P$3:$P$98,"")+COUNTIFS(工数管理!$AK$3:$AK$98,J$1,工数管理!$Q$3:$Q$98,"&lt;="&amp;$H190,工数管理!$R$3:$R$98,"")+COUNTIFS(工数管理!$AK$3:$AK$98,J$1,工数管理!$S$3:$S$98,"&lt;="&amp;$H190,工数管理!$T$3:$T$98,"")+COUNTIFS(工数管理!$AK$3:$AK$98,J$1,工数管理!$U$3:$U$98,"&lt;="&amp;$H190,工数管理!$V$3:$V$98,"")+COUNTIFS(工数管理!$AK$3:$AK$98,J$1,工数管理!$W$3:$W$98,"&lt;="&amp;$H190,工数管理!$X$3:$X$98,"")+COUNTIFS(工数管理!$AK$3:$AK$98,J$1,工数管理!$Y$3:$Y$98,"&lt;="&amp;$H190,工数管理!$Z$3:$Z$98,"")+COUNTIFS(工数管理!$AK$3:$AK$98,J$1,工数管理!$AA$3:$AA$98,"&lt;="&amp;$H190,工数管理!$AB$3:$AB$98,"")+COUNTIFS(工数管理!$AK$3:$AK$98,J$1,工数管理!$AC$3:$AC$98,"&lt;="&amp;$H190,工数管理!$AD$3:$AD$98,"")+COUNTIFS(工数管理!$AK$3:$AK$98,J$1,工数管理!$AE$3:$AE$98,"&lt;="&amp;$H190,工数管理!$AF$3:$AF$98,"")+COUNTIFS(工数管理!$AK$3:$AK$98,J$1,工数管理!$AG$3:$AG$98,"&lt;="&amp;$H190,工数管理!$AH$3:$AH$98,""))*($H190&lt;=工数管理!$AI$1))</f>
        <v>0</v>
      </c>
      <c r="K190" s="42">
        <f ca="1">IF(K$1="",0,COUNTIFS(工数管理!$AK$3:$AK$98,K$1,工数管理!$K$3:$K$98,"&lt;="&amp;$H190,工数管理!$L$3:$L$98,"&gt;="&amp;$H190)+COUNTIFS(工数管理!$AK$3:$AK$98,K$1,工数管理!$M$3:$M$98,"&lt;="&amp;$H190,工数管理!$N$3:$N$98,"&gt;="&amp;$H190)+COUNTIFS(工数管理!$AK$3:$AK$98,K$1,工数管理!$O$3:$O$98,"&lt;="&amp;$H190,工数管理!$P$3:$P$98,"&gt;="&amp;$H190)+COUNTIFS(工数管理!$AK$3:$AK$98,K$1,工数管理!$Q$3:$Q$98,"&lt;="&amp;$H190,工数管理!$R$3:$R$98,"&gt;="&amp;$H190)+COUNTIFS(工数管理!$AK$3:$AK$98,K$1,工数管理!$S$3:$S$98,"&lt;="&amp;$H190,工数管理!$T$3:$T$98,"&gt;="&amp;$H190)+COUNTIFS(工数管理!$AK$3:$AK$98,K$1,工数管理!$U$3:$U$98,"&lt;="&amp;$H190,工数管理!$V$3:$V$98,"&gt;="&amp;$H190)+COUNTIFS(工数管理!$AK$3:$AK$98,K$1,工数管理!$W$3:$W$98,"&lt;="&amp;$H190,工数管理!$X$3:$X$98,"&gt;="&amp;$H190)+COUNTIFS(工数管理!$AK$3:$AK$98,K$1,工数管理!$Y$3:$Y$98,"&lt;="&amp;$H190,工数管理!$Z$3:$Z$98,"&gt;="&amp;$H190)+COUNTIFS(工数管理!$AK$3:$AK$98,K$1,工数管理!$AA$3:$AA$98,"&lt;="&amp;$H190,工数管理!$AB$3:$AB$98,"&gt;="&amp;$H190)+COUNTIFS(工数管理!$AK$3:$AK$98,K$1,工数管理!$AC$3:$AC$98,"&lt;="&amp;$H190,工数管理!$AD$3:$AD$98,"&gt;="&amp;$H190)+COUNTIFS(工数管理!$AK$3:$AK$98,K$1,工数管理!$AE$3:$AE$98,"&lt;="&amp;$H190,工数管理!$AF$3:$AF$98,"&gt;="&amp;$H190)+COUNTIFS(工数管理!$AK$3:$AK$98,K$1,工数管理!$AG$3:$AG$98,"&lt;="&amp;$H190,工数管理!$AH$3:$AH$98,"&gt;="&amp;$H190)+(COUNTIFS(工数管理!$AK$3:$AK$98,K$1,工数管理!$K$3:$K$98,"&lt;="&amp;$H190,工数管理!$L$3:$L$98,"")+COUNTIFS(工数管理!$AK$3:$AK$98,K$1,工数管理!$M$3:$M$98,"&lt;="&amp;$H190,工数管理!$N$3:$N$98,"")+COUNTIFS(工数管理!$AK$3:$AK$98,K$1,工数管理!$O$3:$O$98,"&lt;="&amp;$H190,工数管理!$P$3:$P$98,"")+COUNTIFS(工数管理!$AK$3:$AK$98,K$1,工数管理!$Q$3:$Q$98,"&lt;="&amp;$H190,工数管理!$R$3:$R$98,"")+COUNTIFS(工数管理!$AK$3:$AK$98,K$1,工数管理!$S$3:$S$98,"&lt;="&amp;$H190,工数管理!$T$3:$T$98,"")+COUNTIFS(工数管理!$AK$3:$AK$98,K$1,工数管理!$U$3:$U$98,"&lt;="&amp;$H190,工数管理!$V$3:$V$98,"")+COUNTIFS(工数管理!$AK$3:$AK$98,K$1,工数管理!$W$3:$W$98,"&lt;="&amp;$H190,工数管理!$X$3:$X$98,"")+COUNTIFS(工数管理!$AK$3:$AK$98,K$1,工数管理!$Y$3:$Y$98,"&lt;="&amp;$H190,工数管理!$Z$3:$Z$98,"")+COUNTIFS(工数管理!$AK$3:$AK$98,K$1,工数管理!$AA$3:$AA$98,"&lt;="&amp;$H190,工数管理!$AB$3:$AB$98,"")+COUNTIFS(工数管理!$AK$3:$AK$98,K$1,工数管理!$AC$3:$AC$98,"&lt;="&amp;$H190,工数管理!$AD$3:$AD$98,"")+COUNTIFS(工数管理!$AK$3:$AK$98,K$1,工数管理!$AE$3:$AE$98,"&lt;="&amp;$H190,工数管理!$AF$3:$AF$98,"")+COUNTIFS(工数管理!$AK$3:$AK$98,K$1,工数管理!$AG$3:$AG$98,"&lt;="&amp;$H190,工数管理!$AH$3:$AH$98,""))*($H190&lt;=工数管理!$AI$1))</f>
        <v>0</v>
      </c>
      <c r="L190" s="42">
        <f ca="1">IF(L$1="",0,COUNTIFS(工数管理!$AK$3:$AK$98,L$1,工数管理!$K$3:$K$98,"&lt;="&amp;$H190,工数管理!$L$3:$L$98,"&gt;="&amp;$H190)+COUNTIFS(工数管理!$AK$3:$AK$98,L$1,工数管理!$M$3:$M$98,"&lt;="&amp;$H190,工数管理!$N$3:$N$98,"&gt;="&amp;$H190)+COUNTIFS(工数管理!$AK$3:$AK$98,L$1,工数管理!$O$3:$O$98,"&lt;="&amp;$H190,工数管理!$P$3:$P$98,"&gt;="&amp;$H190)+COUNTIFS(工数管理!$AK$3:$AK$98,L$1,工数管理!$Q$3:$Q$98,"&lt;="&amp;$H190,工数管理!$R$3:$R$98,"&gt;="&amp;$H190)+COUNTIFS(工数管理!$AK$3:$AK$98,L$1,工数管理!$S$3:$S$98,"&lt;="&amp;$H190,工数管理!$T$3:$T$98,"&gt;="&amp;$H190)+COUNTIFS(工数管理!$AK$3:$AK$98,L$1,工数管理!$U$3:$U$98,"&lt;="&amp;$H190,工数管理!$V$3:$V$98,"&gt;="&amp;$H190)+COUNTIFS(工数管理!$AK$3:$AK$98,L$1,工数管理!$W$3:$W$98,"&lt;="&amp;$H190,工数管理!$X$3:$X$98,"&gt;="&amp;$H190)+COUNTIFS(工数管理!$AK$3:$AK$98,L$1,工数管理!$Y$3:$Y$98,"&lt;="&amp;$H190,工数管理!$Z$3:$Z$98,"&gt;="&amp;$H190)+COUNTIFS(工数管理!$AK$3:$AK$98,L$1,工数管理!$AA$3:$AA$98,"&lt;="&amp;$H190,工数管理!$AB$3:$AB$98,"&gt;="&amp;$H190)+COUNTIFS(工数管理!$AK$3:$AK$98,L$1,工数管理!$AC$3:$AC$98,"&lt;="&amp;$H190,工数管理!$AD$3:$AD$98,"&gt;="&amp;$H190)+COUNTIFS(工数管理!$AK$3:$AK$98,L$1,工数管理!$AE$3:$AE$98,"&lt;="&amp;$H190,工数管理!$AF$3:$AF$98,"&gt;="&amp;$H190)+COUNTIFS(工数管理!$AK$3:$AK$98,L$1,工数管理!$AG$3:$AG$98,"&lt;="&amp;$H190,工数管理!$AH$3:$AH$98,"&gt;="&amp;$H190)+(COUNTIFS(工数管理!$AK$3:$AK$98,L$1,工数管理!$K$3:$K$98,"&lt;="&amp;$H190,工数管理!$L$3:$L$98,"")+COUNTIFS(工数管理!$AK$3:$AK$98,L$1,工数管理!$M$3:$M$98,"&lt;="&amp;$H190,工数管理!$N$3:$N$98,"")+COUNTIFS(工数管理!$AK$3:$AK$98,L$1,工数管理!$O$3:$O$98,"&lt;="&amp;$H190,工数管理!$P$3:$P$98,"")+COUNTIFS(工数管理!$AK$3:$AK$98,L$1,工数管理!$Q$3:$Q$98,"&lt;="&amp;$H190,工数管理!$R$3:$R$98,"")+COUNTIFS(工数管理!$AK$3:$AK$98,L$1,工数管理!$S$3:$S$98,"&lt;="&amp;$H190,工数管理!$T$3:$T$98,"")+COUNTIFS(工数管理!$AK$3:$AK$98,L$1,工数管理!$U$3:$U$98,"&lt;="&amp;$H190,工数管理!$V$3:$V$98,"")+COUNTIFS(工数管理!$AK$3:$AK$98,L$1,工数管理!$W$3:$W$98,"&lt;="&amp;$H190,工数管理!$X$3:$X$98,"")+COUNTIFS(工数管理!$AK$3:$AK$98,L$1,工数管理!$Y$3:$Y$98,"&lt;="&amp;$H190,工数管理!$Z$3:$Z$98,"")+COUNTIFS(工数管理!$AK$3:$AK$98,L$1,工数管理!$AA$3:$AA$98,"&lt;="&amp;$H190,工数管理!$AB$3:$AB$98,"")+COUNTIFS(工数管理!$AK$3:$AK$98,L$1,工数管理!$AC$3:$AC$98,"&lt;="&amp;$H190,工数管理!$AD$3:$AD$98,"")+COUNTIFS(工数管理!$AK$3:$AK$98,L$1,工数管理!$AE$3:$AE$98,"&lt;="&amp;$H190,工数管理!$AF$3:$AF$98,"")+COUNTIFS(工数管理!$AK$3:$AK$98,L$1,工数管理!$AG$3:$AG$98,"&lt;="&amp;$H190,工数管理!$AH$3:$AH$98,""))*($H190&lt;=工数管理!$AI$1))</f>
        <v>0</v>
      </c>
    </row>
    <row r="191" spans="1:12" x14ac:dyDescent="0.15">
      <c r="A191" s="5"/>
      <c r="B191" s="6"/>
      <c r="H191" s="41">
        <f t="shared" si="5"/>
        <v>46359</v>
      </c>
      <c r="I191" s="42">
        <f t="shared" si="4"/>
        <v>1</v>
      </c>
      <c r="J191" s="42">
        <f ca="1">IF(J$1="",0,COUNTIFS(工数管理!$AK$3:$AK$98,J$1,工数管理!$K$3:$K$98,"&lt;="&amp;$H191,工数管理!$L$3:$L$98,"&gt;="&amp;$H191)+COUNTIFS(工数管理!$AK$3:$AK$98,J$1,工数管理!$M$3:$M$98,"&lt;="&amp;$H191,工数管理!$N$3:$N$98,"&gt;="&amp;$H191)+COUNTIFS(工数管理!$AK$3:$AK$98,J$1,工数管理!$O$3:$O$98,"&lt;="&amp;$H191,工数管理!$P$3:$P$98,"&gt;="&amp;$H191)+COUNTIFS(工数管理!$AK$3:$AK$98,J$1,工数管理!$Q$3:$Q$98,"&lt;="&amp;$H191,工数管理!$R$3:$R$98,"&gt;="&amp;$H191)+COUNTIFS(工数管理!$AK$3:$AK$98,J$1,工数管理!$S$3:$S$98,"&lt;="&amp;$H191,工数管理!$T$3:$T$98,"&gt;="&amp;$H191)+COUNTIFS(工数管理!$AK$3:$AK$98,J$1,工数管理!$U$3:$U$98,"&lt;="&amp;$H191,工数管理!$V$3:$V$98,"&gt;="&amp;$H191)+COUNTIFS(工数管理!$AK$3:$AK$98,J$1,工数管理!$W$3:$W$98,"&lt;="&amp;$H191,工数管理!$X$3:$X$98,"&gt;="&amp;$H191)+COUNTIFS(工数管理!$AK$3:$AK$98,J$1,工数管理!$Y$3:$Y$98,"&lt;="&amp;$H191,工数管理!$Z$3:$Z$98,"&gt;="&amp;$H191)+COUNTIFS(工数管理!$AK$3:$AK$98,J$1,工数管理!$AA$3:$AA$98,"&lt;="&amp;$H191,工数管理!$AB$3:$AB$98,"&gt;="&amp;$H191)+COUNTIFS(工数管理!$AK$3:$AK$98,J$1,工数管理!$AC$3:$AC$98,"&lt;="&amp;$H191,工数管理!$AD$3:$AD$98,"&gt;="&amp;$H191)+COUNTIFS(工数管理!$AK$3:$AK$98,J$1,工数管理!$AE$3:$AE$98,"&lt;="&amp;$H191,工数管理!$AF$3:$AF$98,"&gt;="&amp;$H191)+COUNTIFS(工数管理!$AK$3:$AK$98,J$1,工数管理!$AG$3:$AG$98,"&lt;="&amp;$H191,工数管理!$AH$3:$AH$98,"&gt;="&amp;$H191)+(COUNTIFS(工数管理!$AK$3:$AK$98,J$1,工数管理!$K$3:$K$98,"&lt;="&amp;$H191,工数管理!$L$3:$L$98,"")+COUNTIFS(工数管理!$AK$3:$AK$98,J$1,工数管理!$M$3:$M$98,"&lt;="&amp;$H191,工数管理!$N$3:$N$98,"")+COUNTIFS(工数管理!$AK$3:$AK$98,J$1,工数管理!$O$3:$O$98,"&lt;="&amp;$H191,工数管理!$P$3:$P$98,"")+COUNTIFS(工数管理!$AK$3:$AK$98,J$1,工数管理!$Q$3:$Q$98,"&lt;="&amp;$H191,工数管理!$R$3:$R$98,"")+COUNTIFS(工数管理!$AK$3:$AK$98,J$1,工数管理!$S$3:$S$98,"&lt;="&amp;$H191,工数管理!$T$3:$T$98,"")+COUNTIFS(工数管理!$AK$3:$AK$98,J$1,工数管理!$U$3:$U$98,"&lt;="&amp;$H191,工数管理!$V$3:$V$98,"")+COUNTIFS(工数管理!$AK$3:$AK$98,J$1,工数管理!$W$3:$W$98,"&lt;="&amp;$H191,工数管理!$X$3:$X$98,"")+COUNTIFS(工数管理!$AK$3:$AK$98,J$1,工数管理!$Y$3:$Y$98,"&lt;="&amp;$H191,工数管理!$Z$3:$Z$98,"")+COUNTIFS(工数管理!$AK$3:$AK$98,J$1,工数管理!$AA$3:$AA$98,"&lt;="&amp;$H191,工数管理!$AB$3:$AB$98,"")+COUNTIFS(工数管理!$AK$3:$AK$98,J$1,工数管理!$AC$3:$AC$98,"&lt;="&amp;$H191,工数管理!$AD$3:$AD$98,"")+COUNTIFS(工数管理!$AK$3:$AK$98,J$1,工数管理!$AE$3:$AE$98,"&lt;="&amp;$H191,工数管理!$AF$3:$AF$98,"")+COUNTIFS(工数管理!$AK$3:$AK$98,J$1,工数管理!$AG$3:$AG$98,"&lt;="&amp;$H191,工数管理!$AH$3:$AH$98,""))*($H191&lt;=工数管理!$AI$1))</f>
        <v>0</v>
      </c>
      <c r="K191" s="42">
        <f ca="1">IF(K$1="",0,COUNTIFS(工数管理!$AK$3:$AK$98,K$1,工数管理!$K$3:$K$98,"&lt;="&amp;$H191,工数管理!$L$3:$L$98,"&gt;="&amp;$H191)+COUNTIFS(工数管理!$AK$3:$AK$98,K$1,工数管理!$M$3:$M$98,"&lt;="&amp;$H191,工数管理!$N$3:$N$98,"&gt;="&amp;$H191)+COUNTIFS(工数管理!$AK$3:$AK$98,K$1,工数管理!$O$3:$O$98,"&lt;="&amp;$H191,工数管理!$P$3:$P$98,"&gt;="&amp;$H191)+COUNTIFS(工数管理!$AK$3:$AK$98,K$1,工数管理!$Q$3:$Q$98,"&lt;="&amp;$H191,工数管理!$R$3:$R$98,"&gt;="&amp;$H191)+COUNTIFS(工数管理!$AK$3:$AK$98,K$1,工数管理!$S$3:$S$98,"&lt;="&amp;$H191,工数管理!$T$3:$T$98,"&gt;="&amp;$H191)+COUNTIFS(工数管理!$AK$3:$AK$98,K$1,工数管理!$U$3:$U$98,"&lt;="&amp;$H191,工数管理!$V$3:$V$98,"&gt;="&amp;$H191)+COUNTIFS(工数管理!$AK$3:$AK$98,K$1,工数管理!$W$3:$W$98,"&lt;="&amp;$H191,工数管理!$X$3:$X$98,"&gt;="&amp;$H191)+COUNTIFS(工数管理!$AK$3:$AK$98,K$1,工数管理!$Y$3:$Y$98,"&lt;="&amp;$H191,工数管理!$Z$3:$Z$98,"&gt;="&amp;$H191)+COUNTIFS(工数管理!$AK$3:$AK$98,K$1,工数管理!$AA$3:$AA$98,"&lt;="&amp;$H191,工数管理!$AB$3:$AB$98,"&gt;="&amp;$H191)+COUNTIFS(工数管理!$AK$3:$AK$98,K$1,工数管理!$AC$3:$AC$98,"&lt;="&amp;$H191,工数管理!$AD$3:$AD$98,"&gt;="&amp;$H191)+COUNTIFS(工数管理!$AK$3:$AK$98,K$1,工数管理!$AE$3:$AE$98,"&lt;="&amp;$H191,工数管理!$AF$3:$AF$98,"&gt;="&amp;$H191)+COUNTIFS(工数管理!$AK$3:$AK$98,K$1,工数管理!$AG$3:$AG$98,"&lt;="&amp;$H191,工数管理!$AH$3:$AH$98,"&gt;="&amp;$H191)+(COUNTIFS(工数管理!$AK$3:$AK$98,K$1,工数管理!$K$3:$K$98,"&lt;="&amp;$H191,工数管理!$L$3:$L$98,"")+COUNTIFS(工数管理!$AK$3:$AK$98,K$1,工数管理!$M$3:$M$98,"&lt;="&amp;$H191,工数管理!$N$3:$N$98,"")+COUNTIFS(工数管理!$AK$3:$AK$98,K$1,工数管理!$O$3:$O$98,"&lt;="&amp;$H191,工数管理!$P$3:$P$98,"")+COUNTIFS(工数管理!$AK$3:$AK$98,K$1,工数管理!$Q$3:$Q$98,"&lt;="&amp;$H191,工数管理!$R$3:$R$98,"")+COUNTIFS(工数管理!$AK$3:$AK$98,K$1,工数管理!$S$3:$S$98,"&lt;="&amp;$H191,工数管理!$T$3:$T$98,"")+COUNTIFS(工数管理!$AK$3:$AK$98,K$1,工数管理!$U$3:$U$98,"&lt;="&amp;$H191,工数管理!$V$3:$V$98,"")+COUNTIFS(工数管理!$AK$3:$AK$98,K$1,工数管理!$W$3:$W$98,"&lt;="&amp;$H191,工数管理!$X$3:$X$98,"")+COUNTIFS(工数管理!$AK$3:$AK$98,K$1,工数管理!$Y$3:$Y$98,"&lt;="&amp;$H191,工数管理!$Z$3:$Z$98,"")+COUNTIFS(工数管理!$AK$3:$AK$98,K$1,工数管理!$AA$3:$AA$98,"&lt;="&amp;$H191,工数管理!$AB$3:$AB$98,"")+COUNTIFS(工数管理!$AK$3:$AK$98,K$1,工数管理!$AC$3:$AC$98,"&lt;="&amp;$H191,工数管理!$AD$3:$AD$98,"")+COUNTIFS(工数管理!$AK$3:$AK$98,K$1,工数管理!$AE$3:$AE$98,"&lt;="&amp;$H191,工数管理!$AF$3:$AF$98,"")+COUNTIFS(工数管理!$AK$3:$AK$98,K$1,工数管理!$AG$3:$AG$98,"&lt;="&amp;$H191,工数管理!$AH$3:$AH$98,""))*($H191&lt;=工数管理!$AI$1))</f>
        <v>0</v>
      </c>
      <c r="L191" s="42">
        <f ca="1">IF(L$1="",0,COUNTIFS(工数管理!$AK$3:$AK$98,L$1,工数管理!$K$3:$K$98,"&lt;="&amp;$H191,工数管理!$L$3:$L$98,"&gt;="&amp;$H191)+COUNTIFS(工数管理!$AK$3:$AK$98,L$1,工数管理!$M$3:$M$98,"&lt;="&amp;$H191,工数管理!$N$3:$N$98,"&gt;="&amp;$H191)+COUNTIFS(工数管理!$AK$3:$AK$98,L$1,工数管理!$O$3:$O$98,"&lt;="&amp;$H191,工数管理!$P$3:$P$98,"&gt;="&amp;$H191)+COUNTIFS(工数管理!$AK$3:$AK$98,L$1,工数管理!$Q$3:$Q$98,"&lt;="&amp;$H191,工数管理!$R$3:$R$98,"&gt;="&amp;$H191)+COUNTIFS(工数管理!$AK$3:$AK$98,L$1,工数管理!$S$3:$S$98,"&lt;="&amp;$H191,工数管理!$T$3:$T$98,"&gt;="&amp;$H191)+COUNTIFS(工数管理!$AK$3:$AK$98,L$1,工数管理!$U$3:$U$98,"&lt;="&amp;$H191,工数管理!$V$3:$V$98,"&gt;="&amp;$H191)+COUNTIFS(工数管理!$AK$3:$AK$98,L$1,工数管理!$W$3:$W$98,"&lt;="&amp;$H191,工数管理!$X$3:$X$98,"&gt;="&amp;$H191)+COUNTIFS(工数管理!$AK$3:$AK$98,L$1,工数管理!$Y$3:$Y$98,"&lt;="&amp;$H191,工数管理!$Z$3:$Z$98,"&gt;="&amp;$H191)+COUNTIFS(工数管理!$AK$3:$AK$98,L$1,工数管理!$AA$3:$AA$98,"&lt;="&amp;$H191,工数管理!$AB$3:$AB$98,"&gt;="&amp;$H191)+COUNTIFS(工数管理!$AK$3:$AK$98,L$1,工数管理!$AC$3:$AC$98,"&lt;="&amp;$H191,工数管理!$AD$3:$AD$98,"&gt;="&amp;$H191)+COUNTIFS(工数管理!$AK$3:$AK$98,L$1,工数管理!$AE$3:$AE$98,"&lt;="&amp;$H191,工数管理!$AF$3:$AF$98,"&gt;="&amp;$H191)+COUNTIFS(工数管理!$AK$3:$AK$98,L$1,工数管理!$AG$3:$AG$98,"&lt;="&amp;$H191,工数管理!$AH$3:$AH$98,"&gt;="&amp;$H191)+(COUNTIFS(工数管理!$AK$3:$AK$98,L$1,工数管理!$K$3:$K$98,"&lt;="&amp;$H191,工数管理!$L$3:$L$98,"")+COUNTIFS(工数管理!$AK$3:$AK$98,L$1,工数管理!$M$3:$M$98,"&lt;="&amp;$H191,工数管理!$N$3:$N$98,"")+COUNTIFS(工数管理!$AK$3:$AK$98,L$1,工数管理!$O$3:$O$98,"&lt;="&amp;$H191,工数管理!$P$3:$P$98,"")+COUNTIFS(工数管理!$AK$3:$AK$98,L$1,工数管理!$Q$3:$Q$98,"&lt;="&amp;$H191,工数管理!$R$3:$R$98,"")+COUNTIFS(工数管理!$AK$3:$AK$98,L$1,工数管理!$S$3:$S$98,"&lt;="&amp;$H191,工数管理!$T$3:$T$98,"")+COUNTIFS(工数管理!$AK$3:$AK$98,L$1,工数管理!$U$3:$U$98,"&lt;="&amp;$H191,工数管理!$V$3:$V$98,"")+COUNTIFS(工数管理!$AK$3:$AK$98,L$1,工数管理!$W$3:$W$98,"&lt;="&amp;$H191,工数管理!$X$3:$X$98,"")+COUNTIFS(工数管理!$AK$3:$AK$98,L$1,工数管理!$Y$3:$Y$98,"&lt;="&amp;$H191,工数管理!$Z$3:$Z$98,"")+COUNTIFS(工数管理!$AK$3:$AK$98,L$1,工数管理!$AA$3:$AA$98,"&lt;="&amp;$H191,工数管理!$AB$3:$AB$98,"")+COUNTIFS(工数管理!$AK$3:$AK$98,L$1,工数管理!$AC$3:$AC$98,"&lt;="&amp;$H191,工数管理!$AD$3:$AD$98,"")+COUNTIFS(工数管理!$AK$3:$AK$98,L$1,工数管理!$AE$3:$AE$98,"&lt;="&amp;$H191,工数管理!$AF$3:$AF$98,"")+COUNTIFS(工数管理!$AK$3:$AK$98,L$1,工数管理!$AG$3:$AG$98,"&lt;="&amp;$H191,工数管理!$AH$3:$AH$98,""))*($H191&lt;=工数管理!$AI$1))</f>
        <v>0</v>
      </c>
    </row>
    <row r="192" spans="1:12" x14ac:dyDescent="0.15">
      <c r="A192" s="5"/>
      <c r="B192" s="6"/>
      <c r="H192" s="41">
        <f t="shared" si="5"/>
        <v>46360</v>
      </c>
      <c r="I192" s="42">
        <f t="shared" si="4"/>
        <v>1</v>
      </c>
      <c r="J192" s="42">
        <f ca="1">IF(J$1="",0,COUNTIFS(工数管理!$AK$3:$AK$98,J$1,工数管理!$K$3:$K$98,"&lt;="&amp;$H192,工数管理!$L$3:$L$98,"&gt;="&amp;$H192)+COUNTIFS(工数管理!$AK$3:$AK$98,J$1,工数管理!$M$3:$M$98,"&lt;="&amp;$H192,工数管理!$N$3:$N$98,"&gt;="&amp;$H192)+COUNTIFS(工数管理!$AK$3:$AK$98,J$1,工数管理!$O$3:$O$98,"&lt;="&amp;$H192,工数管理!$P$3:$P$98,"&gt;="&amp;$H192)+COUNTIFS(工数管理!$AK$3:$AK$98,J$1,工数管理!$Q$3:$Q$98,"&lt;="&amp;$H192,工数管理!$R$3:$R$98,"&gt;="&amp;$H192)+COUNTIFS(工数管理!$AK$3:$AK$98,J$1,工数管理!$S$3:$S$98,"&lt;="&amp;$H192,工数管理!$T$3:$T$98,"&gt;="&amp;$H192)+COUNTIFS(工数管理!$AK$3:$AK$98,J$1,工数管理!$U$3:$U$98,"&lt;="&amp;$H192,工数管理!$V$3:$V$98,"&gt;="&amp;$H192)+COUNTIFS(工数管理!$AK$3:$AK$98,J$1,工数管理!$W$3:$W$98,"&lt;="&amp;$H192,工数管理!$X$3:$X$98,"&gt;="&amp;$H192)+COUNTIFS(工数管理!$AK$3:$AK$98,J$1,工数管理!$Y$3:$Y$98,"&lt;="&amp;$H192,工数管理!$Z$3:$Z$98,"&gt;="&amp;$H192)+COUNTIFS(工数管理!$AK$3:$AK$98,J$1,工数管理!$AA$3:$AA$98,"&lt;="&amp;$H192,工数管理!$AB$3:$AB$98,"&gt;="&amp;$H192)+COUNTIFS(工数管理!$AK$3:$AK$98,J$1,工数管理!$AC$3:$AC$98,"&lt;="&amp;$H192,工数管理!$AD$3:$AD$98,"&gt;="&amp;$H192)+COUNTIFS(工数管理!$AK$3:$AK$98,J$1,工数管理!$AE$3:$AE$98,"&lt;="&amp;$H192,工数管理!$AF$3:$AF$98,"&gt;="&amp;$H192)+COUNTIFS(工数管理!$AK$3:$AK$98,J$1,工数管理!$AG$3:$AG$98,"&lt;="&amp;$H192,工数管理!$AH$3:$AH$98,"&gt;="&amp;$H192)+(COUNTIFS(工数管理!$AK$3:$AK$98,J$1,工数管理!$K$3:$K$98,"&lt;="&amp;$H192,工数管理!$L$3:$L$98,"")+COUNTIFS(工数管理!$AK$3:$AK$98,J$1,工数管理!$M$3:$M$98,"&lt;="&amp;$H192,工数管理!$N$3:$N$98,"")+COUNTIFS(工数管理!$AK$3:$AK$98,J$1,工数管理!$O$3:$O$98,"&lt;="&amp;$H192,工数管理!$P$3:$P$98,"")+COUNTIFS(工数管理!$AK$3:$AK$98,J$1,工数管理!$Q$3:$Q$98,"&lt;="&amp;$H192,工数管理!$R$3:$R$98,"")+COUNTIFS(工数管理!$AK$3:$AK$98,J$1,工数管理!$S$3:$S$98,"&lt;="&amp;$H192,工数管理!$T$3:$T$98,"")+COUNTIFS(工数管理!$AK$3:$AK$98,J$1,工数管理!$U$3:$U$98,"&lt;="&amp;$H192,工数管理!$V$3:$V$98,"")+COUNTIFS(工数管理!$AK$3:$AK$98,J$1,工数管理!$W$3:$W$98,"&lt;="&amp;$H192,工数管理!$X$3:$X$98,"")+COUNTIFS(工数管理!$AK$3:$AK$98,J$1,工数管理!$Y$3:$Y$98,"&lt;="&amp;$H192,工数管理!$Z$3:$Z$98,"")+COUNTIFS(工数管理!$AK$3:$AK$98,J$1,工数管理!$AA$3:$AA$98,"&lt;="&amp;$H192,工数管理!$AB$3:$AB$98,"")+COUNTIFS(工数管理!$AK$3:$AK$98,J$1,工数管理!$AC$3:$AC$98,"&lt;="&amp;$H192,工数管理!$AD$3:$AD$98,"")+COUNTIFS(工数管理!$AK$3:$AK$98,J$1,工数管理!$AE$3:$AE$98,"&lt;="&amp;$H192,工数管理!$AF$3:$AF$98,"")+COUNTIFS(工数管理!$AK$3:$AK$98,J$1,工数管理!$AG$3:$AG$98,"&lt;="&amp;$H192,工数管理!$AH$3:$AH$98,""))*($H192&lt;=工数管理!$AI$1))</f>
        <v>0</v>
      </c>
      <c r="K192" s="42">
        <f ca="1">IF(K$1="",0,COUNTIFS(工数管理!$AK$3:$AK$98,K$1,工数管理!$K$3:$K$98,"&lt;="&amp;$H192,工数管理!$L$3:$L$98,"&gt;="&amp;$H192)+COUNTIFS(工数管理!$AK$3:$AK$98,K$1,工数管理!$M$3:$M$98,"&lt;="&amp;$H192,工数管理!$N$3:$N$98,"&gt;="&amp;$H192)+COUNTIFS(工数管理!$AK$3:$AK$98,K$1,工数管理!$O$3:$O$98,"&lt;="&amp;$H192,工数管理!$P$3:$P$98,"&gt;="&amp;$H192)+COUNTIFS(工数管理!$AK$3:$AK$98,K$1,工数管理!$Q$3:$Q$98,"&lt;="&amp;$H192,工数管理!$R$3:$R$98,"&gt;="&amp;$H192)+COUNTIFS(工数管理!$AK$3:$AK$98,K$1,工数管理!$S$3:$S$98,"&lt;="&amp;$H192,工数管理!$T$3:$T$98,"&gt;="&amp;$H192)+COUNTIFS(工数管理!$AK$3:$AK$98,K$1,工数管理!$U$3:$U$98,"&lt;="&amp;$H192,工数管理!$V$3:$V$98,"&gt;="&amp;$H192)+COUNTIFS(工数管理!$AK$3:$AK$98,K$1,工数管理!$W$3:$W$98,"&lt;="&amp;$H192,工数管理!$X$3:$X$98,"&gt;="&amp;$H192)+COUNTIFS(工数管理!$AK$3:$AK$98,K$1,工数管理!$Y$3:$Y$98,"&lt;="&amp;$H192,工数管理!$Z$3:$Z$98,"&gt;="&amp;$H192)+COUNTIFS(工数管理!$AK$3:$AK$98,K$1,工数管理!$AA$3:$AA$98,"&lt;="&amp;$H192,工数管理!$AB$3:$AB$98,"&gt;="&amp;$H192)+COUNTIFS(工数管理!$AK$3:$AK$98,K$1,工数管理!$AC$3:$AC$98,"&lt;="&amp;$H192,工数管理!$AD$3:$AD$98,"&gt;="&amp;$H192)+COUNTIFS(工数管理!$AK$3:$AK$98,K$1,工数管理!$AE$3:$AE$98,"&lt;="&amp;$H192,工数管理!$AF$3:$AF$98,"&gt;="&amp;$H192)+COUNTIFS(工数管理!$AK$3:$AK$98,K$1,工数管理!$AG$3:$AG$98,"&lt;="&amp;$H192,工数管理!$AH$3:$AH$98,"&gt;="&amp;$H192)+(COUNTIFS(工数管理!$AK$3:$AK$98,K$1,工数管理!$K$3:$K$98,"&lt;="&amp;$H192,工数管理!$L$3:$L$98,"")+COUNTIFS(工数管理!$AK$3:$AK$98,K$1,工数管理!$M$3:$M$98,"&lt;="&amp;$H192,工数管理!$N$3:$N$98,"")+COUNTIFS(工数管理!$AK$3:$AK$98,K$1,工数管理!$O$3:$O$98,"&lt;="&amp;$H192,工数管理!$P$3:$P$98,"")+COUNTIFS(工数管理!$AK$3:$AK$98,K$1,工数管理!$Q$3:$Q$98,"&lt;="&amp;$H192,工数管理!$R$3:$R$98,"")+COUNTIFS(工数管理!$AK$3:$AK$98,K$1,工数管理!$S$3:$S$98,"&lt;="&amp;$H192,工数管理!$T$3:$T$98,"")+COUNTIFS(工数管理!$AK$3:$AK$98,K$1,工数管理!$U$3:$U$98,"&lt;="&amp;$H192,工数管理!$V$3:$V$98,"")+COUNTIFS(工数管理!$AK$3:$AK$98,K$1,工数管理!$W$3:$W$98,"&lt;="&amp;$H192,工数管理!$X$3:$X$98,"")+COUNTIFS(工数管理!$AK$3:$AK$98,K$1,工数管理!$Y$3:$Y$98,"&lt;="&amp;$H192,工数管理!$Z$3:$Z$98,"")+COUNTIFS(工数管理!$AK$3:$AK$98,K$1,工数管理!$AA$3:$AA$98,"&lt;="&amp;$H192,工数管理!$AB$3:$AB$98,"")+COUNTIFS(工数管理!$AK$3:$AK$98,K$1,工数管理!$AC$3:$AC$98,"&lt;="&amp;$H192,工数管理!$AD$3:$AD$98,"")+COUNTIFS(工数管理!$AK$3:$AK$98,K$1,工数管理!$AE$3:$AE$98,"&lt;="&amp;$H192,工数管理!$AF$3:$AF$98,"")+COUNTIFS(工数管理!$AK$3:$AK$98,K$1,工数管理!$AG$3:$AG$98,"&lt;="&amp;$H192,工数管理!$AH$3:$AH$98,""))*($H192&lt;=工数管理!$AI$1))</f>
        <v>0</v>
      </c>
      <c r="L192" s="42">
        <f ca="1">IF(L$1="",0,COUNTIFS(工数管理!$AK$3:$AK$98,L$1,工数管理!$K$3:$K$98,"&lt;="&amp;$H192,工数管理!$L$3:$L$98,"&gt;="&amp;$H192)+COUNTIFS(工数管理!$AK$3:$AK$98,L$1,工数管理!$M$3:$M$98,"&lt;="&amp;$H192,工数管理!$N$3:$N$98,"&gt;="&amp;$H192)+COUNTIFS(工数管理!$AK$3:$AK$98,L$1,工数管理!$O$3:$O$98,"&lt;="&amp;$H192,工数管理!$P$3:$P$98,"&gt;="&amp;$H192)+COUNTIFS(工数管理!$AK$3:$AK$98,L$1,工数管理!$Q$3:$Q$98,"&lt;="&amp;$H192,工数管理!$R$3:$R$98,"&gt;="&amp;$H192)+COUNTIFS(工数管理!$AK$3:$AK$98,L$1,工数管理!$S$3:$S$98,"&lt;="&amp;$H192,工数管理!$T$3:$T$98,"&gt;="&amp;$H192)+COUNTIFS(工数管理!$AK$3:$AK$98,L$1,工数管理!$U$3:$U$98,"&lt;="&amp;$H192,工数管理!$V$3:$V$98,"&gt;="&amp;$H192)+COUNTIFS(工数管理!$AK$3:$AK$98,L$1,工数管理!$W$3:$W$98,"&lt;="&amp;$H192,工数管理!$X$3:$X$98,"&gt;="&amp;$H192)+COUNTIFS(工数管理!$AK$3:$AK$98,L$1,工数管理!$Y$3:$Y$98,"&lt;="&amp;$H192,工数管理!$Z$3:$Z$98,"&gt;="&amp;$H192)+COUNTIFS(工数管理!$AK$3:$AK$98,L$1,工数管理!$AA$3:$AA$98,"&lt;="&amp;$H192,工数管理!$AB$3:$AB$98,"&gt;="&amp;$H192)+COUNTIFS(工数管理!$AK$3:$AK$98,L$1,工数管理!$AC$3:$AC$98,"&lt;="&amp;$H192,工数管理!$AD$3:$AD$98,"&gt;="&amp;$H192)+COUNTIFS(工数管理!$AK$3:$AK$98,L$1,工数管理!$AE$3:$AE$98,"&lt;="&amp;$H192,工数管理!$AF$3:$AF$98,"&gt;="&amp;$H192)+COUNTIFS(工数管理!$AK$3:$AK$98,L$1,工数管理!$AG$3:$AG$98,"&lt;="&amp;$H192,工数管理!$AH$3:$AH$98,"&gt;="&amp;$H192)+(COUNTIFS(工数管理!$AK$3:$AK$98,L$1,工数管理!$K$3:$K$98,"&lt;="&amp;$H192,工数管理!$L$3:$L$98,"")+COUNTIFS(工数管理!$AK$3:$AK$98,L$1,工数管理!$M$3:$M$98,"&lt;="&amp;$H192,工数管理!$N$3:$N$98,"")+COUNTIFS(工数管理!$AK$3:$AK$98,L$1,工数管理!$O$3:$O$98,"&lt;="&amp;$H192,工数管理!$P$3:$P$98,"")+COUNTIFS(工数管理!$AK$3:$AK$98,L$1,工数管理!$Q$3:$Q$98,"&lt;="&amp;$H192,工数管理!$R$3:$R$98,"")+COUNTIFS(工数管理!$AK$3:$AK$98,L$1,工数管理!$S$3:$S$98,"&lt;="&amp;$H192,工数管理!$T$3:$T$98,"")+COUNTIFS(工数管理!$AK$3:$AK$98,L$1,工数管理!$U$3:$U$98,"&lt;="&amp;$H192,工数管理!$V$3:$V$98,"")+COUNTIFS(工数管理!$AK$3:$AK$98,L$1,工数管理!$W$3:$W$98,"&lt;="&amp;$H192,工数管理!$X$3:$X$98,"")+COUNTIFS(工数管理!$AK$3:$AK$98,L$1,工数管理!$Y$3:$Y$98,"&lt;="&amp;$H192,工数管理!$Z$3:$Z$98,"")+COUNTIFS(工数管理!$AK$3:$AK$98,L$1,工数管理!$AA$3:$AA$98,"&lt;="&amp;$H192,工数管理!$AB$3:$AB$98,"")+COUNTIFS(工数管理!$AK$3:$AK$98,L$1,工数管理!$AC$3:$AC$98,"&lt;="&amp;$H192,工数管理!$AD$3:$AD$98,"")+COUNTIFS(工数管理!$AK$3:$AK$98,L$1,工数管理!$AE$3:$AE$98,"&lt;="&amp;$H192,工数管理!$AF$3:$AF$98,"")+COUNTIFS(工数管理!$AK$3:$AK$98,L$1,工数管理!$AG$3:$AG$98,"&lt;="&amp;$H192,工数管理!$AH$3:$AH$98,""))*($H192&lt;=工数管理!$AI$1))</f>
        <v>0</v>
      </c>
    </row>
    <row r="193" spans="1:12" x14ac:dyDescent="0.15">
      <c r="A193" s="5"/>
      <c r="B193" s="6"/>
      <c r="H193" s="41">
        <f t="shared" si="5"/>
        <v>46361</v>
      </c>
      <c r="I193" s="42">
        <f t="shared" si="4"/>
        <v>0</v>
      </c>
      <c r="J193" s="42">
        <f ca="1">IF(J$1="",0,COUNTIFS(工数管理!$AK$3:$AK$98,J$1,工数管理!$K$3:$K$98,"&lt;="&amp;$H193,工数管理!$L$3:$L$98,"&gt;="&amp;$H193)+COUNTIFS(工数管理!$AK$3:$AK$98,J$1,工数管理!$M$3:$M$98,"&lt;="&amp;$H193,工数管理!$N$3:$N$98,"&gt;="&amp;$H193)+COUNTIFS(工数管理!$AK$3:$AK$98,J$1,工数管理!$O$3:$O$98,"&lt;="&amp;$H193,工数管理!$P$3:$P$98,"&gt;="&amp;$H193)+COUNTIFS(工数管理!$AK$3:$AK$98,J$1,工数管理!$Q$3:$Q$98,"&lt;="&amp;$H193,工数管理!$R$3:$R$98,"&gt;="&amp;$H193)+COUNTIFS(工数管理!$AK$3:$AK$98,J$1,工数管理!$S$3:$S$98,"&lt;="&amp;$H193,工数管理!$T$3:$T$98,"&gt;="&amp;$H193)+COUNTIFS(工数管理!$AK$3:$AK$98,J$1,工数管理!$U$3:$U$98,"&lt;="&amp;$H193,工数管理!$V$3:$V$98,"&gt;="&amp;$H193)+COUNTIFS(工数管理!$AK$3:$AK$98,J$1,工数管理!$W$3:$W$98,"&lt;="&amp;$H193,工数管理!$X$3:$X$98,"&gt;="&amp;$H193)+COUNTIFS(工数管理!$AK$3:$AK$98,J$1,工数管理!$Y$3:$Y$98,"&lt;="&amp;$H193,工数管理!$Z$3:$Z$98,"&gt;="&amp;$H193)+COUNTIFS(工数管理!$AK$3:$AK$98,J$1,工数管理!$AA$3:$AA$98,"&lt;="&amp;$H193,工数管理!$AB$3:$AB$98,"&gt;="&amp;$H193)+COUNTIFS(工数管理!$AK$3:$AK$98,J$1,工数管理!$AC$3:$AC$98,"&lt;="&amp;$H193,工数管理!$AD$3:$AD$98,"&gt;="&amp;$H193)+COUNTIFS(工数管理!$AK$3:$AK$98,J$1,工数管理!$AE$3:$AE$98,"&lt;="&amp;$H193,工数管理!$AF$3:$AF$98,"&gt;="&amp;$H193)+COUNTIFS(工数管理!$AK$3:$AK$98,J$1,工数管理!$AG$3:$AG$98,"&lt;="&amp;$H193,工数管理!$AH$3:$AH$98,"&gt;="&amp;$H193)+(COUNTIFS(工数管理!$AK$3:$AK$98,J$1,工数管理!$K$3:$K$98,"&lt;="&amp;$H193,工数管理!$L$3:$L$98,"")+COUNTIFS(工数管理!$AK$3:$AK$98,J$1,工数管理!$M$3:$M$98,"&lt;="&amp;$H193,工数管理!$N$3:$N$98,"")+COUNTIFS(工数管理!$AK$3:$AK$98,J$1,工数管理!$O$3:$O$98,"&lt;="&amp;$H193,工数管理!$P$3:$P$98,"")+COUNTIFS(工数管理!$AK$3:$AK$98,J$1,工数管理!$Q$3:$Q$98,"&lt;="&amp;$H193,工数管理!$R$3:$R$98,"")+COUNTIFS(工数管理!$AK$3:$AK$98,J$1,工数管理!$S$3:$S$98,"&lt;="&amp;$H193,工数管理!$T$3:$T$98,"")+COUNTIFS(工数管理!$AK$3:$AK$98,J$1,工数管理!$U$3:$U$98,"&lt;="&amp;$H193,工数管理!$V$3:$V$98,"")+COUNTIFS(工数管理!$AK$3:$AK$98,J$1,工数管理!$W$3:$W$98,"&lt;="&amp;$H193,工数管理!$X$3:$X$98,"")+COUNTIFS(工数管理!$AK$3:$AK$98,J$1,工数管理!$Y$3:$Y$98,"&lt;="&amp;$H193,工数管理!$Z$3:$Z$98,"")+COUNTIFS(工数管理!$AK$3:$AK$98,J$1,工数管理!$AA$3:$AA$98,"&lt;="&amp;$H193,工数管理!$AB$3:$AB$98,"")+COUNTIFS(工数管理!$AK$3:$AK$98,J$1,工数管理!$AC$3:$AC$98,"&lt;="&amp;$H193,工数管理!$AD$3:$AD$98,"")+COUNTIFS(工数管理!$AK$3:$AK$98,J$1,工数管理!$AE$3:$AE$98,"&lt;="&amp;$H193,工数管理!$AF$3:$AF$98,"")+COUNTIFS(工数管理!$AK$3:$AK$98,J$1,工数管理!$AG$3:$AG$98,"&lt;="&amp;$H193,工数管理!$AH$3:$AH$98,""))*($H193&lt;=工数管理!$AI$1))</f>
        <v>0</v>
      </c>
      <c r="K193" s="42">
        <f ca="1">IF(K$1="",0,COUNTIFS(工数管理!$AK$3:$AK$98,K$1,工数管理!$K$3:$K$98,"&lt;="&amp;$H193,工数管理!$L$3:$L$98,"&gt;="&amp;$H193)+COUNTIFS(工数管理!$AK$3:$AK$98,K$1,工数管理!$M$3:$M$98,"&lt;="&amp;$H193,工数管理!$N$3:$N$98,"&gt;="&amp;$H193)+COUNTIFS(工数管理!$AK$3:$AK$98,K$1,工数管理!$O$3:$O$98,"&lt;="&amp;$H193,工数管理!$P$3:$P$98,"&gt;="&amp;$H193)+COUNTIFS(工数管理!$AK$3:$AK$98,K$1,工数管理!$Q$3:$Q$98,"&lt;="&amp;$H193,工数管理!$R$3:$R$98,"&gt;="&amp;$H193)+COUNTIFS(工数管理!$AK$3:$AK$98,K$1,工数管理!$S$3:$S$98,"&lt;="&amp;$H193,工数管理!$T$3:$T$98,"&gt;="&amp;$H193)+COUNTIFS(工数管理!$AK$3:$AK$98,K$1,工数管理!$U$3:$U$98,"&lt;="&amp;$H193,工数管理!$V$3:$V$98,"&gt;="&amp;$H193)+COUNTIFS(工数管理!$AK$3:$AK$98,K$1,工数管理!$W$3:$W$98,"&lt;="&amp;$H193,工数管理!$X$3:$X$98,"&gt;="&amp;$H193)+COUNTIFS(工数管理!$AK$3:$AK$98,K$1,工数管理!$Y$3:$Y$98,"&lt;="&amp;$H193,工数管理!$Z$3:$Z$98,"&gt;="&amp;$H193)+COUNTIFS(工数管理!$AK$3:$AK$98,K$1,工数管理!$AA$3:$AA$98,"&lt;="&amp;$H193,工数管理!$AB$3:$AB$98,"&gt;="&amp;$H193)+COUNTIFS(工数管理!$AK$3:$AK$98,K$1,工数管理!$AC$3:$AC$98,"&lt;="&amp;$H193,工数管理!$AD$3:$AD$98,"&gt;="&amp;$H193)+COUNTIFS(工数管理!$AK$3:$AK$98,K$1,工数管理!$AE$3:$AE$98,"&lt;="&amp;$H193,工数管理!$AF$3:$AF$98,"&gt;="&amp;$H193)+COUNTIFS(工数管理!$AK$3:$AK$98,K$1,工数管理!$AG$3:$AG$98,"&lt;="&amp;$H193,工数管理!$AH$3:$AH$98,"&gt;="&amp;$H193)+(COUNTIFS(工数管理!$AK$3:$AK$98,K$1,工数管理!$K$3:$K$98,"&lt;="&amp;$H193,工数管理!$L$3:$L$98,"")+COUNTIFS(工数管理!$AK$3:$AK$98,K$1,工数管理!$M$3:$M$98,"&lt;="&amp;$H193,工数管理!$N$3:$N$98,"")+COUNTIFS(工数管理!$AK$3:$AK$98,K$1,工数管理!$O$3:$O$98,"&lt;="&amp;$H193,工数管理!$P$3:$P$98,"")+COUNTIFS(工数管理!$AK$3:$AK$98,K$1,工数管理!$Q$3:$Q$98,"&lt;="&amp;$H193,工数管理!$R$3:$R$98,"")+COUNTIFS(工数管理!$AK$3:$AK$98,K$1,工数管理!$S$3:$S$98,"&lt;="&amp;$H193,工数管理!$T$3:$T$98,"")+COUNTIFS(工数管理!$AK$3:$AK$98,K$1,工数管理!$U$3:$U$98,"&lt;="&amp;$H193,工数管理!$V$3:$V$98,"")+COUNTIFS(工数管理!$AK$3:$AK$98,K$1,工数管理!$W$3:$W$98,"&lt;="&amp;$H193,工数管理!$X$3:$X$98,"")+COUNTIFS(工数管理!$AK$3:$AK$98,K$1,工数管理!$Y$3:$Y$98,"&lt;="&amp;$H193,工数管理!$Z$3:$Z$98,"")+COUNTIFS(工数管理!$AK$3:$AK$98,K$1,工数管理!$AA$3:$AA$98,"&lt;="&amp;$H193,工数管理!$AB$3:$AB$98,"")+COUNTIFS(工数管理!$AK$3:$AK$98,K$1,工数管理!$AC$3:$AC$98,"&lt;="&amp;$H193,工数管理!$AD$3:$AD$98,"")+COUNTIFS(工数管理!$AK$3:$AK$98,K$1,工数管理!$AE$3:$AE$98,"&lt;="&amp;$H193,工数管理!$AF$3:$AF$98,"")+COUNTIFS(工数管理!$AK$3:$AK$98,K$1,工数管理!$AG$3:$AG$98,"&lt;="&amp;$H193,工数管理!$AH$3:$AH$98,""))*($H193&lt;=工数管理!$AI$1))</f>
        <v>0</v>
      </c>
      <c r="L193" s="42">
        <f ca="1">IF(L$1="",0,COUNTIFS(工数管理!$AK$3:$AK$98,L$1,工数管理!$K$3:$K$98,"&lt;="&amp;$H193,工数管理!$L$3:$L$98,"&gt;="&amp;$H193)+COUNTIFS(工数管理!$AK$3:$AK$98,L$1,工数管理!$M$3:$M$98,"&lt;="&amp;$H193,工数管理!$N$3:$N$98,"&gt;="&amp;$H193)+COUNTIFS(工数管理!$AK$3:$AK$98,L$1,工数管理!$O$3:$O$98,"&lt;="&amp;$H193,工数管理!$P$3:$P$98,"&gt;="&amp;$H193)+COUNTIFS(工数管理!$AK$3:$AK$98,L$1,工数管理!$Q$3:$Q$98,"&lt;="&amp;$H193,工数管理!$R$3:$R$98,"&gt;="&amp;$H193)+COUNTIFS(工数管理!$AK$3:$AK$98,L$1,工数管理!$S$3:$S$98,"&lt;="&amp;$H193,工数管理!$T$3:$T$98,"&gt;="&amp;$H193)+COUNTIFS(工数管理!$AK$3:$AK$98,L$1,工数管理!$U$3:$U$98,"&lt;="&amp;$H193,工数管理!$V$3:$V$98,"&gt;="&amp;$H193)+COUNTIFS(工数管理!$AK$3:$AK$98,L$1,工数管理!$W$3:$W$98,"&lt;="&amp;$H193,工数管理!$X$3:$X$98,"&gt;="&amp;$H193)+COUNTIFS(工数管理!$AK$3:$AK$98,L$1,工数管理!$Y$3:$Y$98,"&lt;="&amp;$H193,工数管理!$Z$3:$Z$98,"&gt;="&amp;$H193)+COUNTIFS(工数管理!$AK$3:$AK$98,L$1,工数管理!$AA$3:$AA$98,"&lt;="&amp;$H193,工数管理!$AB$3:$AB$98,"&gt;="&amp;$H193)+COUNTIFS(工数管理!$AK$3:$AK$98,L$1,工数管理!$AC$3:$AC$98,"&lt;="&amp;$H193,工数管理!$AD$3:$AD$98,"&gt;="&amp;$H193)+COUNTIFS(工数管理!$AK$3:$AK$98,L$1,工数管理!$AE$3:$AE$98,"&lt;="&amp;$H193,工数管理!$AF$3:$AF$98,"&gt;="&amp;$H193)+COUNTIFS(工数管理!$AK$3:$AK$98,L$1,工数管理!$AG$3:$AG$98,"&lt;="&amp;$H193,工数管理!$AH$3:$AH$98,"&gt;="&amp;$H193)+(COUNTIFS(工数管理!$AK$3:$AK$98,L$1,工数管理!$K$3:$K$98,"&lt;="&amp;$H193,工数管理!$L$3:$L$98,"")+COUNTIFS(工数管理!$AK$3:$AK$98,L$1,工数管理!$M$3:$M$98,"&lt;="&amp;$H193,工数管理!$N$3:$N$98,"")+COUNTIFS(工数管理!$AK$3:$AK$98,L$1,工数管理!$O$3:$O$98,"&lt;="&amp;$H193,工数管理!$P$3:$P$98,"")+COUNTIFS(工数管理!$AK$3:$AK$98,L$1,工数管理!$Q$3:$Q$98,"&lt;="&amp;$H193,工数管理!$R$3:$R$98,"")+COUNTIFS(工数管理!$AK$3:$AK$98,L$1,工数管理!$S$3:$S$98,"&lt;="&amp;$H193,工数管理!$T$3:$T$98,"")+COUNTIFS(工数管理!$AK$3:$AK$98,L$1,工数管理!$U$3:$U$98,"&lt;="&amp;$H193,工数管理!$V$3:$V$98,"")+COUNTIFS(工数管理!$AK$3:$AK$98,L$1,工数管理!$W$3:$W$98,"&lt;="&amp;$H193,工数管理!$X$3:$X$98,"")+COUNTIFS(工数管理!$AK$3:$AK$98,L$1,工数管理!$Y$3:$Y$98,"&lt;="&amp;$H193,工数管理!$Z$3:$Z$98,"")+COUNTIFS(工数管理!$AK$3:$AK$98,L$1,工数管理!$AA$3:$AA$98,"&lt;="&amp;$H193,工数管理!$AB$3:$AB$98,"")+COUNTIFS(工数管理!$AK$3:$AK$98,L$1,工数管理!$AC$3:$AC$98,"&lt;="&amp;$H193,工数管理!$AD$3:$AD$98,"")+COUNTIFS(工数管理!$AK$3:$AK$98,L$1,工数管理!$AE$3:$AE$98,"&lt;="&amp;$H193,工数管理!$AF$3:$AF$98,"")+COUNTIFS(工数管理!$AK$3:$AK$98,L$1,工数管理!$AG$3:$AG$98,"&lt;="&amp;$H193,工数管理!$AH$3:$AH$98,""))*($H193&lt;=工数管理!$AI$1))</f>
        <v>0</v>
      </c>
    </row>
    <row r="194" spans="1:12" x14ac:dyDescent="0.15">
      <c r="A194" s="5"/>
      <c r="B194" s="6"/>
      <c r="H194" s="41">
        <f t="shared" si="5"/>
        <v>46362</v>
      </c>
      <c r="I194" s="42">
        <f t="shared" si="4"/>
        <v>0</v>
      </c>
      <c r="J194" s="42">
        <f ca="1">IF(J$1="",0,COUNTIFS(工数管理!$AK$3:$AK$98,J$1,工数管理!$K$3:$K$98,"&lt;="&amp;$H194,工数管理!$L$3:$L$98,"&gt;="&amp;$H194)+COUNTIFS(工数管理!$AK$3:$AK$98,J$1,工数管理!$M$3:$M$98,"&lt;="&amp;$H194,工数管理!$N$3:$N$98,"&gt;="&amp;$H194)+COUNTIFS(工数管理!$AK$3:$AK$98,J$1,工数管理!$O$3:$O$98,"&lt;="&amp;$H194,工数管理!$P$3:$P$98,"&gt;="&amp;$H194)+COUNTIFS(工数管理!$AK$3:$AK$98,J$1,工数管理!$Q$3:$Q$98,"&lt;="&amp;$H194,工数管理!$R$3:$R$98,"&gt;="&amp;$H194)+COUNTIFS(工数管理!$AK$3:$AK$98,J$1,工数管理!$S$3:$S$98,"&lt;="&amp;$H194,工数管理!$T$3:$T$98,"&gt;="&amp;$H194)+COUNTIFS(工数管理!$AK$3:$AK$98,J$1,工数管理!$U$3:$U$98,"&lt;="&amp;$H194,工数管理!$V$3:$V$98,"&gt;="&amp;$H194)+COUNTIFS(工数管理!$AK$3:$AK$98,J$1,工数管理!$W$3:$W$98,"&lt;="&amp;$H194,工数管理!$X$3:$X$98,"&gt;="&amp;$H194)+COUNTIFS(工数管理!$AK$3:$AK$98,J$1,工数管理!$Y$3:$Y$98,"&lt;="&amp;$H194,工数管理!$Z$3:$Z$98,"&gt;="&amp;$H194)+COUNTIFS(工数管理!$AK$3:$AK$98,J$1,工数管理!$AA$3:$AA$98,"&lt;="&amp;$H194,工数管理!$AB$3:$AB$98,"&gt;="&amp;$H194)+COUNTIFS(工数管理!$AK$3:$AK$98,J$1,工数管理!$AC$3:$AC$98,"&lt;="&amp;$H194,工数管理!$AD$3:$AD$98,"&gt;="&amp;$H194)+COUNTIFS(工数管理!$AK$3:$AK$98,J$1,工数管理!$AE$3:$AE$98,"&lt;="&amp;$H194,工数管理!$AF$3:$AF$98,"&gt;="&amp;$H194)+COUNTIFS(工数管理!$AK$3:$AK$98,J$1,工数管理!$AG$3:$AG$98,"&lt;="&amp;$H194,工数管理!$AH$3:$AH$98,"&gt;="&amp;$H194)+(COUNTIFS(工数管理!$AK$3:$AK$98,J$1,工数管理!$K$3:$K$98,"&lt;="&amp;$H194,工数管理!$L$3:$L$98,"")+COUNTIFS(工数管理!$AK$3:$AK$98,J$1,工数管理!$M$3:$M$98,"&lt;="&amp;$H194,工数管理!$N$3:$N$98,"")+COUNTIFS(工数管理!$AK$3:$AK$98,J$1,工数管理!$O$3:$O$98,"&lt;="&amp;$H194,工数管理!$P$3:$P$98,"")+COUNTIFS(工数管理!$AK$3:$AK$98,J$1,工数管理!$Q$3:$Q$98,"&lt;="&amp;$H194,工数管理!$R$3:$R$98,"")+COUNTIFS(工数管理!$AK$3:$AK$98,J$1,工数管理!$S$3:$S$98,"&lt;="&amp;$H194,工数管理!$T$3:$T$98,"")+COUNTIFS(工数管理!$AK$3:$AK$98,J$1,工数管理!$U$3:$U$98,"&lt;="&amp;$H194,工数管理!$V$3:$V$98,"")+COUNTIFS(工数管理!$AK$3:$AK$98,J$1,工数管理!$W$3:$W$98,"&lt;="&amp;$H194,工数管理!$X$3:$X$98,"")+COUNTIFS(工数管理!$AK$3:$AK$98,J$1,工数管理!$Y$3:$Y$98,"&lt;="&amp;$H194,工数管理!$Z$3:$Z$98,"")+COUNTIFS(工数管理!$AK$3:$AK$98,J$1,工数管理!$AA$3:$AA$98,"&lt;="&amp;$H194,工数管理!$AB$3:$AB$98,"")+COUNTIFS(工数管理!$AK$3:$AK$98,J$1,工数管理!$AC$3:$AC$98,"&lt;="&amp;$H194,工数管理!$AD$3:$AD$98,"")+COUNTIFS(工数管理!$AK$3:$AK$98,J$1,工数管理!$AE$3:$AE$98,"&lt;="&amp;$H194,工数管理!$AF$3:$AF$98,"")+COUNTIFS(工数管理!$AK$3:$AK$98,J$1,工数管理!$AG$3:$AG$98,"&lt;="&amp;$H194,工数管理!$AH$3:$AH$98,""))*($H194&lt;=工数管理!$AI$1))</f>
        <v>0</v>
      </c>
      <c r="K194" s="42">
        <f ca="1">IF(K$1="",0,COUNTIFS(工数管理!$AK$3:$AK$98,K$1,工数管理!$K$3:$K$98,"&lt;="&amp;$H194,工数管理!$L$3:$L$98,"&gt;="&amp;$H194)+COUNTIFS(工数管理!$AK$3:$AK$98,K$1,工数管理!$M$3:$M$98,"&lt;="&amp;$H194,工数管理!$N$3:$N$98,"&gt;="&amp;$H194)+COUNTIFS(工数管理!$AK$3:$AK$98,K$1,工数管理!$O$3:$O$98,"&lt;="&amp;$H194,工数管理!$P$3:$P$98,"&gt;="&amp;$H194)+COUNTIFS(工数管理!$AK$3:$AK$98,K$1,工数管理!$Q$3:$Q$98,"&lt;="&amp;$H194,工数管理!$R$3:$R$98,"&gt;="&amp;$H194)+COUNTIFS(工数管理!$AK$3:$AK$98,K$1,工数管理!$S$3:$S$98,"&lt;="&amp;$H194,工数管理!$T$3:$T$98,"&gt;="&amp;$H194)+COUNTIFS(工数管理!$AK$3:$AK$98,K$1,工数管理!$U$3:$U$98,"&lt;="&amp;$H194,工数管理!$V$3:$V$98,"&gt;="&amp;$H194)+COUNTIFS(工数管理!$AK$3:$AK$98,K$1,工数管理!$W$3:$W$98,"&lt;="&amp;$H194,工数管理!$X$3:$X$98,"&gt;="&amp;$H194)+COUNTIFS(工数管理!$AK$3:$AK$98,K$1,工数管理!$Y$3:$Y$98,"&lt;="&amp;$H194,工数管理!$Z$3:$Z$98,"&gt;="&amp;$H194)+COUNTIFS(工数管理!$AK$3:$AK$98,K$1,工数管理!$AA$3:$AA$98,"&lt;="&amp;$H194,工数管理!$AB$3:$AB$98,"&gt;="&amp;$H194)+COUNTIFS(工数管理!$AK$3:$AK$98,K$1,工数管理!$AC$3:$AC$98,"&lt;="&amp;$H194,工数管理!$AD$3:$AD$98,"&gt;="&amp;$H194)+COUNTIFS(工数管理!$AK$3:$AK$98,K$1,工数管理!$AE$3:$AE$98,"&lt;="&amp;$H194,工数管理!$AF$3:$AF$98,"&gt;="&amp;$H194)+COUNTIFS(工数管理!$AK$3:$AK$98,K$1,工数管理!$AG$3:$AG$98,"&lt;="&amp;$H194,工数管理!$AH$3:$AH$98,"&gt;="&amp;$H194)+(COUNTIFS(工数管理!$AK$3:$AK$98,K$1,工数管理!$K$3:$K$98,"&lt;="&amp;$H194,工数管理!$L$3:$L$98,"")+COUNTIFS(工数管理!$AK$3:$AK$98,K$1,工数管理!$M$3:$M$98,"&lt;="&amp;$H194,工数管理!$N$3:$N$98,"")+COUNTIFS(工数管理!$AK$3:$AK$98,K$1,工数管理!$O$3:$O$98,"&lt;="&amp;$H194,工数管理!$P$3:$P$98,"")+COUNTIFS(工数管理!$AK$3:$AK$98,K$1,工数管理!$Q$3:$Q$98,"&lt;="&amp;$H194,工数管理!$R$3:$R$98,"")+COUNTIFS(工数管理!$AK$3:$AK$98,K$1,工数管理!$S$3:$S$98,"&lt;="&amp;$H194,工数管理!$T$3:$T$98,"")+COUNTIFS(工数管理!$AK$3:$AK$98,K$1,工数管理!$U$3:$U$98,"&lt;="&amp;$H194,工数管理!$V$3:$V$98,"")+COUNTIFS(工数管理!$AK$3:$AK$98,K$1,工数管理!$W$3:$W$98,"&lt;="&amp;$H194,工数管理!$X$3:$X$98,"")+COUNTIFS(工数管理!$AK$3:$AK$98,K$1,工数管理!$Y$3:$Y$98,"&lt;="&amp;$H194,工数管理!$Z$3:$Z$98,"")+COUNTIFS(工数管理!$AK$3:$AK$98,K$1,工数管理!$AA$3:$AA$98,"&lt;="&amp;$H194,工数管理!$AB$3:$AB$98,"")+COUNTIFS(工数管理!$AK$3:$AK$98,K$1,工数管理!$AC$3:$AC$98,"&lt;="&amp;$H194,工数管理!$AD$3:$AD$98,"")+COUNTIFS(工数管理!$AK$3:$AK$98,K$1,工数管理!$AE$3:$AE$98,"&lt;="&amp;$H194,工数管理!$AF$3:$AF$98,"")+COUNTIFS(工数管理!$AK$3:$AK$98,K$1,工数管理!$AG$3:$AG$98,"&lt;="&amp;$H194,工数管理!$AH$3:$AH$98,""))*($H194&lt;=工数管理!$AI$1))</f>
        <v>0</v>
      </c>
      <c r="L194" s="42">
        <f ca="1">IF(L$1="",0,COUNTIFS(工数管理!$AK$3:$AK$98,L$1,工数管理!$K$3:$K$98,"&lt;="&amp;$H194,工数管理!$L$3:$L$98,"&gt;="&amp;$H194)+COUNTIFS(工数管理!$AK$3:$AK$98,L$1,工数管理!$M$3:$M$98,"&lt;="&amp;$H194,工数管理!$N$3:$N$98,"&gt;="&amp;$H194)+COUNTIFS(工数管理!$AK$3:$AK$98,L$1,工数管理!$O$3:$O$98,"&lt;="&amp;$H194,工数管理!$P$3:$P$98,"&gt;="&amp;$H194)+COUNTIFS(工数管理!$AK$3:$AK$98,L$1,工数管理!$Q$3:$Q$98,"&lt;="&amp;$H194,工数管理!$R$3:$R$98,"&gt;="&amp;$H194)+COUNTIFS(工数管理!$AK$3:$AK$98,L$1,工数管理!$S$3:$S$98,"&lt;="&amp;$H194,工数管理!$T$3:$T$98,"&gt;="&amp;$H194)+COUNTIFS(工数管理!$AK$3:$AK$98,L$1,工数管理!$U$3:$U$98,"&lt;="&amp;$H194,工数管理!$V$3:$V$98,"&gt;="&amp;$H194)+COUNTIFS(工数管理!$AK$3:$AK$98,L$1,工数管理!$W$3:$W$98,"&lt;="&amp;$H194,工数管理!$X$3:$X$98,"&gt;="&amp;$H194)+COUNTIFS(工数管理!$AK$3:$AK$98,L$1,工数管理!$Y$3:$Y$98,"&lt;="&amp;$H194,工数管理!$Z$3:$Z$98,"&gt;="&amp;$H194)+COUNTIFS(工数管理!$AK$3:$AK$98,L$1,工数管理!$AA$3:$AA$98,"&lt;="&amp;$H194,工数管理!$AB$3:$AB$98,"&gt;="&amp;$H194)+COUNTIFS(工数管理!$AK$3:$AK$98,L$1,工数管理!$AC$3:$AC$98,"&lt;="&amp;$H194,工数管理!$AD$3:$AD$98,"&gt;="&amp;$H194)+COUNTIFS(工数管理!$AK$3:$AK$98,L$1,工数管理!$AE$3:$AE$98,"&lt;="&amp;$H194,工数管理!$AF$3:$AF$98,"&gt;="&amp;$H194)+COUNTIFS(工数管理!$AK$3:$AK$98,L$1,工数管理!$AG$3:$AG$98,"&lt;="&amp;$H194,工数管理!$AH$3:$AH$98,"&gt;="&amp;$H194)+(COUNTIFS(工数管理!$AK$3:$AK$98,L$1,工数管理!$K$3:$K$98,"&lt;="&amp;$H194,工数管理!$L$3:$L$98,"")+COUNTIFS(工数管理!$AK$3:$AK$98,L$1,工数管理!$M$3:$M$98,"&lt;="&amp;$H194,工数管理!$N$3:$N$98,"")+COUNTIFS(工数管理!$AK$3:$AK$98,L$1,工数管理!$O$3:$O$98,"&lt;="&amp;$H194,工数管理!$P$3:$P$98,"")+COUNTIFS(工数管理!$AK$3:$AK$98,L$1,工数管理!$Q$3:$Q$98,"&lt;="&amp;$H194,工数管理!$R$3:$R$98,"")+COUNTIFS(工数管理!$AK$3:$AK$98,L$1,工数管理!$S$3:$S$98,"&lt;="&amp;$H194,工数管理!$T$3:$T$98,"")+COUNTIFS(工数管理!$AK$3:$AK$98,L$1,工数管理!$U$3:$U$98,"&lt;="&amp;$H194,工数管理!$V$3:$V$98,"")+COUNTIFS(工数管理!$AK$3:$AK$98,L$1,工数管理!$W$3:$W$98,"&lt;="&amp;$H194,工数管理!$X$3:$X$98,"")+COUNTIFS(工数管理!$AK$3:$AK$98,L$1,工数管理!$Y$3:$Y$98,"&lt;="&amp;$H194,工数管理!$Z$3:$Z$98,"")+COUNTIFS(工数管理!$AK$3:$AK$98,L$1,工数管理!$AA$3:$AA$98,"&lt;="&amp;$H194,工数管理!$AB$3:$AB$98,"")+COUNTIFS(工数管理!$AK$3:$AK$98,L$1,工数管理!$AC$3:$AC$98,"&lt;="&amp;$H194,工数管理!$AD$3:$AD$98,"")+COUNTIFS(工数管理!$AK$3:$AK$98,L$1,工数管理!$AE$3:$AE$98,"&lt;="&amp;$H194,工数管理!$AF$3:$AF$98,"")+COUNTIFS(工数管理!$AK$3:$AK$98,L$1,工数管理!$AG$3:$AG$98,"&lt;="&amp;$H194,工数管理!$AH$3:$AH$98,""))*($H194&lt;=工数管理!$AI$1))</f>
        <v>0</v>
      </c>
    </row>
    <row r="195" spans="1:12" x14ac:dyDescent="0.15">
      <c r="A195" s="5"/>
      <c r="B195" s="6"/>
      <c r="H195" s="41">
        <f t="shared" si="5"/>
        <v>46363</v>
      </c>
      <c r="I195" s="42">
        <f t="shared" si="4"/>
        <v>1</v>
      </c>
      <c r="J195" s="42">
        <f ca="1">IF(J$1="",0,COUNTIFS(工数管理!$AK$3:$AK$98,J$1,工数管理!$K$3:$K$98,"&lt;="&amp;$H195,工数管理!$L$3:$L$98,"&gt;="&amp;$H195)+COUNTIFS(工数管理!$AK$3:$AK$98,J$1,工数管理!$M$3:$M$98,"&lt;="&amp;$H195,工数管理!$N$3:$N$98,"&gt;="&amp;$H195)+COUNTIFS(工数管理!$AK$3:$AK$98,J$1,工数管理!$O$3:$O$98,"&lt;="&amp;$H195,工数管理!$P$3:$P$98,"&gt;="&amp;$H195)+COUNTIFS(工数管理!$AK$3:$AK$98,J$1,工数管理!$Q$3:$Q$98,"&lt;="&amp;$H195,工数管理!$R$3:$R$98,"&gt;="&amp;$H195)+COUNTIFS(工数管理!$AK$3:$AK$98,J$1,工数管理!$S$3:$S$98,"&lt;="&amp;$H195,工数管理!$T$3:$T$98,"&gt;="&amp;$H195)+COUNTIFS(工数管理!$AK$3:$AK$98,J$1,工数管理!$U$3:$U$98,"&lt;="&amp;$H195,工数管理!$V$3:$V$98,"&gt;="&amp;$H195)+COUNTIFS(工数管理!$AK$3:$AK$98,J$1,工数管理!$W$3:$W$98,"&lt;="&amp;$H195,工数管理!$X$3:$X$98,"&gt;="&amp;$H195)+COUNTIFS(工数管理!$AK$3:$AK$98,J$1,工数管理!$Y$3:$Y$98,"&lt;="&amp;$H195,工数管理!$Z$3:$Z$98,"&gt;="&amp;$H195)+COUNTIFS(工数管理!$AK$3:$AK$98,J$1,工数管理!$AA$3:$AA$98,"&lt;="&amp;$H195,工数管理!$AB$3:$AB$98,"&gt;="&amp;$H195)+COUNTIFS(工数管理!$AK$3:$AK$98,J$1,工数管理!$AC$3:$AC$98,"&lt;="&amp;$H195,工数管理!$AD$3:$AD$98,"&gt;="&amp;$H195)+COUNTIFS(工数管理!$AK$3:$AK$98,J$1,工数管理!$AE$3:$AE$98,"&lt;="&amp;$H195,工数管理!$AF$3:$AF$98,"&gt;="&amp;$H195)+COUNTIFS(工数管理!$AK$3:$AK$98,J$1,工数管理!$AG$3:$AG$98,"&lt;="&amp;$H195,工数管理!$AH$3:$AH$98,"&gt;="&amp;$H195)+(COUNTIFS(工数管理!$AK$3:$AK$98,J$1,工数管理!$K$3:$K$98,"&lt;="&amp;$H195,工数管理!$L$3:$L$98,"")+COUNTIFS(工数管理!$AK$3:$AK$98,J$1,工数管理!$M$3:$M$98,"&lt;="&amp;$H195,工数管理!$N$3:$N$98,"")+COUNTIFS(工数管理!$AK$3:$AK$98,J$1,工数管理!$O$3:$O$98,"&lt;="&amp;$H195,工数管理!$P$3:$P$98,"")+COUNTIFS(工数管理!$AK$3:$AK$98,J$1,工数管理!$Q$3:$Q$98,"&lt;="&amp;$H195,工数管理!$R$3:$R$98,"")+COUNTIFS(工数管理!$AK$3:$AK$98,J$1,工数管理!$S$3:$S$98,"&lt;="&amp;$H195,工数管理!$T$3:$T$98,"")+COUNTIFS(工数管理!$AK$3:$AK$98,J$1,工数管理!$U$3:$U$98,"&lt;="&amp;$H195,工数管理!$V$3:$V$98,"")+COUNTIFS(工数管理!$AK$3:$AK$98,J$1,工数管理!$W$3:$W$98,"&lt;="&amp;$H195,工数管理!$X$3:$X$98,"")+COUNTIFS(工数管理!$AK$3:$AK$98,J$1,工数管理!$Y$3:$Y$98,"&lt;="&amp;$H195,工数管理!$Z$3:$Z$98,"")+COUNTIFS(工数管理!$AK$3:$AK$98,J$1,工数管理!$AA$3:$AA$98,"&lt;="&amp;$H195,工数管理!$AB$3:$AB$98,"")+COUNTIFS(工数管理!$AK$3:$AK$98,J$1,工数管理!$AC$3:$AC$98,"&lt;="&amp;$H195,工数管理!$AD$3:$AD$98,"")+COUNTIFS(工数管理!$AK$3:$AK$98,J$1,工数管理!$AE$3:$AE$98,"&lt;="&amp;$H195,工数管理!$AF$3:$AF$98,"")+COUNTIFS(工数管理!$AK$3:$AK$98,J$1,工数管理!$AG$3:$AG$98,"&lt;="&amp;$H195,工数管理!$AH$3:$AH$98,""))*($H195&lt;=工数管理!$AI$1))</f>
        <v>0</v>
      </c>
      <c r="K195" s="42">
        <f ca="1">IF(K$1="",0,COUNTIFS(工数管理!$AK$3:$AK$98,K$1,工数管理!$K$3:$K$98,"&lt;="&amp;$H195,工数管理!$L$3:$L$98,"&gt;="&amp;$H195)+COUNTIFS(工数管理!$AK$3:$AK$98,K$1,工数管理!$M$3:$M$98,"&lt;="&amp;$H195,工数管理!$N$3:$N$98,"&gt;="&amp;$H195)+COUNTIFS(工数管理!$AK$3:$AK$98,K$1,工数管理!$O$3:$O$98,"&lt;="&amp;$H195,工数管理!$P$3:$P$98,"&gt;="&amp;$H195)+COUNTIFS(工数管理!$AK$3:$AK$98,K$1,工数管理!$Q$3:$Q$98,"&lt;="&amp;$H195,工数管理!$R$3:$R$98,"&gt;="&amp;$H195)+COUNTIFS(工数管理!$AK$3:$AK$98,K$1,工数管理!$S$3:$S$98,"&lt;="&amp;$H195,工数管理!$T$3:$T$98,"&gt;="&amp;$H195)+COUNTIFS(工数管理!$AK$3:$AK$98,K$1,工数管理!$U$3:$U$98,"&lt;="&amp;$H195,工数管理!$V$3:$V$98,"&gt;="&amp;$H195)+COUNTIFS(工数管理!$AK$3:$AK$98,K$1,工数管理!$W$3:$W$98,"&lt;="&amp;$H195,工数管理!$X$3:$X$98,"&gt;="&amp;$H195)+COUNTIFS(工数管理!$AK$3:$AK$98,K$1,工数管理!$Y$3:$Y$98,"&lt;="&amp;$H195,工数管理!$Z$3:$Z$98,"&gt;="&amp;$H195)+COUNTIFS(工数管理!$AK$3:$AK$98,K$1,工数管理!$AA$3:$AA$98,"&lt;="&amp;$H195,工数管理!$AB$3:$AB$98,"&gt;="&amp;$H195)+COUNTIFS(工数管理!$AK$3:$AK$98,K$1,工数管理!$AC$3:$AC$98,"&lt;="&amp;$H195,工数管理!$AD$3:$AD$98,"&gt;="&amp;$H195)+COUNTIFS(工数管理!$AK$3:$AK$98,K$1,工数管理!$AE$3:$AE$98,"&lt;="&amp;$H195,工数管理!$AF$3:$AF$98,"&gt;="&amp;$H195)+COUNTIFS(工数管理!$AK$3:$AK$98,K$1,工数管理!$AG$3:$AG$98,"&lt;="&amp;$H195,工数管理!$AH$3:$AH$98,"&gt;="&amp;$H195)+(COUNTIFS(工数管理!$AK$3:$AK$98,K$1,工数管理!$K$3:$K$98,"&lt;="&amp;$H195,工数管理!$L$3:$L$98,"")+COUNTIFS(工数管理!$AK$3:$AK$98,K$1,工数管理!$M$3:$M$98,"&lt;="&amp;$H195,工数管理!$N$3:$N$98,"")+COUNTIFS(工数管理!$AK$3:$AK$98,K$1,工数管理!$O$3:$O$98,"&lt;="&amp;$H195,工数管理!$P$3:$P$98,"")+COUNTIFS(工数管理!$AK$3:$AK$98,K$1,工数管理!$Q$3:$Q$98,"&lt;="&amp;$H195,工数管理!$R$3:$R$98,"")+COUNTIFS(工数管理!$AK$3:$AK$98,K$1,工数管理!$S$3:$S$98,"&lt;="&amp;$H195,工数管理!$T$3:$T$98,"")+COUNTIFS(工数管理!$AK$3:$AK$98,K$1,工数管理!$U$3:$U$98,"&lt;="&amp;$H195,工数管理!$V$3:$V$98,"")+COUNTIFS(工数管理!$AK$3:$AK$98,K$1,工数管理!$W$3:$W$98,"&lt;="&amp;$H195,工数管理!$X$3:$X$98,"")+COUNTIFS(工数管理!$AK$3:$AK$98,K$1,工数管理!$Y$3:$Y$98,"&lt;="&amp;$H195,工数管理!$Z$3:$Z$98,"")+COUNTIFS(工数管理!$AK$3:$AK$98,K$1,工数管理!$AA$3:$AA$98,"&lt;="&amp;$H195,工数管理!$AB$3:$AB$98,"")+COUNTIFS(工数管理!$AK$3:$AK$98,K$1,工数管理!$AC$3:$AC$98,"&lt;="&amp;$H195,工数管理!$AD$3:$AD$98,"")+COUNTIFS(工数管理!$AK$3:$AK$98,K$1,工数管理!$AE$3:$AE$98,"&lt;="&amp;$H195,工数管理!$AF$3:$AF$98,"")+COUNTIFS(工数管理!$AK$3:$AK$98,K$1,工数管理!$AG$3:$AG$98,"&lt;="&amp;$H195,工数管理!$AH$3:$AH$98,""))*($H195&lt;=工数管理!$AI$1))</f>
        <v>0</v>
      </c>
      <c r="L195" s="42">
        <f ca="1">IF(L$1="",0,COUNTIFS(工数管理!$AK$3:$AK$98,L$1,工数管理!$K$3:$K$98,"&lt;="&amp;$H195,工数管理!$L$3:$L$98,"&gt;="&amp;$H195)+COUNTIFS(工数管理!$AK$3:$AK$98,L$1,工数管理!$M$3:$M$98,"&lt;="&amp;$H195,工数管理!$N$3:$N$98,"&gt;="&amp;$H195)+COUNTIFS(工数管理!$AK$3:$AK$98,L$1,工数管理!$O$3:$O$98,"&lt;="&amp;$H195,工数管理!$P$3:$P$98,"&gt;="&amp;$H195)+COUNTIFS(工数管理!$AK$3:$AK$98,L$1,工数管理!$Q$3:$Q$98,"&lt;="&amp;$H195,工数管理!$R$3:$R$98,"&gt;="&amp;$H195)+COUNTIFS(工数管理!$AK$3:$AK$98,L$1,工数管理!$S$3:$S$98,"&lt;="&amp;$H195,工数管理!$T$3:$T$98,"&gt;="&amp;$H195)+COUNTIFS(工数管理!$AK$3:$AK$98,L$1,工数管理!$U$3:$U$98,"&lt;="&amp;$H195,工数管理!$V$3:$V$98,"&gt;="&amp;$H195)+COUNTIFS(工数管理!$AK$3:$AK$98,L$1,工数管理!$W$3:$W$98,"&lt;="&amp;$H195,工数管理!$X$3:$X$98,"&gt;="&amp;$H195)+COUNTIFS(工数管理!$AK$3:$AK$98,L$1,工数管理!$Y$3:$Y$98,"&lt;="&amp;$H195,工数管理!$Z$3:$Z$98,"&gt;="&amp;$H195)+COUNTIFS(工数管理!$AK$3:$AK$98,L$1,工数管理!$AA$3:$AA$98,"&lt;="&amp;$H195,工数管理!$AB$3:$AB$98,"&gt;="&amp;$H195)+COUNTIFS(工数管理!$AK$3:$AK$98,L$1,工数管理!$AC$3:$AC$98,"&lt;="&amp;$H195,工数管理!$AD$3:$AD$98,"&gt;="&amp;$H195)+COUNTIFS(工数管理!$AK$3:$AK$98,L$1,工数管理!$AE$3:$AE$98,"&lt;="&amp;$H195,工数管理!$AF$3:$AF$98,"&gt;="&amp;$H195)+COUNTIFS(工数管理!$AK$3:$AK$98,L$1,工数管理!$AG$3:$AG$98,"&lt;="&amp;$H195,工数管理!$AH$3:$AH$98,"&gt;="&amp;$H195)+(COUNTIFS(工数管理!$AK$3:$AK$98,L$1,工数管理!$K$3:$K$98,"&lt;="&amp;$H195,工数管理!$L$3:$L$98,"")+COUNTIFS(工数管理!$AK$3:$AK$98,L$1,工数管理!$M$3:$M$98,"&lt;="&amp;$H195,工数管理!$N$3:$N$98,"")+COUNTIFS(工数管理!$AK$3:$AK$98,L$1,工数管理!$O$3:$O$98,"&lt;="&amp;$H195,工数管理!$P$3:$P$98,"")+COUNTIFS(工数管理!$AK$3:$AK$98,L$1,工数管理!$Q$3:$Q$98,"&lt;="&amp;$H195,工数管理!$R$3:$R$98,"")+COUNTIFS(工数管理!$AK$3:$AK$98,L$1,工数管理!$S$3:$S$98,"&lt;="&amp;$H195,工数管理!$T$3:$T$98,"")+COUNTIFS(工数管理!$AK$3:$AK$98,L$1,工数管理!$U$3:$U$98,"&lt;="&amp;$H195,工数管理!$V$3:$V$98,"")+COUNTIFS(工数管理!$AK$3:$AK$98,L$1,工数管理!$W$3:$W$98,"&lt;="&amp;$H195,工数管理!$X$3:$X$98,"")+COUNTIFS(工数管理!$AK$3:$AK$98,L$1,工数管理!$Y$3:$Y$98,"&lt;="&amp;$H195,工数管理!$Z$3:$Z$98,"")+COUNTIFS(工数管理!$AK$3:$AK$98,L$1,工数管理!$AA$3:$AA$98,"&lt;="&amp;$H195,工数管理!$AB$3:$AB$98,"")+COUNTIFS(工数管理!$AK$3:$AK$98,L$1,工数管理!$AC$3:$AC$98,"&lt;="&amp;$H195,工数管理!$AD$3:$AD$98,"")+COUNTIFS(工数管理!$AK$3:$AK$98,L$1,工数管理!$AE$3:$AE$98,"&lt;="&amp;$H195,工数管理!$AF$3:$AF$98,"")+COUNTIFS(工数管理!$AK$3:$AK$98,L$1,工数管理!$AG$3:$AG$98,"&lt;="&amp;$H195,工数管理!$AH$3:$AH$98,""))*($H195&lt;=工数管理!$AI$1))</f>
        <v>0</v>
      </c>
    </row>
    <row r="196" spans="1:12" x14ac:dyDescent="0.15">
      <c r="A196" s="5"/>
      <c r="B196" s="6"/>
      <c r="H196" s="41">
        <f t="shared" si="5"/>
        <v>46364</v>
      </c>
      <c r="I196" s="42">
        <f t="shared" si="4"/>
        <v>1</v>
      </c>
      <c r="J196" s="42">
        <f ca="1">IF(J$1="",0,COUNTIFS(工数管理!$AK$3:$AK$98,J$1,工数管理!$K$3:$K$98,"&lt;="&amp;$H196,工数管理!$L$3:$L$98,"&gt;="&amp;$H196)+COUNTIFS(工数管理!$AK$3:$AK$98,J$1,工数管理!$M$3:$M$98,"&lt;="&amp;$H196,工数管理!$N$3:$N$98,"&gt;="&amp;$H196)+COUNTIFS(工数管理!$AK$3:$AK$98,J$1,工数管理!$O$3:$O$98,"&lt;="&amp;$H196,工数管理!$P$3:$P$98,"&gt;="&amp;$H196)+COUNTIFS(工数管理!$AK$3:$AK$98,J$1,工数管理!$Q$3:$Q$98,"&lt;="&amp;$H196,工数管理!$R$3:$R$98,"&gt;="&amp;$H196)+COUNTIFS(工数管理!$AK$3:$AK$98,J$1,工数管理!$S$3:$S$98,"&lt;="&amp;$H196,工数管理!$T$3:$T$98,"&gt;="&amp;$H196)+COUNTIFS(工数管理!$AK$3:$AK$98,J$1,工数管理!$U$3:$U$98,"&lt;="&amp;$H196,工数管理!$V$3:$V$98,"&gt;="&amp;$H196)+COUNTIFS(工数管理!$AK$3:$AK$98,J$1,工数管理!$W$3:$W$98,"&lt;="&amp;$H196,工数管理!$X$3:$X$98,"&gt;="&amp;$H196)+COUNTIFS(工数管理!$AK$3:$AK$98,J$1,工数管理!$Y$3:$Y$98,"&lt;="&amp;$H196,工数管理!$Z$3:$Z$98,"&gt;="&amp;$H196)+COUNTIFS(工数管理!$AK$3:$AK$98,J$1,工数管理!$AA$3:$AA$98,"&lt;="&amp;$H196,工数管理!$AB$3:$AB$98,"&gt;="&amp;$H196)+COUNTIFS(工数管理!$AK$3:$AK$98,J$1,工数管理!$AC$3:$AC$98,"&lt;="&amp;$H196,工数管理!$AD$3:$AD$98,"&gt;="&amp;$H196)+COUNTIFS(工数管理!$AK$3:$AK$98,J$1,工数管理!$AE$3:$AE$98,"&lt;="&amp;$H196,工数管理!$AF$3:$AF$98,"&gt;="&amp;$H196)+COUNTIFS(工数管理!$AK$3:$AK$98,J$1,工数管理!$AG$3:$AG$98,"&lt;="&amp;$H196,工数管理!$AH$3:$AH$98,"&gt;="&amp;$H196)+(COUNTIFS(工数管理!$AK$3:$AK$98,J$1,工数管理!$K$3:$K$98,"&lt;="&amp;$H196,工数管理!$L$3:$L$98,"")+COUNTIFS(工数管理!$AK$3:$AK$98,J$1,工数管理!$M$3:$M$98,"&lt;="&amp;$H196,工数管理!$N$3:$N$98,"")+COUNTIFS(工数管理!$AK$3:$AK$98,J$1,工数管理!$O$3:$O$98,"&lt;="&amp;$H196,工数管理!$P$3:$P$98,"")+COUNTIFS(工数管理!$AK$3:$AK$98,J$1,工数管理!$Q$3:$Q$98,"&lt;="&amp;$H196,工数管理!$R$3:$R$98,"")+COUNTIFS(工数管理!$AK$3:$AK$98,J$1,工数管理!$S$3:$S$98,"&lt;="&amp;$H196,工数管理!$T$3:$T$98,"")+COUNTIFS(工数管理!$AK$3:$AK$98,J$1,工数管理!$U$3:$U$98,"&lt;="&amp;$H196,工数管理!$V$3:$V$98,"")+COUNTIFS(工数管理!$AK$3:$AK$98,J$1,工数管理!$W$3:$W$98,"&lt;="&amp;$H196,工数管理!$X$3:$X$98,"")+COUNTIFS(工数管理!$AK$3:$AK$98,J$1,工数管理!$Y$3:$Y$98,"&lt;="&amp;$H196,工数管理!$Z$3:$Z$98,"")+COUNTIFS(工数管理!$AK$3:$AK$98,J$1,工数管理!$AA$3:$AA$98,"&lt;="&amp;$H196,工数管理!$AB$3:$AB$98,"")+COUNTIFS(工数管理!$AK$3:$AK$98,J$1,工数管理!$AC$3:$AC$98,"&lt;="&amp;$H196,工数管理!$AD$3:$AD$98,"")+COUNTIFS(工数管理!$AK$3:$AK$98,J$1,工数管理!$AE$3:$AE$98,"&lt;="&amp;$H196,工数管理!$AF$3:$AF$98,"")+COUNTIFS(工数管理!$AK$3:$AK$98,J$1,工数管理!$AG$3:$AG$98,"&lt;="&amp;$H196,工数管理!$AH$3:$AH$98,""))*($H196&lt;=工数管理!$AI$1))</f>
        <v>0</v>
      </c>
      <c r="K196" s="42">
        <f ca="1">IF(K$1="",0,COUNTIFS(工数管理!$AK$3:$AK$98,K$1,工数管理!$K$3:$K$98,"&lt;="&amp;$H196,工数管理!$L$3:$L$98,"&gt;="&amp;$H196)+COUNTIFS(工数管理!$AK$3:$AK$98,K$1,工数管理!$M$3:$M$98,"&lt;="&amp;$H196,工数管理!$N$3:$N$98,"&gt;="&amp;$H196)+COUNTIFS(工数管理!$AK$3:$AK$98,K$1,工数管理!$O$3:$O$98,"&lt;="&amp;$H196,工数管理!$P$3:$P$98,"&gt;="&amp;$H196)+COUNTIFS(工数管理!$AK$3:$AK$98,K$1,工数管理!$Q$3:$Q$98,"&lt;="&amp;$H196,工数管理!$R$3:$R$98,"&gt;="&amp;$H196)+COUNTIFS(工数管理!$AK$3:$AK$98,K$1,工数管理!$S$3:$S$98,"&lt;="&amp;$H196,工数管理!$T$3:$T$98,"&gt;="&amp;$H196)+COUNTIFS(工数管理!$AK$3:$AK$98,K$1,工数管理!$U$3:$U$98,"&lt;="&amp;$H196,工数管理!$V$3:$V$98,"&gt;="&amp;$H196)+COUNTIFS(工数管理!$AK$3:$AK$98,K$1,工数管理!$W$3:$W$98,"&lt;="&amp;$H196,工数管理!$X$3:$X$98,"&gt;="&amp;$H196)+COUNTIFS(工数管理!$AK$3:$AK$98,K$1,工数管理!$Y$3:$Y$98,"&lt;="&amp;$H196,工数管理!$Z$3:$Z$98,"&gt;="&amp;$H196)+COUNTIFS(工数管理!$AK$3:$AK$98,K$1,工数管理!$AA$3:$AA$98,"&lt;="&amp;$H196,工数管理!$AB$3:$AB$98,"&gt;="&amp;$H196)+COUNTIFS(工数管理!$AK$3:$AK$98,K$1,工数管理!$AC$3:$AC$98,"&lt;="&amp;$H196,工数管理!$AD$3:$AD$98,"&gt;="&amp;$H196)+COUNTIFS(工数管理!$AK$3:$AK$98,K$1,工数管理!$AE$3:$AE$98,"&lt;="&amp;$H196,工数管理!$AF$3:$AF$98,"&gt;="&amp;$H196)+COUNTIFS(工数管理!$AK$3:$AK$98,K$1,工数管理!$AG$3:$AG$98,"&lt;="&amp;$H196,工数管理!$AH$3:$AH$98,"&gt;="&amp;$H196)+(COUNTIFS(工数管理!$AK$3:$AK$98,K$1,工数管理!$K$3:$K$98,"&lt;="&amp;$H196,工数管理!$L$3:$L$98,"")+COUNTIFS(工数管理!$AK$3:$AK$98,K$1,工数管理!$M$3:$M$98,"&lt;="&amp;$H196,工数管理!$N$3:$N$98,"")+COUNTIFS(工数管理!$AK$3:$AK$98,K$1,工数管理!$O$3:$O$98,"&lt;="&amp;$H196,工数管理!$P$3:$P$98,"")+COUNTIFS(工数管理!$AK$3:$AK$98,K$1,工数管理!$Q$3:$Q$98,"&lt;="&amp;$H196,工数管理!$R$3:$R$98,"")+COUNTIFS(工数管理!$AK$3:$AK$98,K$1,工数管理!$S$3:$S$98,"&lt;="&amp;$H196,工数管理!$T$3:$T$98,"")+COUNTIFS(工数管理!$AK$3:$AK$98,K$1,工数管理!$U$3:$U$98,"&lt;="&amp;$H196,工数管理!$V$3:$V$98,"")+COUNTIFS(工数管理!$AK$3:$AK$98,K$1,工数管理!$W$3:$W$98,"&lt;="&amp;$H196,工数管理!$X$3:$X$98,"")+COUNTIFS(工数管理!$AK$3:$AK$98,K$1,工数管理!$Y$3:$Y$98,"&lt;="&amp;$H196,工数管理!$Z$3:$Z$98,"")+COUNTIFS(工数管理!$AK$3:$AK$98,K$1,工数管理!$AA$3:$AA$98,"&lt;="&amp;$H196,工数管理!$AB$3:$AB$98,"")+COUNTIFS(工数管理!$AK$3:$AK$98,K$1,工数管理!$AC$3:$AC$98,"&lt;="&amp;$H196,工数管理!$AD$3:$AD$98,"")+COUNTIFS(工数管理!$AK$3:$AK$98,K$1,工数管理!$AE$3:$AE$98,"&lt;="&amp;$H196,工数管理!$AF$3:$AF$98,"")+COUNTIFS(工数管理!$AK$3:$AK$98,K$1,工数管理!$AG$3:$AG$98,"&lt;="&amp;$H196,工数管理!$AH$3:$AH$98,""))*($H196&lt;=工数管理!$AI$1))</f>
        <v>0</v>
      </c>
      <c r="L196" s="42">
        <f ca="1">IF(L$1="",0,COUNTIFS(工数管理!$AK$3:$AK$98,L$1,工数管理!$K$3:$K$98,"&lt;="&amp;$H196,工数管理!$L$3:$L$98,"&gt;="&amp;$H196)+COUNTIFS(工数管理!$AK$3:$AK$98,L$1,工数管理!$M$3:$M$98,"&lt;="&amp;$H196,工数管理!$N$3:$N$98,"&gt;="&amp;$H196)+COUNTIFS(工数管理!$AK$3:$AK$98,L$1,工数管理!$O$3:$O$98,"&lt;="&amp;$H196,工数管理!$P$3:$P$98,"&gt;="&amp;$H196)+COUNTIFS(工数管理!$AK$3:$AK$98,L$1,工数管理!$Q$3:$Q$98,"&lt;="&amp;$H196,工数管理!$R$3:$R$98,"&gt;="&amp;$H196)+COUNTIFS(工数管理!$AK$3:$AK$98,L$1,工数管理!$S$3:$S$98,"&lt;="&amp;$H196,工数管理!$T$3:$T$98,"&gt;="&amp;$H196)+COUNTIFS(工数管理!$AK$3:$AK$98,L$1,工数管理!$U$3:$U$98,"&lt;="&amp;$H196,工数管理!$V$3:$V$98,"&gt;="&amp;$H196)+COUNTIFS(工数管理!$AK$3:$AK$98,L$1,工数管理!$W$3:$W$98,"&lt;="&amp;$H196,工数管理!$X$3:$X$98,"&gt;="&amp;$H196)+COUNTIFS(工数管理!$AK$3:$AK$98,L$1,工数管理!$Y$3:$Y$98,"&lt;="&amp;$H196,工数管理!$Z$3:$Z$98,"&gt;="&amp;$H196)+COUNTIFS(工数管理!$AK$3:$AK$98,L$1,工数管理!$AA$3:$AA$98,"&lt;="&amp;$H196,工数管理!$AB$3:$AB$98,"&gt;="&amp;$H196)+COUNTIFS(工数管理!$AK$3:$AK$98,L$1,工数管理!$AC$3:$AC$98,"&lt;="&amp;$H196,工数管理!$AD$3:$AD$98,"&gt;="&amp;$H196)+COUNTIFS(工数管理!$AK$3:$AK$98,L$1,工数管理!$AE$3:$AE$98,"&lt;="&amp;$H196,工数管理!$AF$3:$AF$98,"&gt;="&amp;$H196)+COUNTIFS(工数管理!$AK$3:$AK$98,L$1,工数管理!$AG$3:$AG$98,"&lt;="&amp;$H196,工数管理!$AH$3:$AH$98,"&gt;="&amp;$H196)+(COUNTIFS(工数管理!$AK$3:$AK$98,L$1,工数管理!$K$3:$K$98,"&lt;="&amp;$H196,工数管理!$L$3:$L$98,"")+COUNTIFS(工数管理!$AK$3:$AK$98,L$1,工数管理!$M$3:$M$98,"&lt;="&amp;$H196,工数管理!$N$3:$N$98,"")+COUNTIFS(工数管理!$AK$3:$AK$98,L$1,工数管理!$O$3:$O$98,"&lt;="&amp;$H196,工数管理!$P$3:$P$98,"")+COUNTIFS(工数管理!$AK$3:$AK$98,L$1,工数管理!$Q$3:$Q$98,"&lt;="&amp;$H196,工数管理!$R$3:$R$98,"")+COUNTIFS(工数管理!$AK$3:$AK$98,L$1,工数管理!$S$3:$S$98,"&lt;="&amp;$H196,工数管理!$T$3:$T$98,"")+COUNTIFS(工数管理!$AK$3:$AK$98,L$1,工数管理!$U$3:$U$98,"&lt;="&amp;$H196,工数管理!$V$3:$V$98,"")+COUNTIFS(工数管理!$AK$3:$AK$98,L$1,工数管理!$W$3:$W$98,"&lt;="&amp;$H196,工数管理!$X$3:$X$98,"")+COUNTIFS(工数管理!$AK$3:$AK$98,L$1,工数管理!$Y$3:$Y$98,"&lt;="&amp;$H196,工数管理!$Z$3:$Z$98,"")+COUNTIFS(工数管理!$AK$3:$AK$98,L$1,工数管理!$AA$3:$AA$98,"&lt;="&amp;$H196,工数管理!$AB$3:$AB$98,"")+COUNTIFS(工数管理!$AK$3:$AK$98,L$1,工数管理!$AC$3:$AC$98,"&lt;="&amp;$H196,工数管理!$AD$3:$AD$98,"")+COUNTIFS(工数管理!$AK$3:$AK$98,L$1,工数管理!$AE$3:$AE$98,"&lt;="&amp;$H196,工数管理!$AF$3:$AF$98,"")+COUNTIFS(工数管理!$AK$3:$AK$98,L$1,工数管理!$AG$3:$AG$98,"&lt;="&amp;$H196,工数管理!$AH$3:$AH$98,""))*($H196&lt;=工数管理!$AI$1))</f>
        <v>0</v>
      </c>
    </row>
    <row r="197" spans="1:12" x14ac:dyDescent="0.15">
      <c r="A197" s="5"/>
      <c r="B197" s="6"/>
      <c r="H197" s="41">
        <f t="shared" si="5"/>
        <v>46365</v>
      </c>
      <c r="I197" s="42">
        <f t="shared" si="4"/>
        <v>1</v>
      </c>
      <c r="J197" s="42">
        <f ca="1">IF(J$1="",0,COUNTIFS(工数管理!$AK$3:$AK$98,J$1,工数管理!$K$3:$K$98,"&lt;="&amp;$H197,工数管理!$L$3:$L$98,"&gt;="&amp;$H197)+COUNTIFS(工数管理!$AK$3:$AK$98,J$1,工数管理!$M$3:$M$98,"&lt;="&amp;$H197,工数管理!$N$3:$N$98,"&gt;="&amp;$H197)+COUNTIFS(工数管理!$AK$3:$AK$98,J$1,工数管理!$O$3:$O$98,"&lt;="&amp;$H197,工数管理!$P$3:$P$98,"&gt;="&amp;$H197)+COUNTIFS(工数管理!$AK$3:$AK$98,J$1,工数管理!$Q$3:$Q$98,"&lt;="&amp;$H197,工数管理!$R$3:$R$98,"&gt;="&amp;$H197)+COUNTIFS(工数管理!$AK$3:$AK$98,J$1,工数管理!$S$3:$S$98,"&lt;="&amp;$H197,工数管理!$T$3:$T$98,"&gt;="&amp;$H197)+COUNTIFS(工数管理!$AK$3:$AK$98,J$1,工数管理!$U$3:$U$98,"&lt;="&amp;$H197,工数管理!$V$3:$V$98,"&gt;="&amp;$H197)+COUNTIFS(工数管理!$AK$3:$AK$98,J$1,工数管理!$W$3:$W$98,"&lt;="&amp;$H197,工数管理!$X$3:$X$98,"&gt;="&amp;$H197)+COUNTIFS(工数管理!$AK$3:$AK$98,J$1,工数管理!$Y$3:$Y$98,"&lt;="&amp;$H197,工数管理!$Z$3:$Z$98,"&gt;="&amp;$H197)+COUNTIFS(工数管理!$AK$3:$AK$98,J$1,工数管理!$AA$3:$AA$98,"&lt;="&amp;$H197,工数管理!$AB$3:$AB$98,"&gt;="&amp;$H197)+COUNTIFS(工数管理!$AK$3:$AK$98,J$1,工数管理!$AC$3:$AC$98,"&lt;="&amp;$H197,工数管理!$AD$3:$AD$98,"&gt;="&amp;$H197)+COUNTIFS(工数管理!$AK$3:$AK$98,J$1,工数管理!$AE$3:$AE$98,"&lt;="&amp;$H197,工数管理!$AF$3:$AF$98,"&gt;="&amp;$H197)+COUNTIFS(工数管理!$AK$3:$AK$98,J$1,工数管理!$AG$3:$AG$98,"&lt;="&amp;$H197,工数管理!$AH$3:$AH$98,"&gt;="&amp;$H197)+(COUNTIFS(工数管理!$AK$3:$AK$98,J$1,工数管理!$K$3:$K$98,"&lt;="&amp;$H197,工数管理!$L$3:$L$98,"")+COUNTIFS(工数管理!$AK$3:$AK$98,J$1,工数管理!$M$3:$M$98,"&lt;="&amp;$H197,工数管理!$N$3:$N$98,"")+COUNTIFS(工数管理!$AK$3:$AK$98,J$1,工数管理!$O$3:$O$98,"&lt;="&amp;$H197,工数管理!$P$3:$P$98,"")+COUNTIFS(工数管理!$AK$3:$AK$98,J$1,工数管理!$Q$3:$Q$98,"&lt;="&amp;$H197,工数管理!$R$3:$R$98,"")+COUNTIFS(工数管理!$AK$3:$AK$98,J$1,工数管理!$S$3:$S$98,"&lt;="&amp;$H197,工数管理!$T$3:$T$98,"")+COUNTIFS(工数管理!$AK$3:$AK$98,J$1,工数管理!$U$3:$U$98,"&lt;="&amp;$H197,工数管理!$V$3:$V$98,"")+COUNTIFS(工数管理!$AK$3:$AK$98,J$1,工数管理!$W$3:$W$98,"&lt;="&amp;$H197,工数管理!$X$3:$X$98,"")+COUNTIFS(工数管理!$AK$3:$AK$98,J$1,工数管理!$Y$3:$Y$98,"&lt;="&amp;$H197,工数管理!$Z$3:$Z$98,"")+COUNTIFS(工数管理!$AK$3:$AK$98,J$1,工数管理!$AA$3:$AA$98,"&lt;="&amp;$H197,工数管理!$AB$3:$AB$98,"")+COUNTIFS(工数管理!$AK$3:$AK$98,J$1,工数管理!$AC$3:$AC$98,"&lt;="&amp;$H197,工数管理!$AD$3:$AD$98,"")+COUNTIFS(工数管理!$AK$3:$AK$98,J$1,工数管理!$AE$3:$AE$98,"&lt;="&amp;$H197,工数管理!$AF$3:$AF$98,"")+COUNTIFS(工数管理!$AK$3:$AK$98,J$1,工数管理!$AG$3:$AG$98,"&lt;="&amp;$H197,工数管理!$AH$3:$AH$98,""))*($H197&lt;=工数管理!$AI$1))</f>
        <v>0</v>
      </c>
      <c r="K197" s="42">
        <f ca="1">IF(K$1="",0,COUNTIFS(工数管理!$AK$3:$AK$98,K$1,工数管理!$K$3:$K$98,"&lt;="&amp;$H197,工数管理!$L$3:$L$98,"&gt;="&amp;$H197)+COUNTIFS(工数管理!$AK$3:$AK$98,K$1,工数管理!$M$3:$M$98,"&lt;="&amp;$H197,工数管理!$N$3:$N$98,"&gt;="&amp;$H197)+COUNTIFS(工数管理!$AK$3:$AK$98,K$1,工数管理!$O$3:$O$98,"&lt;="&amp;$H197,工数管理!$P$3:$P$98,"&gt;="&amp;$H197)+COUNTIFS(工数管理!$AK$3:$AK$98,K$1,工数管理!$Q$3:$Q$98,"&lt;="&amp;$H197,工数管理!$R$3:$R$98,"&gt;="&amp;$H197)+COUNTIFS(工数管理!$AK$3:$AK$98,K$1,工数管理!$S$3:$S$98,"&lt;="&amp;$H197,工数管理!$T$3:$T$98,"&gt;="&amp;$H197)+COUNTIFS(工数管理!$AK$3:$AK$98,K$1,工数管理!$U$3:$U$98,"&lt;="&amp;$H197,工数管理!$V$3:$V$98,"&gt;="&amp;$H197)+COUNTIFS(工数管理!$AK$3:$AK$98,K$1,工数管理!$W$3:$W$98,"&lt;="&amp;$H197,工数管理!$X$3:$X$98,"&gt;="&amp;$H197)+COUNTIFS(工数管理!$AK$3:$AK$98,K$1,工数管理!$Y$3:$Y$98,"&lt;="&amp;$H197,工数管理!$Z$3:$Z$98,"&gt;="&amp;$H197)+COUNTIFS(工数管理!$AK$3:$AK$98,K$1,工数管理!$AA$3:$AA$98,"&lt;="&amp;$H197,工数管理!$AB$3:$AB$98,"&gt;="&amp;$H197)+COUNTIFS(工数管理!$AK$3:$AK$98,K$1,工数管理!$AC$3:$AC$98,"&lt;="&amp;$H197,工数管理!$AD$3:$AD$98,"&gt;="&amp;$H197)+COUNTIFS(工数管理!$AK$3:$AK$98,K$1,工数管理!$AE$3:$AE$98,"&lt;="&amp;$H197,工数管理!$AF$3:$AF$98,"&gt;="&amp;$H197)+COUNTIFS(工数管理!$AK$3:$AK$98,K$1,工数管理!$AG$3:$AG$98,"&lt;="&amp;$H197,工数管理!$AH$3:$AH$98,"&gt;="&amp;$H197)+(COUNTIFS(工数管理!$AK$3:$AK$98,K$1,工数管理!$K$3:$K$98,"&lt;="&amp;$H197,工数管理!$L$3:$L$98,"")+COUNTIFS(工数管理!$AK$3:$AK$98,K$1,工数管理!$M$3:$M$98,"&lt;="&amp;$H197,工数管理!$N$3:$N$98,"")+COUNTIFS(工数管理!$AK$3:$AK$98,K$1,工数管理!$O$3:$O$98,"&lt;="&amp;$H197,工数管理!$P$3:$P$98,"")+COUNTIFS(工数管理!$AK$3:$AK$98,K$1,工数管理!$Q$3:$Q$98,"&lt;="&amp;$H197,工数管理!$R$3:$R$98,"")+COUNTIFS(工数管理!$AK$3:$AK$98,K$1,工数管理!$S$3:$S$98,"&lt;="&amp;$H197,工数管理!$T$3:$T$98,"")+COUNTIFS(工数管理!$AK$3:$AK$98,K$1,工数管理!$U$3:$U$98,"&lt;="&amp;$H197,工数管理!$V$3:$V$98,"")+COUNTIFS(工数管理!$AK$3:$AK$98,K$1,工数管理!$W$3:$W$98,"&lt;="&amp;$H197,工数管理!$X$3:$X$98,"")+COUNTIFS(工数管理!$AK$3:$AK$98,K$1,工数管理!$Y$3:$Y$98,"&lt;="&amp;$H197,工数管理!$Z$3:$Z$98,"")+COUNTIFS(工数管理!$AK$3:$AK$98,K$1,工数管理!$AA$3:$AA$98,"&lt;="&amp;$H197,工数管理!$AB$3:$AB$98,"")+COUNTIFS(工数管理!$AK$3:$AK$98,K$1,工数管理!$AC$3:$AC$98,"&lt;="&amp;$H197,工数管理!$AD$3:$AD$98,"")+COUNTIFS(工数管理!$AK$3:$AK$98,K$1,工数管理!$AE$3:$AE$98,"&lt;="&amp;$H197,工数管理!$AF$3:$AF$98,"")+COUNTIFS(工数管理!$AK$3:$AK$98,K$1,工数管理!$AG$3:$AG$98,"&lt;="&amp;$H197,工数管理!$AH$3:$AH$98,""))*($H197&lt;=工数管理!$AI$1))</f>
        <v>0</v>
      </c>
      <c r="L197" s="42">
        <f ca="1">IF(L$1="",0,COUNTIFS(工数管理!$AK$3:$AK$98,L$1,工数管理!$K$3:$K$98,"&lt;="&amp;$H197,工数管理!$L$3:$L$98,"&gt;="&amp;$H197)+COUNTIFS(工数管理!$AK$3:$AK$98,L$1,工数管理!$M$3:$M$98,"&lt;="&amp;$H197,工数管理!$N$3:$N$98,"&gt;="&amp;$H197)+COUNTIFS(工数管理!$AK$3:$AK$98,L$1,工数管理!$O$3:$O$98,"&lt;="&amp;$H197,工数管理!$P$3:$P$98,"&gt;="&amp;$H197)+COUNTIFS(工数管理!$AK$3:$AK$98,L$1,工数管理!$Q$3:$Q$98,"&lt;="&amp;$H197,工数管理!$R$3:$R$98,"&gt;="&amp;$H197)+COUNTIFS(工数管理!$AK$3:$AK$98,L$1,工数管理!$S$3:$S$98,"&lt;="&amp;$H197,工数管理!$T$3:$T$98,"&gt;="&amp;$H197)+COUNTIFS(工数管理!$AK$3:$AK$98,L$1,工数管理!$U$3:$U$98,"&lt;="&amp;$H197,工数管理!$V$3:$V$98,"&gt;="&amp;$H197)+COUNTIFS(工数管理!$AK$3:$AK$98,L$1,工数管理!$W$3:$W$98,"&lt;="&amp;$H197,工数管理!$X$3:$X$98,"&gt;="&amp;$H197)+COUNTIFS(工数管理!$AK$3:$AK$98,L$1,工数管理!$Y$3:$Y$98,"&lt;="&amp;$H197,工数管理!$Z$3:$Z$98,"&gt;="&amp;$H197)+COUNTIFS(工数管理!$AK$3:$AK$98,L$1,工数管理!$AA$3:$AA$98,"&lt;="&amp;$H197,工数管理!$AB$3:$AB$98,"&gt;="&amp;$H197)+COUNTIFS(工数管理!$AK$3:$AK$98,L$1,工数管理!$AC$3:$AC$98,"&lt;="&amp;$H197,工数管理!$AD$3:$AD$98,"&gt;="&amp;$H197)+COUNTIFS(工数管理!$AK$3:$AK$98,L$1,工数管理!$AE$3:$AE$98,"&lt;="&amp;$H197,工数管理!$AF$3:$AF$98,"&gt;="&amp;$H197)+COUNTIFS(工数管理!$AK$3:$AK$98,L$1,工数管理!$AG$3:$AG$98,"&lt;="&amp;$H197,工数管理!$AH$3:$AH$98,"&gt;="&amp;$H197)+(COUNTIFS(工数管理!$AK$3:$AK$98,L$1,工数管理!$K$3:$K$98,"&lt;="&amp;$H197,工数管理!$L$3:$L$98,"")+COUNTIFS(工数管理!$AK$3:$AK$98,L$1,工数管理!$M$3:$M$98,"&lt;="&amp;$H197,工数管理!$N$3:$N$98,"")+COUNTIFS(工数管理!$AK$3:$AK$98,L$1,工数管理!$O$3:$O$98,"&lt;="&amp;$H197,工数管理!$P$3:$P$98,"")+COUNTIFS(工数管理!$AK$3:$AK$98,L$1,工数管理!$Q$3:$Q$98,"&lt;="&amp;$H197,工数管理!$R$3:$R$98,"")+COUNTIFS(工数管理!$AK$3:$AK$98,L$1,工数管理!$S$3:$S$98,"&lt;="&amp;$H197,工数管理!$T$3:$T$98,"")+COUNTIFS(工数管理!$AK$3:$AK$98,L$1,工数管理!$U$3:$U$98,"&lt;="&amp;$H197,工数管理!$V$3:$V$98,"")+COUNTIFS(工数管理!$AK$3:$AK$98,L$1,工数管理!$W$3:$W$98,"&lt;="&amp;$H197,工数管理!$X$3:$X$98,"")+COUNTIFS(工数管理!$AK$3:$AK$98,L$1,工数管理!$Y$3:$Y$98,"&lt;="&amp;$H197,工数管理!$Z$3:$Z$98,"")+COUNTIFS(工数管理!$AK$3:$AK$98,L$1,工数管理!$AA$3:$AA$98,"&lt;="&amp;$H197,工数管理!$AB$3:$AB$98,"")+COUNTIFS(工数管理!$AK$3:$AK$98,L$1,工数管理!$AC$3:$AC$98,"&lt;="&amp;$H197,工数管理!$AD$3:$AD$98,"")+COUNTIFS(工数管理!$AK$3:$AK$98,L$1,工数管理!$AE$3:$AE$98,"&lt;="&amp;$H197,工数管理!$AF$3:$AF$98,"")+COUNTIFS(工数管理!$AK$3:$AK$98,L$1,工数管理!$AG$3:$AG$98,"&lt;="&amp;$H197,工数管理!$AH$3:$AH$98,""))*($H197&lt;=工数管理!$AI$1))</f>
        <v>0</v>
      </c>
    </row>
    <row r="198" spans="1:12" x14ac:dyDescent="0.15">
      <c r="A198" s="5"/>
      <c r="B198" s="6"/>
      <c r="H198" s="41">
        <f t="shared" si="5"/>
        <v>46366</v>
      </c>
      <c r="I198" s="42">
        <f t="shared" ref="I198:I261" si="6">IF(NETWORKDAYS(H198,H198,$A$2:$A$200)=1,1,0)</f>
        <v>1</v>
      </c>
      <c r="J198" s="42">
        <f ca="1">IF(J$1="",0,COUNTIFS(工数管理!$AK$3:$AK$98,J$1,工数管理!$K$3:$K$98,"&lt;="&amp;$H198,工数管理!$L$3:$L$98,"&gt;="&amp;$H198)+COUNTIFS(工数管理!$AK$3:$AK$98,J$1,工数管理!$M$3:$M$98,"&lt;="&amp;$H198,工数管理!$N$3:$N$98,"&gt;="&amp;$H198)+COUNTIFS(工数管理!$AK$3:$AK$98,J$1,工数管理!$O$3:$O$98,"&lt;="&amp;$H198,工数管理!$P$3:$P$98,"&gt;="&amp;$H198)+COUNTIFS(工数管理!$AK$3:$AK$98,J$1,工数管理!$Q$3:$Q$98,"&lt;="&amp;$H198,工数管理!$R$3:$R$98,"&gt;="&amp;$H198)+COUNTIFS(工数管理!$AK$3:$AK$98,J$1,工数管理!$S$3:$S$98,"&lt;="&amp;$H198,工数管理!$T$3:$T$98,"&gt;="&amp;$H198)+COUNTIFS(工数管理!$AK$3:$AK$98,J$1,工数管理!$U$3:$U$98,"&lt;="&amp;$H198,工数管理!$V$3:$V$98,"&gt;="&amp;$H198)+COUNTIFS(工数管理!$AK$3:$AK$98,J$1,工数管理!$W$3:$W$98,"&lt;="&amp;$H198,工数管理!$X$3:$X$98,"&gt;="&amp;$H198)+COUNTIFS(工数管理!$AK$3:$AK$98,J$1,工数管理!$Y$3:$Y$98,"&lt;="&amp;$H198,工数管理!$Z$3:$Z$98,"&gt;="&amp;$H198)+COUNTIFS(工数管理!$AK$3:$AK$98,J$1,工数管理!$AA$3:$AA$98,"&lt;="&amp;$H198,工数管理!$AB$3:$AB$98,"&gt;="&amp;$H198)+COUNTIFS(工数管理!$AK$3:$AK$98,J$1,工数管理!$AC$3:$AC$98,"&lt;="&amp;$H198,工数管理!$AD$3:$AD$98,"&gt;="&amp;$H198)+COUNTIFS(工数管理!$AK$3:$AK$98,J$1,工数管理!$AE$3:$AE$98,"&lt;="&amp;$H198,工数管理!$AF$3:$AF$98,"&gt;="&amp;$H198)+COUNTIFS(工数管理!$AK$3:$AK$98,J$1,工数管理!$AG$3:$AG$98,"&lt;="&amp;$H198,工数管理!$AH$3:$AH$98,"&gt;="&amp;$H198)+(COUNTIFS(工数管理!$AK$3:$AK$98,J$1,工数管理!$K$3:$K$98,"&lt;="&amp;$H198,工数管理!$L$3:$L$98,"")+COUNTIFS(工数管理!$AK$3:$AK$98,J$1,工数管理!$M$3:$M$98,"&lt;="&amp;$H198,工数管理!$N$3:$N$98,"")+COUNTIFS(工数管理!$AK$3:$AK$98,J$1,工数管理!$O$3:$O$98,"&lt;="&amp;$H198,工数管理!$P$3:$P$98,"")+COUNTIFS(工数管理!$AK$3:$AK$98,J$1,工数管理!$Q$3:$Q$98,"&lt;="&amp;$H198,工数管理!$R$3:$R$98,"")+COUNTIFS(工数管理!$AK$3:$AK$98,J$1,工数管理!$S$3:$S$98,"&lt;="&amp;$H198,工数管理!$T$3:$T$98,"")+COUNTIFS(工数管理!$AK$3:$AK$98,J$1,工数管理!$U$3:$U$98,"&lt;="&amp;$H198,工数管理!$V$3:$V$98,"")+COUNTIFS(工数管理!$AK$3:$AK$98,J$1,工数管理!$W$3:$W$98,"&lt;="&amp;$H198,工数管理!$X$3:$X$98,"")+COUNTIFS(工数管理!$AK$3:$AK$98,J$1,工数管理!$Y$3:$Y$98,"&lt;="&amp;$H198,工数管理!$Z$3:$Z$98,"")+COUNTIFS(工数管理!$AK$3:$AK$98,J$1,工数管理!$AA$3:$AA$98,"&lt;="&amp;$H198,工数管理!$AB$3:$AB$98,"")+COUNTIFS(工数管理!$AK$3:$AK$98,J$1,工数管理!$AC$3:$AC$98,"&lt;="&amp;$H198,工数管理!$AD$3:$AD$98,"")+COUNTIFS(工数管理!$AK$3:$AK$98,J$1,工数管理!$AE$3:$AE$98,"&lt;="&amp;$H198,工数管理!$AF$3:$AF$98,"")+COUNTIFS(工数管理!$AK$3:$AK$98,J$1,工数管理!$AG$3:$AG$98,"&lt;="&amp;$H198,工数管理!$AH$3:$AH$98,""))*($H198&lt;=工数管理!$AI$1))</f>
        <v>0</v>
      </c>
      <c r="K198" s="42">
        <f ca="1">IF(K$1="",0,COUNTIFS(工数管理!$AK$3:$AK$98,K$1,工数管理!$K$3:$K$98,"&lt;="&amp;$H198,工数管理!$L$3:$L$98,"&gt;="&amp;$H198)+COUNTIFS(工数管理!$AK$3:$AK$98,K$1,工数管理!$M$3:$M$98,"&lt;="&amp;$H198,工数管理!$N$3:$N$98,"&gt;="&amp;$H198)+COUNTIFS(工数管理!$AK$3:$AK$98,K$1,工数管理!$O$3:$O$98,"&lt;="&amp;$H198,工数管理!$P$3:$P$98,"&gt;="&amp;$H198)+COUNTIFS(工数管理!$AK$3:$AK$98,K$1,工数管理!$Q$3:$Q$98,"&lt;="&amp;$H198,工数管理!$R$3:$R$98,"&gt;="&amp;$H198)+COUNTIFS(工数管理!$AK$3:$AK$98,K$1,工数管理!$S$3:$S$98,"&lt;="&amp;$H198,工数管理!$T$3:$T$98,"&gt;="&amp;$H198)+COUNTIFS(工数管理!$AK$3:$AK$98,K$1,工数管理!$U$3:$U$98,"&lt;="&amp;$H198,工数管理!$V$3:$V$98,"&gt;="&amp;$H198)+COUNTIFS(工数管理!$AK$3:$AK$98,K$1,工数管理!$W$3:$W$98,"&lt;="&amp;$H198,工数管理!$X$3:$X$98,"&gt;="&amp;$H198)+COUNTIFS(工数管理!$AK$3:$AK$98,K$1,工数管理!$Y$3:$Y$98,"&lt;="&amp;$H198,工数管理!$Z$3:$Z$98,"&gt;="&amp;$H198)+COUNTIFS(工数管理!$AK$3:$AK$98,K$1,工数管理!$AA$3:$AA$98,"&lt;="&amp;$H198,工数管理!$AB$3:$AB$98,"&gt;="&amp;$H198)+COUNTIFS(工数管理!$AK$3:$AK$98,K$1,工数管理!$AC$3:$AC$98,"&lt;="&amp;$H198,工数管理!$AD$3:$AD$98,"&gt;="&amp;$H198)+COUNTIFS(工数管理!$AK$3:$AK$98,K$1,工数管理!$AE$3:$AE$98,"&lt;="&amp;$H198,工数管理!$AF$3:$AF$98,"&gt;="&amp;$H198)+COUNTIFS(工数管理!$AK$3:$AK$98,K$1,工数管理!$AG$3:$AG$98,"&lt;="&amp;$H198,工数管理!$AH$3:$AH$98,"&gt;="&amp;$H198)+(COUNTIFS(工数管理!$AK$3:$AK$98,K$1,工数管理!$K$3:$K$98,"&lt;="&amp;$H198,工数管理!$L$3:$L$98,"")+COUNTIFS(工数管理!$AK$3:$AK$98,K$1,工数管理!$M$3:$M$98,"&lt;="&amp;$H198,工数管理!$N$3:$N$98,"")+COUNTIFS(工数管理!$AK$3:$AK$98,K$1,工数管理!$O$3:$O$98,"&lt;="&amp;$H198,工数管理!$P$3:$P$98,"")+COUNTIFS(工数管理!$AK$3:$AK$98,K$1,工数管理!$Q$3:$Q$98,"&lt;="&amp;$H198,工数管理!$R$3:$R$98,"")+COUNTIFS(工数管理!$AK$3:$AK$98,K$1,工数管理!$S$3:$S$98,"&lt;="&amp;$H198,工数管理!$T$3:$T$98,"")+COUNTIFS(工数管理!$AK$3:$AK$98,K$1,工数管理!$U$3:$U$98,"&lt;="&amp;$H198,工数管理!$V$3:$V$98,"")+COUNTIFS(工数管理!$AK$3:$AK$98,K$1,工数管理!$W$3:$W$98,"&lt;="&amp;$H198,工数管理!$X$3:$X$98,"")+COUNTIFS(工数管理!$AK$3:$AK$98,K$1,工数管理!$Y$3:$Y$98,"&lt;="&amp;$H198,工数管理!$Z$3:$Z$98,"")+COUNTIFS(工数管理!$AK$3:$AK$98,K$1,工数管理!$AA$3:$AA$98,"&lt;="&amp;$H198,工数管理!$AB$3:$AB$98,"")+COUNTIFS(工数管理!$AK$3:$AK$98,K$1,工数管理!$AC$3:$AC$98,"&lt;="&amp;$H198,工数管理!$AD$3:$AD$98,"")+COUNTIFS(工数管理!$AK$3:$AK$98,K$1,工数管理!$AE$3:$AE$98,"&lt;="&amp;$H198,工数管理!$AF$3:$AF$98,"")+COUNTIFS(工数管理!$AK$3:$AK$98,K$1,工数管理!$AG$3:$AG$98,"&lt;="&amp;$H198,工数管理!$AH$3:$AH$98,""))*($H198&lt;=工数管理!$AI$1))</f>
        <v>0</v>
      </c>
      <c r="L198" s="42">
        <f ca="1">IF(L$1="",0,COUNTIFS(工数管理!$AK$3:$AK$98,L$1,工数管理!$K$3:$K$98,"&lt;="&amp;$H198,工数管理!$L$3:$L$98,"&gt;="&amp;$H198)+COUNTIFS(工数管理!$AK$3:$AK$98,L$1,工数管理!$M$3:$M$98,"&lt;="&amp;$H198,工数管理!$N$3:$N$98,"&gt;="&amp;$H198)+COUNTIFS(工数管理!$AK$3:$AK$98,L$1,工数管理!$O$3:$O$98,"&lt;="&amp;$H198,工数管理!$P$3:$P$98,"&gt;="&amp;$H198)+COUNTIFS(工数管理!$AK$3:$AK$98,L$1,工数管理!$Q$3:$Q$98,"&lt;="&amp;$H198,工数管理!$R$3:$R$98,"&gt;="&amp;$H198)+COUNTIFS(工数管理!$AK$3:$AK$98,L$1,工数管理!$S$3:$S$98,"&lt;="&amp;$H198,工数管理!$T$3:$T$98,"&gt;="&amp;$H198)+COUNTIFS(工数管理!$AK$3:$AK$98,L$1,工数管理!$U$3:$U$98,"&lt;="&amp;$H198,工数管理!$V$3:$V$98,"&gt;="&amp;$H198)+COUNTIFS(工数管理!$AK$3:$AK$98,L$1,工数管理!$W$3:$W$98,"&lt;="&amp;$H198,工数管理!$X$3:$X$98,"&gt;="&amp;$H198)+COUNTIFS(工数管理!$AK$3:$AK$98,L$1,工数管理!$Y$3:$Y$98,"&lt;="&amp;$H198,工数管理!$Z$3:$Z$98,"&gt;="&amp;$H198)+COUNTIFS(工数管理!$AK$3:$AK$98,L$1,工数管理!$AA$3:$AA$98,"&lt;="&amp;$H198,工数管理!$AB$3:$AB$98,"&gt;="&amp;$H198)+COUNTIFS(工数管理!$AK$3:$AK$98,L$1,工数管理!$AC$3:$AC$98,"&lt;="&amp;$H198,工数管理!$AD$3:$AD$98,"&gt;="&amp;$H198)+COUNTIFS(工数管理!$AK$3:$AK$98,L$1,工数管理!$AE$3:$AE$98,"&lt;="&amp;$H198,工数管理!$AF$3:$AF$98,"&gt;="&amp;$H198)+COUNTIFS(工数管理!$AK$3:$AK$98,L$1,工数管理!$AG$3:$AG$98,"&lt;="&amp;$H198,工数管理!$AH$3:$AH$98,"&gt;="&amp;$H198)+(COUNTIFS(工数管理!$AK$3:$AK$98,L$1,工数管理!$K$3:$K$98,"&lt;="&amp;$H198,工数管理!$L$3:$L$98,"")+COUNTIFS(工数管理!$AK$3:$AK$98,L$1,工数管理!$M$3:$M$98,"&lt;="&amp;$H198,工数管理!$N$3:$N$98,"")+COUNTIFS(工数管理!$AK$3:$AK$98,L$1,工数管理!$O$3:$O$98,"&lt;="&amp;$H198,工数管理!$P$3:$P$98,"")+COUNTIFS(工数管理!$AK$3:$AK$98,L$1,工数管理!$Q$3:$Q$98,"&lt;="&amp;$H198,工数管理!$R$3:$R$98,"")+COUNTIFS(工数管理!$AK$3:$AK$98,L$1,工数管理!$S$3:$S$98,"&lt;="&amp;$H198,工数管理!$T$3:$T$98,"")+COUNTIFS(工数管理!$AK$3:$AK$98,L$1,工数管理!$U$3:$U$98,"&lt;="&amp;$H198,工数管理!$V$3:$V$98,"")+COUNTIFS(工数管理!$AK$3:$AK$98,L$1,工数管理!$W$3:$W$98,"&lt;="&amp;$H198,工数管理!$X$3:$X$98,"")+COUNTIFS(工数管理!$AK$3:$AK$98,L$1,工数管理!$Y$3:$Y$98,"&lt;="&amp;$H198,工数管理!$Z$3:$Z$98,"")+COUNTIFS(工数管理!$AK$3:$AK$98,L$1,工数管理!$AA$3:$AA$98,"&lt;="&amp;$H198,工数管理!$AB$3:$AB$98,"")+COUNTIFS(工数管理!$AK$3:$AK$98,L$1,工数管理!$AC$3:$AC$98,"&lt;="&amp;$H198,工数管理!$AD$3:$AD$98,"")+COUNTIFS(工数管理!$AK$3:$AK$98,L$1,工数管理!$AE$3:$AE$98,"&lt;="&amp;$H198,工数管理!$AF$3:$AF$98,"")+COUNTIFS(工数管理!$AK$3:$AK$98,L$1,工数管理!$AG$3:$AG$98,"&lt;="&amp;$H198,工数管理!$AH$3:$AH$98,""))*($H198&lt;=工数管理!$AI$1))</f>
        <v>0</v>
      </c>
    </row>
    <row r="199" spans="1:12" x14ac:dyDescent="0.15">
      <c r="A199" s="5"/>
      <c r="B199" s="6"/>
      <c r="H199" s="41">
        <f t="shared" ref="H199:H262" si="7">H198+1</f>
        <v>46367</v>
      </c>
      <c r="I199" s="42">
        <f t="shared" si="6"/>
        <v>1</v>
      </c>
      <c r="J199" s="42">
        <f ca="1">IF(J$1="",0,COUNTIFS(工数管理!$AK$3:$AK$98,J$1,工数管理!$K$3:$K$98,"&lt;="&amp;$H199,工数管理!$L$3:$L$98,"&gt;="&amp;$H199)+COUNTIFS(工数管理!$AK$3:$AK$98,J$1,工数管理!$M$3:$M$98,"&lt;="&amp;$H199,工数管理!$N$3:$N$98,"&gt;="&amp;$H199)+COUNTIFS(工数管理!$AK$3:$AK$98,J$1,工数管理!$O$3:$O$98,"&lt;="&amp;$H199,工数管理!$P$3:$P$98,"&gt;="&amp;$H199)+COUNTIFS(工数管理!$AK$3:$AK$98,J$1,工数管理!$Q$3:$Q$98,"&lt;="&amp;$H199,工数管理!$R$3:$R$98,"&gt;="&amp;$H199)+COUNTIFS(工数管理!$AK$3:$AK$98,J$1,工数管理!$S$3:$S$98,"&lt;="&amp;$H199,工数管理!$T$3:$T$98,"&gt;="&amp;$H199)+COUNTIFS(工数管理!$AK$3:$AK$98,J$1,工数管理!$U$3:$U$98,"&lt;="&amp;$H199,工数管理!$V$3:$V$98,"&gt;="&amp;$H199)+COUNTIFS(工数管理!$AK$3:$AK$98,J$1,工数管理!$W$3:$W$98,"&lt;="&amp;$H199,工数管理!$X$3:$X$98,"&gt;="&amp;$H199)+COUNTIFS(工数管理!$AK$3:$AK$98,J$1,工数管理!$Y$3:$Y$98,"&lt;="&amp;$H199,工数管理!$Z$3:$Z$98,"&gt;="&amp;$H199)+COUNTIFS(工数管理!$AK$3:$AK$98,J$1,工数管理!$AA$3:$AA$98,"&lt;="&amp;$H199,工数管理!$AB$3:$AB$98,"&gt;="&amp;$H199)+COUNTIFS(工数管理!$AK$3:$AK$98,J$1,工数管理!$AC$3:$AC$98,"&lt;="&amp;$H199,工数管理!$AD$3:$AD$98,"&gt;="&amp;$H199)+COUNTIFS(工数管理!$AK$3:$AK$98,J$1,工数管理!$AE$3:$AE$98,"&lt;="&amp;$H199,工数管理!$AF$3:$AF$98,"&gt;="&amp;$H199)+COUNTIFS(工数管理!$AK$3:$AK$98,J$1,工数管理!$AG$3:$AG$98,"&lt;="&amp;$H199,工数管理!$AH$3:$AH$98,"&gt;="&amp;$H199)+(COUNTIFS(工数管理!$AK$3:$AK$98,J$1,工数管理!$K$3:$K$98,"&lt;="&amp;$H199,工数管理!$L$3:$L$98,"")+COUNTIFS(工数管理!$AK$3:$AK$98,J$1,工数管理!$M$3:$M$98,"&lt;="&amp;$H199,工数管理!$N$3:$N$98,"")+COUNTIFS(工数管理!$AK$3:$AK$98,J$1,工数管理!$O$3:$O$98,"&lt;="&amp;$H199,工数管理!$P$3:$P$98,"")+COUNTIFS(工数管理!$AK$3:$AK$98,J$1,工数管理!$Q$3:$Q$98,"&lt;="&amp;$H199,工数管理!$R$3:$R$98,"")+COUNTIFS(工数管理!$AK$3:$AK$98,J$1,工数管理!$S$3:$S$98,"&lt;="&amp;$H199,工数管理!$T$3:$T$98,"")+COUNTIFS(工数管理!$AK$3:$AK$98,J$1,工数管理!$U$3:$U$98,"&lt;="&amp;$H199,工数管理!$V$3:$V$98,"")+COUNTIFS(工数管理!$AK$3:$AK$98,J$1,工数管理!$W$3:$W$98,"&lt;="&amp;$H199,工数管理!$X$3:$X$98,"")+COUNTIFS(工数管理!$AK$3:$AK$98,J$1,工数管理!$Y$3:$Y$98,"&lt;="&amp;$H199,工数管理!$Z$3:$Z$98,"")+COUNTIFS(工数管理!$AK$3:$AK$98,J$1,工数管理!$AA$3:$AA$98,"&lt;="&amp;$H199,工数管理!$AB$3:$AB$98,"")+COUNTIFS(工数管理!$AK$3:$AK$98,J$1,工数管理!$AC$3:$AC$98,"&lt;="&amp;$H199,工数管理!$AD$3:$AD$98,"")+COUNTIFS(工数管理!$AK$3:$AK$98,J$1,工数管理!$AE$3:$AE$98,"&lt;="&amp;$H199,工数管理!$AF$3:$AF$98,"")+COUNTIFS(工数管理!$AK$3:$AK$98,J$1,工数管理!$AG$3:$AG$98,"&lt;="&amp;$H199,工数管理!$AH$3:$AH$98,""))*($H199&lt;=工数管理!$AI$1))</f>
        <v>0</v>
      </c>
      <c r="K199" s="42">
        <f ca="1">IF(K$1="",0,COUNTIFS(工数管理!$AK$3:$AK$98,K$1,工数管理!$K$3:$K$98,"&lt;="&amp;$H199,工数管理!$L$3:$L$98,"&gt;="&amp;$H199)+COUNTIFS(工数管理!$AK$3:$AK$98,K$1,工数管理!$M$3:$M$98,"&lt;="&amp;$H199,工数管理!$N$3:$N$98,"&gt;="&amp;$H199)+COUNTIFS(工数管理!$AK$3:$AK$98,K$1,工数管理!$O$3:$O$98,"&lt;="&amp;$H199,工数管理!$P$3:$P$98,"&gt;="&amp;$H199)+COUNTIFS(工数管理!$AK$3:$AK$98,K$1,工数管理!$Q$3:$Q$98,"&lt;="&amp;$H199,工数管理!$R$3:$R$98,"&gt;="&amp;$H199)+COUNTIFS(工数管理!$AK$3:$AK$98,K$1,工数管理!$S$3:$S$98,"&lt;="&amp;$H199,工数管理!$T$3:$T$98,"&gt;="&amp;$H199)+COUNTIFS(工数管理!$AK$3:$AK$98,K$1,工数管理!$U$3:$U$98,"&lt;="&amp;$H199,工数管理!$V$3:$V$98,"&gt;="&amp;$H199)+COUNTIFS(工数管理!$AK$3:$AK$98,K$1,工数管理!$W$3:$W$98,"&lt;="&amp;$H199,工数管理!$X$3:$X$98,"&gt;="&amp;$H199)+COUNTIFS(工数管理!$AK$3:$AK$98,K$1,工数管理!$Y$3:$Y$98,"&lt;="&amp;$H199,工数管理!$Z$3:$Z$98,"&gt;="&amp;$H199)+COUNTIFS(工数管理!$AK$3:$AK$98,K$1,工数管理!$AA$3:$AA$98,"&lt;="&amp;$H199,工数管理!$AB$3:$AB$98,"&gt;="&amp;$H199)+COUNTIFS(工数管理!$AK$3:$AK$98,K$1,工数管理!$AC$3:$AC$98,"&lt;="&amp;$H199,工数管理!$AD$3:$AD$98,"&gt;="&amp;$H199)+COUNTIFS(工数管理!$AK$3:$AK$98,K$1,工数管理!$AE$3:$AE$98,"&lt;="&amp;$H199,工数管理!$AF$3:$AF$98,"&gt;="&amp;$H199)+COUNTIFS(工数管理!$AK$3:$AK$98,K$1,工数管理!$AG$3:$AG$98,"&lt;="&amp;$H199,工数管理!$AH$3:$AH$98,"&gt;="&amp;$H199)+(COUNTIFS(工数管理!$AK$3:$AK$98,K$1,工数管理!$K$3:$K$98,"&lt;="&amp;$H199,工数管理!$L$3:$L$98,"")+COUNTIFS(工数管理!$AK$3:$AK$98,K$1,工数管理!$M$3:$M$98,"&lt;="&amp;$H199,工数管理!$N$3:$N$98,"")+COUNTIFS(工数管理!$AK$3:$AK$98,K$1,工数管理!$O$3:$O$98,"&lt;="&amp;$H199,工数管理!$P$3:$P$98,"")+COUNTIFS(工数管理!$AK$3:$AK$98,K$1,工数管理!$Q$3:$Q$98,"&lt;="&amp;$H199,工数管理!$R$3:$R$98,"")+COUNTIFS(工数管理!$AK$3:$AK$98,K$1,工数管理!$S$3:$S$98,"&lt;="&amp;$H199,工数管理!$T$3:$T$98,"")+COUNTIFS(工数管理!$AK$3:$AK$98,K$1,工数管理!$U$3:$U$98,"&lt;="&amp;$H199,工数管理!$V$3:$V$98,"")+COUNTIFS(工数管理!$AK$3:$AK$98,K$1,工数管理!$W$3:$W$98,"&lt;="&amp;$H199,工数管理!$X$3:$X$98,"")+COUNTIFS(工数管理!$AK$3:$AK$98,K$1,工数管理!$Y$3:$Y$98,"&lt;="&amp;$H199,工数管理!$Z$3:$Z$98,"")+COUNTIFS(工数管理!$AK$3:$AK$98,K$1,工数管理!$AA$3:$AA$98,"&lt;="&amp;$H199,工数管理!$AB$3:$AB$98,"")+COUNTIFS(工数管理!$AK$3:$AK$98,K$1,工数管理!$AC$3:$AC$98,"&lt;="&amp;$H199,工数管理!$AD$3:$AD$98,"")+COUNTIFS(工数管理!$AK$3:$AK$98,K$1,工数管理!$AE$3:$AE$98,"&lt;="&amp;$H199,工数管理!$AF$3:$AF$98,"")+COUNTIFS(工数管理!$AK$3:$AK$98,K$1,工数管理!$AG$3:$AG$98,"&lt;="&amp;$H199,工数管理!$AH$3:$AH$98,""))*($H199&lt;=工数管理!$AI$1))</f>
        <v>0</v>
      </c>
      <c r="L199" s="42">
        <f ca="1">IF(L$1="",0,COUNTIFS(工数管理!$AK$3:$AK$98,L$1,工数管理!$K$3:$K$98,"&lt;="&amp;$H199,工数管理!$L$3:$L$98,"&gt;="&amp;$H199)+COUNTIFS(工数管理!$AK$3:$AK$98,L$1,工数管理!$M$3:$M$98,"&lt;="&amp;$H199,工数管理!$N$3:$N$98,"&gt;="&amp;$H199)+COUNTIFS(工数管理!$AK$3:$AK$98,L$1,工数管理!$O$3:$O$98,"&lt;="&amp;$H199,工数管理!$P$3:$P$98,"&gt;="&amp;$H199)+COUNTIFS(工数管理!$AK$3:$AK$98,L$1,工数管理!$Q$3:$Q$98,"&lt;="&amp;$H199,工数管理!$R$3:$R$98,"&gt;="&amp;$H199)+COUNTIFS(工数管理!$AK$3:$AK$98,L$1,工数管理!$S$3:$S$98,"&lt;="&amp;$H199,工数管理!$T$3:$T$98,"&gt;="&amp;$H199)+COUNTIFS(工数管理!$AK$3:$AK$98,L$1,工数管理!$U$3:$U$98,"&lt;="&amp;$H199,工数管理!$V$3:$V$98,"&gt;="&amp;$H199)+COUNTIFS(工数管理!$AK$3:$AK$98,L$1,工数管理!$W$3:$W$98,"&lt;="&amp;$H199,工数管理!$X$3:$X$98,"&gt;="&amp;$H199)+COUNTIFS(工数管理!$AK$3:$AK$98,L$1,工数管理!$Y$3:$Y$98,"&lt;="&amp;$H199,工数管理!$Z$3:$Z$98,"&gt;="&amp;$H199)+COUNTIFS(工数管理!$AK$3:$AK$98,L$1,工数管理!$AA$3:$AA$98,"&lt;="&amp;$H199,工数管理!$AB$3:$AB$98,"&gt;="&amp;$H199)+COUNTIFS(工数管理!$AK$3:$AK$98,L$1,工数管理!$AC$3:$AC$98,"&lt;="&amp;$H199,工数管理!$AD$3:$AD$98,"&gt;="&amp;$H199)+COUNTIFS(工数管理!$AK$3:$AK$98,L$1,工数管理!$AE$3:$AE$98,"&lt;="&amp;$H199,工数管理!$AF$3:$AF$98,"&gt;="&amp;$H199)+COUNTIFS(工数管理!$AK$3:$AK$98,L$1,工数管理!$AG$3:$AG$98,"&lt;="&amp;$H199,工数管理!$AH$3:$AH$98,"&gt;="&amp;$H199)+(COUNTIFS(工数管理!$AK$3:$AK$98,L$1,工数管理!$K$3:$K$98,"&lt;="&amp;$H199,工数管理!$L$3:$L$98,"")+COUNTIFS(工数管理!$AK$3:$AK$98,L$1,工数管理!$M$3:$M$98,"&lt;="&amp;$H199,工数管理!$N$3:$N$98,"")+COUNTIFS(工数管理!$AK$3:$AK$98,L$1,工数管理!$O$3:$O$98,"&lt;="&amp;$H199,工数管理!$P$3:$P$98,"")+COUNTIFS(工数管理!$AK$3:$AK$98,L$1,工数管理!$Q$3:$Q$98,"&lt;="&amp;$H199,工数管理!$R$3:$R$98,"")+COUNTIFS(工数管理!$AK$3:$AK$98,L$1,工数管理!$S$3:$S$98,"&lt;="&amp;$H199,工数管理!$T$3:$T$98,"")+COUNTIFS(工数管理!$AK$3:$AK$98,L$1,工数管理!$U$3:$U$98,"&lt;="&amp;$H199,工数管理!$V$3:$V$98,"")+COUNTIFS(工数管理!$AK$3:$AK$98,L$1,工数管理!$W$3:$W$98,"&lt;="&amp;$H199,工数管理!$X$3:$X$98,"")+COUNTIFS(工数管理!$AK$3:$AK$98,L$1,工数管理!$Y$3:$Y$98,"&lt;="&amp;$H199,工数管理!$Z$3:$Z$98,"")+COUNTIFS(工数管理!$AK$3:$AK$98,L$1,工数管理!$AA$3:$AA$98,"&lt;="&amp;$H199,工数管理!$AB$3:$AB$98,"")+COUNTIFS(工数管理!$AK$3:$AK$98,L$1,工数管理!$AC$3:$AC$98,"&lt;="&amp;$H199,工数管理!$AD$3:$AD$98,"")+COUNTIFS(工数管理!$AK$3:$AK$98,L$1,工数管理!$AE$3:$AE$98,"&lt;="&amp;$H199,工数管理!$AF$3:$AF$98,"")+COUNTIFS(工数管理!$AK$3:$AK$98,L$1,工数管理!$AG$3:$AG$98,"&lt;="&amp;$H199,工数管理!$AH$3:$AH$98,""))*($H199&lt;=工数管理!$AI$1))</f>
        <v>0</v>
      </c>
    </row>
    <row r="200" spans="1:12" x14ac:dyDescent="0.15">
      <c r="A200" s="5"/>
      <c r="B200" s="6"/>
      <c r="H200" s="41">
        <f t="shared" si="7"/>
        <v>46368</v>
      </c>
      <c r="I200" s="42">
        <f t="shared" si="6"/>
        <v>0</v>
      </c>
      <c r="J200" s="42">
        <f ca="1">IF(J$1="",0,COUNTIFS(工数管理!$AK$3:$AK$98,J$1,工数管理!$K$3:$K$98,"&lt;="&amp;$H200,工数管理!$L$3:$L$98,"&gt;="&amp;$H200)+COUNTIFS(工数管理!$AK$3:$AK$98,J$1,工数管理!$M$3:$M$98,"&lt;="&amp;$H200,工数管理!$N$3:$N$98,"&gt;="&amp;$H200)+COUNTIFS(工数管理!$AK$3:$AK$98,J$1,工数管理!$O$3:$O$98,"&lt;="&amp;$H200,工数管理!$P$3:$P$98,"&gt;="&amp;$H200)+COUNTIFS(工数管理!$AK$3:$AK$98,J$1,工数管理!$Q$3:$Q$98,"&lt;="&amp;$H200,工数管理!$R$3:$R$98,"&gt;="&amp;$H200)+COUNTIFS(工数管理!$AK$3:$AK$98,J$1,工数管理!$S$3:$S$98,"&lt;="&amp;$H200,工数管理!$T$3:$T$98,"&gt;="&amp;$H200)+COUNTIFS(工数管理!$AK$3:$AK$98,J$1,工数管理!$U$3:$U$98,"&lt;="&amp;$H200,工数管理!$V$3:$V$98,"&gt;="&amp;$H200)+COUNTIFS(工数管理!$AK$3:$AK$98,J$1,工数管理!$W$3:$W$98,"&lt;="&amp;$H200,工数管理!$X$3:$X$98,"&gt;="&amp;$H200)+COUNTIFS(工数管理!$AK$3:$AK$98,J$1,工数管理!$Y$3:$Y$98,"&lt;="&amp;$H200,工数管理!$Z$3:$Z$98,"&gt;="&amp;$H200)+COUNTIFS(工数管理!$AK$3:$AK$98,J$1,工数管理!$AA$3:$AA$98,"&lt;="&amp;$H200,工数管理!$AB$3:$AB$98,"&gt;="&amp;$H200)+COUNTIFS(工数管理!$AK$3:$AK$98,J$1,工数管理!$AC$3:$AC$98,"&lt;="&amp;$H200,工数管理!$AD$3:$AD$98,"&gt;="&amp;$H200)+COUNTIFS(工数管理!$AK$3:$AK$98,J$1,工数管理!$AE$3:$AE$98,"&lt;="&amp;$H200,工数管理!$AF$3:$AF$98,"&gt;="&amp;$H200)+COUNTIFS(工数管理!$AK$3:$AK$98,J$1,工数管理!$AG$3:$AG$98,"&lt;="&amp;$H200,工数管理!$AH$3:$AH$98,"&gt;="&amp;$H200)+(COUNTIFS(工数管理!$AK$3:$AK$98,J$1,工数管理!$K$3:$K$98,"&lt;="&amp;$H200,工数管理!$L$3:$L$98,"")+COUNTIFS(工数管理!$AK$3:$AK$98,J$1,工数管理!$M$3:$M$98,"&lt;="&amp;$H200,工数管理!$N$3:$N$98,"")+COUNTIFS(工数管理!$AK$3:$AK$98,J$1,工数管理!$O$3:$O$98,"&lt;="&amp;$H200,工数管理!$P$3:$P$98,"")+COUNTIFS(工数管理!$AK$3:$AK$98,J$1,工数管理!$Q$3:$Q$98,"&lt;="&amp;$H200,工数管理!$R$3:$R$98,"")+COUNTIFS(工数管理!$AK$3:$AK$98,J$1,工数管理!$S$3:$S$98,"&lt;="&amp;$H200,工数管理!$T$3:$T$98,"")+COUNTIFS(工数管理!$AK$3:$AK$98,J$1,工数管理!$U$3:$U$98,"&lt;="&amp;$H200,工数管理!$V$3:$V$98,"")+COUNTIFS(工数管理!$AK$3:$AK$98,J$1,工数管理!$W$3:$W$98,"&lt;="&amp;$H200,工数管理!$X$3:$X$98,"")+COUNTIFS(工数管理!$AK$3:$AK$98,J$1,工数管理!$Y$3:$Y$98,"&lt;="&amp;$H200,工数管理!$Z$3:$Z$98,"")+COUNTIFS(工数管理!$AK$3:$AK$98,J$1,工数管理!$AA$3:$AA$98,"&lt;="&amp;$H200,工数管理!$AB$3:$AB$98,"")+COUNTIFS(工数管理!$AK$3:$AK$98,J$1,工数管理!$AC$3:$AC$98,"&lt;="&amp;$H200,工数管理!$AD$3:$AD$98,"")+COUNTIFS(工数管理!$AK$3:$AK$98,J$1,工数管理!$AE$3:$AE$98,"&lt;="&amp;$H200,工数管理!$AF$3:$AF$98,"")+COUNTIFS(工数管理!$AK$3:$AK$98,J$1,工数管理!$AG$3:$AG$98,"&lt;="&amp;$H200,工数管理!$AH$3:$AH$98,""))*($H200&lt;=工数管理!$AI$1))</f>
        <v>0</v>
      </c>
      <c r="K200" s="42">
        <f ca="1">IF(K$1="",0,COUNTIFS(工数管理!$AK$3:$AK$98,K$1,工数管理!$K$3:$K$98,"&lt;="&amp;$H200,工数管理!$L$3:$L$98,"&gt;="&amp;$H200)+COUNTIFS(工数管理!$AK$3:$AK$98,K$1,工数管理!$M$3:$M$98,"&lt;="&amp;$H200,工数管理!$N$3:$N$98,"&gt;="&amp;$H200)+COUNTIFS(工数管理!$AK$3:$AK$98,K$1,工数管理!$O$3:$O$98,"&lt;="&amp;$H200,工数管理!$P$3:$P$98,"&gt;="&amp;$H200)+COUNTIFS(工数管理!$AK$3:$AK$98,K$1,工数管理!$Q$3:$Q$98,"&lt;="&amp;$H200,工数管理!$R$3:$R$98,"&gt;="&amp;$H200)+COUNTIFS(工数管理!$AK$3:$AK$98,K$1,工数管理!$S$3:$S$98,"&lt;="&amp;$H200,工数管理!$T$3:$T$98,"&gt;="&amp;$H200)+COUNTIFS(工数管理!$AK$3:$AK$98,K$1,工数管理!$U$3:$U$98,"&lt;="&amp;$H200,工数管理!$V$3:$V$98,"&gt;="&amp;$H200)+COUNTIFS(工数管理!$AK$3:$AK$98,K$1,工数管理!$W$3:$W$98,"&lt;="&amp;$H200,工数管理!$X$3:$X$98,"&gt;="&amp;$H200)+COUNTIFS(工数管理!$AK$3:$AK$98,K$1,工数管理!$Y$3:$Y$98,"&lt;="&amp;$H200,工数管理!$Z$3:$Z$98,"&gt;="&amp;$H200)+COUNTIFS(工数管理!$AK$3:$AK$98,K$1,工数管理!$AA$3:$AA$98,"&lt;="&amp;$H200,工数管理!$AB$3:$AB$98,"&gt;="&amp;$H200)+COUNTIFS(工数管理!$AK$3:$AK$98,K$1,工数管理!$AC$3:$AC$98,"&lt;="&amp;$H200,工数管理!$AD$3:$AD$98,"&gt;="&amp;$H200)+COUNTIFS(工数管理!$AK$3:$AK$98,K$1,工数管理!$AE$3:$AE$98,"&lt;="&amp;$H200,工数管理!$AF$3:$AF$98,"&gt;="&amp;$H200)+COUNTIFS(工数管理!$AK$3:$AK$98,K$1,工数管理!$AG$3:$AG$98,"&lt;="&amp;$H200,工数管理!$AH$3:$AH$98,"&gt;="&amp;$H200)+(COUNTIFS(工数管理!$AK$3:$AK$98,K$1,工数管理!$K$3:$K$98,"&lt;="&amp;$H200,工数管理!$L$3:$L$98,"")+COUNTIFS(工数管理!$AK$3:$AK$98,K$1,工数管理!$M$3:$M$98,"&lt;="&amp;$H200,工数管理!$N$3:$N$98,"")+COUNTIFS(工数管理!$AK$3:$AK$98,K$1,工数管理!$O$3:$O$98,"&lt;="&amp;$H200,工数管理!$P$3:$P$98,"")+COUNTIFS(工数管理!$AK$3:$AK$98,K$1,工数管理!$Q$3:$Q$98,"&lt;="&amp;$H200,工数管理!$R$3:$R$98,"")+COUNTIFS(工数管理!$AK$3:$AK$98,K$1,工数管理!$S$3:$S$98,"&lt;="&amp;$H200,工数管理!$T$3:$T$98,"")+COUNTIFS(工数管理!$AK$3:$AK$98,K$1,工数管理!$U$3:$U$98,"&lt;="&amp;$H200,工数管理!$V$3:$V$98,"")+COUNTIFS(工数管理!$AK$3:$AK$98,K$1,工数管理!$W$3:$W$98,"&lt;="&amp;$H200,工数管理!$X$3:$X$98,"")+COUNTIFS(工数管理!$AK$3:$AK$98,K$1,工数管理!$Y$3:$Y$98,"&lt;="&amp;$H200,工数管理!$Z$3:$Z$98,"")+COUNTIFS(工数管理!$AK$3:$AK$98,K$1,工数管理!$AA$3:$AA$98,"&lt;="&amp;$H200,工数管理!$AB$3:$AB$98,"")+COUNTIFS(工数管理!$AK$3:$AK$98,K$1,工数管理!$AC$3:$AC$98,"&lt;="&amp;$H200,工数管理!$AD$3:$AD$98,"")+COUNTIFS(工数管理!$AK$3:$AK$98,K$1,工数管理!$AE$3:$AE$98,"&lt;="&amp;$H200,工数管理!$AF$3:$AF$98,"")+COUNTIFS(工数管理!$AK$3:$AK$98,K$1,工数管理!$AG$3:$AG$98,"&lt;="&amp;$H200,工数管理!$AH$3:$AH$98,""))*($H200&lt;=工数管理!$AI$1))</f>
        <v>0</v>
      </c>
      <c r="L200" s="42">
        <f ca="1">IF(L$1="",0,COUNTIFS(工数管理!$AK$3:$AK$98,L$1,工数管理!$K$3:$K$98,"&lt;="&amp;$H200,工数管理!$L$3:$L$98,"&gt;="&amp;$H200)+COUNTIFS(工数管理!$AK$3:$AK$98,L$1,工数管理!$M$3:$M$98,"&lt;="&amp;$H200,工数管理!$N$3:$N$98,"&gt;="&amp;$H200)+COUNTIFS(工数管理!$AK$3:$AK$98,L$1,工数管理!$O$3:$O$98,"&lt;="&amp;$H200,工数管理!$P$3:$P$98,"&gt;="&amp;$H200)+COUNTIFS(工数管理!$AK$3:$AK$98,L$1,工数管理!$Q$3:$Q$98,"&lt;="&amp;$H200,工数管理!$R$3:$R$98,"&gt;="&amp;$H200)+COUNTIFS(工数管理!$AK$3:$AK$98,L$1,工数管理!$S$3:$S$98,"&lt;="&amp;$H200,工数管理!$T$3:$T$98,"&gt;="&amp;$H200)+COUNTIFS(工数管理!$AK$3:$AK$98,L$1,工数管理!$U$3:$U$98,"&lt;="&amp;$H200,工数管理!$V$3:$V$98,"&gt;="&amp;$H200)+COUNTIFS(工数管理!$AK$3:$AK$98,L$1,工数管理!$W$3:$W$98,"&lt;="&amp;$H200,工数管理!$X$3:$X$98,"&gt;="&amp;$H200)+COUNTIFS(工数管理!$AK$3:$AK$98,L$1,工数管理!$Y$3:$Y$98,"&lt;="&amp;$H200,工数管理!$Z$3:$Z$98,"&gt;="&amp;$H200)+COUNTIFS(工数管理!$AK$3:$AK$98,L$1,工数管理!$AA$3:$AA$98,"&lt;="&amp;$H200,工数管理!$AB$3:$AB$98,"&gt;="&amp;$H200)+COUNTIFS(工数管理!$AK$3:$AK$98,L$1,工数管理!$AC$3:$AC$98,"&lt;="&amp;$H200,工数管理!$AD$3:$AD$98,"&gt;="&amp;$H200)+COUNTIFS(工数管理!$AK$3:$AK$98,L$1,工数管理!$AE$3:$AE$98,"&lt;="&amp;$H200,工数管理!$AF$3:$AF$98,"&gt;="&amp;$H200)+COUNTIFS(工数管理!$AK$3:$AK$98,L$1,工数管理!$AG$3:$AG$98,"&lt;="&amp;$H200,工数管理!$AH$3:$AH$98,"&gt;="&amp;$H200)+(COUNTIFS(工数管理!$AK$3:$AK$98,L$1,工数管理!$K$3:$K$98,"&lt;="&amp;$H200,工数管理!$L$3:$L$98,"")+COUNTIFS(工数管理!$AK$3:$AK$98,L$1,工数管理!$M$3:$M$98,"&lt;="&amp;$H200,工数管理!$N$3:$N$98,"")+COUNTIFS(工数管理!$AK$3:$AK$98,L$1,工数管理!$O$3:$O$98,"&lt;="&amp;$H200,工数管理!$P$3:$P$98,"")+COUNTIFS(工数管理!$AK$3:$AK$98,L$1,工数管理!$Q$3:$Q$98,"&lt;="&amp;$H200,工数管理!$R$3:$R$98,"")+COUNTIFS(工数管理!$AK$3:$AK$98,L$1,工数管理!$S$3:$S$98,"&lt;="&amp;$H200,工数管理!$T$3:$T$98,"")+COUNTIFS(工数管理!$AK$3:$AK$98,L$1,工数管理!$U$3:$U$98,"&lt;="&amp;$H200,工数管理!$V$3:$V$98,"")+COUNTIFS(工数管理!$AK$3:$AK$98,L$1,工数管理!$W$3:$W$98,"&lt;="&amp;$H200,工数管理!$X$3:$X$98,"")+COUNTIFS(工数管理!$AK$3:$AK$98,L$1,工数管理!$Y$3:$Y$98,"&lt;="&amp;$H200,工数管理!$Z$3:$Z$98,"")+COUNTIFS(工数管理!$AK$3:$AK$98,L$1,工数管理!$AA$3:$AA$98,"&lt;="&amp;$H200,工数管理!$AB$3:$AB$98,"")+COUNTIFS(工数管理!$AK$3:$AK$98,L$1,工数管理!$AC$3:$AC$98,"&lt;="&amp;$H200,工数管理!$AD$3:$AD$98,"")+COUNTIFS(工数管理!$AK$3:$AK$98,L$1,工数管理!$AE$3:$AE$98,"&lt;="&amp;$H200,工数管理!$AF$3:$AF$98,"")+COUNTIFS(工数管理!$AK$3:$AK$98,L$1,工数管理!$AG$3:$AG$98,"&lt;="&amp;$H200,工数管理!$AH$3:$AH$98,""))*($H200&lt;=工数管理!$AI$1))</f>
        <v>0</v>
      </c>
    </row>
    <row r="201" spans="1:12" x14ac:dyDescent="0.15">
      <c r="A201" s="5"/>
      <c r="B201" s="6"/>
      <c r="H201" s="41">
        <f t="shared" si="7"/>
        <v>46369</v>
      </c>
      <c r="I201" s="42">
        <f t="shared" si="6"/>
        <v>0</v>
      </c>
      <c r="J201" s="42">
        <f ca="1">IF(J$1="",0,COUNTIFS(工数管理!$AK$3:$AK$98,J$1,工数管理!$K$3:$K$98,"&lt;="&amp;$H201,工数管理!$L$3:$L$98,"&gt;="&amp;$H201)+COUNTIFS(工数管理!$AK$3:$AK$98,J$1,工数管理!$M$3:$M$98,"&lt;="&amp;$H201,工数管理!$N$3:$N$98,"&gt;="&amp;$H201)+COUNTIFS(工数管理!$AK$3:$AK$98,J$1,工数管理!$O$3:$O$98,"&lt;="&amp;$H201,工数管理!$P$3:$P$98,"&gt;="&amp;$H201)+COUNTIFS(工数管理!$AK$3:$AK$98,J$1,工数管理!$Q$3:$Q$98,"&lt;="&amp;$H201,工数管理!$R$3:$R$98,"&gt;="&amp;$H201)+COUNTIFS(工数管理!$AK$3:$AK$98,J$1,工数管理!$S$3:$S$98,"&lt;="&amp;$H201,工数管理!$T$3:$T$98,"&gt;="&amp;$H201)+COUNTIFS(工数管理!$AK$3:$AK$98,J$1,工数管理!$U$3:$U$98,"&lt;="&amp;$H201,工数管理!$V$3:$V$98,"&gt;="&amp;$H201)+COUNTIFS(工数管理!$AK$3:$AK$98,J$1,工数管理!$W$3:$W$98,"&lt;="&amp;$H201,工数管理!$X$3:$X$98,"&gt;="&amp;$H201)+COUNTIFS(工数管理!$AK$3:$AK$98,J$1,工数管理!$Y$3:$Y$98,"&lt;="&amp;$H201,工数管理!$Z$3:$Z$98,"&gt;="&amp;$H201)+COUNTIFS(工数管理!$AK$3:$AK$98,J$1,工数管理!$AA$3:$AA$98,"&lt;="&amp;$H201,工数管理!$AB$3:$AB$98,"&gt;="&amp;$H201)+COUNTIFS(工数管理!$AK$3:$AK$98,J$1,工数管理!$AC$3:$AC$98,"&lt;="&amp;$H201,工数管理!$AD$3:$AD$98,"&gt;="&amp;$H201)+COUNTIFS(工数管理!$AK$3:$AK$98,J$1,工数管理!$AE$3:$AE$98,"&lt;="&amp;$H201,工数管理!$AF$3:$AF$98,"&gt;="&amp;$H201)+COUNTIFS(工数管理!$AK$3:$AK$98,J$1,工数管理!$AG$3:$AG$98,"&lt;="&amp;$H201,工数管理!$AH$3:$AH$98,"&gt;="&amp;$H201)+(COUNTIFS(工数管理!$AK$3:$AK$98,J$1,工数管理!$K$3:$K$98,"&lt;="&amp;$H201,工数管理!$L$3:$L$98,"")+COUNTIFS(工数管理!$AK$3:$AK$98,J$1,工数管理!$M$3:$M$98,"&lt;="&amp;$H201,工数管理!$N$3:$N$98,"")+COUNTIFS(工数管理!$AK$3:$AK$98,J$1,工数管理!$O$3:$O$98,"&lt;="&amp;$H201,工数管理!$P$3:$P$98,"")+COUNTIFS(工数管理!$AK$3:$AK$98,J$1,工数管理!$Q$3:$Q$98,"&lt;="&amp;$H201,工数管理!$R$3:$R$98,"")+COUNTIFS(工数管理!$AK$3:$AK$98,J$1,工数管理!$S$3:$S$98,"&lt;="&amp;$H201,工数管理!$T$3:$T$98,"")+COUNTIFS(工数管理!$AK$3:$AK$98,J$1,工数管理!$U$3:$U$98,"&lt;="&amp;$H201,工数管理!$V$3:$V$98,"")+COUNTIFS(工数管理!$AK$3:$AK$98,J$1,工数管理!$W$3:$W$98,"&lt;="&amp;$H201,工数管理!$X$3:$X$98,"")+COUNTIFS(工数管理!$AK$3:$AK$98,J$1,工数管理!$Y$3:$Y$98,"&lt;="&amp;$H201,工数管理!$Z$3:$Z$98,"")+COUNTIFS(工数管理!$AK$3:$AK$98,J$1,工数管理!$AA$3:$AA$98,"&lt;="&amp;$H201,工数管理!$AB$3:$AB$98,"")+COUNTIFS(工数管理!$AK$3:$AK$98,J$1,工数管理!$AC$3:$AC$98,"&lt;="&amp;$H201,工数管理!$AD$3:$AD$98,"")+COUNTIFS(工数管理!$AK$3:$AK$98,J$1,工数管理!$AE$3:$AE$98,"&lt;="&amp;$H201,工数管理!$AF$3:$AF$98,"")+COUNTIFS(工数管理!$AK$3:$AK$98,J$1,工数管理!$AG$3:$AG$98,"&lt;="&amp;$H201,工数管理!$AH$3:$AH$98,""))*($H201&lt;=工数管理!$AI$1))</f>
        <v>0</v>
      </c>
      <c r="K201" s="42">
        <f ca="1">IF(K$1="",0,COUNTIFS(工数管理!$AK$3:$AK$98,K$1,工数管理!$K$3:$K$98,"&lt;="&amp;$H201,工数管理!$L$3:$L$98,"&gt;="&amp;$H201)+COUNTIFS(工数管理!$AK$3:$AK$98,K$1,工数管理!$M$3:$M$98,"&lt;="&amp;$H201,工数管理!$N$3:$N$98,"&gt;="&amp;$H201)+COUNTIFS(工数管理!$AK$3:$AK$98,K$1,工数管理!$O$3:$O$98,"&lt;="&amp;$H201,工数管理!$P$3:$P$98,"&gt;="&amp;$H201)+COUNTIFS(工数管理!$AK$3:$AK$98,K$1,工数管理!$Q$3:$Q$98,"&lt;="&amp;$H201,工数管理!$R$3:$R$98,"&gt;="&amp;$H201)+COUNTIFS(工数管理!$AK$3:$AK$98,K$1,工数管理!$S$3:$S$98,"&lt;="&amp;$H201,工数管理!$T$3:$T$98,"&gt;="&amp;$H201)+COUNTIFS(工数管理!$AK$3:$AK$98,K$1,工数管理!$U$3:$U$98,"&lt;="&amp;$H201,工数管理!$V$3:$V$98,"&gt;="&amp;$H201)+COUNTIFS(工数管理!$AK$3:$AK$98,K$1,工数管理!$W$3:$W$98,"&lt;="&amp;$H201,工数管理!$X$3:$X$98,"&gt;="&amp;$H201)+COUNTIFS(工数管理!$AK$3:$AK$98,K$1,工数管理!$Y$3:$Y$98,"&lt;="&amp;$H201,工数管理!$Z$3:$Z$98,"&gt;="&amp;$H201)+COUNTIFS(工数管理!$AK$3:$AK$98,K$1,工数管理!$AA$3:$AA$98,"&lt;="&amp;$H201,工数管理!$AB$3:$AB$98,"&gt;="&amp;$H201)+COUNTIFS(工数管理!$AK$3:$AK$98,K$1,工数管理!$AC$3:$AC$98,"&lt;="&amp;$H201,工数管理!$AD$3:$AD$98,"&gt;="&amp;$H201)+COUNTIFS(工数管理!$AK$3:$AK$98,K$1,工数管理!$AE$3:$AE$98,"&lt;="&amp;$H201,工数管理!$AF$3:$AF$98,"&gt;="&amp;$H201)+COUNTIFS(工数管理!$AK$3:$AK$98,K$1,工数管理!$AG$3:$AG$98,"&lt;="&amp;$H201,工数管理!$AH$3:$AH$98,"&gt;="&amp;$H201)+(COUNTIFS(工数管理!$AK$3:$AK$98,K$1,工数管理!$K$3:$K$98,"&lt;="&amp;$H201,工数管理!$L$3:$L$98,"")+COUNTIFS(工数管理!$AK$3:$AK$98,K$1,工数管理!$M$3:$M$98,"&lt;="&amp;$H201,工数管理!$N$3:$N$98,"")+COUNTIFS(工数管理!$AK$3:$AK$98,K$1,工数管理!$O$3:$O$98,"&lt;="&amp;$H201,工数管理!$P$3:$P$98,"")+COUNTIFS(工数管理!$AK$3:$AK$98,K$1,工数管理!$Q$3:$Q$98,"&lt;="&amp;$H201,工数管理!$R$3:$R$98,"")+COUNTIFS(工数管理!$AK$3:$AK$98,K$1,工数管理!$S$3:$S$98,"&lt;="&amp;$H201,工数管理!$T$3:$T$98,"")+COUNTIFS(工数管理!$AK$3:$AK$98,K$1,工数管理!$U$3:$U$98,"&lt;="&amp;$H201,工数管理!$V$3:$V$98,"")+COUNTIFS(工数管理!$AK$3:$AK$98,K$1,工数管理!$W$3:$W$98,"&lt;="&amp;$H201,工数管理!$X$3:$X$98,"")+COUNTIFS(工数管理!$AK$3:$AK$98,K$1,工数管理!$Y$3:$Y$98,"&lt;="&amp;$H201,工数管理!$Z$3:$Z$98,"")+COUNTIFS(工数管理!$AK$3:$AK$98,K$1,工数管理!$AA$3:$AA$98,"&lt;="&amp;$H201,工数管理!$AB$3:$AB$98,"")+COUNTIFS(工数管理!$AK$3:$AK$98,K$1,工数管理!$AC$3:$AC$98,"&lt;="&amp;$H201,工数管理!$AD$3:$AD$98,"")+COUNTIFS(工数管理!$AK$3:$AK$98,K$1,工数管理!$AE$3:$AE$98,"&lt;="&amp;$H201,工数管理!$AF$3:$AF$98,"")+COUNTIFS(工数管理!$AK$3:$AK$98,K$1,工数管理!$AG$3:$AG$98,"&lt;="&amp;$H201,工数管理!$AH$3:$AH$98,""))*($H201&lt;=工数管理!$AI$1))</f>
        <v>0</v>
      </c>
      <c r="L201" s="42">
        <f ca="1">IF(L$1="",0,COUNTIFS(工数管理!$AK$3:$AK$98,L$1,工数管理!$K$3:$K$98,"&lt;="&amp;$H201,工数管理!$L$3:$L$98,"&gt;="&amp;$H201)+COUNTIFS(工数管理!$AK$3:$AK$98,L$1,工数管理!$M$3:$M$98,"&lt;="&amp;$H201,工数管理!$N$3:$N$98,"&gt;="&amp;$H201)+COUNTIFS(工数管理!$AK$3:$AK$98,L$1,工数管理!$O$3:$O$98,"&lt;="&amp;$H201,工数管理!$P$3:$P$98,"&gt;="&amp;$H201)+COUNTIFS(工数管理!$AK$3:$AK$98,L$1,工数管理!$Q$3:$Q$98,"&lt;="&amp;$H201,工数管理!$R$3:$R$98,"&gt;="&amp;$H201)+COUNTIFS(工数管理!$AK$3:$AK$98,L$1,工数管理!$S$3:$S$98,"&lt;="&amp;$H201,工数管理!$T$3:$T$98,"&gt;="&amp;$H201)+COUNTIFS(工数管理!$AK$3:$AK$98,L$1,工数管理!$U$3:$U$98,"&lt;="&amp;$H201,工数管理!$V$3:$V$98,"&gt;="&amp;$H201)+COUNTIFS(工数管理!$AK$3:$AK$98,L$1,工数管理!$W$3:$W$98,"&lt;="&amp;$H201,工数管理!$X$3:$X$98,"&gt;="&amp;$H201)+COUNTIFS(工数管理!$AK$3:$AK$98,L$1,工数管理!$Y$3:$Y$98,"&lt;="&amp;$H201,工数管理!$Z$3:$Z$98,"&gt;="&amp;$H201)+COUNTIFS(工数管理!$AK$3:$AK$98,L$1,工数管理!$AA$3:$AA$98,"&lt;="&amp;$H201,工数管理!$AB$3:$AB$98,"&gt;="&amp;$H201)+COUNTIFS(工数管理!$AK$3:$AK$98,L$1,工数管理!$AC$3:$AC$98,"&lt;="&amp;$H201,工数管理!$AD$3:$AD$98,"&gt;="&amp;$H201)+COUNTIFS(工数管理!$AK$3:$AK$98,L$1,工数管理!$AE$3:$AE$98,"&lt;="&amp;$H201,工数管理!$AF$3:$AF$98,"&gt;="&amp;$H201)+COUNTIFS(工数管理!$AK$3:$AK$98,L$1,工数管理!$AG$3:$AG$98,"&lt;="&amp;$H201,工数管理!$AH$3:$AH$98,"&gt;="&amp;$H201)+(COUNTIFS(工数管理!$AK$3:$AK$98,L$1,工数管理!$K$3:$K$98,"&lt;="&amp;$H201,工数管理!$L$3:$L$98,"")+COUNTIFS(工数管理!$AK$3:$AK$98,L$1,工数管理!$M$3:$M$98,"&lt;="&amp;$H201,工数管理!$N$3:$N$98,"")+COUNTIFS(工数管理!$AK$3:$AK$98,L$1,工数管理!$O$3:$O$98,"&lt;="&amp;$H201,工数管理!$P$3:$P$98,"")+COUNTIFS(工数管理!$AK$3:$AK$98,L$1,工数管理!$Q$3:$Q$98,"&lt;="&amp;$H201,工数管理!$R$3:$R$98,"")+COUNTIFS(工数管理!$AK$3:$AK$98,L$1,工数管理!$S$3:$S$98,"&lt;="&amp;$H201,工数管理!$T$3:$T$98,"")+COUNTIFS(工数管理!$AK$3:$AK$98,L$1,工数管理!$U$3:$U$98,"&lt;="&amp;$H201,工数管理!$V$3:$V$98,"")+COUNTIFS(工数管理!$AK$3:$AK$98,L$1,工数管理!$W$3:$W$98,"&lt;="&amp;$H201,工数管理!$X$3:$X$98,"")+COUNTIFS(工数管理!$AK$3:$AK$98,L$1,工数管理!$Y$3:$Y$98,"&lt;="&amp;$H201,工数管理!$Z$3:$Z$98,"")+COUNTIFS(工数管理!$AK$3:$AK$98,L$1,工数管理!$AA$3:$AA$98,"&lt;="&amp;$H201,工数管理!$AB$3:$AB$98,"")+COUNTIFS(工数管理!$AK$3:$AK$98,L$1,工数管理!$AC$3:$AC$98,"&lt;="&amp;$H201,工数管理!$AD$3:$AD$98,"")+COUNTIFS(工数管理!$AK$3:$AK$98,L$1,工数管理!$AE$3:$AE$98,"&lt;="&amp;$H201,工数管理!$AF$3:$AF$98,"")+COUNTIFS(工数管理!$AK$3:$AK$98,L$1,工数管理!$AG$3:$AG$98,"&lt;="&amp;$H201,工数管理!$AH$3:$AH$98,""))*($H201&lt;=工数管理!$AI$1))</f>
        <v>0</v>
      </c>
    </row>
    <row r="202" spans="1:12" x14ac:dyDescent="0.15">
      <c r="A202" s="5"/>
      <c r="B202" s="6"/>
      <c r="H202" s="41">
        <f t="shared" si="7"/>
        <v>46370</v>
      </c>
      <c r="I202" s="42">
        <f t="shared" si="6"/>
        <v>1</v>
      </c>
      <c r="J202" s="42">
        <f ca="1">IF(J$1="",0,COUNTIFS(工数管理!$AK$3:$AK$98,J$1,工数管理!$K$3:$K$98,"&lt;="&amp;$H202,工数管理!$L$3:$L$98,"&gt;="&amp;$H202)+COUNTIFS(工数管理!$AK$3:$AK$98,J$1,工数管理!$M$3:$M$98,"&lt;="&amp;$H202,工数管理!$N$3:$N$98,"&gt;="&amp;$H202)+COUNTIFS(工数管理!$AK$3:$AK$98,J$1,工数管理!$O$3:$O$98,"&lt;="&amp;$H202,工数管理!$P$3:$P$98,"&gt;="&amp;$H202)+COUNTIFS(工数管理!$AK$3:$AK$98,J$1,工数管理!$Q$3:$Q$98,"&lt;="&amp;$H202,工数管理!$R$3:$R$98,"&gt;="&amp;$H202)+COUNTIFS(工数管理!$AK$3:$AK$98,J$1,工数管理!$S$3:$S$98,"&lt;="&amp;$H202,工数管理!$T$3:$T$98,"&gt;="&amp;$H202)+COUNTIFS(工数管理!$AK$3:$AK$98,J$1,工数管理!$U$3:$U$98,"&lt;="&amp;$H202,工数管理!$V$3:$V$98,"&gt;="&amp;$H202)+COUNTIFS(工数管理!$AK$3:$AK$98,J$1,工数管理!$W$3:$W$98,"&lt;="&amp;$H202,工数管理!$X$3:$X$98,"&gt;="&amp;$H202)+COUNTIFS(工数管理!$AK$3:$AK$98,J$1,工数管理!$Y$3:$Y$98,"&lt;="&amp;$H202,工数管理!$Z$3:$Z$98,"&gt;="&amp;$H202)+COUNTIFS(工数管理!$AK$3:$AK$98,J$1,工数管理!$AA$3:$AA$98,"&lt;="&amp;$H202,工数管理!$AB$3:$AB$98,"&gt;="&amp;$H202)+COUNTIFS(工数管理!$AK$3:$AK$98,J$1,工数管理!$AC$3:$AC$98,"&lt;="&amp;$H202,工数管理!$AD$3:$AD$98,"&gt;="&amp;$H202)+COUNTIFS(工数管理!$AK$3:$AK$98,J$1,工数管理!$AE$3:$AE$98,"&lt;="&amp;$H202,工数管理!$AF$3:$AF$98,"&gt;="&amp;$H202)+COUNTIFS(工数管理!$AK$3:$AK$98,J$1,工数管理!$AG$3:$AG$98,"&lt;="&amp;$H202,工数管理!$AH$3:$AH$98,"&gt;="&amp;$H202)+(COUNTIFS(工数管理!$AK$3:$AK$98,J$1,工数管理!$K$3:$K$98,"&lt;="&amp;$H202,工数管理!$L$3:$L$98,"")+COUNTIFS(工数管理!$AK$3:$AK$98,J$1,工数管理!$M$3:$M$98,"&lt;="&amp;$H202,工数管理!$N$3:$N$98,"")+COUNTIFS(工数管理!$AK$3:$AK$98,J$1,工数管理!$O$3:$O$98,"&lt;="&amp;$H202,工数管理!$P$3:$P$98,"")+COUNTIFS(工数管理!$AK$3:$AK$98,J$1,工数管理!$Q$3:$Q$98,"&lt;="&amp;$H202,工数管理!$R$3:$R$98,"")+COUNTIFS(工数管理!$AK$3:$AK$98,J$1,工数管理!$S$3:$S$98,"&lt;="&amp;$H202,工数管理!$T$3:$T$98,"")+COUNTIFS(工数管理!$AK$3:$AK$98,J$1,工数管理!$U$3:$U$98,"&lt;="&amp;$H202,工数管理!$V$3:$V$98,"")+COUNTIFS(工数管理!$AK$3:$AK$98,J$1,工数管理!$W$3:$W$98,"&lt;="&amp;$H202,工数管理!$X$3:$X$98,"")+COUNTIFS(工数管理!$AK$3:$AK$98,J$1,工数管理!$Y$3:$Y$98,"&lt;="&amp;$H202,工数管理!$Z$3:$Z$98,"")+COUNTIFS(工数管理!$AK$3:$AK$98,J$1,工数管理!$AA$3:$AA$98,"&lt;="&amp;$H202,工数管理!$AB$3:$AB$98,"")+COUNTIFS(工数管理!$AK$3:$AK$98,J$1,工数管理!$AC$3:$AC$98,"&lt;="&amp;$H202,工数管理!$AD$3:$AD$98,"")+COUNTIFS(工数管理!$AK$3:$AK$98,J$1,工数管理!$AE$3:$AE$98,"&lt;="&amp;$H202,工数管理!$AF$3:$AF$98,"")+COUNTIFS(工数管理!$AK$3:$AK$98,J$1,工数管理!$AG$3:$AG$98,"&lt;="&amp;$H202,工数管理!$AH$3:$AH$98,""))*($H202&lt;=工数管理!$AI$1))</f>
        <v>0</v>
      </c>
      <c r="K202" s="42">
        <f ca="1">IF(K$1="",0,COUNTIFS(工数管理!$AK$3:$AK$98,K$1,工数管理!$K$3:$K$98,"&lt;="&amp;$H202,工数管理!$L$3:$L$98,"&gt;="&amp;$H202)+COUNTIFS(工数管理!$AK$3:$AK$98,K$1,工数管理!$M$3:$M$98,"&lt;="&amp;$H202,工数管理!$N$3:$N$98,"&gt;="&amp;$H202)+COUNTIFS(工数管理!$AK$3:$AK$98,K$1,工数管理!$O$3:$O$98,"&lt;="&amp;$H202,工数管理!$P$3:$P$98,"&gt;="&amp;$H202)+COUNTIFS(工数管理!$AK$3:$AK$98,K$1,工数管理!$Q$3:$Q$98,"&lt;="&amp;$H202,工数管理!$R$3:$R$98,"&gt;="&amp;$H202)+COUNTIFS(工数管理!$AK$3:$AK$98,K$1,工数管理!$S$3:$S$98,"&lt;="&amp;$H202,工数管理!$T$3:$T$98,"&gt;="&amp;$H202)+COUNTIFS(工数管理!$AK$3:$AK$98,K$1,工数管理!$U$3:$U$98,"&lt;="&amp;$H202,工数管理!$V$3:$V$98,"&gt;="&amp;$H202)+COUNTIFS(工数管理!$AK$3:$AK$98,K$1,工数管理!$W$3:$W$98,"&lt;="&amp;$H202,工数管理!$X$3:$X$98,"&gt;="&amp;$H202)+COUNTIFS(工数管理!$AK$3:$AK$98,K$1,工数管理!$Y$3:$Y$98,"&lt;="&amp;$H202,工数管理!$Z$3:$Z$98,"&gt;="&amp;$H202)+COUNTIFS(工数管理!$AK$3:$AK$98,K$1,工数管理!$AA$3:$AA$98,"&lt;="&amp;$H202,工数管理!$AB$3:$AB$98,"&gt;="&amp;$H202)+COUNTIFS(工数管理!$AK$3:$AK$98,K$1,工数管理!$AC$3:$AC$98,"&lt;="&amp;$H202,工数管理!$AD$3:$AD$98,"&gt;="&amp;$H202)+COUNTIFS(工数管理!$AK$3:$AK$98,K$1,工数管理!$AE$3:$AE$98,"&lt;="&amp;$H202,工数管理!$AF$3:$AF$98,"&gt;="&amp;$H202)+COUNTIFS(工数管理!$AK$3:$AK$98,K$1,工数管理!$AG$3:$AG$98,"&lt;="&amp;$H202,工数管理!$AH$3:$AH$98,"&gt;="&amp;$H202)+(COUNTIFS(工数管理!$AK$3:$AK$98,K$1,工数管理!$K$3:$K$98,"&lt;="&amp;$H202,工数管理!$L$3:$L$98,"")+COUNTIFS(工数管理!$AK$3:$AK$98,K$1,工数管理!$M$3:$M$98,"&lt;="&amp;$H202,工数管理!$N$3:$N$98,"")+COUNTIFS(工数管理!$AK$3:$AK$98,K$1,工数管理!$O$3:$O$98,"&lt;="&amp;$H202,工数管理!$P$3:$P$98,"")+COUNTIFS(工数管理!$AK$3:$AK$98,K$1,工数管理!$Q$3:$Q$98,"&lt;="&amp;$H202,工数管理!$R$3:$R$98,"")+COUNTIFS(工数管理!$AK$3:$AK$98,K$1,工数管理!$S$3:$S$98,"&lt;="&amp;$H202,工数管理!$T$3:$T$98,"")+COUNTIFS(工数管理!$AK$3:$AK$98,K$1,工数管理!$U$3:$U$98,"&lt;="&amp;$H202,工数管理!$V$3:$V$98,"")+COUNTIFS(工数管理!$AK$3:$AK$98,K$1,工数管理!$W$3:$W$98,"&lt;="&amp;$H202,工数管理!$X$3:$X$98,"")+COUNTIFS(工数管理!$AK$3:$AK$98,K$1,工数管理!$Y$3:$Y$98,"&lt;="&amp;$H202,工数管理!$Z$3:$Z$98,"")+COUNTIFS(工数管理!$AK$3:$AK$98,K$1,工数管理!$AA$3:$AA$98,"&lt;="&amp;$H202,工数管理!$AB$3:$AB$98,"")+COUNTIFS(工数管理!$AK$3:$AK$98,K$1,工数管理!$AC$3:$AC$98,"&lt;="&amp;$H202,工数管理!$AD$3:$AD$98,"")+COUNTIFS(工数管理!$AK$3:$AK$98,K$1,工数管理!$AE$3:$AE$98,"&lt;="&amp;$H202,工数管理!$AF$3:$AF$98,"")+COUNTIFS(工数管理!$AK$3:$AK$98,K$1,工数管理!$AG$3:$AG$98,"&lt;="&amp;$H202,工数管理!$AH$3:$AH$98,""))*($H202&lt;=工数管理!$AI$1))</f>
        <v>0</v>
      </c>
      <c r="L202" s="42">
        <f ca="1">IF(L$1="",0,COUNTIFS(工数管理!$AK$3:$AK$98,L$1,工数管理!$K$3:$K$98,"&lt;="&amp;$H202,工数管理!$L$3:$L$98,"&gt;="&amp;$H202)+COUNTIFS(工数管理!$AK$3:$AK$98,L$1,工数管理!$M$3:$M$98,"&lt;="&amp;$H202,工数管理!$N$3:$N$98,"&gt;="&amp;$H202)+COUNTIFS(工数管理!$AK$3:$AK$98,L$1,工数管理!$O$3:$O$98,"&lt;="&amp;$H202,工数管理!$P$3:$P$98,"&gt;="&amp;$H202)+COUNTIFS(工数管理!$AK$3:$AK$98,L$1,工数管理!$Q$3:$Q$98,"&lt;="&amp;$H202,工数管理!$R$3:$R$98,"&gt;="&amp;$H202)+COUNTIFS(工数管理!$AK$3:$AK$98,L$1,工数管理!$S$3:$S$98,"&lt;="&amp;$H202,工数管理!$T$3:$T$98,"&gt;="&amp;$H202)+COUNTIFS(工数管理!$AK$3:$AK$98,L$1,工数管理!$U$3:$U$98,"&lt;="&amp;$H202,工数管理!$V$3:$V$98,"&gt;="&amp;$H202)+COUNTIFS(工数管理!$AK$3:$AK$98,L$1,工数管理!$W$3:$W$98,"&lt;="&amp;$H202,工数管理!$X$3:$X$98,"&gt;="&amp;$H202)+COUNTIFS(工数管理!$AK$3:$AK$98,L$1,工数管理!$Y$3:$Y$98,"&lt;="&amp;$H202,工数管理!$Z$3:$Z$98,"&gt;="&amp;$H202)+COUNTIFS(工数管理!$AK$3:$AK$98,L$1,工数管理!$AA$3:$AA$98,"&lt;="&amp;$H202,工数管理!$AB$3:$AB$98,"&gt;="&amp;$H202)+COUNTIFS(工数管理!$AK$3:$AK$98,L$1,工数管理!$AC$3:$AC$98,"&lt;="&amp;$H202,工数管理!$AD$3:$AD$98,"&gt;="&amp;$H202)+COUNTIFS(工数管理!$AK$3:$AK$98,L$1,工数管理!$AE$3:$AE$98,"&lt;="&amp;$H202,工数管理!$AF$3:$AF$98,"&gt;="&amp;$H202)+COUNTIFS(工数管理!$AK$3:$AK$98,L$1,工数管理!$AG$3:$AG$98,"&lt;="&amp;$H202,工数管理!$AH$3:$AH$98,"&gt;="&amp;$H202)+(COUNTIFS(工数管理!$AK$3:$AK$98,L$1,工数管理!$K$3:$K$98,"&lt;="&amp;$H202,工数管理!$L$3:$L$98,"")+COUNTIFS(工数管理!$AK$3:$AK$98,L$1,工数管理!$M$3:$M$98,"&lt;="&amp;$H202,工数管理!$N$3:$N$98,"")+COUNTIFS(工数管理!$AK$3:$AK$98,L$1,工数管理!$O$3:$O$98,"&lt;="&amp;$H202,工数管理!$P$3:$P$98,"")+COUNTIFS(工数管理!$AK$3:$AK$98,L$1,工数管理!$Q$3:$Q$98,"&lt;="&amp;$H202,工数管理!$R$3:$R$98,"")+COUNTIFS(工数管理!$AK$3:$AK$98,L$1,工数管理!$S$3:$S$98,"&lt;="&amp;$H202,工数管理!$T$3:$T$98,"")+COUNTIFS(工数管理!$AK$3:$AK$98,L$1,工数管理!$U$3:$U$98,"&lt;="&amp;$H202,工数管理!$V$3:$V$98,"")+COUNTIFS(工数管理!$AK$3:$AK$98,L$1,工数管理!$W$3:$W$98,"&lt;="&amp;$H202,工数管理!$X$3:$X$98,"")+COUNTIFS(工数管理!$AK$3:$AK$98,L$1,工数管理!$Y$3:$Y$98,"&lt;="&amp;$H202,工数管理!$Z$3:$Z$98,"")+COUNTIFS(工数管理!$AK$3:$AK$98,L$1,工数管理!$AA$3:$AA$98,"&lt;="&amp;$H202,工数管理!$AB$3:$AB$98,"")+COUNTIFS(工数管理!$AK$3:$AK$98,L$1,工数管理!$AC$3:$AC$98,"&lt;="&amp;$H202,工数管理!$AD$3:$AD$98,"")+COUNTIFS(工数管理!$AK$3:$AK$98,L$1,工数管理!$AE$3:$AE$98,"&lt;="&amp;$H202,工数管理!$AF$3:$AF$98,"")+COUNTIFS(工数管理!$AK$3:$AK$98,L$1,工数管理!$AG$3:$AG$98,"&lt;="&amp;$H202,工数管理!$AH$3:$AH$98,""))*($H202&lt;=工数管理!$AI$1))</f>
        <v>0</v>
      </c>
    </row>
    <row r="203" spans="1:12" x14ac:dyDescent="0.15">
      <c r="A203" s="5"/>
      <c r="B203" s="6"/>
      <c r="H203" s="41">
        <f t="shared" si="7"/>
        <v>46371</v>
      </c>
      <c r="I203" s="42">
        <f t="shared" si="6"/>
        <v>1</v>
      </c>
      <c r="J203" s="42">
        <f ca="1">IF(J$1="",0,COUNTIFS(工数管理!$AK$3:$AK$98,J$1,工数管理!$K$3:$K$98,"&lt;="&amp;$H203,工数管理!$L$3:$L$98,"&gt;="&amp;$H203)+COUNTIFS(工数管理!$AK$3:$AK$98,J$1,工数管理!$M$3:$M$98,"&lt;="&amp;$H203,工数管理!$N$3:$N$98,"&gt;="&amp;$H203)+COUNTIFS(工数管理!$AK$3:$AK$98,J$1,工数管理!$O$3:$O$98,"&lt;="&amp;$H203,工数管理!$P$3:$P$98,"&gt;="&amp;$H203)+COUNTIFS(工数管理!$AK$3:$AK$98,J$1,工数管理!$Q$3:$Q$98,"&lt;="&amp;$H203,工数管理!$R$3:$R$98,"&gt;="&amp;$H203)+COUNTIFS(工数管理!$AK$3:$AK$98,J$1,工数管理!$S$3:$S$98,"&lt;="&amp;$H203,工数管理!$T$3:$T$98,"&gt;="&amp;$H203)+COUNTIFS(工数管理!$AK$3:$AK$98,J$1,工数管理!$U$3:$U$98,"&lt;="&amp;$H203,工数管理!$V$3:$V$98,"&gt;="&amp;$H203)+COUNTIFS(工数管理!$AK$3:$AK$98,J$1,工数管理!$W$3:$W$98,"&lt;="&amp;$H203,工数管理!$X$3:$X$98,"&gt;="&amp;$H203)+COUNTIFS(工数管理!$AK$3:$AK$98,J$1,工数管理!$Y$3:$Y$98,"&lt;="&amp;$H203,工数管理!$Z$3:$Z$98,"&gt;="&amp;$H203)+COUNTIFS(工数管理!$AK$3:$AK$98,J$1,工数管理!$AA$3:$AA$98,"&lt;="&amp;$H203,工数管理!$AB$3:$AB$98,"&gt;="&amp;$H203)+COUNTIFS(工数管理!$AK$3:$AK$98,J$1,工数管理!$AC$3:$AC$98,"&lt;="&amp;$H203,工数管理!$AD$3:$AD$98,"&gt;="&amp;$H203)+COUNTIFS(工数管理!$AK$3:$AK$98,J$1,工数管理!$AE$3:$AE$98,"&lt;="&amp;$H203,工数管理!$AF$3:$AF$98,"&gt;="&amp;$H203)+COUNTIFS(工数管理!$AK$3:$AK$98,J$1,工数管理!$AG$3:$AG$98,"&lt;="&amp;$H203,工数管理!$AH$3:$AH$98,"&gt;="&amp;$H203)+(COUNTIFS(工数管理!$AK$3:$AK$98,J$1,工数管理!$K$3:$K$98,"&lt;="&amp;$H203,工数管理!$L$3:$L$98,"")+COUNTIFS(工数管理!$AK$3:$AK$98,J$1,工数管理!$M$3:$M$98,"&lt;="&amp;$H203,工数管理!$N$3:$N$98,"")+COUNTIFS(工数管理!$AK$3:$AK$98,J$1,工数管理!$O$3:$O$98,"&lt;="&amp;$H203,工数管理!$P$3:$P$98,"")+COUNTIFS(工数管理!$AK$3:$AK$98,J$1,工数管理!$Q$3:$Q$98,"&lt;="&amp;$H203,工数管理!$R$3:$R$98,"")+COUNTIFS(工数管理!$AK$3:$AK$98,J$1,工数管理!$S$3:$S$98,"&lt;="&amp;$H203,工数管理!$T$3:$T$98,"")+COUNTIFS(工数管理!$AK$3:$AK$98,J$1,工数管理!$U$3:$U$98,"&lt;="&amp;$H203,工数管理!$V$3:$V$98,"")+COUNTIFS(工数管理!$AK$3:$AK$98,J$1,工数管理!$W$3:$W$98,"&lt;="&amp;$H203,工数管理!$X$3:$X$98,"")+COUNTIFS(工数管理!$AK$3:$AK$98,J$1,工数管理!$Y$3:$Y$98,"&lt;="&amp;$H203,工数管理!$Z$3:$Z$98,"")+COUNTIFS(工数管理!$AK$3:$AK$98,J$1,工数管理!$AA$3:$AA$98,"&lt;="&amp;$H203,工数管理!$AB$3:$AB$98,"")+COUNTIFS(工数管理!$AK$3:$AK$98,J$1,工数管理!$AC$3:$AC$98,"&lt;="&amp;$H203,工数管理!$AD$3:$AD$98,"")+COUNTIFS(工数管理!$AK$3:$AK$98,J$1,工数管理!$AE$3:$AE$98,"&lt;="&amp;$H203,工数管理!$AF$3:$AF$98,"")+COUNTIFS(工数管理!$AK$3:$AK$98,J$1,工数管理!$AG$3:$AG$98,"&lt;="&amp;$H203,工数管理!$AH$3:$AH$98,""))*($H203&lt;=工数管理!$AI$1))</f>
        <v>0</v>
      </c>
      <c r="K203" s="42">
        <f ca="1">IF(K$1="",0,COUNTIFS(工数管理!$AK$3:$AK$98,K$1,工数管理!$K$3:$K$98,"&lt;="&amp;$H203,工数管理!$L$3:$L$98,"&gt;="&amp;$H203)+COUNTIFS(工数管理!$AK$3:$AK$98,K$1,工数管理!$M$3:$M$98,"&lt;="&amp;$H203,工数管理!$N$3:$N$98,"&gt;="&amp;$H203)+COUNTIFS(工数管理!$AK$3:$AK$98,K$1,工数管理!$O$3:$O$98,"&lt;="&amp;$H203,工数管理!$P$3:$P$98,"&gt;="&amp;$H203)+COUNTIFS(工数管理!$AK$3:$AK$98,K$1,工数管理!$Q$3:$Q$98,"&lt;="&amp;$H203,工数管理!$R$3:$R$98,"&gt;="&amp;$H203)+COUNTIFS(工数管理!$AK$3:$AK$98,K$1,工数管理!$S$3:$S$98,"&lt;="&amp;$H203,工数管理!$T$3:$T$98,"&gt;="&amp;$H203)+COUNTIFS(工数管理!$AK$3:$AK$98,K$1,工数管理!$U$3:$U$98,"&lt;="&amp;$H203,工数管理!$V$3:$V$98,"&gt;="&amp;$H203)+COUNTIFS(工数管理!$AK$3:$AK$98,K$1,工数管理!$W$3:$W$98,"&lt;="&amp;$H203,工数管理!$X$3:$X$98,"&gt;="&amp;$H203)+COUNTIFS(工数管理!$AK$3:$AK$98,K$1,工数管理!$Y$3:$Y$98,"&lt;="&amp;$H203,工数管理!$Z$3:$Z$98,"&gt;="&amp;$H203)+COUNTIFS(工数管理!$AK$3:$AK$98,K$1,工数管理!$AA$3:$AA$98,"&lt;="&amp;$H203,工数管理!$AB$3:$AB$98,"&gt;="&amp;$H203)+COUNTIFS(工数管理!$AK$3:$AK$98,K$1,工数管理!$AC$3:$AC$98,"&lt;="&amp;$H203,工数管理!$AD$3:$AD$98,"&gt;="&amp;$H203)+COUNTIFS(工数管理!$AK$3:$AK$98,K$1,工数管理!$AE$3:$AE$98,"&lt;="&amp;$H203,工数管理!$AF$3:$AF$98,"&gt;="&amp;$H203)+COUNTIFS(工数管理!$AK$3:$AK$98,K$1,工数管理!$AG$3:$AG$98,"&lt;="&amp;$H203,工数管理!$AH$3:$AH$98,"&gt;="&amp;$H203)+(COUNTIFS(工数管理!$AK$3:$AK$98,K$1,工数管理!$K$3:$K$98,"&lt;="&amp;$H203,工数管理!$L$3:$L$98,"")+COUNTIFS(工数管理!$AK$3:$AK$98,K$1,工数管理!$M$3:$M$98,"&lt;="&amp;$H203,工数管理!$N$3:$N$98,"")+COUNTIFS(工数管理!$AK$3:$AK$98,K$1,工数管理!$O$3:$O$98,"&lt;="&amp;$H203,工数管理!$P$3:$P$98,"")+COUNTIFS(工数管理!$AK$3:$AK$98,K$1,工数管理!$Q$3:$Q$98,"&lt;="&amp;$H203,工数管理!$R$3:$R$98,"")+COUNTIFS(工数管理!$AK$3:$AK$98,K$1,工数管理!$S$3:$S$98,"&lt;="&amp;$H203,工数管理!$T$3:$T$98,"")+COUNTIFS(工数管理!$AK$3:$AK$98,K$1,工数管理!$U$3:$U$98,"&lt;="&amp;$H203,工数管理!$V$3:$V$98,"")+COUNTIFS(工数管理!$AK$3:$AK$98,K$1,工数管理!$W$3:$W$98,"&lt;="&amp;$H203,工数管理!$X$3:$X$98,"")+COUNTIFS(工数管理!$AK$3:$AK$98,K$1,工数管理!$Y$3:$Y$98,"&lt;="&amp;$H203,工数管理!$Z$3:$Z$98,"")+COUNTIFS(工数管理!$AK$3:$AK$98,K$1,工数管理!$AA$3:$AA$98,"&lt;="&amp;$H203,工数管理!$AB$3:$AB$98,"")+COUNTIFS(工数管理!$AK$3:$AK$98,K$1,工数管理!$AC$3:$AC$98,"&lt;="&amp;$H203,工数管理!$AD$3:$AD$98,"")+COUNTIFS(工数管理!$AK$3:$AK$98,K$1,工数管理!$AE$3:$AE$98,"&lt;="&amp;$H203,工数管理!$AF$3:$AF$98,"")+COUNTIFS(工数管理!$AK$3:$AK$98,K$1,工数管理!$AG$3:$AG$98,"&lt;="&amp;$H203,工数管理!$AH$3:$AH$98,""))*($H203&lt;=工数管理!$AI$1))</f>
        <v>0</v>
      </c>
      <c r="L203" s="42">
        <f ca="1">IF(L$1="",0,COUNTIFS(工数管理!$AK$3:$AK$98,L$1,工数管理!$K$3:$K$98,"&lt;="&amp;$H203,工数管理!$L$3:$L$98,"&gt;="&amp;$H203)+COUNTIFS(工数管理!$AK$3:$AK$98,L$1,工数管理!$M$3:$M$98,"&lt;="&amp;$H203,工数管理!$N$3:$N$98,"&gt;="&amp;$H203)+COUNTIFS(工数管理!$AK$3:$AK$98,L$1,工数管理!$O$3:$O$98,"&lt;="&amp;$H203,工数管理!$P$3:$P$98,"&gt;="&amp;$H203)+COUNTIFS(工数管理!$AK$3:$AK$98,L$1,工数管理!$Q$3:$Q$98,"&lt;="&amp;$H203,工数管理!$R$3:$R$98,"&gt;="&amp;$H203)+COUNTIFS(工数管理!$AK$3:$AK$98,L$1,工数管理!$S$3:$S$98,"&lt;="&amp;$H203,工数管理!$T$3:$T$98,"&gt;="&amp;$H203)+COUNTIFS(工数管理!$AK$3:$AK$98,L$1,工数管理!$U$3:$U$98,"&lt;="&amp;$H203,工数管理!$V$3:$V$98,"&gt;="&amp;$H203)+COUNTIFS(工数管理!$AK$3:$AK$98,L$1,工数管理!$W$3:$W$98,"&lt;="&amp;$H203,工数管理!$X$3:$X$98,"&gt;="&amp;$H203)+COUNTIFS(工数管理!$AK$3:$AK$98,L$1,工数管理!$Y$3:$Y$98,"&lt;="&amp;$H203,工数管理!$Z$3:$Z$98,"&gt;="&amp;$H203)+COUNTIFS(工数管理!$AK$3:$AK$98,L$1,工数管理!$AA$3:$AA$98,"&lt;="&amp;$H203,工数管理!$AB$3:$AB$98,"&gt;="&amp;$H203)+COUNTIFS(工数管理!$AK$3:$AK$98,L$1,工数管理!$AC$3:$AC$98,"&lt;="&amp;$H203,工数管理!$AD$3:$AD$98,"&gt;="&amp;$H203)+COUNTIFS(工数管理!$AK$3:$AK$98,L$1,工数管理!$AE$3:$AE$98,"&lt;="&amp;$H203,工数管理!$AF$3:$AF$98,"&gt;="&amp;$H203)+COUNTIFS(工数管理!$AK$3:$AK$98,L$1,工数管理!$AG$3:$AG$98,"&lt;="&amp;$H203,工数管理!$AH$3:$AH$98,"&gt;="&amp;$H203)+(COUNTIFS(工数管理!$AK$3:$AK$98,L$1,工数管理!$K$3:$K$98,"&lt;="&amp;$H203,工数管理!$L$3:$L$98,"")+COUNTIFS(工数管理!$AK$3:$AK$98,L$1,工数管理!$M$3:$M$98,"&lt;="&amp;$H203,工数管理!$N$3:$N$98,"")+COUNTIFS(工数管理!$AK$3:$AK$98,L$1,工数管理!$O$3:$O$98,"&lt;="&amp;$H203,工数管理!$P$3:$P$98,"")+COUNTIFS(工数管理!$AK$3:$AK$98,L$1,工数管理!$Q$3:$Q$98,"&lt;="&amp;$H203,工数管理!$R$3:$R$98,"")+COUNTIFS(工数管理!$AK$3:$AK$98,L$1,工数管理!$S$3:$S$98,"&lt;="&amp;$H203,工数管理!$T$3:$T$98,"")+COUNTIFS(工数管理!$AK$3:$AK$98,L$1,工数管理!$U$3:$U$98,"&lt;="&amp;$H203,工数管理!$V$3:$V$98,"")+COUNTIFS(工数管理!$AK$3:$AK$98,L$1,工数管理!$W$3:$W$98,"&lt;="&amp;$H203,工数管理!$X$3:$X$98,"")+COUNTIFS(工数管理!$AK$3:$AK$98,L$1,工数管理!$Y$3:$Y$98,"&lt;="&amp;$H203,工数管理!$Z$3:$Z$98,"")+COUNTIFS(工数管理!$AK$3:$AK$98,L$1,工数管理!$AA$3:$AA$98,"&lt;="&amp;$H203,工数管理!$AB$3:$AB$98,"")+COUNTIFS(工数管理!$AK$3:$AK$98,L$1,工数管理!$AC$3:$AC$98,"&lt;="&amp;$H203,工数管理!$AD$3:$AD$98,"")+COUNTIFS(工数管理!$AK$3:$AK$98,L$1,工数管理!$AE$3:$AE$98,"&lt;="&amp;$H203,工数管理!$AF$3:$AF$98,"")+COUNTIFS(工数管理!$AK$3:$AK$98,L$1,工数管理!$AG$3:$AG$98,"&lt;="&amp;$H203,工数管理!$AH$3:$AH$98,""))*($H203&lt;=工数管理!$AI$1))</f>
        <v>0</v>
      </c>
    </row>
    <row r="204" spans="1:12" x14ac:dyDescent="0.15">
      <c r="H204" s="41">
        <f t="shared" si="7"/>
        <v>46372</v>
      </c>
      <c r="I204" s="42">
        <f t="shared" si="6"/>
        <v>1</v>
      </c>
      <c r="J204" s="42">
        <f ca="1">IF(J$1="",0,COUNTIFS(工数管理!$AK$3:$AK$98,J$1,工数管理!$K$3:$K$98,"&lt;="&amp;$H204,工数管理!$L$3:$L$98,"&gt;="&amp;$H204)+COUNTIFS(工数管理!$AK$3:$AK$98,J$1,工数管理!$M$3:$M$98,"&lt;="&amp;$H204,工数管理!$N$3:$N$98,"&gt;="&amp;$H204)+COUNTIFS(工数管理!$AK$3:$AK$98,J$1,工数管理!$O$3:$O$98,"&lt;="&amp;$H204,工数管理!$P$3:$P$98,"&gt;="&amp;$H204)+COUNTIFS(工数管理!$AK$3:$AK$98,J$1,工数管理!$Q$3:$Q$98,"&lt;="&amp;$H204,工数管理!$R$3:$R$98,"&gt;="&amp;$H204)+COUNTIFS(工数管理!$AK$3:$AK$98,J$1,工数管理!$S$3:$S$98,"&lt;="&amp;$H204,工数管理!$T$3:$T$98,"&gt;="&amp;$H204)+COUNTIFS(工数管理!$AK$3:$AK$98,J$1,工数管理!$U$3:$U$98,"&lt;="&amp;$H204,工数管理!$V$3:$V$98,"&gt;="&amp;$H204)+COUNTIFS(工数管理!$AK$3:$AK$98,J$1,工数管理!$W$3:$W$98,"&lt;="&amp;$H204,工数管理!$X$3:$X$98,"&gt;="&amp;$H204)+COUNTIFS(工数管理!$AK$3:$AK$98,J$1,工数管理!$Y$3:$Y$98,"&lt;="&amp;$H204,工数管理!$Z$3:$Z$98,"&gt;="&amp;$H204)+COUNTIFS(工数管理!$AK$3:$AK$98,J$1,工数管理!$AA$3:$AA$98,"&lt;="&amp;$H204,工数管理!$AB$3:$AB$98,"&gt;="&amp;$H204)+COUNTIFS(工数管理!$AK$3:$AK$98,J$1,工数管理!$AC$3:$AC$98,"&lt;="&amp;$H204,工数管理!$AD$3:$AD$98,"&gt;="&amp;$H204)+COUNTIFS(工数管理!$AK$3:$AK$98,J$1,工数管理!$AE$3:$AE$98,"&lt;="&amp;$H204,工数管理!$AF$3:$AF$98,"&gt;="&amp;$H204)+COUNTIFS(工数管理!$AK$3:$AK$98,J$1,工数管理!$AG$3:$AG$98,"&lt;="&amp;$H204,工数管理!$AH$3:$AH$98,"&gt;="&amp;$H204)+(COUNTIFS(工数管理!$AK$3:$AK$98,J$1,工数管理!$K$3:$K$98,"&lt;="&amp;$H204,工数管理!$L$3:$L$98,"")+COUNTIFS(工数管理!$AK$3:$AK$98,J$1,工数管理!$M$3:$M$98,"&lt;="&amp;$H204,工数管理!$N$3:$N$98,"")+COUNTIFS(工数管理!$AK$3:$AK$98,J$1,工数管理!$O$3:$O$98,"&lt;="&amp;$H204,工数管理!$P$3:$P$98,"")+COUNTIFS(工数管理!$AK$3:$AK$98,J$1,工数管理!$Q$3:$Q$98,"&lt;="&amp;$H204,工数管理!$R$3:$R$98,"")+COUNTIFS(工数管理!$AK$3:$AK$98,J$1,工数管理!$S$3:$S$98,"&lt;="&amp;$H204,工数管理!$T$3:$T$98,"")+COUNTIFS(工数管理!$AK$3:$AK$98,J$1,工数管理!$U$3:$U$98,"&lt;="&amp;$H204,工数管理!$V$3:$V$98,"")+COUNTIFS(工数管理!$AK$3:$AK$98,J$1,工数管理!$W$3:$W$98,"&lt;="&amp;$H204,工数管理!$X$3:$X$98,"")+COUNTIFS(工数管理!$AK$3:$AK$98,J$1,工数管理!$Y$3:$Y$98,"&lt;="&amp;$H204,工数管理!$Z$3:$Z$98,"")+COUNTIFS(工数管理!$AK$3:$AK$98,J$1,工数管理!$AA$3:$AA$98,"&lt;="&amp;$H204,工数管理!$AB$3:$AB$98,"")+COUNTIFS(工数管理!$AK$3:$AK$98,J$1,工数管理!$AC$3:$AC$98,"&lt;="&amp;$H204,工数管理!$AD$3:$AD$98,"")+COUNTIFS(工数管理!$AK$3:$AK$98,J$1,工数管理!$AE$3:$AE$98,"&lt;="&amp;$H204,工数管理!$AF$3:$AF$98,"")+COUNTIFS(工数管理!$AK$3:$AK$98,J$1,工数管理!$AG$3:$AG$98,"&lt;="&amp;$H204,工数管理!$AH$3:$AH$98,""))*($H204&lt;=工数管理!$AI$1))</f>
        <v>0</v>
      </c>
      <c r="K204" s="42">
        <f ca="1">IF(K$1="",0,COUNTIFS(工数管理!$AK$3:$AK$98,K$1,工数管理!$K$3:$K$98,"&lt;="&amp;$H204,工数管理!$L$3:$L$98,"&gt;="&amp;$H204)+COUNTIFS(工数管理!$AK$3:$AK$98,K$1,工数管理!$M$3:$M$98,"&lt;="&amp;$H204,工数管理!$N$3:$N$98,"&gt;="&amp;$H204)+COUNTIFS(工数管理!$AK$3:$AK$98,K$1,工数管理!$O$3:$O$98,"&lt;="&amp;$H204,工数管理!$P$3:$P$98,"&gt;="&amp;$H204)+COUNTIFS(工数管理!$AK$3:$AK$98,K$1,工数管理!$Q$3:$Q$98,"&lt;="&amp;$H204,工数管理!$R$3:$R$98,"&gt;="&amp;$H204)+COUNTIFS(工数管理!$AK$3:$AK$98,K$1,工数管理!$S$3:$S$98,"&lt;="&amp;$H204,工数管理!$T$3:$T$98,"&gt;="&amp;$H204)+COUNTIFS(工数管理!$AK$3:$AK$98,K$1,工数管理!$U$3:$U$98,"&lt;="&amp;$H204,工数管理!$V$3:$V$98,"&gt;="&amp;$H204)+COUNTIFS(工数管理!$AK$3:$AK$98,K$1,工数管理!$W$3:$W$98,"&lt;="&amp;$H204,工数管理!$X$3:$X$98,"&gt;="&amp;$H204)+COUNTIFS(工数管理!$AK$3:$AK$98,K$1,工数管理!$Y$3:$Y$98,"&lt;="&amp;$H204,工数管理!$Z$3:$Z$98,"&gt;="&amp;$H204)+COUNTIFS(工数管理!$AK$3:$AK$98,K$1,工数管理!$AA$3:$AA$98,"&lt;="&amp;$H204,工数管理!$AB$3:$AB$98,"&gt;="&amp;$H204)+COUNTIFS(工数管理!$AK$3:$AK$98,K$1,工数管理!$AC$3:$AC$98,"&lt;="&amp;$H204,工数管理!$AD$3:$AD$98,"&gt;="&amp;$H204)+COUNTIFS(工数管理!$AK$3:$AK$98,K$1,工数管理!$AE$3:$AE$98,"&lt;="&amp;$H204,工数管理!$AF$3:$AF$98,"&gt;="&amp;$H204)+COUNTIFS(工数管理!$AK$3:$AK$98,K$1,工数管理!$AG$3:$AG$98,"&lt;="&amp;$H204,工数管理!$AH$3:$AH$98,"&gt;="&amp;$H204)+(COUNTIFS(工数管理!$AK$3:$AK$98,K$1,工数管理!$K$3:$K$98,"&lt;="&amp;$H204,工数管理!$L$3:$L$98,"")+COUNTIFS(工数管理!$AK$3:$AK$98,K$1,工数管理!$M$3:$M$98,"&lt;="&amp;$H204,工数管理!$N$3:$N$98,"")+COUNTIFS(工数管理!$AK$3:$AK$98,K$1,工数管理!$O$3:$O$98,"&lt;="&amp;$H204,工数管理!$P$3:$P$98,"")+COUNTIFS(工数管理!$AK$3:$AK$98,K$1,工数管理!$Q$3:$Q$98,"&lt;="&amp;$H204,工数管理!$R$3:$R$98,"")+COUNTIFS(工数管理!$AK$3:$AK$98,K$1,工数管理!$S$3:$S$98,"&lt;="&amp;$H204,工数管理!$T$3:$T$98,"")+COUNTIFS(工数管理!$AK$3:$AK$98,K$1,工数管理!$U$3:$U$98,"&lt;="&amp;$H204,工数管理!$V$3:$V$98,"")+COUNTIFS(工数管理!$AK$3:$AK$98,K$1,工数管理!$W$3:$W$98,"&lt;="&amp;$H204,工数管理!$X$3:$X$98,"")+COUNTIFS(工数管理!$AK$3:$AK$98,K$1,工数管理!$Y$3:$Y$98,"&lt;="&amp;$H204,工数管理!$Z$3:$Z$98,"")+COUNTIFS(工数管理!$AK$3:$AK$98,K$1,工数管理!$AA$3:$AA$98,"&lt;="&amp;$H204,工数管理!$AB$3:$AB$98,"")+COUNTIFS(工数管理!$AK$3:$AK$98,K$1,工数管理!$AC$3:$AC$98,"&lt;="&amp;$H204,工数管理!$AD$3:$AD$98,"")+COUNTIFS(工数管理!$AK$3:$AK$98,K$1,工数管理!$AE$3:$AE$98,"&lt;="&amp;$H204,工数管理!$AF$3:$AF$98,"")+COUNTIFS(工数管理!$AK$3:$AK$98,K$1,工数管理!$AG$3:$AG$98,"&lt;="&amp;$H204,工数管理!$AH$3:$AH$98,""))*($H204&lt;=工数管理!$AI$1))</f>
        <v>0</v>
      </c>
      <c r="L204" s="42">
        <f ca="1">IF(L$1="",0,COUNTIFS(工数管理!$AK$3:$AK$98,L$1,工数管理!$K$3:$K$98,"&lt;="&amp;$H204,工数管理!$L$3:$L$98,"&gt;="&amp;$H204)+COUNTIFS(工数管理!$AK$3:$AK$98,L$1,工数管理!$M$3:$M$98,"&lt;="&amp;$H204,工数管理!$N$3:$N$98,"&gt;="&amp;$H204)+COUNTIFS(工数管理!$AK$3:$AK$98,L$1,工数管理!$O$3:$O$98,"&lt;="&amp;$H204,工数管理!$P$3:$P$98,"&gt;="&amp;$H204)+COUNTIFS(工数管理!$AK$3:$AK$98,L$1,工数管理!$Q$3:$Q$98,"&lt;="&amp;$H204,工数管理!$R$3:$R$98,"&gt;="&amp;$H204)+COUNTIFS(工数管理!$AK$3:$AK$98,L$1,工数管理!$S$3:$S$98,"&lt;="&amp;$H204,工数管理!$T$3:$T$98,"&gt;="&amp;$H204)+COUNTIFS(工数管理!$AK$3:$AK$98,L$1,工数管理!$U$3:$U$98,"&lt;="&amp;$H204,工数管理!$V$3:$V$98,"&gt;="&amp;$H204)+COUNTIFS(工数管理!$AK$3:$AK$98,L$1,工数管理!$W$3:$W$98,"&lt;="&amp;$H204,工数管理!$X$3:$X$98,"&gt;="&amp;$H204)+COUNTIFS(工数管理!$AK$3:$AK$98,L$1,工数管理!$Y$3:$Y$98,"&lt;="&amp;$H204,工数管理!$Z$3:$Z$98,"&gt;="&amp;$H204)+COUNTIFS(工数管理!$AK$3:$AK$98,L$1,工数管理!$AA$3:$AA$98,"&lt;="&amp;$H204,工数管理!$AB$3:$AB$98,"&gt;="&amp;$H204)+COUNTIFS(工数管理!$AK$3:$AK$98,L$1,工数管理!$AC$3:$AC$98,"&lt;="&amp;$H204,工数管理!$AD$3:$AD$98,"&gt;="&amp;$H204)+COUNTIFS(工数管理!$AK$3:$AK$98,L$1,工数管理!$AE$3:$AE$98,"&lt;="&amp;$H204,工数管理!$AF$3:$AF$98,"&gt;="&amp;$H204)+COUNTIFS(工数管理!$AK$3:$AK$98,L$1,工数管理!$AG$3:$AG$98,"&lt;="&amp;$H204,工数管理!$AH$3:$AH$98,"&gt;="&amp;$H204)+(COUNTIFS(工数管理!$AK$3:$AK$98,L$1,工数管理!$K$3:$K$98,"&lt;="&amp;$H204,工数管理!$L$3:$L$98,"")+COUNTIFS(工数管理!$AK$3:$AK$98,L$1,工数管理!$M$3:$M$98,"&lt;="&amp;$H204,工数管理!$N$3:$N$98,"")+COUNTIFS(工数管理!$AK$3:$AK$98,L$1,工数管理!$O$3:$O$98,"&lt;="&amp;$H204,工数管理!$P$3:$P$98,"")+COUNTIFS(工数管理!$AK$3:$AK$98,L$1,工数管理!$Q$3:$Q$98,"&lt;="&amp;$H204,工数管理!$R$3:$R$98,"")+COUNTIFS(工数管理!$AK$3:$AK$98,L$1,工数管理!$S$3:$S$98,"&lt;="&amp;$H204,工数管理!$T$3:$T$98,"")+COUNTIFS(工数管理!$AK$3:$AK$98,L$1,工数管理!$U$3:$U$98,"&lt;="&amp;$H204,工数管理!$V$3:$V$98,"")+COUNTIFS(工数管理!$AK$3:$AK$98,L$1,工数管理!$W$3:$W$98,"&lt;="&amp;$H204,工数管理!$X$3:$X$98,"")+COUNTIFS(工数管理!$AK$3:$AK$98,L$1,工数管理!$Y$3:$Y$98,"&lt;="&amp;$H204,工数管理!$Z$3:$Z$98,"")+COUNTIFS(工数管理!$AK$3:$AK$98,L$1,工数管理!$AA$3:$AA$98,"&lt;="&amp;$H204,工数管理!$AB$3:$AB$98,"")+COUNTIFS(工数管理!$AK$3:$AK$98,L$1,工数管理!$AC$3:$AC$98,"&lt;="&amp;$H204,工数管理!$AD$3:$AD$98,"")+COUNTIFS(工数管理!$AK$3:$AK$98,L$1,工数管理!$AE$3:$AE$98,"&lt;="&amp;$H204,工数管理!$AF$3:$AF$98,"")+COUNTIFS(工数管理!$AK$3:$AK$98,L$1,工数管理!$AG$3:$AG$98,"&lt;="&amp;$H204,工数管理!$AH$3:$AH$98,""))*($H204&lt;=工数管理!$AI$1))</f>
        <v>0</v>
      </c>
    </row>
    <row r="205" spans="1:12" x14ac:dyDescent="0.15">
      <c r="H205" s="41">
        <f t="shared" si="7"/>
        <v>46373</v>
      </c>
      <c r="I205" s="42">
        <f t="shared" si="6"/>
        <v>1</v>
      </c>
      <c r="J205" s="42">
        <f ca="1">IF(J$1="",0,COUNTIFS(工数管理!$AK$3:$AK$98,J$1,工数管理!$K$3:$K$98,"&lt;="&amp;$H205,工数管理!$L$3:$L$98,"&gt;="&amp;$H205)+COUNTIFS(工数管理!$AK$3:$AK$98,J$1,工数管理!$M$3:$M$98,"&lt;="&amp;$H205,工数管理!$N$3:$N$98,"&gt;="&amp;$H205)+COUNTIFS(工数管理!$AK$3:$AK$98,J$1,工数管理!$O$3:$O$98,"&lt;="&amp;$H205,工数管理!$P$3:$P$98,"&gt;="&amp;$H205)+COUNTIFS(工数管理!$AK$3:$AK$98,J$1,工数管理!$Q$3:$Q$98,"&lt;="&amp;$H205,工数管理!$R$3:$R$98,"&gt;="&amp;$H205)+COUNTIFS(工数管理!$AK$3:$AK$98,J$1,工数管理!$S$3:$S$98,"&lt;="&amp;$H205,工数管理!$T$3:$T$98,"&gt;="&amp;$H205)+COUNTIFS(工数管理!$AK$3:$AK$98,J$1,工数管理!$U$3:$U$98,"&lt;="&amp;$H205,工数管理!$V$3:$V$98,"&gt;="&amp;$H205)+COUNTIFS(工数管理!$AK$3:$AK$98,J$1,工数管理!$W$3:$W$98,"&lt;="&amp;$H205,工数管理!$X$3:$X$98,"&gt;="&amp;$H205)+COUNTIFS(工数管理!$AK$3:$AK$98,J$1,工数管理!$Y$3:$Y$98,"&lt;="&amp;$H205,工数管理!$Z$3:$Z$98,"&gt;="&amp;$H205)+COUNTIFS(工数管理!$AK$3:$AK$98,J$1,工数管理!$AA$3:$AA$98,"&lt;="&amp;$H205,工数管理!$AB$3:$AB$98,"&gt;="&amp;$H205)+COUNTIFS(工数管理!$AK$3:$AK$98,J$1,工数管理!$AC$3:$AC$98,"&lt;="&amp;$H205,工数管理!$AD$3:$AD$98,"&gt;="&amp;$H205)+COUNTIFS(工数管理!$AK$3:$AK$98,J$1,工数管理!$AE$3:$AE$98,"&lt;="&amp;$H205,工数管理!$AF$3:$AF$98,"&gt;="&amp;$H205)+COUNTIFS(工数管理!$AK$3:$AK$98,J$1,工数管理!$AG$3:$AG$98,"&lt;="&amp;$H205,工数管理!$AH$3:$AH$98,"&gt;="&amp;$H205)+(COUNTIFS(工数管理!$AK$3:$AK$98,J$1,工数管理!$K$3:$K$98,"&lt;="&amp;$H205,工数管理!$L$3:$L$98,"")+COUNTIFS(工数管理!$AK$3:$AK$98,J$1,工数管理!$M$3:$M$98,"&lt;="&amp;$H205,工数管理!$N$3:$N$98,"")+COUNTIFS(工数管理!$AK$3:$AK$98,J$1,工数管理!$O$3:$O$98,"&lt;="&amp;$H205,工数管理!$P$3:$P$98,"")+COUNTIFS(工数管理!$AK$3:$AK$98,J$1,工数管理!$Q$3:$Q$98,"&lt;="&amp;$H205,工数管理!$R$3:$R$98,"")+COUNTIFS(工数管理!$AK$3:$AK$98,J$1,工数管理!$S$3:$S$98,"&lt;="&amp;$H205,工数管理!$T$3:$T$98,"")+COUNTIFS(工数管理!$AK$3:$AK$98,J$1,工数管理!$U$3:$U$98,"&lt;="&amp;$H205,工数管理!$V$3:$V$98,"")+COUNTIFS(工数管理!$AK$3:$AK$98,J$1,工数管理!$W$3:$W$98,"&lt;="&amp;$H205,工数管理!$X$3:$X$98,"")+COUNTIFS(工数管理!$AK$3:$AK$98,J$1,工数管理!$Y$3:$Y$98,"&lt;="&amp;$H205,工数管理!$Z$3:$Z$98,"")+COUNTIFS(工数管理!$AK$3:$AK$98,J$1,工数管理!$AA$3:$AA$98,"&lt;="&amp;$H205,工数管理!$AB$3:$AB$98,"")+COUNTIFS(工数管理!$AK$3:$AK$98,J$1,工数管理!$AC$3:$AC$98,"&lt;="&amp;$H205,工数管理!$AD$3:$AD$98,"")+COUNTIFS(工数管理!$AK$3:$AK$98,J$1,工数管理!$AE$3:$AE$98,"&lt;="&amp;$H205,工数管理!$AF$3:$AF$98,"")+COUNTIFS(工数管理!$AK$3:$AK$98,J$1,工数管理!$AG$3:$AG$98,"&lt;="&amp;$H205,工数管理!$AH$3:$AH$98,""))*($H205&lt;=工数管理!$AI$1))</f>
        <v>0</v>
      </c>
      <c r="K205" s="42">
        <f ca="1">IF(K$1="",0,COUNTIFS(工数管理!$AK$3:$AK$98,K$1,工数管理!$K$3:$K$98,"&lt;="&amp;$H205,工数管理!$L$3:$L$98,"&gt;="&amp;$H205)+COUNTIFS(工数管理!$AK$3:$AK$98,K$1,工数管理!$M$3:$M$98,"&lt;="&amp;$H205,工数管理!$N$3:$N$98,"&gt;="&amp;$H205)+COUNTIFS(工数管理!$AK$3:$AK$98,K$1,工数管理!$O$3:$O$98,"&lt;="&amp;$H205,工数管理!$P$3:$P$98,"&gt;="&amp;$H205)+COUNTIFS(工数管理!$AK$3:$AK$98,K$1,工数管理!$Q$3:$Q$98,"&lt;="&amp;$H205,工数管理!$R$3:$R$98,"&gt;="&amp;$H205)+COUNTIFS(工数管理!$AK$3:$AK$98,K$1,工数管理!$S$3:$S$98,"&lt;="&amp;$H205,工数管理!$T$3:$T$98,"&gt;="&amp;$H205)+COUNTIFS(工数管理!$AK$3:$AK$98,K$1,工数管理!$U$3:$U$98,"&lt;="&amp;$H205,工数管理!$V$3:$V$98,"&gt;="&amp;$H205)+COUNTIFS(工数管理!$AK$3:$AK$98,K$1,工数管理!$W$3:$W$98,"&lt;="&amp;$H205,工数管理!$X$3:$X$98,"&gt;="&amp;$H205)+COUNTIFS(工数管理!$AK$3:$AK$98,K$1,工数管理!$Y$3:$Y$98,"&lt;="&amp;$H205,工数管理!$Z$3:$Z$98,"&gt;="&amp;$H205)+COUNTIFS(工数管理!$AK$3:$AK$98,K$1,工数管理!$AA$3:$AA$98,"&lt;="&amp;$H205,工数管理!$AB$3:$AB$98,"&gt;="&amp;$H205)+COUNTIFS(工数管理!$AK$3:$AK$98,K$1,工数管理!$AC$3:$AC$98,"&lt;="&amp;$H205,工数管理!$AD$3:$AD$98,"&gt;="&amp;$H205)+COUNTIFS(工数管理!$AK$3:$AK$98,K$1,工数管理!$AE$3:$AE$98,"&lt;="&amp;$H205,工数管理!$AF$3:$AF$98,"&gt;="&amp;$H205)+COUNTIFS(工数管理!$AK$3:$AK$98,K$1,工数管理!$AG$3:$AG$98,"&lt;="&amp;$H205,工数管理!$AH$3:$AH$98,"&gt;="&amp;$H205)+(COUNTIFS(工数管理!$AK$3:$AK$98,K$1,工数管理!$K$3:$K$98,"&lt;="&amp;$H205,工数管理!$L$3:$L$98,"")+COUNTIFS(工数管理!$AK$3:$AK$98,K$1,工数管理!$M$3:$M$98,"&lt;="&amp;$H205,工数管理!$N$3:$N$98,"")+COUNTIFS(工数管理!$AK$3:$AK$98,K$1,工数管理!$O$3:$O$98,"&lt;="&amp;$H205,工数管理!$P$3:$P$98,"")+COUNTIFS(工数管理!$AK$3:$AK$98,K$1,工数管理!$Q$3:$Q$98,"&lt;="&amp;$H205,工数管理!$R$3:$R$98,"")+COUNTIFS(工数管理!$AK$3:$AK$98,K$1,工数管理!$S$3:$S$98,"&lt;="&amp;$H205,工数管理!$T$3:$T$98,"")+COUNTIFS(工数管理!$AK$3:$AK$98,K$1,工数管理!$U$3:$U$98,"&lt;="&amp;$H205,工数管理!$V$3:$V$98,"")+COUNTIFS(工数管理!$AK$3:$AK$98,K$1,工数管理!$W$3:$W$98,"&lt;="&amp;$H205,工数管理!$X$3:$X$98,"")+COUNTIFS(工数管理!$AK$3:$AK$98,K$1,工数管理!$Y$3:$Y$98,"&lt;="&amp;$H205,工数管理!$Z$3:$Z$98,"")+COUNTIFS(工数管理!$AK$3:$AK$98,K$1,工数管理!$AA$3:$AA$98,"&lt;="&amp;$H205,工数管理!$AB$3:$AB$98,"")+COUNTIFS(工数管理!$AK$3:$AK$98,K$1,工数管理!$AC$3:$AC$98,"&lt;="&amp;$H205,工数管理!$AD$3:$AD$98,"")+COUNTIFS(工数管理!$AK$3:$AK$98,K$1,工数管理!$AE$3:$AE$98,"&lt;="&amp;$H205,工数管理!$AF$3:$AF$98,"")+COUNTIFS(工数管理!$AK$3:$AK$98,K$1,工数管理!$AG$3:$AG$98,"&lt;="&amp;$H205,工数管理!$AH$3:$AH$98,""))*($H205&lt;=工数管理!$AI$1))</f>
        <v>0</v>
      </c>
      <c r="L205" s="42">
        <f ca="1">IF(L$1="",0,COUNTIFS(工数管理!$AK$3:$AK$98,L$1,工数管理!$K$3:$K$98,"&lt;="&amp;$H205,工数管理!$L$3:$L$98,"&gt;="&amp;$H205)+COUNTIFS(工数管理!$AK$3:$AK$98,L$1,工数管理!$M$3:$M$98,"&lt;="&amp;$H205,工数管理!$N$3:$N$98,"&gt;="&amp;$H205)+COUNTIFS(工数管理!$AK$3:$AK$98,L$1,工数管理!$O$3:$O$98,"&lt;="&amp;$H205,工数管理!$P$3:$P$98,"&gt;="&amp;$H205)+COUNTIFS(工数管理!$AK$3:$AK$98,L$1,工数管理!$Q$3:$Q$98,"&lt;="&amp;$H205,工数管理!$R$3:$R$98,"&gt;="&amp;$H205)+COUNTIFS(工数管理!$AK$3:$AK$98,L$1,工数管理!$S$3:$S$98,"&lt;="&amp;$H205,工数管理!$T$3:$T$98,"&gt;="&amp;$H205)+COUNTIFS(工数管理!$AK$3:$AK$98,L$1,工数管理!$U$3:$U$98,"&lt;="&amp;$H205,工数管理!$V$3:$V$98,"&gt;="&amp;$H205)+COUNTIFS(工数管理!$AK$3:$AK$98,L$1,工数管理!$W$3:$W$98,"&lt;="&amp;$H205,工数管理!$X$3:$X$98,"&gt;="&amp;$H205)+COUNTIFS(工数管理!$AK$3:$AK$98,L$1,工数管理!$Y$3:$Y$98,"&lt;="&amp;$H205,工数管理!$Z$3:$Z$98,"&gt;="&amp;$H205)+COUNTIFS(工数管理!$AK$3:$AK$98,L$1,工数管理!$AA$3:$AA$98,"&lt;="&amp;$H205,工数管理!$AB$3:$AB$98,"&gt;="&amp;$H205)+COUNTIFS(工数管理!$AK$3:$AK$98,L$1,工数管理!$AC$3:$AC$98,"&lt;="&amp;$H205,工数管理!$AD$3:$AD$98,"&gt;="&amp;$H205)+COUNTIFS(工数管理!$AK$3:$AK$98,L$1,工数管理!$AE$3:$AE$98,"&lt;="&amp;$H205,工数管理!$AF$3:$AF$98,"&gt;="&amp;$H205)+COUNTIFS(工数管理!$AK$3:$AK$98,L$1,工数管理!$AG$3:$AG$98,"&lt;="&amp;$H205,工数管理!$AH$3:$AH$98,"&gt;="&amp;$H205)+(COUNTIFS(工数管理!$AK$3:$AK$98,L$1,工数管理!$K$3:$K$98,"&lt;="&amp;$H205,工数管理!$L$3:$L$98,"")+COUNTIFS(工数管理!$AK$3:$AK$98,L$1,工数管理!$M$3:$M$98,"&lt;="&amp;$H205,工数管理!$N$3:$N$98,"")+COUNTIFS(工数管理!$AK$3:$AK$98,L$1,工数管理!$O$3:$O$98,"&lt;="&amp;$H205,工数管理!$P$3:$P$98,"")+COUNTIFS(工数管理!$AK$3:$AK$98,L$1,工数管理!$Q$3:$Q$98,"&lt;="&amp;$H205,工数管理!$R$3:$R$98,"")+COUNTIFS(工数管理!$AK$3:$AK$98,L$1,工数管理!$S$3:$S$98,"&lt;="&amp;$H205,工数管理!$T$3:$T$98,"")+COUNTIFS(工数管理!$AK$3:$AK$98,L$1,工数管理!$U$3:$U$98,"&lt;="&amp;$H205,工数管理!$V$3:$V$98,"")+COUNTIFS(工数管理!$AK$3:$AK$98,L$1,工数管理!$W$3:$W$98,"&lt;="&amp;$H205,工数管理!$X$3:$X$98,"")+COUNTIFS(工数管理!$AK$3:$AK$98,L$1,工数管理!$Y$3:$Y$98,"&lt;="&amp;$H205,工数管理!$Z$3:$Z$98,"")+COUNTIFS(工数管理!$AK$3:$AK$98,L$1,工数管理!$AA$3:$AA$98,"&lt;="&amp;$H205,工数管理!$AB$3:$AB$98,"")+COUNTIFS(工数管理!$AK$3:$AK$98,L$1,工数管理!$AC$3:$AC$98,"&lt;="&amp;$H205,工数管理!$AD$3:$AD$98,"")+COUNTIFS(工数管理!$AK$3:$AK$98,L$1,工数管理!$AE$3:$AE$98,"&lt;="&amp;$H205,工数管理!$AF$3:$AF$98,"")+COUNTIFS(工数管理!$AK$3:$AK$98,L$1,工数管理!$AG$3:$AG$98,"&lt;="&amp;$H205,工数管理!$AH$3:$AH$98,""))*($H205&lt;=工数管理!$AI$1))</f>
        <v>0</v>
      </c>
    </row>
    <row r="206" spans="1:12" x14ac:dyDescent="0.15">
      <c r="H206" s="41">
        <f t="shared" si="7"/>
        <v>46374</v>
      </c>
      <c r="I206" s="42">
        <f t="shared" si="6"/>
        <v>1</v>
      </c>
      <c r="J206" s="42">
        <f ca="1">IF(J$1="",0,COUNTIFS(工数管理!$AK$3:$AK$98,J$1,工数管理!$K$3:$K$98,"&lt;="&amp;$H206,工数管理!$L$3:$L$98,"&gt;="&amp;$H206)+COUNTIFS(工数管理!$AK$3:$AK$98,J$1,工数管理!$M$3:$M$98,"&lt;="&amp;$H206,工数管理!$N$3:$N$98,"&gt;="&amp;$H206)+COUNTIFS(工数管理!$AK$3:$AK$98,J$1,工数管理!$O$3:$O$98,"&lt;="&amp;$H206,工数管理!$P$3:$P$98,"&gt;="&amp;$H206)+COUNTIFS(工数管理!$AK$3:$AK$98,J$1,工数管理!$Q$3:$Q$98,"&lt;="&amp;$H206,工数管理!$R$3:$R$98,"&gt;="&amp;$H206)+COUNTIFS(工数管理!$AK$3:$AK$98,J$1,工数管理!$S$3:$S$98,"&lt;="&amp;$H206,工数管理!$T$3:$T$98,"&gt;="&amp;$H206)+COUNTIFS(工数管理!$AK$3:$AK$98,J$1,工数管理!$U$3:$U$98,"&lt;="&amp;$H206,工数管理!$V$3:$V$98,"&gt;="&amp;$H206)+COUNTIFS(工数管理!$AK$3:$AK$98,J$1,工数管理!$W$3:$W$98,"&lt;="&amp;$H206,工数管理!$X$3:$X$98,"&gt;="&amp;$H206)+COUNTIFS(工数管理!$AK$3:$AK$98,J$1,工数管理!$Y$3:$Y$98,"&lt;="&amp;$H206,工数管理!$Z$3:$Z$98,"&gt;="&amp;$H206)+COUNTIFS(工数管理!$AK$3:$AK$98,J$1,工数管理!$AA$3:$AA$98,"&lt;="&amp;$H206,工数管理!$AB$3:$AB$98,"&gt;="&amp;$H206)+COUNTIFS(工数管理!$AK$3:$AK$98,J$1,工数管理!$AC$3:$AC$98,"&lt;="&amp;$H206,工数管理!$AD$3:$AD$98,"&gt;="&amp;$H206)+COUNTIFS(工数管理!$AK$3:$AK$98,J$1,工数管理!$AE$3:$AE$98,"&lt;="&amp;$H206,工数管理!$AF$3:$AF$98,"&gt;="&amp;$H206)+COUNTIFS(工数管理!$AK$3:$AK$98,J$1,工数管理!$AG$3:$AG$98,"&lt;="&amp;$H206,工数管理!$AH$3:$AH$98,"&gt;="&amp;$H206)+(COUNTIFS(工数管理!$AK$3:$AK$98,J$1,工数管理!$K$3:$K$98,"&lt;="&amp;$H206,工数管理!$L$3:$L$98,"")+COUNTIFS(工数管理!$AK$3:$AK$98,J$1,工数管理!$M$3:$M$98,"&lt;="&amp;$H206,工数管理!$N$3:$N$98,"")+COUNTIFS(工数管理!$AK$3:$AK$98,J$1,工数管理!$O$3:$O$98,"&lt;="&amp;$H206,工数管理!$P$3:$P$98,"")+COUNTIFS(工数管理!$AK$3:$AK$98,J$1,工数管理!$Q$3:$Q$98,"&lt;="&amp;$H206,工数管理!$R$3:$R$98,"")+COUNTIFS(工数管理!$AK$3:$AK$98,J$1,工数管理!$S$3:$S$98,"&lt;="&amp;$H206,工数管理!$T$3:$T$98,"")+COUNTIFS(工数管理!$AK$3:$AK$98,J$1,工数管理!$U$3:$U$98,"&lt;="&amp;$H206,工数管理!$V$3:$V$98,"")+COUNTIFS(工数管理!$AK$3:$AK$98,J$1,工数管理!$W$3:$W$98,"&lt;="&amp;$H206,工数管理!$X$3:$X$98,"")+COUNTIFS(工数管理!$AK$3:$AK$98,J$1,工数管理!$Y$3:$Y$98,"&lt;="&amp;$H206,工数管理!$Z$3:$Z$98,"")+COUNTIFS(工数管理!$AK$3:$AK$98,J$1,工数管理!$AA$3:$AA$98,"&lt;="&amp;$H206,工数管理!$AB$3:$AB$98,"")+COUNTIFS(工数管理!$AK$3:$AK$98,J$1,工数管理!$AC$3:$AC$98,"&lt;="&amp;$H206,工数管理!$AD$3:$AD$98,"")+COUNTIFS(工数管理!$AK$3:$AK$98,J$1,工数管理!$AE$3:$AE$98,"&lt;="&amp;$H206,工数管理!$AF$3:$AF$98,"")+COUNTIFS(工数管理!$AK$3:$AK$98,J$1,工数管理!$AG$3:$AG$98,"&lt;="&amp;$H206,工数管理!$AH$3:$AH$98,""))*($H206&lt;=工数管理!$AI$1))</f>
        <v>0</v>
      </c>
      <c r="K206" s="42">
        <f ca="1">IF(K$1="",0,COUNTIFS(工数管理!$AK$3:$AK$98,K$1,工数管理!$K$3:$K$98,"&lt;="&amp;$H206,工数管理!$L$3:$L$98,"&gt;="&amp;$H206)+COUNTIFS(工数管理!$AK$3:$AK$98,K$1,工数管理!$M$3:$M$98,"&lt;="&amp;$H206,工数管理!$N$3:$N$98,"&gt;="&amp;$H206)+COUNTIFS(工数管理!$AK$3:$AK$98,K$1,工数管理!$O$3:$O$98,"&lt;="&amp;$H206,工数管理!$P$3:$P$98,"&gt;="&amp;$H206)+COUNTIFS(工数管理!$AK$3:$AK$98,K$1,工数管理!$Q$3:$Q$98,"&lt;="&amp;$H206,工数管理!$R$3:$R$98,"&gt;="&amp;$H206)+COUNTIFS(工数管理!$AK$3:$AK$98,K$1,工数管理!$S$3:$S$98,"&lt;="&amp;$H206,工数管理!$T$3:$T$98,"&gt;="&amp;$H206)+COUNTIFS(工数管理!$AK$3:$AK$98,K$1,工数管理!$U$3:$U$98,"&lt;="&amp;$H206,工数管理!$V$3:$V$98,"&gt;="&amp;$H206)+COUNTIFS(工数管理!$AK$3:$AK$98,K$1,工数管理!$W$3:$W$98,"&lt;="&amp;$H206,工数管理!$X$3:$X$98,"&gt;="&amp;$H206)+COUNTIFS(工数管理!$AK$3:$AK$98,K$1,工数管理!$Y$3:$Y$98,"&lt;="&amp;$H206,工数管理!$Z$3:$Z$98,"&gt;="&amp;$H206)+COUNTIFS(工数管理!$AK$3:$AK$98,K$1,工数管理!$AA$3:$AA$98,"&lt;="&amp;$H206,工数管理!$AB$3:$AB$98,"&gt;="&amp;$H206)+COUNTIFS(工数管理!$AK$3:$AK$98,K$1,工数管理!$AC$3:$AC$98,"&lt;="&amp;$H206,工数管理!$AD$3:$AD$98,"&gt;="&amp;$H206)+COUNTIFS(工数管理!$AK$3:$AK$98,K$1,工数管理!$AE$3:$AE$98,"&lt;="&amp;$H206,工数管理!$AF$3:$AF$98,"&gt;="&amp;$H206)+COUNTIFS(工数管理!$AK$3:$AK$98,K$1,工数管理!$AG$3:$AG$98,"&lt;="&amp;$H206,工数管理!$AH$3:$AH$98,"&gt;="&amp;$H206)+(COUNTIFS(工数管理!$AK$3:$AK$98,K$1,工数管理!$K$3:$K$98,"&lt;="&amp;$H206,工数管理!$L$3:$L$98,"")+COUNTIFS(工数管理!$AK$3:$AK$98,K$1,工数管理!$M$3:$M$98,"&lt;="&amp;$H206,工数管理!$N$3:$N$98,"")+COUNTIFS(工数管理!$AK$3:$AK$98,K$1,工数管理!$O$3:$O$98,"&lt;="&amp;$H206,工数管理!$P$3:$P$98,"")+COUNTIFS(工数管理!$AK$3:$AK$98,K$1,工数管理!$Q$3:$Q$98,"&lt;="&amp;$H206,工数管理!$R$3:$R$98,"")+COUNTIFS(工数管理!$AK$3:$AK$98,K$1,工数管理!$S$3:$S$98,"&lt;="&amp;$H206,工数管理!$T$3:$T$98,"")+COUNTIFS(工数管理!$AK$3:$AK$98,K$1,工数管理!$U$3:$U$98,"&lt;="&amp;$H206,工数管理!$V$3:$V$98,"")+COUNTIFS(工数管理!$AK$3:$AK$98,K$1,工数管理!$W$3:$W$98,"&lt;="&amp;$H206,工数管理!$X$3:$X$98,"")+COUNTIFS(工数管理!$AK$3:$AK$98,K$1,工数管理!$Y$3:$Y$98,"&lt;="&amp;$H206,工数管理!$Z$3:$Z$98,"")+COUNTIFS(工数管理!$AK$3:$AK$98,K$1,工数管理!$AA$3:$AA$98,"&lt;="&amp;$H206,工数管理!$AB$3:$AB$98,"")+COUNTIFS(工数管理!$AK$3:$AK$98,K$1,工数管理!$AC$3:$AC$98,"&lt;="&amp;$H206,工数管理!$AD$3:$AD$98,"")+COUNTIFS(工数管理!$AK$3:$AK$98,K$1,工数管理!$AE$3:$AE$98,"&lt;="&amp;$H206,工数管理!$AF$3:$AF$98,"")+COUNTIFS(工数管理!$AK$3:$AK$98,K$1,工数管理!$AG$3:$AG$98,"&lt;="&amp;$H206,工数管理!$AH$3:$AH$98,""))*($H206&lt;=工数管理!$AI$1))</f>
        <v>0</v>
      </c>
      <c r="L206" s="42">
        <f ca="1">IF(L$1="",0,COUNTIFS(工数管理!$AK$3:$AK$98,L$1,工数管理!$K$3:$K$98,"&lt;="&amp;$H206,工数管理!$L$3:$L$98,"&gt;="&amp;$H206)+COUNTIFS(工数管理!$AK$3:$AK$98,L$1,工数管理!$M$3:$M$98,"&lt;="&amp;$H206,工数管理!$N$3:$N$98,"&gt;="&amp;$H206)+COUNTIFS(工数管理!$AK$3:$AK$98,L$1,工数管理!$O$3:$O$98,"&lt;="&amp;$H206,工数管理!$P$3:$P$98,"&gt;="&amp;$H206)+COUNTIFS(工数管理!$AK$3:$AK$98,L$1,工数管理!$Q$3:$Q$98,"&lt;="&amp;$H206,工数管理!$R$3:$R$98,"&gt;="&amp;$H206)+COUNTIFS(工数管理!$AK$3:$AK$98,L$1,工数管理!$S$3:$S$98,"&lt;="&amp;$H206,工数管理!$T$3:$T$98,"&gt;="&amp;$H206)+COUNTIFS(工数管理!$AK$3:$AK$98,L$1,工数管理!$U$3:$U$98,"&lt;="&amp;$H206,工数管理!$V$3:$V$98,"&gt;="&amp;$H206)+COUNTIFS(工数管理!$AK$3:$AK$98,L$1,工数管理!$W$3:$W$98,"&lt;="&amp;$H206,工数管理!$X$3:$X$98,"&gt;="&amp;$H206)+COUNTIFS(工数管理!$AK$3:$AK$98,L$1,工数管理!$Y$3:$Y$98,"&lt;="&amp;$H206,工数管理!$Z$3:$Z$98,"&gt;="&amp;$H206)+COUNTIFS(工数管理!$AK$3:$AK$98,L$1,工数管理!$AA$3:$AA$98,"&lt;="&amp;$H206,工数管理!$AB$3:$AB$98,"&gt;="&amp;$H206)+COUNTIFS(工数管理!$AK$3:$AK$98,L$1,工数管理!$AC$3:$AC$98,"&lt;="&amp;$H206,工数管理!$AD$3:$AD$98,"&gt;="&amp;$H206)+COUNTIFS(工数管理!$AK$3:$AK$98,L$1,工数管理!$AE$3:$AE$98,"&lt;="&amp;$H206,工数管理!$AF$3:$AF$98,"&gt;="&amp;$H206)+COUNTIFS(工数管理!$AK$3:$AK$98,L$1,工数管理!$AG$3:$AG$98,"&lt;="&amp;$H206,工数管理!$AH$3:$AH$98,"&gt;="&amp;$H206)+(COUNTIFS(工数管理!$AK$3:$AK$98,L$1,工数管理!$K$3:$K$98,"&lt;="&amp;$H206,工数管理!$L$3:$L$98,"")+COUNTIFS(工数管理!$AK$3:$AK$98,L$1,工数管理!$M$3:$M$98,"&lt;="&amp;$H206,工数管理!$N$3:$N$98,"")+COUNTIFS(工数管理!$AK$3:$AK$98,L$1,工数管理!$O$3:$O$98,"&lt;="&amp;$H206,工数管理!$P$3:$P$98,"")+COUNTIFS(工数管理!$AK$3:$AK$98,L$1,工数管理!$Q$3:$Q$98,"&lt;="&amp;$H206,工数管理!$R$3:$R$98,"")+COUNTIFS(工数管理!$AK$3:$AK$98,L$1,工数管理!$S$3:$S$98,"&lt;="&amp;$H206,工数管理!$T$3:$T$98,"")+COUNTIFS(工数管理!$AK$3:$AK$98,L$1,工数管理!$U$3:$U$98,"&lt;="&amp;$H206,工数管理!$V$3:$V$98,"")+COUNTIFS(工数管理!$AK$3:$AK$98,L$1,工数管理!$W$3:$W$98,"&lt;="&amp;$H206,工数管理!$X$3:$X$98,"")+COUNTIFS(工数管理!$AK$3:$AK$98,L$1,工数管理!$Y$3:$Y$98,"&lt;="&amp;$H206,工数管理!$Z$3:$Z$98,"")+COUNTIFS(工数管理!$AK$3:$AK$98,L$1,工数管理!$AA$3:$AA$98,"&lt;="&amp;$H206,工数管理!$AB$3:$AB$98,"")+COUNTIFS(工数管理!$AK$3:$AK$98,L$1,工数管理!$AC$3:$AC$98,"&lt;="&amp;$H206,工数管理!$AD$3:$AD$98,"")+COUNTIFS(工数管理!$AK$3:$AK$98,L$1,工数管理!$AE$3:$AE$98,"&lt;="&amp;$H206,工数管理!$AF$3:$AF$98,"")+COUNTIFS(工数管理!$AK$3:$AK$98,L$1,工数管理!$AG$3:$AG$98,"&lt;="&amp;$H206,工数管理!$AH$3:$AH$98,""))*($H206&lt;=工数管理!$AI$1))</f>
        <v>0</v>
      </c>
    </row>
    <row r="207" spans="1:12" x14ac:dyDescent="0.15">
      <c r="H207" s="41">
        <f t="shared" si="7"/>
        <v>46375</v>
      </c>
      <c r="I207" s="42">
        <f t="shared" si="6"/>
        <v>0</v>
      </c>
      <c r="J207" s="42">
        <f ca="1">IF(J$1="",0,COUNTIFS(工数管理!$AK$3:$AK$98,J$1,工数管理!$K$3:$K$98,"&lt;="&amp;$H207,工数管理!$L$3:$L$98,"&gt;="&amp;$H207)+COUNTIFS(工数管理!$AK$3:$AK$98,J$1,工数管理!$M$3:$M$98,"&lt;="&amp;$H207,工数管理!$N$3:$N$98,"&gt;="&amp;$H207)+COUNTIFS(工数管理!$AK$3:$AK$98,J$1,工数管理!$O$3:$O$98,"&lt;="&amp;$H207,工数管理!$P$3:$P$98,"&gt;="&amp;$H207)+COUNTIFS(工数管理!$AK$3:$AK$98,J$1,工数管理!$Q$3:$Q$98,"&lt;="&amp;$H207,工数管理!$R$3:$R$98,"&gt;="&amp;$H207)+COUNTIFS(工数管理!$AK$3:$AK$98,J$1,工数管理!$S$3:$S$98,"&lt;="&amp;$H207,工数管理!$T$3:$T$98,"&gt;="&amp;$H207)+COUNTIFS(工数管理!$AK$3:$AK$98,J$1,工数管理!$U$3:$U$98,"&lt;="&amp;$H207,工数管理!$V$3:$V$98,"&gt;="&amp;$H207)+COUNTIFS(工数管理!$AK$3:$AK$98,J$1,工数管理!$W$3:$W$98,"&lt;="&amp;$H207,工数管理!$X$3:$X$98,"&gt;="&amp;$H207)+COUNTIFS(工数管理!$AK$3:$AK$98,J$1,工数管理!$Y$3:$Y$98,"&lt;="&amp;$H207,工数管理!$Z$3:$Z$98,"&gt;="&amp;$H207)+COUNTIFS(工数管理!$AK$3:$AK$98,J$1,工数管理!$AA$3:$AA$98,"&lt;="&amp;$H207,工数管理!$AB$3:$AB$98,"&gt;="&amp;$H207)+COUNTIFS(工数管理!$AK$3:$AK$98,J$1,工数管理!$AC$3:$AC$98,"&lt;="&amp;$H207,工数管理!$AD$3:$AD$98,"&gt;="&amp;$H207)+COUNTIFS(工数管理!$AK$3:$AK$98,J$1,工数管理!$AE$3:$AE$98,"&lt;="&amp;$H207,工数管理!$AF$3:$AF$98,"&gt;="&amp;$H207)+COUNTIFS(工数管理!$AK$3:$AK$98,J$1,工数管理!$AG$3:$AG$98,"&lt;="&amp;$H207,工数管理!$AH$3:$AH$98,"&gt;="&amp;$H207)+(COUNTIFS(工数管理!$AK$3:$AK$98,J$1,工数管理!$K$3:$K$98,"&lt;="&amp;$H207,工数管理!$L$3:$L$98,"")+COUNTIFS(工数管理!$AK$3:$AK$98,J$1,工数管理!$M$3:$M$98,"&lt;="&amp;$H207,工数管理!$N$3:$N$98,"")+COUNTIFS(工数管理!$AK$3:$AK$98,J$1,工数管理!$O$3:$O$98,"&lt;="&amp;$H207,工数管理!$P$3:$P$98,"")+COUNTIFS(工数管理!$AK$3:$AK$98,J$1,工数管理!$Q$3:$Q$98,"&lt;="&amp;$H207,工数管理!$R$3:$R$98,"")+COUNTIFS(工数管理!$AK$3:$AK$98,J$1,工数管理!$S$3:$S$98,"&lt;="&amp;$H207,工数管理!$T$3:$T$98,"")+COUNTIFS(工数管理!$AK$3:$AK$98,J$1,工数管理!$U$3:$U$98,"&lt;="&amp;$H207,工数管理!$V$3:$V$98,"")+COUNTIFS(工数管理!$AK$3:$AK$98,J$1,工数管理!$W$3:$W$98,"&lt;="&amp;$H207,工数管理!$X$3:$X$98,"")+COUNTIFS(工数管理!$AK$3:$AK$98,J$1,工数管理!$Y$3:$Y$98,"&lt;="&amp;$H207,工数管理!$Z$3:$Z$98,"")+COUNTIFS(工数管理!$AK$3:$AK$98,J$1,工数管理!$AA$3:$AA$98,"&lt;="&amp;$H207,工数管理!$AB$3:$AB$98,"")+COUNTIFS(工数管理!$AK$3:$AK$98,J$1,工数管理!$AC$3:$AC$98,"&lt;="&amp;$H207,工数管理!$AD$3:$AD$98,"")+COUNTIFS(工数管理!$AK$3:$AK$98,J$1,工数管理!$AE$3:$AE$98,"&lt;="&amp;$H207,工数管理!$AF$3:$AF$98,"")+COUNTIFS(工数管理!$AK$3:$AK$98,J$1,工数管理!$AG$3:$AG$98,"&lt;="&amp;$H207,工数管理!$AH$3:$AH$98,""))*($H207&lt;=工数管理!$AI$1))</f>
        <v>0</v>
      </c>
      <c r="K207" s="42">
        <f ca="1">IF(K$1="",0,COUNTIFS(工数管理!$AK$3:$AK$98,K$1,工数管理!$K$3:$K$98,"&lt;="&amp;$H207,工数管理!$L$3:$L$98,"&gt;="&amp;$H207)+COUNTIFS(工数管理!$AK$3:$AK$98,K$1,工数管理!$M$3:$M$98,"&lt;="&amp;$H207,工数管理!$N$3:$N$98,"&gt;="&amp;$H207)+COUNTIFS(工数管理!$AK$3:$AK$98,K$1,工数管理!$O$3:$O$98,"&lt;="&amp;$H207,工数管理!$P$3:$P$98,"&gt;="&amp;$H207)+COUNTIFS(工数管理!$AK$3:$AK$98,K$1,工数管理!$Q$3:$Q$98,"&lt;="&amp;$H207,工数管理!$R$3:$R$98,"&gt;="&amp;$H207)+COUNTIFS(工数管理!$AK$3:$AK$98,K$1,工数管理!$S$3:$S$98,"&lt;="&amp;$H207,工数管理!$T$3:$T$98,"&gt;="&amp;$H207)+COUNTIFS(工数管理!$AK$3:$AK$98,K$1,工数管理!$U$3:$U$98,"&lt;="&amp;$H207,工数管理!$V$3:$V$98,"&gt;="&amp;$H207)+COUNTIFS(工数管理!$AK$3:$AK$98,K$1,工数管理!$W$3:$W$98,"&lt;="&amp;$H207,工数管理!$X$3:$X$98,"&gt;="&amp;$H207)+COUNTIFS(工数管理!$AK$3:$AK$98,K$1,工数管理!$Y$3:$Y$98,"&lt;="&amp;$H207,工数管理!$Z$3:$Z$98,"&gt;="&amp;$H207)+COUNTIFS(工数管理!$AK$3:$AK$98,K$1,工数管理!$AA$3:$AA$98,"&lt;="&amp;$H207,工数管理!$AB$3:$AB$98,"&gt;="&amp;$H207)+COUNTIFS(工数管理!$AK$3:$AK$98,K$1,工数管理!$AC$3:$AC$98,"&lt;="&amp;$H207,工数管理!$AD$3:$AD$98,"&gt;="&amp;$H207)+COUNTIFS(工数管理!$AK$3:$AK$98,K$1,工数管理!$AE$3:$AE$98,"&lt;="&amp;$H207,工数管理!$AF$3:$AF$98,"&gt;="&amp;$H207)+COUNTIFS(工数管理!$AK$3:$AK$98,K$1,工数管理!$AG$3:$AG$98,"&lt;="&amp;$H207,工数管理!$AH$3:$AH$98,"&gt;="&amp;$H207)+(COUNTIFS(工数管理!$AK$3:$AK$98,K$1,工数管理!$K$3:$K$98,"&lt;="&amp;$H207,工数管理!$L$3:$L$98,"")+COUNTIFS(工数管理!$AK$3:$AK$98,K$1,工数管理!$M$3:$M$98,"&lt;="&amp;$H207,工数管理!$N$3:$N$98,"")+COUNTIFS(工数管理!$AK$3:$AK$98,K$1,工数管理!$O$3:$O$98,"&lt;="&amp;$H207,工数管理!$P$3:$P$98,"")+COUNTIFS(工数管理!$AK$3:$AK$98,K$1,工数管理!$Q$3:$Q$98,"&lt;="&amp;$H207,工数管理!$R$3:$R$98,"")+COUNTIFS(工数管理!$AK$3:$AK$98,K$1,工数管理!$S$3:$S$98,"&lt;="&amp;$H207,工数管理!$T$3:$T$98,"")+COUNTIFS(工数管理!$AK$3:$AK$98,K$1,工数管理!$U$3:$U$98,"&lt;="&amp;$H207,工数管理!$V$3:$V$98,"")+COUNTIFS(工数管理!$AK$3:$AK$98,K$1,工数管理!$W$3:$W$98,"&lt;="&amp;$H207,工数管理!$X$3:$X$98,"")+COUNTIFS(工数管理!$AK$3:$AK$98,K$1,工数管理!$Y$3:$Y$98,"&lt;="&amp;$H207,工数管理!$Z$3:$Z$98,"")+COUNTIFS(工数管理!$AK$3:$AK$98,K$1,工数管理!$AA$3:$AA$98,"&lt;="&amp;$H207,工数管理!$AB$3:$AB$98,"")+COUNTIFS(工数管理!$AK$3:$AK$98,K$1,工数管理!$AC$3:$AC$98,"&lt;="&amp;$H207,工数管理!$AD$3:$AD$98,"")+COUNTIFS(工数管理!$AK$3:$AK$98,K$1,工数管理!$AE$3:$AE$98,"&lt;="&amp;$H207,工数管理!$AF$3:$AF$98,"")+COUNTIFS(工数管理!$AK$3:$AK$98,K$1,工数管理!$AG$3:$AG$98,"&lt;="&amp;$H207,工数管理!$AH$3:$AH$98,""))*($H207&lt;=工数管理!$AI$1))</f>
        <v>0</v>
      </c>
      <c r="L207" s="42">
        <f ca="1">IF(L$1="",0,COUNTIFS(工数管理!$AK$3:$AK$98,L$1,工数管理!$K$3:$K$98,"&lt;="&amp;$H207,工数管理!$L$3:$L$98,"&gt;="&amp;$H207)+COUNTIFS(工数管理!$AK$3:$AK$98,L$1,工数管理!$M$3:$M$98,"&lt;="&amp;$H207,工数管理!$N$3:$N$98,"&gt;="&amp;$H207)+COUNTIFS(工数管理!$AK$3:$AK$98,L$1,工数管理!$O$3:$O$98,"&lt;="&amp;$H207,工数管理!$P$3:$P$98,"&gt;="&amp;$H207)+COUNTIFS(工数管理!$AK$3:$AK$98,L$1,工数管理!$Q$3:$Q$98,"&lt;="&amp;$H207,工数管理!$R$3:$R$98,"&gt;="&amp;$H207)+COUNTIFS(工数管理!$AK$3:$AK$98,L$1,工数管理!$S$3:$S$98,"&lt;="&amp;$H207,工数管理!$T$3:$T$98,"&gt;="&amp;$H207)+COUNTIFS(工数管理!$AK$3:$AK$98,L$1,工数管理!$U$3:$U$98,"&lt;="&amp;$H207,工数管理!$V$3:$V$98,"&gt;="&amp;$H207)+COUNTIFS(工数管理!$AK$3:$AK$98,L$1,工数管理!$W$3:$W$98,"&lt;="&amp;$H207,工数管理!$X$3:$X$98,"&gt;="&amp;$H207)+COUNTIFS(工数管理!$AK$3:$AK$98,L$1,工数管理!$Y$3:$Y$98,"&lt;="&amp;$H207,工数管理!$Z$3:$Z$98,"&gt;="&amp;$H207)+COUNTIFS(工数管理!$AK$3:$AK$98,L$1,工数管理!$AA$3:$AA$98,"&lt;="&amp;$H207,工数管理!$AB$3:$AB$98,"&gt;="&amp;$H207)+COUNTIFS(工数管理!$AK$3:$AK$98,L$1,工数管理!$AC$3:$AC$98,"&lt;="&amp;$H207,工数管理!$AD$3:$AD$98,"&gt;="&amp;$H207)+COUNTIFS(工数管理!$AK$3:$AK$98,L$1,工数管理!$AE$3:$AE$98,"&lt;="&amp;$H207,工数管理!$AF$3:$AF$98,"&gt;="&amp;$H207)+COUNTIFS(工数管理!$AK$3:$AK$98,L$1,工数管理!$AG$3:$AG$98,"&lt;="&amp;$H207,工数管理!$AH$3:$AH$98,"&gt;="&amp;$H207)+(COUNTIFS(工数管理!$AK$3:$AK$98,L$1,工数管理!$K$3:$K$98,"&lt;="&amp;$H207,工数管理!$L$3:$L$98,"")+COUNTIFS(工数管理!$AK$3:$AK$98,L$1,工数管理!$M$3:$M$98,"&lt;="&amp;$H207,工数管理!$N$3:$N$98,"")+COUNTIFS(工数管理!$AK$3:$AK$98,L$1,工数管理!$O$3:$O$98,"&lt;="&amp;$H207,工数管理!$P$3:$P$98,"")+COUNTIFS(工数管理!$AK$3:$AK$98,L$1,工数管理!$Q$3:$Q$98,"&lt;="&amp;$H207,工数管理!$R$3:$R$98,"")+COUNTIFS(工数管理!$AK$3:$AK$98,L$1,工数管理!$S$3:$S$98,"&lt;="&amp;$H207,工数管理!$T$3:$T$98,"")+COUNTIFS(工数管理!$AK$3:$AK$98,L$1,工数管理!$U$3:$U$98,"&lt;="&amp;$H207,工数管理!$V$3:$V$98,"")+COUNTIFS(工数管理!$AK$3:$AK$98,L$1,工数管理!$W$3:$W$98,"&lt;="&amp;$H207,工数管理!$X$3:$X$98,"")+COUNTIFS(工数管理!$AK$3:$AK$98,L$1,工数管理!$Y$3:$Y$98,"&lt;="&amp;$H207,工数管理!$Z$3:$Z$98,"")+COUNTIFS(工数管理!$AK$3:$AK$98,L$1,工数管理!$AA$3:$AA$98,"&lt;="&amp;$H207,工数管理!$AB$3:$AB$98,"")+COUNTIFS(工数管理!$AK$3:$AK$98,L$1,工数管理!$AC$3:$AC$98,"&lt;="&amp;$H207,工数管理!$AD$3:$AD$98,"")+COUNTIFS(工数管理!$AK$3:$AK$98,L$1,工数管理!$AE$3:$AE$98,"&lt;="&amp;$H207,工数管理!$AF$3:$AF$98,"")+COUNTIFS(工数管理!$AK$3:$AK$98,L$1,工数管理!$AG$3:$AG$98,"&lt;="&amp;$H207,工数管理!$AH$3:$AH$98,""))*($H207&lt;=工数管理!$AI$1))</f>
        <v>0</v>
      </c>
    </row>
    <row r="208" spans="1:12" x14ac:dyDescent="0.15">
      <c r="H208" s="41">
        <f t="shared" si="7"/>
        <v>46376</v>
      </c>
      <c r="I208" s="42">
        <f t="shared" si="6"/>
        <v>0</v>
      </c>
      <c r="J208" s="42">
        <f ca="1">IF(J$1="",0,COUNTIFS(工数管理!$AK$3:$AK$98,J$1,工数管理!$K$3:$K$98,"&lt;="&amp;$H208,工数管理!$L$3:$L$98,"&gt;="&amp;$H208)+COUNTIFS(工数管理!$AK$3:$AK$98,J$1,工数管理!$M$3:$M$98,"&lt;="&amp;$H208,工数管理!$N$3:$N$98,"&gt;="&amp;$H208)+COUNTIFS(工数管理!$AK$3:$AK$98,J$1,工数管理!$O$3:$O$98,"&lt;="&amp;$H208,工数管理!$P$3:$P$98,"&gt;="&amp;$H208)+COUNTIFS(工数管理!$AK$3:$AK$98,J$1,工数管理!$Q$3:$Q$98,"&lt;="&amp;$H208,工数管理!$R$3:$R$98,"&gt;="&amp;$H208)+COUNTIFS(工数管理!$AK$3:$AK$98,J$1,工数管理!$S$3:$S$98,"&lt;="&amp;$H208,工数管理!$T$3:$T$98,"&gt;="&amp;$H208)+COUNTIFS(工数管理!$AK$3:$AK$98,J$1,工数管理!$U$3:$U$98,"&lt;="&amp;$H208,工数管理!$V$3:$V$98,"&gt;="&amp;$H208)+COUNTIFS(工数管理!$AK$3:$AK$98,J$1,工数管理!$W$3:$W$98,"&lt;="&amp;$H208,工数管理!$X$3:$X$98,"&gt;="&amp;$H208)+COUNTIFS(工数管理!$AK$3:$AK$98,J$1,工数管理!$Y$3:$Y$98,"&lt;="&amp;$H208,工数管理!$Z$3:$Z$98,"&gt;="&amp;$H208)+COUNTIFS(工数管理!$AK$3:$AK$98,J$1,工数管理!$AA$3:$AA$98,"&lt;="&amp;$H208,工数管理!$AB$3:$AB$98,"&gt;="&amp;$H208)+COUNTIFS(工数管理!$AK$3:$AK$98,J$1,工数管理!$AC$3:$AC$98,"&lt;="&amp;$H208,工数管理!$AD$3:$AD$98,"&gt;="&amp;$H208)+COUNTIFS(工数管理!$AK$3:$AK$98,J$1,工数管理!$AE$3:$AE$98,"&lt;="&amp;$H208,工数管理!$AF$3:$AF$98,"&gt;="&amp;$H208)+COUNTIFS(工数管理!$AK$3:$AK$98,J$1,工数管理!$AG$3:$AG$98,"&lt;="&amp;$H208,工数管理!$AH$3:$AH$98,"&gt;="&amp;$H208)+(COUNTIFS(工数管理!$AK$3:$AK$98,J$1,工数管理!$K$3:$K$98,"&lt;="&amp;$H208,工数管理!$L$3:$L$98,"")+COUNTIFS(工数管理!$AK$3:$AK$98,J$1,工数管理!$M$3:$M$98,"&lt;="&amp;$H208,工数管理!$N$3:$N$98,"")+COUNTIFS(工数管理!$AK$3:$AK$98,J$1,工数管理!$O$3:$O$98,"&lt;="&amp;$H208,工数管理!$P$3:$P$98,"")+COUNTIFS(工数管理!$AK$3:$AK$98,J$1,工数管理!$Q$3:$Q$98,"&lt;="&amp;$H208,工数管理!$R$3:$R$98,"")+COUNTIFS(工数管理!$AK$3:$AK$98,J$1,工数管理!$S$3:$S$98,"&lt;="&amp;$H208,工数管理!$T$3:$T$98,"")+COUNTIFS(工数管理!$AK$3:$AK$98,J$1,工数管理!$U$3:$U$98,"&lt;="&amp;$H208,工数管理!$V$3:$V$98,"")+COUNTIFS(工数管理!$AK$3:$AK$98,J$1,工数管理!$W$3:$W$98,"&lt;="&amp;$H208,工数管理!$X$3:$X$98,"")+COUNTIFS(工数管理!$AK$3:$AK$98,J$1,工数管理!$Y$3:$Y$98,"&lt;="&amp;$H208,工数管理!$Z$3:$Z$98,"")+COUNTIFS(工数管理!$AK$3:$AK$98,J$1,工数管理!$AA$3:$AA$98,"&lt;="&amp;$H208,工数管理!$AB$3:$AB$98,"")+COUNTIFS(工数管理!$AK$3:$AK$98,J$1,工数管理!$AC$3:$AC$98,"&lt;="&amp;$H208,工数管理!$AD$3:$AD$98,"")+COUNTIFS(工数管理!$AK$3:$AK$98,J$1,工数管理!$AE$3:$AE$98,"&lt;="&amp;$H208,工数管理!$AF$3:$AF$98,"")+COUNTIFS(工数管理!$AK$3:$AK$98,J$1,工数管理!$AG$3:$AG$98,"&lt;="&amp;$H208,工数管理!$AH$3:$AH$98,""))*($H208&lt;=工数管理!$AI$1))</f>
        <v>0</v>
      </c>
      <c r="K208" s="42">
        <f ca="1">IF(K$1="",0,COUNTIFS(工数管理!$AK$3:$AK$98,K$1,工数管理!$K$3:$K$98,"&lt;="&amp;$H208,工数管理!$L$3:$L$98,"&gt;="&amp;$H208)+COUNTIFS(工数管理!$AK$3:$AK$98,K$1,工数管理!$M$3:$M$98,"&lt;="&amp;$H208,工数管理!$N$3:$N$98,"&gt;="&amp;$H208)+COUNTIFS(工数管理!$AK$3:$AK$98,K$1,工数管理!$O$3:$O$98,"&lt;="&amp;$H208,工数管理!$P$3:$P$98,"&gt;="&amp;$H208)+COUNTIFS(工数管理!$AK$3:$AK$98,K$1,工数管理!$Q$3:$Q$98,"&lt;="&amp;$H208,工数管理!$R$3:$R$98,"&gt;="&amp;$H208)+COUNTIFS(工数管理!$AK$3:$AK$98,K$1,工数管理!$S$3:$S$98,"&lt;="&amp;$H208,工数管理!$T$3:$T$98,"&gt;="&amp;$H208)+COUNTIFS(工数管理!$AK$3:$AK$98,K$1,工数管理!$U$3:$U$98,"&lt;="&amp;$H208,工数管理!$V$3:$V$98,"&gt;="&amp;$H208)+COUNTIFS(工数管理!$AK$3:$AK$98,K$1,工数管理!$W$3:$W$98,"&lt;="&amp;$H208,工数管理!$X$3:$X$98,"&gt;="&amp;$H208)+COUNTIFS(工数管理!$AK$3:$AK$98,K$1,工数管理!$Y$3:$Y$98,"&lt;="&amp;$H208,工数管理!$Z$3:$Z$98,"&gt;="&amp;$H208)+COUNTIFS(工数管理!$AK$3:$AK$98,K$1,工数管理!$AA$3:$AA$98,"&lt;="&amp;$H208,工数管理!$AB$3:$AB$98,"&gt;="&amp;$H208)+COUNTIFS(工数管理!$AK$3:$AK$98,K$1,工数管理!$AC$3:$AC$98,"&lt;="&amp;$H208,工数管理!$AD$3:$AD$98,"&gt;="&amp;$H208)+COUNTIFS(工数管理!$AK$3:$AK$98,K$1,工数管理!$AE$3:$AE$98,"&lt;="&amp;$H208,工数管理!$AF$3:$AF$98,"&gt;="&amp;$H208)+COUNTIFS(工数管理!$AK$3:$AK$98,K$1,工数管理!$AG$3:$AG$98,"&lt;="&amp;$H208,工数管理!$AH$3:$AH$98,"&gt;="&amp;$H208)+(COUNTIFS(工数管理!$AK$3:$AK$98,K$1,工数管理!$K$3:$K$98,"&lt;="&amp;$H208,工数管理!$L$3:$L$98,"")+COUNTIFS(工数管理!$AK$3:$AK$98,K$1,工数管理!$M$3:$M$98,"&lt;="&amp;$H208,工数管理!$N$3:$N$98,"")+COUNTIFS(工数管理!$AK$3:$AK$98,K$1,工数管理!$O$3:$O$98,"&lt;="&amp;$H208,工数管理!$P$3:$P$98,"")+COUNTIFS(工数管理!$AK$3:$AK$98,K$1,工数管理!$Q$3:$Q$98,"&lt;="&amp;$H208,工数管理!$R$3:$R$98,"")+COUNTIFS(工数管理!$AK$3:$AK$98,K$1,工数管理!$S$3:$S$98,"&lt;="&amp;$H208,工数管理!$T$3:$T$98,"")+COUNTIFS(工数管理!$AK$3:$AK$98,K$1,工数管理!$U$3:$U$98,"&lt;="&amp;$H208,工数管理!$V$3:$V$98,"")+COUNTIFS(工数管理!$AK$3:$AK$98,K$1,工数管理!$W$3:$W$98,"&lt;="&amp;$H208,工数管理!$X$3:$X$98,"")+COUNTIFS(工数管理!$AK$3:$AK$98,K$1,工数管理!$Y$3:$Y$98,"&lt;="&amp;$H208,工数管理!$Z$3:$Z$98,"")+COUNTIFS(工数管理!$AK$3:$AK$98,K$1,工数管理!$AA$3:$AA$98,"&lt;="&amp;$H208,工数管理!$AB$3:$AB$98,"")+COUNTIFS(工数管理!$AK$3:$AK$98,K$1,工数管理!$AC$3:$AC$98,"&lt;="&amp;$H208,工数管理!$AD$3:$AD$98,"")+COUNTIFS(工数管理!$AK$3:$AK$98,K$1,工数管理!$AE$3:$AE$98,"&lt;="&amp;$H208,工数管理!$AF$3:$AF$98,"")+COUNTIFS(工数管理!$AK$3:$AK$98,K$1,工数管理!$AG$3:$AG$98,"&lt;="&amp;$H208,工数管理!$AH$3:$AH$98,""))*($H208&lt;=工数管理!$AI$1))</f>
        <v>0</v>
      </c>
      <c r="L208" s="42">
        <f ca="1">IF(L$1="",0,COUNTIFS(工数管理!$AK$3:$AK$98,L$1,工数管理!$K$3:$K$98,"&lt;="&amp;$H208,工数管理!$L$3:$L$98,"&gt;="&amp;$H208)+COUNTIFS(工数管理!$AK$3:$AK$98,L$1,工数管理!$M$3:$M$98,"&lt;="&amp;$H208,工数管理!$N$3:$N$98,"&gt;="&amp;$H208)+COUNTIFS(工数管理!$AK$3:$AK$98,L$1,工数管理!$O$3:$O$98,"&lt;="&amp;$H208,工数管理!$P$3:$P$98,"&gt;="&amp;$H208)+COUNTIFS(工数管理!$AK$3:$AK$98,L$1,工数管理!$Q$3:$Q$98,"&lt;="&amp;$H208,工数管理!$R$3:$R$98,"&gt;="&amp;$H208)+COUNTIFS(工数管理!$AK$3:$AK$98,L$1,工数管理!$S$3:$S$98,"&lt;="&amp;$H208,工数管理!$T$3:$T$98,"&gt;="&amp;$H208)+COUNTIFS(工数管理!$AK$3:$AK$98,L$1,工数管理!$U$3:$U$98,"&lt;="&amp;$H208,工数管理!$V$3:$V$98,"&gt;="&amp;$H208)+COUNTIFS(工数管理!$AK$3:$AK$98,L$1,工数管理!$W$3:$W$98,"&lt;="&amp;$H208,工数管理!$X$3:$X$98,"&gt;="&amp;$H208)+COUNTIFS(工数管理!$AK$3:$AK$98,L$1,工数管理!$Y$3:$Y$98,"&lt;="&amp;$H208,工数管理!$Z$3:$Z$98,"&gt;="&amp;$H208)+COUNTIFS(工数管理!$AK$3:$AK$98,L$1,工数管理!$AA$3:$AA$98,"&lt;="&amp;$H208,工数管理!$AB$3:$AB$98,"&gt;="&amp;$H208)+COUNTIFS(工数管理!$AK$3:$AK$98,L$1,工数管理!$AC$3:$AC$98,"&lt;="&amp;$H208,工数管理!$AD$3:$AD$98,"&gt;="&amp;$H208)+COUNTIFS(工数管理!$AK$3:$AK$98,L$1,工数管理!$AE$3:$AE$98,"&lt;="&amp;$H208,工数管理!$AF$3:$AF$98,"&gt;="&amp;$H208)+COUNTIFS(工数管理!$AK$3:$AK$98,L$1,工数管理!$AG$3:$AG$98,"&lt;="&amp;$H208,工数管理!$AH$3:$AH$98,"&gt;="&amp;$H208)+(COUNTIFS(工数管理!$AK$3:$AK$98,L$1,工数管理!$K$3:$K$98,"&lt;="&amp;$H208,工数管理!$L$3:$L$98,"")+COUNTIFS(工数管理!$AK$3:$AK$98,L$1,工数管理!$M$3:$M$98,"&lt;="&amp;$H208,工数管理!$N$3:$N$98,"")+COUNTIFS(工数管理!$AK$3:$AK$98,L$1,工数管理!$O$3:$O$98,"&lt;="&amp;$H208,工数管理!$P$3:$P$98,"")+COUNTIFS(工数管理!$AK$3:$AK$98,L$1,工数管理!$Q$3:$Q$98,"&lt;="&amp;$H208,工数管理!$R$3:$R$98,"")+COUNTIFS(工数管理!$AK$3:$AK$98,L$1,工数管理!$S$3:$S$98,"&lt;="&amp;$H208,工数管理!$T$3:$T$98,"")+COUNTIFS(工数管理!$AK$3:$AK$98,L$1,工数管理!$U$3:$U$98,"&lt;="&amp;$H208,工数管理!$V$3:$V$98,"")+COUNTIFS(工数管理!$AK$3:$AK$98,L$1,工数管理!$W$3:$W$98,"&lt;="&amp;$H208,工数管理!$X$3:$X$98,"")+COUNTIFS(工数管理!$AK$3:$AK$98,L$1,工数管理!$Y$3:$Y$98,"&lt;="&amp;$H208,工数管理!$Z$3:$Z$98,"")+COUNTIFS(工数管理!$AK$3:$AK$98,L$1,工数管理!$AA$3:$AA$98,"&lt;="&amp;$H208,工数管理!$AB$3:$AB$98,"")+COUNTIFS(工数管理!$AK$3:$AK$98,L$1,工数管理!$AC$3:$AC$98,"&lt;="&amp;$H208,工数管理!$AD$3:$AD$98,"")+COUNTIFS(工数管理!$AK$3:$AK$98,L$1,工数管理!$AE$3:$AE$98,"&lt;="&amp;$H208,工数管理!$AF$3:$AF$98,"")+COUNTIFS(工数管理!$AK$3:$AK$98,L$1,工数管理!$AG$3:$AG$98,"&lt;="&amp;$H208,工数管理!$AH$3:$AH$98,""))*($H208&lt;=工数管理!$AI$1))</f>
        <v>0</v>
      </c>
    </row>
    <row r="209" spans="8:12" x14ac:dyDescent="0.15">
      <c r="H209" s="41">
        <f t="shared" si="7"/>
        <v>46377</v>
      </c>
      <c r="I209" s="42">
        <f t="shared" si="6"/>
        <v>1</v>
      </c>
      <c r="J209" s="42">
        <f ca="1">IF(J$1="",0,COUNTIFS(工数管理!$AK$3:$AK$98,J$1,工数管理!$K$3:$K$98,"&lt;="&amp;$H209,工数管理!$L$3:$L$98,"&gt;="&amp;$H209)+COUNTIFS(工数管理!$AK$3:$AK$98,J$1,工数管理!$M$3:$M$98,"&lt;="&amp;$H209,工数管理!$N$3:$N$98,"&gt;="&amp;$H209)+COUNTIFS(工数管理!$AK$3:$AK$98,J$1,工数管理!$O$3:$O$98,"&lt;="&amp;$H209,工数管理!$P$3:$P$98,"&gt;="&amp;$H209)+COUNTIFS(工数管理!$AK$3:$AK$98,J$1,工数管理!$Q$3:$Q$98,"&lt;="&amp;$H209,工数管理!$R$3:$R$98,"&gt;="&amp;$H209)+COUNTIFS(工数管理!$AK$3:$AK$98,J$1,工数管理!$S$3:$S$98,"&lt;="&amp;$H209,工数管理!$T$3:$T$98,"&gt;="&amp;$H209)+COUNTIFS(工数管理!$AK$3:$AK$98,J$1,工数管理!$U$3:$U$98,"&lt;="&amp;$H209,工数管理!$V$3:$V$98,"&gt;="&amp;$H209)+COUNTIFS(工数管理!$AK$3:$AK$98,J$1,工数管理!$W$3:$W$98,"&lt;="&amp;$H209,工数管理!$X$3:$X$98,"&gt;="&amp;$H209)+COUNTIFS(工数管理!$AK$3:$AK$98,J$1,工数管理!$Y$3:$Y$98,"&lt;="&amp;$H209,工数管理!$Z$3:$Z$98,"&gt;="&amp;$H209)+COUNTIFS(工数管理!$AK$3:$AK$98,J$1,工数管理!$AA$3:$AA$98,"&lt;="&amp;$H209,工数管理!$AB$3:$AB$98,"&gt;="&amp;$H209)+COUNTIFS(工数管理!$AK$3:$AK$98,J$1,工数管理!$AC$3:$AC$98,"&lt;="&amp;$H209,工数管理!$AD$3:$AD$98,"&gt;="&amp;$H209)+COUNTIFS(工数管理!$AK$3:$AK$98,J$1,工数管理!$AE$3:$AE$98,"&lt;="&amp;$H209,工数管理!$AF$3:$AF$98,"&gt;="&amp;$H209)+COUNTIFS(工数管理!$AK$3:$AK$98,J$1,工数管理!$AG$3:$AG$98,"&lt;="&amp;$H209,工数管理!$AH$3:$AH$98,"&gt;="&amp;$H209)+(COUNTIFS(工数管理!$AK$3:$AK$98,J$1,工数管理!$K$3:$K$98,"&lt;="&amp;$H209,工数管理!$L$3:$L$98,"")+COUNTIFS(工数管理!$AK$3:$AK$98,J$1,工数管理!$M$3:$M$98,"&lt;="&amp;$H209,工数管理!$N$3:$N$98,"")+COUNTIFS(工数管理!$AK$3:$AK$98,J$1,工数管理!$O$3:$O$98,"&lt;="&amp;$H209,工数管理!$P$3:$P$98,"")+COUNTIFS(工数管理!$AK$3:$AK$98,J$1,工数管理!$Q$3:$Q$98,"&lt;="&amp;$H209,工数管理!$R$3:$R$98,"")+COUNTIFS(工数管理!$AK$3:$AK$98,J$1,工数管理!$S$3:$S$98,"&lt;="&amp;$H209,工数管理!$T$3:$T$98,"")+COUNTIFS(工数管理!$AK$3:$AK$98,J$1,工数管理!$U$3:$U$98,"&lt;="&amp;$H209,工数管理!$V$3:$V$98,"")+COUNTIFS(工数管理!$AK$3:$AK$98,J$1,工数管理!$W$3:$W$98,"&lt;="&amp;$H209,工数管理!$X$3:$X$98,"")+COUNTIFS(工数管理!$AK$3:$AK$98,J$1,工数管理!$Y$3:$Y$98,"&lt;="&amp;$H209,工数管理!$Z$3:$Z$98,"")+COUNTIFS(工数管理!$AK$3:$AK$98,J$1,工数管理!$AA$3:$AA$98,"&lt;="&amp;$H209,工数管理!$AB$3:$AB$98,"")+COUNTIFS(工数管理!$AK$3:$AK$98,J$1,工数管理!$AC$3:$AC$98,"&lt;="&amp;$H209,工数管理!$AD$3:$AD$98,"")+COUNTIFS(工数管理!$AK$3:$AK$98,J$1,工数管理!$AE$3:$AE$98,"&lt;="&amp;$H209,工数管理!$AF$3:$AF$98,"")+COUNTIFS(工数管理!$AK$3:$AK$98,J$1,工数管理!$AG$3:$AG$98,"&lt;="&amp;$H209,工数管理!$AH$3:$AH$98,""))*($H209&lt;=工数管理!$AI$1))</f>
        <v>0</v>
      </c>
      <c r="K209" s="42">
        <f ca="1">IF(K$1="",0,COUNTIFS(工数管理!$AK$3:$AK$98,K$1,工数管理!$K$3:$K$98,"&lt;="&amp;$H209,工数管理!$L$3:$L$98,"&gt;="&amp;$H209)+COUNTIFS(工数管理!$AK$3:$AK$98,K$1,工数管理!$M$3:$M$98,"&lt;="&amp;$H209,工数管理!$N$3:$N$98,"&gt;="&amp;$H209)+COUNTIFS(工数管理!$AK$3:$AK$98,K$1,工数管理!$O$3:$O$98,"&lt;="&amp;$H209,工数管理!$P$3:$P$98,"&gt;="&amp;$H209)+COUNTIFS(工数管理!$AK$3:$AK$98,K$1,工数管理!$Q$3:$Q$98,"&lt;="&amp;$H209,工数管理!$R$3:$R$98,"&gt;="&amp;$H209)+COUNTIFS(工数管理!$AK$3:$AK$98,K$1,工数管理!$S$3:$S$98,"&lt;="&amp;$H209,工数管理!$T$3:$T$98,"&gt;="&amp;$H209)+COUNTIFS(工数管理!$AK$3:$AK$98,K$1,工数管理!$U$3:$U$98,"&lt;="&amp;$H209,工数管理!$V$3:$V$98,"&gt;="&amp;$H209)+COUNTIFS(工数管理!$AK$3:$AK$98,K$1,工数管理!$W$3:$W$98,"&lt;="&amp;$H209,工数管理!$X$3:$X$98,"&gt;="&amp;$H209)+COUNTIFS(工数管理!$AK$3:$AK$98,K$1,工数管理!$Y$3:$Y$98,"&lt;="&amp;$H209,工数管理!$Z$3:$Z$98,"&gt;="&amp;$H209)+COUNTIFS(工数管理!$AK$3:$AK$98,K$1,工数管理!$AA$3:$AA$98,"&lt;="&amp;$H209,工数管理!$AB$3:$AB$98,"&gt;="&amp;$H209)+COUNTIFS(工数管理!$AK$3:$AK$98,K$1,工数管理!$AC$3:$AC$98,"&lt;="&amp;$H209,工数管理!$AD$3:$AD$98,"&gt;="&amp;$H209)+COUNTIFS(工数管理!$AK$3:$AK$98,K$1,工数管理!$AE$3:$AE$98,"&lt;="&amp;$H209,工数管理!$AF$3:$AF$98,"&gt;="&amp;$H209)+COUNTIFS(工数管理!$AK$3:$AK$98,K$1,工数管理!$AG$3:$AG$98,"&lt;="&amp;$H209,工数管理!$AH$3:$AH$98,"&gt;="&amp;$H209)+(COUNTIFS(工数管理!$AK$3:$AK$98,K$1,工数管理!$K$3:$K$98,"&lt;="&amp;$H209,工数管理!$L$3:$L$98,"")+COUNTIFS(工数管理!$AK$3:$AK$98,K$1,工数管理!$M$3:$M$98,"&lt;="&amp;$H209,工数管理!$N$3:$N$98,"")+COUNTIFS(工数管理!$AK$3:$AK$98,K$1,工数管理!$O$3:$O$98,"&lt;="&amp;$H209,工数管理!$P$3:$P$98,"")+COUNTIFS(工数管理!$AK$3:$AK$98,K$1,工数管理!$Q$3:$Q$98,"&lt;="&amp;$H209,工数管理!$R$3:$R$98,"")+COUNTIFS(工数管理!$AK$3:$AK$98,K$1,工数管理!$S$3:$S$98,"&lt;="&amp;$H209,工数管理!$T$3:$T$98,"")+COUNTIFS(工数管理!$AK$3:$AK$98,K$1,工数管理!$U$3:$U$98,"&lt;="&amp;$H209,工数管理!$V$3:$V$98,"")+COUNTIFS(工数管理!$AK$3:$AK$98,K$1,工数管理!$W$3:$W$98,"&lt;="&amp;$H209,工数管理!$X$3:$X$98,"")+COUNTIFS(工数管理!$AK$3:$AK$98,K$1,工数管理!$Y$3:$Y$98,"&lt;="&amp;$H209,工数管理!$Z$3:$Z$98,"")+COUNTIFS(工数管理!$AK$3:$AK$98,K$1,工数管理!$AA$3:$AA$98,"&lt;="&amp;$H209,工数管理!$AB$3:$AB$98,"")+COUNTIFS(工数管理!$AK$3:$AK$98,K$1,工数管理!$AC$3:$AC$98,"&lt;="&amp;$H209,工数管理!$AD$3:$AD$98,"")+COUNTIFS(工数管理!$AK$3:$AK$98,K$1,工数管理!$AE$3:$AE$98,"&lt;="&amp;$H209,工数管理!$AF$3:$AF$98,"")+COUNTIFS(工数管理!$AK$3:$AK$98,K$1,工数管理!$AG$3:$AG$98,"&lt;="&amp;$H209,工数管理!$AH$3:$AH$98,""))*($H209&lt;=工数管理!$AI$1))</f>
        <v>0</v>
      </c>
      <c r="L209" s="42">
        <f ca="1">IF(L$1="",0,COUNTIFS(工数管理!$AK$3:$AK$98,L$1,工数管理!$K$3:$K$98,"&lt;="&amp;$H209,工数管理!$L$3:$L$98,"&gt;="&amp;$H209)+COUNTIFS(工数管理!$AK$3:$AK$98,L$1,工数管理!$M$3:$M$98,"&lt;="&amp;$H209,工数管理!$N$3:$N$98,"&gt;="&amp;$H209)+COUNTIFS(工数管理!$AK$3:$AK$98,L$1,工数管理!$O$3:$O$98,"&lt;="&amp;$H209,工数管理!$P$3:$P$98,"&gt;="&amp;$H209)+COUNTIFS(工数管理!$AK$3:$AK$98,L$1,工数管理!$Q$3:$Q$98,"&lt;="&amp;$H209,工数管理!$R$3:$R$98,"&gt;="&amp;$H209)+COUNTIFS(工数管理!$AK$3:$AK$98,L$1,工数管理!$S$3:$S$98,"&lt;="&amp;$H209,工数管理!$T$3:$T$98,"&gt;="&amp;$H209)+COUNTIFS(工数管理!$AK$3:$AK$98,L$1,工数管理!$U$3:$U$98,"&lt;="&amp;$H209,工数管理!$V$3:$V$98,"&gt;="&amp;$H209)+COUNTIFS(工数管理!$AK$3:$AK$98,L$1,工数管理!$W$3:$W$98,"&lt;="&amp;$H209,工数管理!$X$3:$X$98,"&gt;="&amp;$H209)+COUNTIFS(工数管理!$AK$3:$AK$98,L$1,工数管理!$Y$3:$Y$98,"&lt;="&amp;$H209,工数管理!$Z$3:$Z$98,"&gt;="&amp;$H209)+COUNTIFS(工数管理!$AK$3:$AK$98,L$1,工数管理!$AA$3:$AA$98,"&lt;="&amp;$H209,工数管理!$AB$3:$AB$98,"&gt;="&amp;$H209)+COUNTIFS(工数管理!$AK$3:$AK$98,L$1,工数管理!$AC$3:$AC$98,"&lt;="&amp;$H209,工数管理!$AD$3:$AD$98,"&gt;="&amp;$H209)+COUNTIFS(工数管理!$AK$3:$AK$98,L$1,工数管理!$AE$3:$AE$98,"&lt;="&amp;$H209,工数管理!$AF$3:$AF$98,"&gt;="&amp;$H209)+COUNTIFS(工数管理!$AK$3:$AK$98,L$1,工数管理!$AG$3:$AG$98,"&lt;="&amp;$H209,工数管理!$AH$3:$AH$98,"&gt;="&amp;$H209)+(COUNTIFS(工数管理!$AK$3:$AK$98,L$1,工数管理!$K$3:$K$98,"&lt;="&amp;$H209,工数管理!$L$3:$L$98,"")+COUNTIFS(工数管理!$AK$3:$AK$98,L$1,工数管理!$M$3:$M$98,"&lt;="&amp;$H209,工数管理!$N$3:$N$98,"")+COUNTIFS(工数管理!$AK$3:$AK$98,L$1,工数管理!$O$3:$O$98,"&lt;="&amp;$H209,工数管理!$P$3:$P$98,"")+COUNTIFS(工数管理!$AK$3:$AK$98,L$1,工数管理!$Q$3:$Q$98,"&lt;="&amp;$H209,工数管理!$R$3:$R$98,"")+COUNTIFS(工数管理!$AK$3:$AK$98,L$1,工数管理!$S$3:$S$98,"&lt;="&amp;$H209,工数管理!$T$3:$T$98,"")+COUNTIFS(工数管理!$AK$3:$AK$98,L$1,工数管理!$U$3:$U$98,"&lt;="&amp;$H209,工数管理!$V$3:$V$98,"")+COUNTIFS(工数管理!$AK$3:$AK$98,L$1,工数管理!$W$3:$W$98,"&lt;="&amp;$H209,工数管理!$X$3:$X$98,"")+COUNTIFS(工数管理!$AK$3:$AK$98,L$1,工数管理!$Y$3:$Y$98,"&lt;="&amp;$H209,工数管理!$Z$3:$Z$98,"")+COUNTIFS(工数管理!$AK$3:$AK$98,L$1,工数管理!$AA$3:$AA$98,"&lt;="&amp;$H209,工数管理!$AB$3:$AB$98,"")+COUNTIFS(工数管理!$AK$3:$AK$98,L$1,工数管理!$AC$3:$AC$98,"&lt;="&amp;$H209,工数管理!$AD$3:$AD$98,"")+COUNTIFS(工数管理!$AK$3:$AK$98,L$1,工数管理!$AE$3:$AE$98,"&lt;="&amp;$H209,工数管理!$AF$3:$AF$98,"")+COUNTIFS(工数管理!$AK$3:$AK$98,L$1,工数管理!$AG$3:$AG$98,"&lt;="&amp;$H209,工数管理!$AH$3:$AH$98,""))*($H209&lt;=工数管理!$AI$1))</f>
        <v>0</v>
      </c>
    </row>
    <row r="210" spans="8:12" x14ac:dyDescent="0.15">
      <c r="H210" s="41">
        <f t="shared" si="7"/>
        <v>46378</v>
      </c>
      <c r="I210" s="42">
        <f t="shared" si="6"/>
        <v>1</v>
      </c>
      <c r="J210" s="42">
        <f ca="1">IF(J$1="",0,COUNTIFS(工数管理!$AK$3:$AK$98,J$1,工数管理!$K$3:$K$98,"&lt;="&amp;$H210,工数管理!$L$3:$L$98,"&gt;="&amp;$H210)+COUNTIFS(工数管理!$AK$3:$AK$98,J$1,工数管理!$M$3:$M$98,"&lt;="&amp;$H210,工数管理!$N$3:$N$98,"&gt;="&amp;$H210)+COUNTIFS(工数管理!$AK$3:$AK$98,J$1,工数管理!$O$3:$O$98,"&lt;="&amp;$H210,工数管理!$P$3:$P$98,"&gt;="&amp;$H210)+COUNTIFS(工数管理!$AK$3:$AK$98,J$1,工数管理!$Q$3:$Q$98,"&lt;="&amp;$H210,工数管理!$R$3:$R$98,"&gt;="&amp;$H210)+COUNTIFS(工数管理!$AK$3:$AK$98,J$1,工数管理!$S$3:$S$98,"&lt;="&amp;$H210,工数管理!$T$3:$T$98,"&gt;="&amp;$H210)+COUNTIFS(工数管理!$AK$3:$AK$98,J$1,工数管理!$U$3:$U$98,"&lt;="&amp;$H210,工数管理!$V$3:$V$98,"&gt;="&amp;$H210)+COUNTIFS(工数管理!$AK$3:$AK$98,J$1,工数管理!$W$3:$W$98,"&lt;="&amp;$H210,工数管理!$X$3:$X$98,"&gt;="&amp;$H210)+COUNTIFS(工数管理!$AK$3:$AK$98,J$1,工数管理!$Y$3:$Y$98,"&lt;="&amp;$H210,工数管理!$Z$3:$Z$98,"&gt;="&amp;$H210)+COUNTIFS(工数管理!$AK$3:$AK$98,J$1,工数管理!$AA$3:$AA$98,"&lt;="&amp;$H210,工数管理!$AB$3:$AB$98,"&gt;="&amp;$H210)+COUNTIFS(工数管理!$AK$3:$AK$98,J$1,工数管理!$AC$3:$AC$98,"&lt;="&amp;$H210,工数管理!$AD$3:$AD$98,"&gt;="&amp;$H210)+COUNTIFS(工数管理!$AK$3:$AK$98,J$1,工数管理!$AE$3:$AE$98,"&lt;="&amp;$H210,工数管理!$AF$3:$AF$98,"&gt;="&amp;$H210)+COUNTIFS(工数管理!$AK$3:$AK$98,J$1,工数管理!$AG$3:$AG$98,"&lt;="&amp;$H210,工数管理!$AH$3:$AH$98,"&gt;="&amp;$H210)+(COUNTIFS(工数管理!$AK$3:$AK$98,J$1,工数管理!$K$3:$K$98,"&lt;="&amp;$H210,工数管理!$L$3:$L$98,"")+COUNTIFS(工数管理!$AK$3:$AK$98,J$1,工数管理!$M$3:$M$98,"&lt;="&amp;$H210,工数管理!$N$3:$N$98,"")+COUNTIFS(工数管理!$AK$3:$AK$98,J$1,工数管理!$O$3:$O$98,"&lt;="&amp;$H210,工数管理!$P$3:$P$98,"")+COUNTIFS(工数管理!$AK$3:$AK$98,J$1,工数管理!$Q$3:$Q$98,"&lt;="&amp;$H210,工数管理!$R$3:$R$98,"")+COUNTIFS(工数管理!$AK$3:$AK$98,J$1,工数管理!$S$3:$S$98,"&lt;="&amp;$H210,工数管理!$T$3:$T$98,"")+COUNTIFS(工数管理!$AK$3:$AK$98,J$1,工数管理!$U$3:$U$98,"&lt;="&amp;$H210,工数管理!$V$3:$V$98,"")+COUNTIFS(工数管理!$AK$3:$AK$98,J$1,工数管理!$W$3:$W$98,"&lt;="&amp;$H210,工数管理!$X$3:$X$98,"")+COUNTIFS(工数管理!$AK$3:$AK$98,J$1,工数管理!$Y$3:$Y$98,"&lt;="&amp;$H210,工数管理!$Z$3:$Z$98,"")+COUNTIFS(工数管理!$AK$3:$AK$98,J$1,工数管理!$AA$3:$AA$98,"&lt;="&amp;$H210,工数管理!$AB$3:$AB$98,"")+COUNTIFS(工数管理!$AK$3:$AK$98,J$1,工数管理!$AC$3:$AC$98,"&lt;="&amp;$H210,工数管理!$AD$3:$AD$98,"")+COUNTIFS(工数管理!$AK$3:$AK$98,J$1,工数管理!$AE$3:$AE$98,"&lt;="&amp;$H210,工数管理!$AF$3:$AF$98,"")+COUNTIFS(工数管理!$AK$3:$AK$98,J$1,工数管理!$AG$3:$AG$98,"&lt;="&amp;$H210,工数管理!$AH$3:$AH$98,""))*($H210&lt;=工数管理!$AI$1))</f>
        <v>0</v>
      </c>
      <c r="K210" s="42">
        <f ca="1">IF(K$1="",0,COUNTIFS(工数管理!$AK$3:$AK$98,K$1,工数管理!$K$3:$K$98,"&lt;="&amp;$H210,工数管理!$L$3:$L$98,"&gt;="&amp;$H210)+COUNTIFS(工数管理!$AK$3:$AK$98,K$1,工数管理!$M$3:$M$98,"&lt;="&amp;$H210,工数管理!$N$3:$N$98,"&gt;="&amp;$H210)+COUNTIFS(工数管理!$AK$3:$AK$98,K$1,工数管理!$O$3:$O$98,"&lt;="&amp;$H210,工数管理!$P$3:$P$98,"&gt;="&amp;$H210)+COUNTIFS(工数管理!$AK$3:$AK$98,K$1,工数管理!$Q$3:$Q$98,"&lt;="&amp;$H210,工数管理!$R$3:$R$98,"&gt;="&amp;$H210)+COUNTIFS(工数管理!$AK$3:$AK$98,K$1,工数管理!$S$3:$S$98,"&lt;="&amp;$H210,工数管理!$T$3:$T$98,"&gt;="&amp;$H210)+COUNTIFS(工数管理!$AK$3:$AK$98,K$1,工数管理!$U$3:$U$98,"&lt;="&amp;$H210,工数管理!$V$3:$V$98,"&gt;="&amp;$H210)+COUNTIFS(工数管理!$AK$3:$AK$98,K$1,工数管理!$W$3:$W$98,"&lt;="&amp;$H210,工数管理!$X$3:$X$98,"&gt;="&amp;$H210)+COUNTIFS(工数管理!$AK$3:$AK$98,K$1,工数管理!$Y$3:$Y$98,"&lt;="&amp;$H210,工数管理!$Z$3:$Z$98,"&gt;="&amp;$H210)+COUNTIFS(工数管理!$AK$3:$AK$98,K$1,工数管理!$AA$3:$AA$98,"&lt;="&amp;$H210,工数管理!$AB$3:$AB$98,"&gt;="&amp;$H210)+COUNTIFS(工数管理!$AK$3:$AK$98,K$1,工数管理!$AC$3:$AC$98,"&lt;="&amp;$H210,工数管理!$AD$3:$AD$98,"&gt;="&amp;$H210)+COUNTIFS(工数管理!$AK$3:$AK$98,K$1,工数管理!$AE$3:$AE$98,"&lt;="&amp;$H210,工数管理!$AF$3:$AF$98,"&gt;="&amp;$H210)+COUNTIFS(工数管理!$AK$3:$AK$98,K$1,工数管理!$AG$3:$AG$98,"&lt;="&amp;$H210,工数管理!$AH$3:$AH$98,"&gt;="&amp;$H210)+(COUNTIFS(工数管理!$AK$3:$AK$98,K$1,工数管理!$K$3:$K$98,"&lt;="&amp;$H210,工数管理!$L$3:$L$98,"")+COUNTIFS(工数管理!$AK$3:$AK$98,K$1,工数管理!$M$3:$M$98,"&lt;="&amp;$H210,工数管理!$N$3:$N$98,"")+COUNTIFS(工数管理!$AK$3:$AK$98,K$1,工数管理!$O$3:$O$98,"&lt;="&amp;$H210,工数管理!$P$3:$P$98,"")+COUNTIFS(工数管理!$AK$3:$AK$98,K$1,工数管理!$Q$3:$Q$98,"&lt;="&amp;$H210,工数管理!$R$3:$R$98,"")+COUNTIFS(工数管理!$AK$3:$AK$98,K$1,工数管理!$S$3:$S$98,"&lt;="&amp;$H210,工数管理!$T$3:$T$98,"")+COUNTIFS(工数管理!$AK$3:$AK$98,K$1,工数管理!$U$3:$U$98,"&lt;="&amp;$H210,工数管理!$V$3:$V$98,"")+COUNTIFS(工数管理!$AK$3:$AK$98,K$1,工数管理!$W$3:$W$98,"&lt;="&amp;$H210,工数管理!$X$3:$X$98,"")+COUNTIFS(工数管理!$AK$3:$AK$98,K$1,工数管理!$Y$3:$Y$98,"&lt;="&amp;$H210,工数管理!$Z$3:$Z$98,"")+COUNTIFS(工数管理!$AK$3:$AK$98,K$1,工数管理!$AA$3:$AA$98,"&lt;="&amp;$H210,工数管理!$AB$3:$AB$98,"")+COUNTIFS(工数管理!$AK$3:$AK$98,K$1,工数管理!$AC$3:$AC$98,"&lt;="&amp;$H210,工数管理!$AD$3:$AD$98,"")+COUNTIFS(工数管理!$AK$3:$AK$98,K$1,工数管理!$AE$3:$AE$98,"&lt;="&amp;$H210,工数管理!$AF$3:$AF$98,"")+COUNTIFS(工数管理!$AK$3:$AK$98,K$1,工数管理!$AG$3:$AG$98,"&lt;="&amp;$H210,工数管理!$AH$3:$AH$98,""))*($H210&lt;=工数管理!$AI$1))</f>
        <v>0</v>
      </c>
      <c r="L210" s="42">
        <f ca="1">IF(L$1="",0,COUNTIFS(工数管理!$AK$3:$AK$98,L$1,工数管理!$K$3:$K$98,"&lt;="&amp;$H210,工数管理!$L$3:$L$98,"&gt;="&amp;$H210)+COUNTIFS(工数管理!$AK$3:$AK$98,L$1,工数管理!$M$3:$M$98,"&lt;="&amp;$H210,工数管理!$N$3:$N$98,"&gt;="&amp;$H210)+COUNTIFS(工数管理!$AK$3:$AK$98,L$1,工数管理!$O$3:$O$98,"&lt;="&amp;$H210,工数管理!$P$3:$P$98,"&gt;="&amp;$H210)+COUNTIFS(工数管理!$AK$3:$AK$98,L$1,工数管理!$Q$3:$Q$98,"&lt;="&amp;$H210,工数管理!$R$3:$R$98,"&gt;="&amp;$H210)+COUNTIFS(工数管理!$AK$3:$AK$98,L$1,工数管理!$S$3:$S$98,"&lt;="&amp;$H210,工数管理!$T$3:$T$98,"&gt;="&amp;$H210)+COUNTIFS(工数管理!$AK$3:$AK$98,L$1,工数管理!$U$3:$U$98,"&lt;="&amp;$H210,工数管理!$V$3:$V$98,"&gt;="&amp;$H210)+COUNTIFS(工数管理!$AK$3:$AK$98,L$1,工数管理!$W$3:$W$98,"&lt;="&amp;$H210,工数管理!$X$3:$X$98,"&gt;="&amp;$H210)+COUNTIFS(工数管理!$AK$3:$AK$98,L$1,工数管理!$Y$3:$Y$98,"&lt;="&amp;$H210,工数管理!$Z$3:$Z$98,"&gt;="&amp;$H210)+COUNTIFS(工数管理!$AK$3:$AK$98,L$1,工数管理!$AA$3:$AA$98,"&lt;="&amp;$H210,工数管理!$AB$3:$AB$98,"&gt;="&amp;$H210)+COUNTIFS(工数管理!$AK$3:$AK$98,L$1,工数管理!$AC$3:$AC$98,"&lt;="&amp;$H210,工数管理!$AD$3:$AD$98,"&gt;="&amp;$H210)+COUNTIFS(工数管理!$AK$3:$AK$98,L$1,工数管理!$AE$3:$AE$98,"&lt;="&amp;$H210,工数管理!$AF$3:$AF$98,"&gt;="&amp;$H210)+COUNTIFS(工数管理!$AK$3:$AK$98,L$1,工数管理!$AG$3:$AG$98,"&lt;="&amp;$H210,工数管理!$AH$3:$AH$98,"&gt;="&amp;$H210)+(COUNTIFS(工数管理!$AK$3:$AK$98,L$1,工数管理!$K$3:$K$98,"&lt;="&amp;$H210,工数管理!$L$3:$L$98,"")+COUNTIFS(工数管理!$AK$3:$AK$98,L$1,工数管理!$M$3:$M$98,"&lt;="&amp;$H210,工数管理!$N$3:$N$98,"")+COUNTIFS(工数管理!$AK$3:$AK$98,L$1,工数管理!$O$3:$O$98,"&lt;="&amp;$H210,工数管理!$P$3:$P$98,"")+COUNTIFS(工数管理!$AK$3:$AK$98,L$1,工数管理!$Q$3:$Q$98,"&lt;="&amp;$H210,工数管理!$R$3:$R$98,"")+COUNTIFS(工数管理!$AK$3:$AK$98,L$1,工数管理!$S$3:$S$98,"&lt;="&amp;$H210,工数管理!$T$3:$T$98,"")+COUNTIFS(工数管理!$AK$3:$AK$98,L$1,工数管理!$U$3:$U$98,"&lt;="&amp;$H210,工数管理!$V$3:$V$98,"")+COUNTIFS(工数管理!$AK$3:$AK$98,L$1,工数管理!$W$3:$W$98,"&lt;="&amp;$H210,工数管理!$X$3:$X$98,"")+COUNTIFS(工数管理!$AK$3:$AK$98,L$1,工数管理!$Y$3:$Y$98,"&lt;="&amp;$H210,工数管理!$Z$3:$Z$98,"")+COUNTIFS(工数管理!$AK$3:$AK$98,L$1,工数管理!$AA$3:$AA$98,"&lt;="&amp;$H210,工数管理!$AB$3:$AB$98,"")+COUNTIFS(工数管理!$AK$3:$AK$98,L$1,工数管理!$AC$3:$AC$98,"&lt;="&amp;$H210,工数管理!$AD$3:$AD$98,"")+COUNTIFS(工数管理!$AK$3:$AK$98,L$1,工数管理!$AE$3:$AE$98,"&lt;="&amp;$H210,工数管理!$AF$3:$AF$98,"")+COUNTIFS(工数管理!$AK$3:$AK$98,L$1,工数管理!$AG$3:$AG$98,"&lt;="&amp;$H210,工数管理!$AH$3:$AH$98,""))*($H210&lt;=工数管理!$AI$1))</f>
        <v>0</v>
      </c>
    </row>
    <row r="211" spans="8:12" x14ac:dyDescent="0.15">
      <c r="H211" s="41">
        <f t="shared" si="7"/>
        <v>46379</v>
      </c>
      <c r="I211" s="42">
        <f t="shared" si="6"/>
        <v>1</v>
      </c>
      <c r="J211" s="42">
        <f ca="1">IF(J$1="",0,COUNTIFS(工数管理!$AK$3:$AK$98,J$1,工数管理!$K$3:$K$98,"&lt;="&amp;$H211,工数管理!$L$3:$L$98,"&gt;="&amp;$H211)+COUNTIFS(工数管理!$AK$3:$AK$98,J$1,工数管理!$M$3:$M$98,"&lt;="&amp;$H211,工数管理!$N$3:$N$98,"&gt;="&amp;$H211)+COUNTIFS(工数管理!$AK$3:$AK$98,J$1,工数管理!$O$3:$O$98,"&lt;="&amp;$H211,工数管理!$P$3:$P$98,"&gt;="&amp;$H211)+COUNTIFS(工数管理!$AK$3:$AK$98,J$1,工数管理!$Q$3:$Q$98,"&lt;="&amp;$H211,工数管理!$R$3:$R$98,"&gt;="&amp;$H211)+COUNTIFS(工数管理!$AK$3:$AK$98,J$1,工数管理!$S$3:$S$98,"&lt;="&amp;$H211,工数管理!$T$3:$T$98,"&gt;="&amp;$H211)+COUNTIFS(工数管理!$AK$3:$AK$98,J$1,工数管理!$U$3:$U$98,"&lt;="&amp;$H211,工数管理!$V$3:$V$98,"&gt;="&amp;$H211)+COUNTIFS(工数管理!$AK$3:$AK$98,J$1,工数管理!$W$3:$W$98,"&lt;="&amp;$H211,工数管理!$X$3:$X$98,"&gt;="&amp;$H211)+COUNTIFS(工数管理!$AK$3:$AK$98,J$1,工数管理!$Y$3:$Y$98,"&lt;="&amp;$H211,工数管理!$Z$3:$Z$98,"&gt;="&amp;$H211)+COUNTIFS(工数管理!$AK$3:$AK$98,J$1,工数管理!$AA$3:$AA$98,"&lt;="&amp;$H211,工数管理!$AB$3:$AB$98,"&gt;="&amp;$H211)+COUNTIFS(工数管理!$AK$3:$AK$98,J$1,工数管理!$AC$3:$AC$98,"&lt;="&amp;$H211,工数管理!$AD$3:$AD$98,"&gt;="&amp;$H211)+COUNTIFS(工数管理!$AK$3:$AK$98,J$1,工数管理!$AE$3:$AE$98,"&lt;="&amp;$H211,工数管理!$AF$3:$AF$98,"&gt;="&amp;$H211)+COUNTIFS(工数管理!$AK$3:$AK$98,J$1,工数管理!$AG$3:$AG$98,"&lt;="&amp;$H211,工数管理!$AH$3:$AH$98,"&gt;="&amp;$H211)+(COUNTIFS(工数管理!$AK$3:$AK$98,J$1,工数管理!$K$3:$K$98,"&lt;="&amp;$H211,工数管理!$L$3:$L$98,"")+COUNTIFS(工数管理!$AK$3:$AK$98,J$1,工数管理!$M$3:$M$98,"&lt;="&amp;$H211,工数管理!$N$3:$N$98,"")+COUNTIFS(工数管理!$AK$3:$AK$98,J$1,工数管理!$O$3:$O$98,"&lt;="&amp;$H211,工数管理!$P$3:$P$98,"")+COUNTIFS(工数管理!$AK$3:$AK$98,J$1,工数管理!$Q$3:$Q$98,"&lt;="&amp;$H211,工数管理!$R$3:$R$98,"")+COUNTIFS(工数管理!$AK$3:$AK$98,J$1,工数管理!$S$3:$S$98,"&lt;="&amp;$H211,工数管理!$T$3:$T$98,"")+COUNTIFS(工数管理!$AK$3:$AK$98,J$1,工数管理!$U$3:$U$98,"&lt;="&amp;$H211,工数管理!$V$3:$V$98,"")+COUNTIFS(工数管理!$AK$3:$AK$98,J$1,工数管理!$W$3:$W$98,"&lt;="&amp;$H211,工数管理!$X$3:$X$98,"")+COUNTIFS(工数管理!$AK$3:$AK$98,J$1,工数管理!$Y$3:$Y$98,"&lt;="&amp;$H211,工数管理!$Z$3:$Z$98,"")+COUNTIFS(工数管理!$AK$3:$AK$98,J$1,工数管理!$AA$3:$AA$98,"&lt;="&amp;$H211,工数管理!$AB$3:$AB$98,"")+COUNTIFS(工数管理!$AK$3:$AK$98,J$1,工数管理!$AC$3:$AC$98,"&lt;="&amp;$H211,工数管理!$AD$3:$AD$98,"")+COUNTIFS(工数管理!$AK$3:$AK$98,J$1,工数管理!$AE$3:$AE$98,"&lt;="&amp;$H211,工数管理!$AF$3:$AF$98,"")+COUNTIFS(工数管理!$AK$3:$AK$98,J$1,工数管理!$AG$3:$AG$98,"&lt;="&amp;$H211,工数管理!$AH$3:$AH$98,""))*($H211&lt;=工数管理!$AI$1))</f>
        <v>0</v>
      </c>
      <c r="K211" s="42">
        <f ca="1">IF(K$1="",0,COUNTIFS(工数管理!$AK$3:$AK$98,K$1,工数管理!$K$3:$K$98,"&lt;="&amp;$H211,工数管理!$L$3:$L$98,"&gt;="&amp;$H211)+COUNTIFS(工数管理!$AK$3:$AK$98,K$1,工数管理!$M$3:$M$98,"&lt;="&amp;$H211,工数管理!$N$3:$N$98,"&gt;="&amp;$H211)+COUNTIFS(工数管理!$AK$3:$AK$98,K$1,工数管理!$O$3:$O$98,"&lt;="&amp;$H211,工数管理!$P$3:$P$98,"&gt;="&amp;$H211)+COUNTIFS(工数管理!$AK$3:$AK$98,K$1,工数管理!$Q$3:$Q$98,"&lt;="&amp;$H211,工数管理!$R$3:$R$98,"&gt;="&amp;$H211)+COUNTIFS(工数管理!$AK$3:$AK$98,K$1,工数管理!$S$3:$S$98,"&lt;="&amp;$H211,工数管理!$T$3:$T$98,"&gt;="&amp;$H211)+COUNTIFS(工数管理!$AK$3:$AK$98,K$1,工数管理!$U$3:$U$98,"&lt;="&amp;$H211,工数管理!$V$3:$V$98,"&gt;="&amp;$H211)+COUNTIFS(工数管理!$AK$3:$AK$98,K$1,工数管理!$W$3:$W$98,"&lt;="&amp;$H211,工数管理!$X$3:$X$98,"&gt;="&amp;$H211)+COUNTIFS(工数管理!$AK$3:$AK$98,K$1,工数管理!$Y$3:$Y$98,"&lt;="&amp;$H211,工数管理!$Z$3:$Z$98,"&gt;="&amp;$H211)+COUNTIFS(工数管理!$AK$3:$AK$98,K$1,工数管理!$AA$3:$AA$98,"&lt;="&amp;$H211,工数管理!$AB$3:$AB$98,"&gt;="&amp;$H211)+COUNTIFS(工数管理!$AK$3:$AK$98,K$1,工数管理!$AC$3:$AC$98,"&lt;="&amp;$H211,工数管理!$AD$3:$AD$98,"&gt;="&amp;$H211)+COUNTIFS(工数管理!$AK$3:$AK$98,K$1,工数管理!$AE$3:$AE$98,"&lt;="&amp;$H211,工数管理!$AF$3:$AF$98,"&gt;="&amp;$H211)+COUNTIFS(工数管理!$AK$3:$AK$98,K$1,工数管理!$AG$3:$AG$98,"&lt;="&amp;$H211,工数管理!$AH$3:$AH$98,"&gt;="&amp;$H211)+(COUNTIFS(工数管理!$AK$3:$AK$98,K$1,工数管理!$K$3:$K$98,"&lt;="&amp;$H211,工数管理!$L$3:$L$98,"")+COUNTIFS(工数管理!$AK$3:$AK$98,K$1,工数管理!$M$3:$M$98,"&lt;="&amp;$H211,工数管理!$N$3:$N$98,"")+COUNTIFS(工数管理!$AK$3:$AK$98,K$1,工数管理!$O$3:$O$98,"&lt;="&amp;$H211,工数管理!$P$3:$P$98,"")+COUNTIFS(工数管理!$AK$3:$AK$98,K$1,工数管理!$Q$3:$Q$98,"&lt;="&amp;$H211,工数管理!$R$3:$R$98,"")+COUNTIFS(工数管理!$AK$3:$AK$98,K$1,工数管理!$S$3:$S$98,"&lt;="&amp;$H211,工数管理!$T$3:$T$98,"")+COUNTIFS(工数管理!$AK$3:$AK$98,K$1,工数管理!$U$3:$U$98,"&lt;="&amp;$H211,工数管理!$V$3:$V$98,"")+COUNTIFS(工数管理!$AK$3:$AK$98,K$1,工数管理!$W$3:$W$98,"&lt;="&amp;$H211,工数管理!$X$3:$X$98,"")+COUNTIFS(工数管理!$AK$3:$AK$98,K$1,工数管理!$Y$3:$Y$98,"&lt;="&amp;$H211,工数管理!$Z$3:$Z$98,"")+COUNTIFS(工数管理!$AK$3:$AK$98,K$1,工数管理!$AA$3:$AA$98,"&lt;="&amp;$H211,工数管理!$AB$3:$AB$98,"")+COUNTIFS(工数管理!$AK$3:$AK$98,K$1,工数管理!$AC$3:$AC$98,"&lt;="&amp;$H211,工数管理!$AD$3:$AD$98,"")+COUNTIFS(工数管理!$AK$3:$AK$98,K$1,工数管理!$AE$3:$AE$98,"&lt;="&amp;$H211,工数管理!$AF$3:$AF$98,"")+COUNTIFS(工数管理!$AK$3:$AK$98,K$1,工数管理!$AG$3:$AG$98,"&lt;="&amp;$H211,工数管理!$AH$3:$AH$98,""))*($H211&lt;=工数管理!$AI$1))</f>
        <v>0</v>
      </c>
      <c r="L211" s="42">
        <f ca="1">IF(L$1="",0,COUNTIFS(工数管理!$AK$3:$AK$98,L$1,工数管理!$K$3:$K$98,"&lt;="&amp;$H211,工数管理!$L$3:$L$98,"&gt;="&amp;$H211)+COUNTIFS(工数管理!$AK$3:$AK$98,L$1,工数管理!$M$3:$M$98,"&lt;="&amp;$H211,工数管理!$N$3:$N$98,"&gt;="&amp;$H211)+COUNTIFS(工数管理!$AK$3:$AK$98,L$1,工数管理!$O$3:$O$98,"&lt;="&amp;$H211,工数管理!$P$3:$P$98,"&gt;="&amp;$H211)+COUNTIFS(工数管理!$AK$3:$AK$98,L$1,工数管理!$Q$3:$Q$98,"&lt;="&amp;$H211,工数管理!$R$3:$R$98,"&gt;="&amp;$H211)+COUNTIFS(工数管理!$AK$3:$AK$98,L$1,工数管理!$S$3:$S$98,"&lt;="&amp;$H211,工数管理!$T$3:$T$98,"&gt;="&amp;$H211)+COUNTIFS(工数管理!$AK$3:$AK$98,L$1,工数管理!$U$3:$U$98,"&lt;="&amp;$H211,工数管理!$V$3:$V$98,"&gt;="&amp;$H211)+COUNTIFS(工数管理!$AK$3:$AK$98,L$1,工数管理!$W$3:$W$98,"&lt;="&amp;$H211,工数管理!$X$3:$X$98,"&gt;="&amp;$H211)+COUNTIFS(工数管理!$AK$3:$AK$98,L$1,工数管理!$Y$3:$Y$98,"&lt;="&amp;$H211,工数管理!$Z$3:$Z$98,"&gt;="&amp;$H211)+COUNTIFS(工数管理!$AK$3:$AK$98,L$1,工数管理!$AA$3:$AA$98,"&lt;="&amp;$H211,工数管理!$AB$3:$AB$98,"&gt;="&amp;$H211)+COUNTIFS(工数管理!$AK$3:$AK$98,L$1,工数管理!$AC$3:$AC$98,"&lt;="&amp;$H211,工数管理!$AD$3:$AD$98,"&gt;="&amp;$H211)+COUNTIFS(工数管理!$AK$3:$AK$98,L$1,工数管理!$AE$3:$AE$98,"&lt;="&amp;$H211,工数管理!$AF$3:$AF$98,"&gt;="&amp;$H211)+COUNTIFS(工数管理!$AK$3:$AK$98,L$1,工数管理!$AG$3:$AG$98,"&lt;="&amp;$H211,工数管理!$AH$3:$AH$98,"&gt;="&amp;$H211)+(COUNTIFS(工数管理!$AK$3:$AK$98,L$1,工数管理!$K$3:$K$98,"&lt;="&amp;$H211,工数管理!$L$3:$L$98,"")+COUNTIFS(工数管理!$AK$3:$AK$98,L$1,工数管理!$M$3:$M$98,"&lt;="&amp;$H211,工数管理!$N$3:$N$98,"")+COUNTIFS(工数管理!$AK$3:$AK$98,L$1,工数管理!$O$3:$O$98,"&lt;="&amp;$H211,工数管理!$P$3:$P$98,"")+COUNTIFS(工数管理!$AK$3:$AK$98,L$1,工数管理!$Q$3:$Q$98,"&lt;="&amp;$H211,工数管理!$R$3:$R$98,"")+COUNTIFS(工数管理!$AK$3:$AK$98,L$1,工数管理!$S$3:$S$98,"&lt;="&amp;$H211,工数管理!$T$3:$T$98,"")+COUNTIFS(工数管理!$AK$3:$AK$98,L$1,工数管理!$U$3:$U$98,"&lt;="&amp;$H211,工数管理!$V$3:$V$98,"")+COUNTIFS(工数管理!$AK$3:$AK$98,L$1,工数管理!$W$3:$W$98,"&lt;="&amp;$H211,工数管理!$X$3:$X$98,"")+COUNTIFS(工数管理!$AK$3:$AK$98,L$1,工数管理!$Y$3:$Y$98,"&lt;="&amp;$H211,工数管理!$Z$3:$Z$98,"")+COUNTIFS(工数管理!$AK$3:$AK$98,L$1,工数管理!$AA$3:$AA$98,"&lt;="&amp;$H211,工数管理!$AB$3:$AB$98,"")+COUNTIFS(工数管理!$AK$3:$AK$98,L$1,工数管理!$AC$3:$AC$98,"&lt;="&amp;$H211,工数管理!$AD$3:$AD$98,"")+COUNTIFS(工数管理!$AK$3:$AK$98,L$1,工数管理!$AE$3:$AE$98,"&lt;="&amp;$H211,工数管理!$AF$3:$AF$98,"")+COUNTIFS(工数管理!$AK$3:$AK$98,L$1,工数管理!$AG$3:$AG$98,"&lt;="&amp;$H211,工数管理!$AH$3:$AH$98,""))*($H211&lt;=工数管理!$AI$1))</f>
        <v>0</v>
      </c>
    </row>
    <row r="212" spans="8:12" x14ac:dyDescent="0.15">
      <c r="H212" s="41">
        <f t="shared" si="7"/>
        <v>46380</v>
      </c>
      <c r="I212" s="42">
        <f t="shared" si="6"/>
        <v>1</v>
      </c>
      <c r="J212" s="42">
        <f ca="1">IF(J$1="",0,COUNTIFS(工数管理!$AK$3:$AK$98,J$1,工数管理!$K$3:$K$98,"&lt;="&amp;$H212,工数管理!$L$3:$L$98,"&gt;="&amp;$H212)+COUNTIFS(工数管理!$AK$3:$AK$98,J$1,工数管理!$M$3:$M$98,"&lt;="&amp;$H212,工数管理!$N$3:$N$98,"&gt;="&amp;$H212)+COUNTIFS(工数管理!$AK$3:$AK$98,J$1,工数管理!$O$3:$O$98,"&lt;="&amp;$H212,工数管理!$P$3:$P$98,"&gt;="&amp;$H212)+COUNTIFS(工数管理!$AK$3:$AK$98,J$1,工数管理!$Q$3:$Q$98,"&lt;="&amp;$H212,工数管理!$R$3:$R$98,"&gt;="&amp;$H212)+COUNTIFS(工数管理!$AK$3:$AK$98,J$1,工数管理!$S$3:$S$98,"&lt;="&amp;$H212,工数管理!$T$3:$T$98,"&gt;="&amp;$H212)+COUNTIFS(工数管理!$AK$3:$AK$98,J$1,工数管理!$U$3:$U$98,"&lt;="&amp;$H212,工数管理!$V$3:$V$98,"&gt;="&amp;$H212)+COUNTIFS(工数管理!$AK$3:$AK$98,J$1,工数管理!$W$3:$W$98,"&lt;="&amp;$H212,工数管理!$X$3:$X$98,"&gt;="&amp;$H212)+COUNTIFS(工数管理!$AK$3:$AK$98,J$1,工数管理!$Y$3:$Y$98,"&lt;="&amp;$H212,工数管理!$Z$3:$Z$98,"&gt;="&amp;$H212)+COUNTIFS(工数管理!$AK$3:$AK$98,J$1,工数管理!$AA$3:$AA$98,"&lt;="&amp;$H212,工数管理!$AB$3:$AB$98,"&gt;="&amp;$H212)+COUNTIFS(工数管理!$AK$3:$AK$98,J$1,工数管理!$AC$3:$AC$98,"&lt;="&amp;$H212,工数管理!$AD$3:$AD$98,"&gt;="&amp;$H212)+COUNTIFS(工数管理!$AK$3:$AK$98,J$1,工数管理!$AE$3:$AE$98,"&lt;="&amp;$H212,工数管理!$AF$3:$AF$98,"&gt;="&amp;$H212)+COUNTIFS(工数管理!$AK$3:$AK$98,J$1,工数管理!$AG$3:$AG$98,"&lt;="&amp;$H212,工数管理!$AH$3:$AH$98,"&gt;="&amp;$H212)+(COUNTIFS(工数管理!$AK$3:$AK$98,J$1,工数管理!$K$3:$K$98,"&lt;="&amp;$H212,工数管理!$L$3:$L$98,"")+COUNTIFS(工数管理!$AK$3:$AK$98,J$1,工数管理!$M$3:$M$98,"&lt;="&amp;$H212,工数管理!$N$3:$N$98,"")+COUNTIFS(工数管理!$AK$3:$AK$98,J$1,工数管理!$O$3:$O$98,"&lt;="&amp;$H212,工数管理!$P$3:$P$98,"")+COUNTIFS(工数管理!$AK$3:$AK$98,J$1,工数管理!$Q$3:$Q$98,"&lt;="&amp;$H212,工数管理!$R$3:$R$98,"")+COUNTIFS(工数管理!$AK$3:$AK$98,J$1,工数管理!$S$3:$S$98,"&lt;="&amp;$H212,工数管理!$T$3:$T$98,"")+COUNTIFS(工数管理!$AK$3:$AK$98,J$1,工数管理!$U$3:$U$98,"&lt;="&amp;$H212,工数管理!$V$3:$V$98,"")+COUNTIFS(工数管理!$AK$3:$AK$98,J$1,工数管理!$W$3:$W$98,"&lt;="&amp;$H212,工数管理!$X$3:$X$98,"")+COUNTIFS(工数管理!$AK$3:$AK$98,J$1,工数管理!$Y$3:$Y$98,"&lt;="&amp;$H212,工数管理!$Z$3:$Z$98,"")+COUNTIFS(工数管理!$AK$3:$AK$98,J$1,工数管理!$AA$3:$AA$98,"&lt;="&amp;$H212,工数管理!$AB$3:$AB$98,"")+COUNTIFS(工数管理!$AK$3:$AK$98,J$1,工数管理!$AC$3:$AC$98,"&lt;="&amp;$H212,工数管理!$AD$3:$AD$98,"")+COUNTIFS(工数管理!$AK$3:$AK$98,J$1,工数管理!$AE$3:$AE$98,"&lt;="&amp;$H212,工数管理!$AF$3:$AF$98,"")+COUNTIFS(工数管理!$AK$3:$AK$98,J$1,工数管理!$AG$3:$AG$98,"&lt;="&amp;$H212,工数管理!$AH$3:$AH$98,""))*($H212&lt;=工数管理!$AI$1))</f>
        <v>0</v>
      </c>
      <c r="K212" s="42">
        <f ca="1">IF(K$1="",0,COUNTIFS(工数管理!$AK$3:$AK$98,K$1,工数管理!$K$3:$K$98,"&lt;="&amp;$H212,工数管理!$L$3:$L$98,"&gt;="&amp;$H212)+COUNTIFS(工数管理!$AK$3:$AK$98,K$1,工数管理!$M$3:$M$98,"&lt;="&amp;$H212,工数管理!$N$3:$N$98,"&gt;="&amp;$H212)+COUNTIFS(工数管理!$AK$3:$AK$98,K$1,工数管理!$O$3:$O$98,"&lt;="&amp;$H212,工数管理!$P$3:$P$98,"&gt;="&amp;$H212)+COUNTIFS(工数管理!$AK$3:$AK$98,K$1,工数管理!$Q$3:$Q$98,"&lt;="&amp;$H212,工数管理!$R$3:$R$98,"&gt;="&amp;$H212)+COUNTIFS(工数管理!$AK$3:$AK$98,K$1,工数管理!$S$3:$S$98,"&lt;="&amp;$H212,工数管理!$T$3:$T$98,"&gt;="&amp;$H212)+COUNTIFS(工数管理!$AK$3:$AK$98,K$1,工数管理!$U$3:$U$98,"&lt;="&amp;$H212,工数管理!$V$3:$V$98,"&gt;="&amp;$H212)+COUNTIFS(工数管理!$AK$3:$AK$98,K$1,工数管理!$W$3:$W$98,"&lt;="&amp;$H212,工数管理!$X$3:$X$98,"&gt;="&amp;$H212)+COUNTIFS(工数管理!$AK$3:$AK$98,K$1,工数管理!$Y$3:$Y$98,"&lt;="&amp;$H212,工数管理!$Z$3:$Z$98,"&gt;="&amp;$H212)+COUNTIFS(工数管理!$AK$3:$AK$98,K$1,工数管理!$AA$3:$AA$98,"&lt;="&amp;$H212,工数管理!$AB$3:$AB$98,"&gt;="&amp;$H212)+COUNTIFS(工数管理!$AK$3:$AK$98,K$1,工数管理!$AC$3:$AC$98,"&lt;="&amp;$H212,工数管理!$AD$3:$AD$98,"&gt;="&amp;$H212)+COUNTIFS(工数管理!$AK$3:$AK$98,K$1,工数管理!$AE$3:$AE$98,"&lt;="&amp;$H212,工数管理!$AF$3:$AF$98,"&gt;="&amp;$H212)+COUNTIFS(工数管理!$AK$3:$AK$98,K$1,工数管理!$AG$3:$AG$98,"&lt;="&amp;$H212,工数管理!$AH$3:$AH$98,"&gt;="&amp;$H212)+(COUNTIFS(工数管理!$AK$3:$AK$98,K$1,工数管理!$K$3:$K$98,"&lt;="&amp;$H212,工数管理!$L$3:$L$98,"")+COUNTIFS(工数管理!$AK$3:$AK$98,K$1,工数管理!$M$3:$M$98,"&lt;="&amp;$H212,工数管理!$N$3:$N$98,"")+COUNTIFS(工数管理!$AK$3:$AK$98,K$1,工数管理!$O$3:$O$98,"&lt;="&amp;$H212,工数管理!$P$3:$P$98,"")+COUNTIFS(工数管理!$AK$3:$AK$98,K$1,工数管理!$Q$3:$Q$98,"&lt;="&amp;$H212,工数管理!$R$3:$R$98,"")+COUNTIFS(工数管理!$AK$3:$AK$98,K$1,工数管理!$S$3:$S$98,"&lt;="&amp;$H212,工数管理!$T$3:$T$98,"")+COUNTIFS(工数管理!$AK$3:$AK$98,K$1,工数管理!$U$3:$U$98,"&lt;="&amp;$H212,工数管理!$V$3:$V$98,"")+COUNTIFS(工数管理!$AK$3:$AK$98,K$1,工数管理!$W$3:$W$98,"&lt;="&amp;$H212,工数管理!$X$3:$X$98,"")+COUNTIFS(工数管理!$AK$3:$AK$98,K$1,工数管理!$Y$3:$Y$98,"&lt;="&amp;$H212,工数管理!$Z$3:$Z$98,"")+COUNTIFS(工数管理!$AK$3:$AK$98,K$1,工数管理!$AA$3:$AA$98,"&lt;="&amp;$H212,工数管理!$AB$3:$AB$98,"")+COUNTIFS(工数管理!$AK$3:$AK$98,K$1,工数管理!$AC$3:$AC$98,"&lt;="&amp;$H212,工数管理!$AD$3:$AD$98,"")+COUNTIFS(工数管理!$AK$3:$AK$98,K$1,工数管理!$AE$3:$AE$98,"&lt;="&amp;$H212,工数管理!$AF$3:$AF$98,"")+COUNTIFS(工数管理!$AK$3:$AK$98,K$1,工数管理!$AG$3:$AG$98,"&lt;="&amp;$H212,工数管理!$AH$3:$AH$98,""))*($H212&lt;=工数管理!$AI$1))</f>
        <v>0</v>
      </c>
      <c r="L212" s="42">
        <f ca="1">IF(L$1="",0,COUNTIFS(工数管理!$AK$3:$AK$98,L$1,工数管理!$K$3:$K$98,"&lt;="&amp;$H212,工数管理!$L$3:$L$98,"&gt;="&amp;$H212)+COUNTIFS(工数管理!$AK$3:$AK$98,L$1,工数管理!$M$3:$M$98,"&lt;="&amp;$H212,工数管理!$N$3:$N$98,"&gt;="&amp;$H212)+COUNTIFS(工数管理!$AK$3:$AK$98,L$1,工数管理!$O$3:$O$98,"&lt;="&amp;$H212,工数管理!$P$3:$P$98,"&gt;="&amp;$H212)+COUNTIFS(工数管理!$AK$3:$AK$98,L$1,工数管理!$Q$3:$Q$98,"&lt;="&amp;$H212,工数管理!$R$3:$R$98,"&gt;="&amp;$H212)+COUNTIFS(工数管理!$AK$3:$AK$98,L$1,工数管理!$S$3:$S$98,"&lt;="&amp;$H212,工数管理!$T$3:$T$98,"&gt;="&amp;$H212)+COUNTIFS(工数管理!$AK$3:$AK$98,L$1,工数管理!$U$3:$U$98,"&lt;="&amp;$H212,工数管理!$V$3:$V$98,"&gt;="&amp;$H212)+COUNTIFS(工数管理!$AK$3:$AK$98,L$1,工数管理!$W$3:$W$98,"&lt;="&amp;$H212,工数管理!$X$3:$X$98,"&gt;="&amp;$H212)+COUNTIFS(工数管理!$AK$3:$AK$98,L$1,工数管理!$Y$3:$Y$98,"&lt;="&amp;$H212,工数管理!$Z$3:$Z$98,"&gt;="&amp;$H212)+COUNTIFS(工数管理!$AK$3:$AK$98,L$1,工数管理!$AA$3:$AA$98,"&lt;="&amp;$H212,工数管理!$AB$3:$AB$98,"&gt;="&amp;$H212)+COUNTIFS(工数管理!$AK$3:$AK$98,L$1,工数管理!$AC$3:$AC$98,"&lt;="&amp;$H212,工数管理!$AD$3:$AD$98,"&gt;="&amp;$H212)+COUNTIFS(工数管理!$AK$3:$AK$98,L$1,工数管理!$AE$3:$AE$98,"&lt;="&amp;$H212,工数管理!$AF$3:$AF$98,"&gt;="&amp;$H212)+COUNTIFS(工数管理!$AK$3:$AK$98,L$1,工数管理!$AG$3:$AG$98,"&lt;="&amp;$H212,工数管理!$AH$3:$AH$98,"&gt;="&amp;$H212)+(COUNTIFS(工数管理!$AK$3:$AK$98,L$1,工数管理!$K$3:$K$98,"&lt;="&amp;$H212,工数管理!$L$3:$L$98,"")+COUNTIFS(工数管理!$AK$3:$AK$98,L$1,工数管理!$M$3:$M$98,"&lt;="&amp;$H212,工数管理!$N$3:$N$98,"")+COUNTIFS(工数管理!$AK$3:$AK$98,L$1,工数管理!$O$3:$O$98,"&lt;="&amp;$H212,工数管理!$P$3:$P$98,"")+COUNTIFS(工数管理!$AK$3:$AK$98,L$1,工数管理!$Q$3:$Q$98,"&lt;="&amp;$H212,工数管理!$R$3:$R$98,"")+COUNTIFS(工数管理!$AK$3:$AK$98,L$1,工数管理!$S$3:$S$98,"&lt;="&amp;$H212,工数管理!$T$3:$T$98,"")+COUNTIFS(工数管理!$AK$3:$AK$98,L$1,工数管理!$U$3:$U$98,"&lt;="&amp;$H212,工数管理!$V$3:$V$98,"")+COUNTIFS(工数管理!$AK$3:$AK$98,L$1,工数管理!$W$3:$W$98,"&lt;="&amp;$H212,工数管理!$X$3:$X$98,"")+COUNTIFS(工数管理!$AK$3:$AK$98,L$1,工数管理!$Y$3:$Y$98,"&lt;="&amp;$H212,工数管理!$Z$3:$Z$98,"")+COUNTIFS(工数管理!$AK$3:$AK$98,L$1,工数管理!$AA$3:$AA$98,"&lt;="&amp;$H212,工数管理!$AB$3:$AB$98,"")+COUNTIFS(工数管理!$AK$3:$AK$98,L$1,工数管理!$AC$3:$AC$98,"&lt;="&amp;$H212,工数管理!$AD$3:$AD$98,"")+COUNTIFS(工数管理!$AK$3:$AK$98,L$1,工数管理!$AE$3:$AE$98,"&lt;="&amp;$H212,工数管理!$AF$3:$AF$98,"")+COUNTIFS(工数管理!$AK$3:$AK$98,L$1,工数管理!$AG$3:$AG$98,"&lt;="&amp;$H212,工数管理!$AH$3:$AH$98,""))*($H212&lt;=工数管理!$AI$1))</f>
        <v>0</v>
      </c>
    </row>
    <row r="213" spans="8:12" x14ac:dyDescent="0.15">
      <c r="H213" s="41">
        <f t="shared" si="7"/>
        <v>46381</v>
      </c>
      <c r="I213" s="42">
        <f t="shared" si="6"/>
        <v>1</v>
      </c>
      <c r="J213" s="42">
        <f ca="1">IF(J$1="",0,COUNTIFS(工数管理!$AK$3:$AK$98,J$1,工数管理!$K$3:$K$98,"&lt;="&amp;$H213,工数管理!$L$3:$L$98,"&gt;="&amp;$H213)+COUNTIFS(工数管理!$AK$3:$AK$98,J$1,工数管理!$M$3:$M$98,"&lt;="&amp;$H213,工数管理!$N$3:$N$98,"&gt;="&amp;$H213)+COUNTIFS(工数管理!$AK$3:$AK$98,J$1,工数管理!$O$3:$O$98,"&lt;="&amp;$H213,工数管理!$P$3:$P$98,"&gt;="&amp;$H213)+COUNTIFS(工数管理!$AK$3:$AK$98,J$1,工数管理!$Q$3:$Q$98,"&lt;="&amp;$H213,工数管理!$R$3:$R$98,"&gt;="&amp;$H213)+COUNTIFS(工数管理!$AK$3:$AK$98,J$1,工数管理!$S$3:$S$98,"&lt;="&amp;$H213,工数管理!$T$3:$T$98,"&gt;="&amp;$H213)+COUNTIFS(工数管理!$AK$3:$AK$98,J$1,工数管理!$U$3:$U$98,"&lt;="&amp;$H213,工数管理!$V$3:$V$98,"&gt;="&amp;$H213)+COUNTIFS(工数管理!$AK$3:$AK$98,J$1,工数管理!$W$3:$W$98,"&lt;="&amp;$H213,工数管理!$X$3:$X$98,"&gt;="&amp;$H213)+COUNTIFS(工数管理!$AK$3:$AK$98,J$1,工数管理!$Y$3:$Y$98,"&lt;="&amp;$H213,工数管理!$Z$3:$Z$98,"&gt;="&amp;$H213)+COUNTIFS(工数管理!$AK$3:$AK$98,J$1,工数管理!$AA$3:$AA$98,"&lt;="&amp;$H213,工数管理!$AB$3:$AB$98,"&gt;="&amp;$H213)+COUNTIFS(工数管理!$AK$3:$AK$98,J$1,工数管理!$AC$3:$AC$98,"&lt;="&amp;$H213,工数管理!$AD$3:$AD$98,"&gt;="&amp;$H213)+COUNTIFS(工数管理!$AK$3:$AK$98,J$1,工数管理!$AE$3:$AE$98,"&lt;="&amp;$H213,工数管理!$AF$3:$AF$98,"&gt;="&amp;$H213)+COUNTIFS(工数管理!$AK$3:$AK$98,J$1,工数管理!$AG$3:$AG$98,"&lt;="&amp;$H213,工数管理!$AH$3:$AH$98,"&gt;="&amp;$H213)+(COUNTIFS(工数管理!$AK$3:$AK$98,J$1,工数管理!$K$3:$K$98,"&lt;="&amp;$H213,工数管理!$L$3:$L$98,"")+COUNTIFS(工数管理!$AK$3:$AK$98,J$1,工数管理!$M$3:$M$98,"&lt;="&amp;$H213,工数管理!$N$3:$N$98,"")+COUNTIFS(工数管理!$AK$3:$AK$98,J$1,工数管理!$O$3:$O$98,"&lt;="&amp;$H213,工数管理!$P$3:$P$98,"")+COUNTIFS(工数管理!$AK$3:$AK$98,J$1,工数管理!$Q$3:$Q$98,"&lt;="&amp;$H213,工数管理!$R$3:$R$98,"")+COUNTIFS(工数管理!$AK$3:$AK$98,J$1,工数管理!$S$3:$S$98,"&lt;="&amp;$H213,工数管理!$T$3:$T$98,"")+COUNTIFS(工数管理!$AK$3:$AK$98,J$1,工数管理!$U$3:$U$98,"&lt;="&amp;$H213,工数管理!$V$3:$V$98,"")+COUNTIFS(工数管理!$AK$3:$AK$98,J$1,工数管理!$W$3:$W$98,"&lt;="&amp;$H213,工数管理!$X$3:$X$98,"")+COUNTIFS(工数管理!$AK$3:$AK$98,J$1,工数管理!$Y$3:$Y$98,"&lt;="&amp;$H213,工数管理!$Z$3:$Z$98,"")+COUNTIFS(工数管理!$AK$3:$AK$98,J$1,工数管理!$AA$3:$AA$98,"&lt;="&amp;$H213,工数管理!$AB$3:$AB$98,"")+COUNTIFS(工数管理!$AK$3:$AK$98,J$1,工数管理!$AC$3:$AC$98,"&lt;="&amp;$H213,工数管理!$AD$3:$AD$98,"")+COUNTIFS(工数管理!$AK$3:$AK$98,J$1,工数管理!$AE$3:$AE$98,"&lt;="&amp;$H213,工数管理!$AF$3:$AF$98,"")+COUNTIFS(工数管理!$AK$3:$AK$98,J$1,工数管理!$AG$3:$AG$98,"&lt;="&amp;$H213,工数管理!$AH$3:$AH$98,""))*($H213&lt;=工数管理!$AI$1))</f>
        <v>0</v>
      </c>
      <c r="K213" s="42">
        <f ca="1">IF(K$1="",0,COUNTIFS(工数管理!$AK$3:$AK$98,K$1,工数管理!$K$3:$K$98,"&lt;="&amp;$H213,工数管理!$L$3:$L$98,"&gt;="&amp;$H213)+COUNTIFS(工数管理!$AK$3:$AK$98,K$1,工数管理!$M$3:$M$98,"&lt;="&amp;$H213,工数管理!$N$3:$N$98,"&gt;="&amp;$H213)+COUNTIFS(工数管理!$AK$3:$AK$98,K$1,工数管理!$O$3:$O$98,"&lt;="&amp;$H213,工数管理!$P$3:$P$98,"&gt;="&amp;$H213)+COUNTIFS(工数管理!$AK$3:$AK$98,K$1,工数管理!$Q$3:$Q$98,"&lt;="&amp;$H213,工数管理!$R$3:$R$98,"&gt;="&amp;$H213)+COUNTIFS(工数管理!$AK$3:$AK$98,K$1,工数管理!$S$3:$S$98,"&lt;="&amp;$H213,工数管理!$T$3:$T$98,"&gt;="&amp;$H213)+COUNTIFS(工数管理!$AK$3:$AK$98,K$1,工数管理!$U$3:$U$98,"&lt;="&amp;$H213,工数管理!$V$3:$V$98,"&gt;="&amp;$H213)+COUNTIFS(工数管理!$AK$3:$AK$98,K$1,工数管理!$W$3:$W$98,"&lt;="&amp;$H213,工数管理!$X$3:$X$98,"&gt;="&amp;$H213)+COUNTIFS(工数管理!$AK$3:$AK$98,K$1,工数管理!$Y$3:$Y$98,"&lt;="&amp;$H213,工数管理!$Z$3:$Z$98,"&gt;="&amp;$H213)+COUNTIFS(工数管理!$AK$3:$AK$98,K$1,工数管理!$AA$3:$AA$98,"&lt;="&amp;$H213,工数管理!$AB$3:$AB$98,"&gt;="&amp;$H213)+COUNTIFS(工数管理!$AK$3:$AK$98,K$1,工数管理!$AC$3:$AC$98,"&lt;="&amp;$H213,工数管理!$AD$3:$AD$98,"&gt;="&amp;$H213)+COUNTIFS(工数管理!$AK$3:$AK$98,K$1,工数管理!$AE$3:$AE$98,"&lt;="&amp;$H213,工数管理!$AF$3:$AF$98,"&gt;="&amp;$H213)+COUNTIFS(工数管理!$AK$3:$AK$98,K$1,工数管理!$AG$3:$AG$98,"&lt;="&amp;$H213,工数管理!$AH$3:$AH$98,"&gt;="&amp;$H213)+(COUNTIFS(工数管理!$AK$3:$AK$98,K$1,工数管理!$K$3:$K$98,"&lt;="&amp;$H213,工数管理!$L$3:$L$98,"")+COUNTIFS(工数管理!$AK$3:$AK$98,K$1,工数管理!$M$3:$M$98,"&lt;="&amp;$H213,工数管理!$N$3:$N$98,"")+COUNTIFS(工数管理!$AK$3:$AK$98,K$1,工数管理!$O$3:$O$98,"&lt;="&amp;$H213,工数管理!$P$3:$P$98,"")+COUNTIFS(工数管理!$AK$3:$AK$98,K$1,工数管理!$Q$3:$Q$98,"&lt;="&amp;$H213,工数管理!$R$3:$R$98,"")+COUNTIFS(工数管理!$AK$3:$AK$98,K$1,工数管理!$S$3:$S$98,"&lt;="&amp;$H213,工数管理!$T$3:$T$98,"")+COUNTIFS(工数管理!$AK$3:$AK$98,K$1,工数管理!$U$3:$U$98,"&lt;="&amp;$H213,工数管理!$V$3:$V$98,"")+COUNTIFS(工数管理!$AK$3:$AK$98,K$1,工数管理!$W$3:$W$98,"&lt;="&amp;$H213,工数管理!$X$3:$X$98,"")+COUNTIFS(工数管理!$AK$3:$AK$98,K$1,工数管理!$Y$3:$Y$98,"&lt;="&amp;$H213,工数管理!$Z$3:$Z$98,"")+COUNTIFS(工数管理!$AK$3:$AK$98,K$1,工数管理!$AA$3:$AA$98,"&lt;="&amp;$H213,工数管理!$AB$3:$AB$98,"")+COUNTIFS(工数管理!$AK$3:$AK$98,K$1,工数管理!$AC$3:$AC$98,"&lt;="&amp;$H213,工数管理!$AD$3:$AD$98,"")+COUNTIFS(工数管理!$AK$3:$AK$98,K$1,工数管理!$AE$3:$AE$98,"&lt;="&amp;$H213,工数管理!$AF$3:$AF$98,"")+COUNTIFS(工数管理!$AK$3:$AK$98,K$1,工数管理!$AG$3:$AG$98,"&lt;="&amp;$H213,工数管理!$AH$3:$AH$98,""))*($H213&lt;=工数管理!$AI$1))</f>
        <v>0</v>
      </c>
      <c r="L213" s="42">
        <f ca="1">IF(L$1="",0,COUNTIFS(工数管理!$AK$3:$AK$98,L$1,工数管理!$K$3:$K$98,"&lt;="&amp;$H213,工数管理!$L$3:$L$98,"&gt;="&amp;$H213)+COUNTIFS(工数管理!$AK$3:$AK$98,L$1,工数管理!$M$3:$M$98,"&lt;="&amp;$H213,工数管理!$N$3:$N$98,"&gt;="&amp;$H213)+COUNTIFS(工数管理!$AK$3:$AK$98,L$1,工数管理!$O$3:$O$98,"&lt;="&amp;$H213,工数管理!$P$3:$P$98,"&gt;="&amp;$H213)+COUNTIFS(工数管理!$AK$3:$AK$98,L$1,工数管理!$Q$3:$Q$98,"&lt;="&amp;$H213,工数管理!$R$3:$R$98,"&gt;="&amp;$H213)+COUNTIFS(工数管理!$AK$3:$AK$98,L$1,工数管理!$S$3:$S$98,"&lt;="&amp;$H213,工数管理!$T$3:$T$98,"&gt;="&amp;$H213)+COUNTIFS(工数管理!$AK$3:$AK$98,L$1,工数管理!$U$3:$U$98,"&lt;="&amp;$H213,工数管理!$V$3:$V$98,"&gt;="&amp;$H213)+COUNTIFS(工数管理!$AK$3:$AK$98,L$1,工数管理!$W$3:$W$98,"&lt;="&amp;$H213,工数管理!$X$3:$X$98,"&gt;="&amp;$H213)+COUNTIFS(工数管理!$AK$3:$AK$98,L$1,工数管理!$Y$3:$Y$98,"&lt;="&amp;$H213,工数管理!$Z$3:$Z$98,"&gt;="&amp;$H213)+COUNTIFS(工数管理!$AK$3:$AK$98,L$1,工数管理!$AA$3:$AA$98,"&lt;="&amp;$H213,工数管理!$AB$3:$AB$98,"&gt;="&amp;$H213)+COUNTIFS(工数管理!$AK$3:$AK$98,L$1,工数管理!$AC$3:$AC$98,"&lt;="&amp;$H213,工数管理!$AD$3:$AD$98,"&gt;="&amp;$H213)+COUNTIFS(工数管理!$AK$3:$AK$98,L$1,工数管理!$AE$3:$AE$98,"&lt;="&amp;$H213,工数管理!$AF$3:$AF$98,"&gt;="&amp;$H213)+COUNTIFS(工数管理!$AK$3:$AK$98,L$1,工数管理!$AG$3:$AG$98,"&lt;="&amp;$H213,工数管理!$AH$3:$AH$98,"&gt;="&amp;$H213)+(COUNTIFS(工数管理!$AK$3:$AK$98,L$1,工数管理!$K$3:$K$98,"&lt;="&amp;$H213,工数管理!$L$3:$L$98,"")+COUNTIFS(工数管理!$AK$3:$AK$98,L$1,工数管理!$M$3:$M$98,"&lt;="&amp;$H213,工数管理!$N$3:$N$98,"")+COUNTIFS(工数管理!$AK$3:$AK$98,L$1,工数管理!$O$3:$O$98,"&lt;="&amp;$H213,工数管理!$P$3:$P$98,"")+COUNTIFS(工数管理!$AK$3:$AK$98,L$1,工数管理!$Q$3:$Q$98,"&lt;="&amp;$H213,工数管理!$R$3:$R$98,"")+COUNTIFS(工数管理!$AK$3:$AK$98,L$1,工数管理!$S$3:$S$98,"&lt;="&amp;$H213,工数管理!$T$3:$T$98,"")+COUNTIFS(工数管理!$AK$3:$AK$98,L$1,工数管理!$U$3:$U$98,"&lt;="&amp;$H213,工数管理!$V$3:$V$98,"")+COUNTIFS(工数管理!$AK$3:$AK$98,L$1,工数管理!$W$3:$W$98,"&lt;="&amp;$H213,工数管理!$X$3:$X$98,"")+COUNTIFS(工数管理!$AK$3:$AK$98,L$1,工数管理!$Y$3:$Y$98,"&lt;="&amp;$H213,工数管理!$Z$3:$Z$98,"")+COUNTIFS(工数管理!$AK$3:$AK$98,L$1,工数管理!$AA$3:$AA$98,"&lt;="&amp;$H213,工数管理!$AB$3:$AB$98,"")+COUNTIFS(工数管理!$AK$3:$AK$98,L$1,工数管理!$AC$3:$AC$98,"&lt;="&amp;$H213,工数管理!$AD$3:$AD$98,"")+COUNTIFS(工数管理!$AK$3:$AK$98,L$1,工数管理!$AE$3:$AE$98,"&lt;="&amp;$H213,工数管理!$AF$3:$AF$98,"")+COUNTIFS(工数管理!$AK$3:$AK$98,L$1,工数管理!$AG$3:$AG$98,"&lt;="&amp;$H213,工数管理!$AH$3:$AH$98,""))*($H213&lt;=工数管理!$AI$1))</f>
        <v>0</v>
      </c>
    </row>
    <row r="214" spans="8:12" x14ac:dyDescent="0.15">
      <c r="H214" s="41">
        <f t="shared" si="7"/>
        <v>46382</v>
      </c>
      <c r="I214" s="42">
        <f t="shared" si="6"/>
        <v>0</v>
      </c>
      <c r="J214" s="42">
        <f ca="1">IF(J$1="",0,COUNTIFS(工数管理!$AK$3:$AK$98,J$1,工数管理!$K$3:$K$98,"&lt;="&amp;$H214,工数管理!$L$3:$L$98,"&gt;="&amp;$H214)+COUNTIFS(工数管理!$AK$3:$AK$98,J$1,工数管理!$M$3:$M$98,"&lt;="&amp;$H214,工数管理!$N$3:$N$98,"&gt;="&amp;$H214)+COUNTIFS(工数管理!$AK$3:$AK$98,J$1,工数管理!$O$3:$O$98,"&lt;="&amp;$H214,工数管理!$P$3:$P$98,"&gt;="&amp;$H214)+COUNTIFS(工数管理!$AK$3:$AK$98,J$1,工数管理!$Q$3:$Q$98,"&lt;="&amp;$H214,工数管理!$R$3:$R$98,"&gt;="&amp;$H214)+COUNTIFS(工数管理!$AK$3:$AK$98,J$1,工数管理!$S$3:$S$98,"&lt;="&amp;$H214,工数管理!$T$3:$T$98,"&gt;="&amp;$H214)+COUNTIFS(工数管理!$AK$3:$AK$98,J$1,工数管理!$U$3:$U$98,"&lt;="&amp;$H214,工数管理!$V$3:$V$98,"&gt;="&amp;$H214)+COUNTIFS(工数管理!$AK$3:$AK$98,J$1,工数管理!$W$3:$W$98,"&lt;="&amp;$H214,工数管理!$X$3:$X$98,"&gt;="&amp;$H214)+COUNTIFS(工数管理!$AK$3:$AK$98,J$1,工数管理!$Y$3:$Y$98,"&lt;="&amp;$H214,工数管理!$Z$3:$Z$98,"&gt;="&amp;$H214)+COUNTIFS(工数管理!$AK$3:$AK$98,J$1,工数管理!$AA$3:$AA$98,"&lt;="&amp;$H214,工数管理!$AB$3:$AB$98,"&gt;="&amp;$H214)+COUNTIFS(工数管理!$AK$3:$AK$98,J$1,工数管理!$AC$3:$AC$98,"&lt;="&amp;$H214,工数管理!$AD$3:$AD$98,"&gt;="&amp;$H214)+COUNTIFS(工数管理!$AK$3:$AK$98,J$1,工数管理!$AE$3:$AE$98,"&lt;="&amp;$H214,工数管理!$AF$3:$AF$98,"&gt;="&amp;$H214)+COUNTIFS(工数管理!$AK$3:$AK$98,J$1,工数管理!$AG$3:$AG$98,"&lt;="&amp;$H214,工数管理!$AH$3:$AH$98,"&gt;="&amp;$H214)+(COUNTIFS(工数管理!$AK$3:$AK$98,J$1,工数管理!$K$3:$K$98,"&lt;="&amp;$H214,工数管理!$L$3:$L$98,"")+COUNTIFS(工数管理!$AK$3:$AK$98,J$1,工数管理!$M$3:$M$98,"&lt;="&amp;$H214,工数管理!$N$3:$N$98,"")+COUNTIFS(工数管理!$AK$3:$AK$98,J$1,工数管理!$O$3:$O$98,"&lt;="&amp;$H214,工数管理!$P$3:$P$98,"")+COUNTIFS(工数管理!$AK$3:$AK$98,J$1,工数管理!$Q$3:$Q$98,"&lt;="&amp;$H214,工数管理!$R$3:$R$98,"")+COUNTIFS(工数管理!$AK$3:$AK$98,J$1,工数管理!$S$3:$S$98,"&lt;="&amp;$H214,工数管理!$T$3:$T$98,"")+COUNTIFS(工数管理!$AK$3:$AK$98,J$1,工数管理!$U$3:$U$98,"&lt;="&amp;$H214,工数管理!$V$3:$V$98,"")+COUNTIFS(工数管理!$AK$3:$AK$98,J$1,工数管理!$W$3:$W$98,"&lt;="&amp;$H214,工数管理!$X$3:$X$98,"")+COUNTIFS(工数管理!$AK$3:$AK$98,J$1,工数管理!$Y$3:$Y$98,"&lt;="&amp;$H214,工数管理!$Z$3:$Z$98,"")+COUNTIFS(工数管理!$AK$3:$AK$98,J$1,工数管理!$AA$3:$AA$98,"&lt;="&amp;$H214,工数管理!$AB$3:$AB$98,"")+COUNTIFS(工数管理!$AK$3:$AK$98,J$1,工数管理!$AC$3:$AC$98,"&lt;="&amp;$H214,工数管理!$AD$3:$AD$98,"")+COUNTIFS(工数管理!$AK$3:$AK$98,J$1,工数管理!$AE$3:$AE$98,"&lt;="&amp;$H214,工数管理!$AF$3:$AF$98,"")+COUNTIFS(工数管理!$AK$3:$AK$98,J$1,工数管理!$AG$3:$AG$98,"&lt;="&amp;$H214,工数管理!$AH$3:$AH$98,""))*($H214&lt;=工数管理!$AI$1))</f>
        <v>0</v>
      </c>
      <c r="K214" s="42">
        <f ca="1">IF(K$1="",0,COUNTIFS(工数管理!$AK$3:$AK$98,K$1,工数管理!$K$3:$K$98,"&lt;="&amp;$H214,工数管理!$L$3:$L$98,"&gt;="&amp;$H214)+COUNTIFS(工数管理!$AK$3:$AK$98,K$1,工数管理!$M$3:$M$98,"&lt;="&amp;$H214,工数管理!$N$3:$N$98,"&gt;="&amp;$H214)+COUNTIFS(工数管理!$AK$3:$AK$98,K$1,工数管理!$O$3:$O$98,"&lt;="&amp;$H214,工数管理!$P$3:$P$98,"&gt;="&amp;$H214)+COUNTIFS(工数管理!$AK$3:$AK$98,K$1,工数管理!$Q$3:$Q$98,"&lt;="&amp;$H214,工数管理!$R$3:$R$98,"&gt;="&amp;$H214)+COUNTIFS(工数管理!$AK$3:$AK$98,K$1,工数管理!$S$3:$S$98,"&lt;="&amp;$H214,工数管理!$T$3:$T$98,"&gt;="&amp;$H214)+COUNTIFS(工数管理!$AK$3:$AK$98,K$1,工数管理!$U$3:$U$98,"&lt;="&amp;$H214,工数管理!$V$3:$V$98,"&gt;="&amp;$H214)+COUNTIFS(工数管理!$AK$3:$AK$98,K$1,工数管理!$W$3:$W$98,"&lt;="&amp;$H214,工数管理!$X$3:$X$98,"&gt;="&amp;$H214)+COUNTIFS(工数管理!$AK$3:$AK$98,K$1,工数管理!$Y$3:$Y$98,"&lt;="&amp;$H214,工数管理!$Z$3:$Z$98,"&gt;="&amp;$H214)+COUNTIFS(工数管理!$AK$3:$AK$98,K$1,工数管理!$AA$3:$AA$98,"&lt;="&amp;$H214,工数管理!$AB$3:$AB$98,"&gt;="&amp;$H214)+COUNTIFS(工数管理!$AK$3:$AK$98,K$1,工数管理!$AC$3:$AC$98,"&lt;="&amp;$H214,工数管理!$AD$3:$AD$98,"&gt;="&amp;$H214)+COUNTIFS(工数管理!$AK$3:$AK$98,K$1,工数管理!$AE$3:$AE$98,"&lt;="&amp;$H214,工数管理!$AF$3:$AF$98,"&gt;="&amp;$H214)+COUNTIFS(工数管理!$AK$3:$AK$98,K$1,工数管理!$AG$3:$AG$98,"&lt;="&amp;$H214,工数管理!$AH$3:$AH$98,"&gt;="&amp;$H214)+(COUNTIFS(工数管理!$AK$3:$AK$98,K$1,工数管理!$K$3:$K$98,"&lt;="&amp;$H214,工数管理!$L$3:$L$98,"")+COUNTIFS(工数管理!$AK$3:$AK$98,K$1,工数管理!$M$3:$M$98,"&lt;="&amp;$H214,工数管理!$N$3:$N$98,"")+COUNTIFS(工数管理!$AK$3:$AK$98,K$1,工数管理!$O$3:$O$98,"&lt;="&amp;$H214,工数管理!$P$3:$P$98,"")+COUNTIFS(工数管理!$AK$3:$AK$98,K$1,工数管理!$Q$3:$Q$98,"&lt;="&amp;$H214,工数管理!$R$3:$R$98,"")+COUNTIFS(工数管理!$AK$3:$AK$98,K$1,工数管理!$S$3:$S$98,"&lt;="&amp;$H214,工数管理!$T$3:$T$98,"")+COUNTIFS(工数管理!$AK$3:$AK$98,K$1,工数管理!$U$3:$U$98,"&lt;="&amp;$H214,工数管理!$V$3:$V$98,"")+COUNTIFS(工数管理!$AK$3:$AK$98,K$1,工数管理!$W$3:$W$98,"&lt;="&amp;$H214,工数管理!$X$3:$X$98,"")+COUNTIFS(工数管理!$AK$3:$AK$98,K$1,工数管理!$Y$3:$Y$98,"&lt;="&amp;$H214,工数管理!$Z$3:$Z$98,"")+COUNTIFS(工数管理!$AK$3:$AK$98,K$1,工数管理!$AA$3:$AA$98,"&lt;="&amp;$H214,工数管理!$AB$3:$AB$98,"")+COUNTIFS(工数管理!$AK$3:$AK$98,K$1,工数管理!$AC$3:$AC$98,"&lt;="&amp;$H214,工数管理!$AD$3:$AD$98,"")+COUNTIFS(工数管理!$AK$3:$AK$98,K$1,工数管理!$AE$3:$AE$98,"&lt;="&amp;$H214,工数管理!$AF$3:$AF$98,"")+COUNTIFS(工数管理!$AK$3:$AK$98,K$1,工数管理!$AG$3:$AG$98,"&lt;="&amp;$H214,工数管理!$AH$3:$AH$98,""))*($H214&lt;=工数管理!$AI$1))</f>
        <v>0</v>
      </c>
      <c r="L214" s="42">
        <f ca="1">IF(L$1="",0,COUNTIFS(工数管理!$AK$3:$AK$98,L$1,工数管理!$K$3:$K$98,"&lt;="&amp;$H214,工数管理!$L$3:$L$98,"&gt;="&amp;$H214)+COUNTIFS(工数管理!$AK$3:$AK$98,L$1,工数管理!$M$3:$M$98,"&lt;="&amp;$H214,工数管理!$N$3:$N$98,"&gt;="&amp;$H214)+COUNTIFS(工数管理!$AK$3:$AK$98,L$1,工数管理!$O$3:$O$98,"&lt;="&amp;$H214,工数管理!$P$3:$P$98,"&gt;="&amp;$H214)+COUNTIFS(工数管理!$AK$3:$AK$98,L$1,工数管理!$Q$3:$Q$98,"&lt;="&amp;$H214,工数管理!$R$3:$R$98,"&gt;="&amp;$H214)+COUNTIFS(工数管理!$AK$3:$AK$98,L$1,工数管理!$S$3:$S$98,"&lt;="&amp;$H214,工数管理!$T$3:$T$98,"&gt;="&amp;$H214)+COUNTIFS(工数管理!$AK$3:$AK$98,L$1,工数管理!$U$3:$U$98,"&lt;="&amp;$H214,工数管理!$V$3:$V$98,"&gt;="&amp;$H214)+COUNTIFS(工数管理!$AK$3:$AK$98,L$1,工数管理!$W$3:$W$98,"&lt;="&amp;$H214,工数管理!$X$3:$X$98,"&gt;="&amp;$H214)+COUNTIFS(工数管理!$AK$3:$AK$98,L$1,工数管理!$Y$3:$Y$98,"&lt;="&amp;$H214,工数管理!$Z$3:$Z$98,"&gt;="&amp;$H214)+COUNTIFS(工数管理!$AK$3:$AK$98,L$1,工数管理!$AA$3:$AA$98,"&lt;="&amp;$H214,工数管理!$AB$3:$AB$98,"&gt;="&amp;$H214)+COUNTIFS(工数管理!$AK$3:$AK$98,L$1,工数管理!$AC$3:$AC$98,"&lt;="&amp;$H214,工数管理!$AD$3:$AD$98,"&gt;="&amp;$H214)+COUNTIFS(工数管理!$AK$3:$AK$98,L$1,工数管理!$AE$3:$AE$98,"&lt;="&amp;$H214,工数管理!$AF$3:$AF$98,"&gt;="&amp;$H214)+COUNTIFS(工数管理!$AK$3:$AK$98,L$1,工数管理!$AG$3:$AG$98,"&lt;="&amp;$H214,工数管理!$AH$3:$AH$98,"&gt;="&amp;$H214)+(COUNTIFS(工数管理!$AK$3:$AK$98,L$1,工数管理!$K$3:$K$98,"&lt;="&amp;$H214,工数管理!$L$3:$L$98,"")+COUNTIFS(工数管理!$AK$3:$AK$98,L$1,工数管理!$M$3:$M$98,"&lt;="&amp;$H214,工数管理!$N$3:$N$98,"")+COUNTIFS(工数管理!$AK$3:$AK$98,L$1,工数管理!$O$3:$O$98,"&lt;="&amp;$H214,工数管理!$P$3:$P$98,"")+COUNTIFS(工数管理!$AK$3:$AK$98,L$1,工数管理!$Q$3:$Q$98,"&lt;="&amp;$H214,工数管理!$R$3:$R$98,"")+COUNTIFS(工数管理!$AK$3:$AK$98,L$1,工数管理!$S$3:$S$98,"&lt;="&amp;$H214,工数管理!$T$3:$T$98,"")+COUNTIFS(工数管理!$AK$3:$AK$98,L$1,工数管理!$U$3:$U$98,"&lt;="&amp;$H214,工数管理!$V$3:$V$98,"")+COUNTIFS(工数管理!$AK$3:$AK$98,L$1,工数管理!$W$3:$W$98,"&lt;="&amp;$H214,工数管理!$X$3:$X$98,"")+COUNTIFS(工数管理!$AK$3:$AK$98,L$1,工数管理!$Y$3:$Y$98,"&lt;="&amp;$H214,工数管理!$Z$3:$Z$98,"")+COUNTIFS(工数管理!$AK$3:$AK$98,L$1,工数管理!$AA$3:$AA$98,"&lt;="&amp;$H214,工数管理!$AB$3:$AB$98,"")+COUNTIFS(工数管理!$AK$3:$AK$98,L$1,工数管理!$AC$3:$AC$98,"&lt;="&amp;$H214,工数管理!$AD$3:$AD$98,"")+COUNTIFS(工数管理!$AK$3:$AK$98,L$1,工数管理!$AE$3:$AE$98,"&lt;="&amp;$H214,工数管理!$AF$3:$AF$98,"")+COUNTIFS(工数管理!$AK$3:$AK$98,L$1,工数管理!$AG$3:$AG$98,"&lt;="&amp;$H214,工数管理!$AH$3:$AH$98,""))*($H214&lt;=工数管理!$AI$1))</f>
        <v>0</v>
      </c>
    </row>
    <row r="215" spans="8:12" x14ac:dyDescent="0.15">
      <c r="H215" s="41">
        <f t="shared" si="7"/>
        <v>46383</v>
      </c>
      <c r="I215" s="42">
        <f t="shared" si="6"/>
        <v>0</v>
      </c>
      <c r="J215" s="42">
        <f ca="1">IF(J$1="",0,COUNTIFS(工数管理!$AK$3:$AK$98,J$1,工数管理!$K$3:$K$98,"&lt;="&amp;$H215,工数管理!$L$3:$L$98,"&gt;="&amp;$H215)+COUNTIFS(工数管理!$AK$3:$AK$98,J$1,工数管理!$M$3:$M$98,"&lt;="&amp;$H215,工数管理!$N$3:$N$98,"&gt;="&amp;$H215)+COUNTIFS(工数管理!$AK$3:$AK$98,J$1,工数管理!$O$3:$O$98,"&lt;="&amp;$H215,工数管理!$P$3:$P$98,"&gt;="&amp;$H215)+COUNTIFS(工数管理!$AK$3:$AK$98,J$1,工数管理!$Q$3:$Q$98,"&lt;="&amp;$H215,工数管理!$R$3:$R$98,"&gt;="&amp;$H215)+COUNTIFS(工数管理!$AK$3:$AK$98,J$1,工数管理!$S$3:$S$98,"&lt;="&amp;$H215,工数管理!$T$3:$T$98,"&gt;="&amp;$H215)+COUNTIFS(工数管理!$AK$3:$AK$98,J$1,工数管理!$U$3:$U$98,"&lt;="&amp;$H215,工数管理!$V$3:$V$98,"&gt;="&amp;$H215)+COUNTIFS(工数管理!$AK$3:$AK$98,J$1,工数管理!$W$3:$W$98,"&lt;="&amp;$H215,工数管理!$X$3:$X$98,"&gt;="&amp;$H215)+COUNTIFS(工数管理!$AK$3:$AK$98,J$1,工数管理!$Y$3:$Y$98,"&lt;="&amp;$H215,工数管理!$Z$3:$Z$98,"&gt;="&amp;$H215)+COUNTIFS(工数管理!$AK$3:$AK$98,J$1,工数管理!$AA$3:$AA$98,"&lt;="&amp;$H215,工数管理!$AB$3:$AB$98,"&gt;="&amp;$H215)+COUNTIFS(工数管理!$AK$3:$AK$98,J$1,工数管理!$AC$3:$AC$98,"&lt;="&amp;$H215,工数管理!$AD$3:$AD$98,"&gt;="&amp;$H215)+COUNTIFS(工数管理!$AK$3:$AK$98,J$1,工数管理!$AE$3:$AE$98,"&lt;="&amp;$H215,工数管理!$AF$3:$AF$98,"&gt;="&amp;$H215)+COUNTIFS(工数管理!$AK$3:$AK$98,J$1,工数管理!$AG$3:$AG$98,"&lt;="&amp;$H215,工数管理!$AH$3:$AH$98,"&gt;="&amp;$H215)+(COUNTIFS(工数管理!$AK$3:$AK$98,J$1,工数管理!$K$3:$K$98,"&lt;="&amp;$H215,工数管理!$L$3:$L$98,"")+COUNTIFS(工数管理!$AK$3:$AK$98,J$1,工数管理!$M$3:$M$98,"&lt;="&amp;$H215,工数管理!$N$3:$N$98,"")+COUNTIFS(工数管理!$AK$3:$AK$98,J$1,工数管理!$O$3:$O$98,"&lt;="&amp;$H215,工数管理!$P$3:$P$98,"")+COUNTIFS(工数管理!$AK$3:$AK$98,J$1,工数管理!$Q$3:$Q$98,"&lt;="&amp;$H215,工数管理!$R$3:$R$98,"")+COUNTIFS(工数管理!$AK$3:$AK$98,J$1,工数管理!$S$3:$S$98,"&lt;="&amp;$H215,工数管理!$T$3:$T$98,"")+COUNTIFS(工数管理!$AK$3:$AK$98,J$1,工数管理!$U$3:$U$98,"&lt;="&amp;$H215,工数管理!$V$3:$V$98,"")+COUNTIFS(工数管理!$AK$3:$AK$98,J$1,工数管理!$W$3:$W$98,"&lt;="&amp;$H215,工数管理!$X$3:$X$98,"")+COUNTIFS(工数管理!$AK$3:$AK$98,J$1,工数管理!$Y$3:$Y$98,"&lt;="&amp;$H215,工数管理!$Z$3:$Z$98,"")+COUNTIFS(工数管理!$AK$3:$AK$98,J$1,工数管理!$AA$3:$AA$98,"&lt;="&amp;$H215,工数管理!$AB$3:$AB$98,"")+COUNTIFS(工数管理!$AK$3:$AK$98,J$1,工数管理!$AC$3:$AC$98,"&lt;="&amp;$H215,工数管理!$AD$3:$AD$98,"")+COUNTIFS(工数管理!$AK$3:$AK$98,J$1,工数管理!$AE$3:$AE$98,"&lt;="&amp;$H215,工数管理!$AF$3:$AF$98,"")+COUNTIFS(工数管理!$AK$3:$AK$98,J$1,工数管理!$AG$3:$AG$98,"&lt;="&amp;$H215,工数管理!$AH$3:$AH$98,""))*($H215&lt;=工数管理!$AI$1))</f>
        <v>0</v>
      </c>
      <c r="K215" s="42">
        <f ca="1">IF(K$1="",0,COUNTIFS(工数管理!$AK$3:$AK$98,K$1,工数管理!$K$3:$K$98,"&lt;="&amp;$H215,工数管理!$L$3:$L$98,"&gt;="&amp;$H215)+COUNTIFS(工数管理!$AK$3:$AK$98,K$1,工数管理!$M$3:$M$98,"&lt;="&amp;$H215,工数管理!$N$3:$N$98,"&gt;="&amp;$H215)+COUNTIFS(工数管理!$AK$3:$AK$98,K$1,工数管理!$O$3:$O$98,"&lt;="&amp;$H215,工数管理!$P$3:$P$98,"&gt;="&amp;$H215)+COUNTIFS(工数管理!$AK$3:$AK$98,K$1,工数管理!$Q$3:$Q$98,"&lt;="&amp;$H215,工数管理!$R$3:$R$98,"&gt;="&amp;$H215)+COUNTIFS(工数管理!$AK$3:$AK$98,K$1,工数管理!$S$3:$S$98,"&lt;="&amp;$H215,工数管理!$T$3:$T$98,"&gt;="&amp;$H215)+COUNTIFS(工数管理!$AK$3:$AK$98,K$1,工数管理!$U$3:$U$98,"&lt;="&amp;$H215,工数管理!$V$3:$V$98,"&gt;="&amp;$H215)+COUNTIFS(工数管理!$AK$3:$AK$98,K$1,工数管理!$W$3:$W$98,"&lt;="&amp;$H215,工数管理!$X$3:$X$98,"&gt;="&amp;$H215)+COUNTIFS(工数管理!$AK$3:$AK$98,K$1,工数管理!$Y$3:$Y$98,"&lt;="&amp;$H215,工数管理!$Z$3:$Z$98,"&gt;="&amp;$H215)+COUNTIFS(工数管理!$AK$3:$AK$98,K$1,工数管理!$AA$3:$AA$98,"&lt;="&amp;$H215,工数管理!$AB$3:$AB$98,"&gt;="&amp;$H215)+COUNTIFS(工数管理!$AK$3:$AK$98,K$1,工数管理!$AC$3:$AC$98,"&lt;="&amp;$H215,工数管理!$AD$3:$AD$98,"&gt;="&amp;$H215)+COUNTIFS(工数管理!$AK$3:$AK$98,K$1,工数管理!$AE$3:$AE$98,"&lt;="&amp;$H215,工数管理!$AF$3:$AF$98,"&gt;="&amp;$H215)+COUNTIFS(工数管理!$AK$3:$AK$98,K$1,工数管理!$AG$3:$AG$98,"&lt;="&amp;$H215,工数管理!$AH$3:$AH$98,"&gt;="&amp;$H215)+(COUNTIFS(工数管理!$AK$3:$AK$98,K$1,工数管理!$K$3:$K$98,"&lt;="&amp;$H215,工数管理!$L$3:$L$98,"")+COUNTIFS(工数管理!$AK$3:$AK$98,K$1,工数管理!$M$3:$M$98,"&lt;="&amp;$H215,工数管理!$N$3:$N$98,"")+COUNTIFS(工数管理!$AK$3:$AK$98,K$1,工数管理!$O$3:$O$98,"&lt;="&amp;$H215,工数管理!$P$3:$P$98,"")+COUNTIFS(工数管理!$AK$3:$AK$98,K$1,工数管理!$Q$3:$Q$98,"&lt;="&amp;$H215,工数管理!$R$3:$R$98,"")+COUNTIFS(工数管理!$AK$3:$AK$98,K$1,工数管理!$S$3:$S$98,"&lt;="&amp;$H215,工数管理!$T$3:$T$98,"")+COUNTIFS(工数管理!$AK$3:$AK$98,K$1,工数管理!$U$3:$U$98,"&lt;="&amp;$H215,工数管理!$V$3:$V$98,"")+COUNTIFS(工数管理!$AK$3:$AK$98,K$1,工数管理!$W$3:$W$98,"&lt;="&amp;$H215,工数管理!$X$3:$X$98,"")+COUNTIFS(工数管理!$AK$3:$AK$98,K$1,工数管理!$Y$3:$Y$98,"&lt;="&amp;$H215,工数管理!$Z$3:$Z$98,"")+COUNTIFS(工数管理!$AK$3:$AK$98,K$1,工数管理!$AA$3:$AA$98,"&lt;="&amp;$H215,工数管理!$AB$3:$AB$98,"")+COUNTIFS(工数管理!$AK$3:$AK$98,K$1,工数管理!$AC$3:$AC$98,"&lt;="&amp;$H215,工数管理!$AD$3:$AD$98,"")+COUNTIFS(工数管理!$AK$3:$AK$98,K$1,工数管理!$AE$3:$AE$98,"&lt;="&amp;$H215,工数管理!$AF$3:$AF$98,"")+COUNTIFS(工数管理!$AK$3:$AK$98,K$1,工数管理!$AG$3:$AG$98,"&lt;="&amp;$H215,工数管理!$AH$3:$AH$98,""))*($H215&lt;=工数管理!$AI$1))</f>
        <v>0</v>
      </c>
      <c r="L215" s="42">
        <f ca="1">IF(L$1="",0,COUNTIFS(工数管理!$AK$3:$AK$98,L$1,工数管理!$K$3:$K$98,"&lt;="&amp;$H215,工数管理!$L$3:$L$98,"&gt;="&amp;$H215)+COUNTIFS(工数管理!$AK$3:$AK$98,L$1,工数管理!$M$3:$M$98,"&lt;="&amp;$H215,工数管理!$N$3:$N$98,"&gt;="&amp;$H215)+COUNTIFS(工数管理!$AK$3:$AK$98,L$1,工数管理!$O$3:$O$98,"&lt;="&amp;$H215,工数管理!$P$3:$P$98,"&gt;="&amp;$H215)+COUNTIFS(工数管理!$AK$3:$AK$98,L$1,工数管理!$Q$3:$Q$98,"&lt;="&amp;$H215,工数管理!$R$3:$R$98,"&gt;="&amp;$H215)+COUNTIFS(工数管理!$AK$3:$AK$98,L$1,工数管理!$S$3:$S$98,"&lt;="&amp;$H215,工数管理!$T$3:$T$98,"&gt;="&amp;$H215)+COUNTIFS(工数管理!$AK$3:$AK$98,L$1,工数管理!$U$3:$U$98,"&lt;="&amp;$H215,工数管理!$V$3:$V$98,"&gt;="&amp;$H215)+COUNTIFS(工数管理!$AK$3:$AK$98,L$1,工数管理!$W$3:$W$98,"&lt;="&amp;$H215,工数管理!$X$3:$X$98,"&gt;="&amp;$H215)+COUNTIFS(工数管理!$AK$3:$AK$98,L$1,工数管理!$Y$3:$Y$98,"&lt;="&amp;$H215,工数管理!$Z$3:$Z$98,"&gt;="&amp;$H215)+COUNTIFS(工数管理!$AK$3:$AK$98,L$1,工数管理!$AA$3:$AA$98,"&lt;="&amp;$H215,工数管理!$AB$3:$AB$98,"&gt;="&amp;$H215)+COUNTIFS(工数管理!$AK$3:$AK$98,L$1,工数管理!$AC$3:$AC$98,"&lt;="&amp;$H215,工数管理!$AD$3:$AD$98,"&gt;="&amp;$H215)+COUNTIFS(工数管理!$AK$3:$AK$98,L$1,工数管理!$AE$3:$AE$98,"&lt;="&amp;$H215,工数管理!$AF$3:$AF$98,"&gt;="&amp;$H215)+COUNTIFS(工数管理!$AK$3:$AK$98,L$1,工数管理!$AG$3:$AG$98,"&lt;="&amp;$H215,工数管理!$AH$3:$AH$98,"&gt;="&amp;$H215)+(COUNTIFS(工数管理!$AK$3:$AK$98,L$1,工数管理!$K$3:$K$98,"&lt;="&amp;$H215,工数管理!$L$3:$L$98,"")+COUNTIFS(工数管理!$AK$3:$AK$98,L$1,工数管理!$M$3:$M$98,"&lt;="&amp;$H215,工数管理!$N$3:$N$98,"")+COUNTIFS(工数管理!$AK$3:$AK$98,L$1,工数管理!$O$3:$O$98,"&lt;="&amp;$H215,工数管理!$P$3:$P$98,"")+COUNTIFS(工数管理!$AK$3:$AK$98,L$1,工数管理!$Q$3:$Q$98,"&lt;="&amp;$H215,工数管理!$R$3:$R$98,"")+COUNTIFS(工数管理!$AK$3:$AK$98,L$1,工数管理!$S$3:$S$98,"&lt;="&amp;$H215,工数管理!$T$3:$T$98,"")+COUNTIFS(工数管理!$AK$3:$AK$98,L$1,工数管理!$U$3:$U$98,"&lt;="&amp;$H215,工数管理!$V$3:$V$98,"")+COUNTIFS(工数管理!$AK$3:$AK$98,L$1,工数管理!$W$3:$W$98,"&lt;="&amp;$H215,工数管理!$X$3:$X$98,"")+COUNTIFS(工数管理!$AK$3:$AK$98,L$1,工数管理!$Y$3:$Y$98,"&lt;="&amp;$H215,工数管理!$Z$3:$Z$98,"")+COUNTIFS(工数管理!$AK$3:$AK$98,L$1,工数管理!$AA$3:$AA$98,"&lt;="&amp;$H215,工数管理!$AB$3:$AB$98,"")+COUNTIFS(工数管理!$AK$3:$AK$98,L$1,工数管理!$AC$3:$AC$98,"&lt;="&amp;$H215,工数管理!$AD$3:$AD$98,"")+COUNTIFS(工数管理!$AK$3:$AK$98,L$1,工数管理!$AE$3:$AE$98,"&lt;="&amp;$H215,工数管理!$AF$3:$AF$98,"")+COUNTIFS(工数管理!$AK$3:$AK$98,L$1,工数管理!$AG$3:$AG$98,"&lt;="&amp;$H215,工数管理!$AH$3:$AH$98,""))*($H215&lt;=工数管理!$AI$1))</f>
        <v>0</v>
      </c>
    </row>
    <row r="216" spans="8:12" x14ac:dyDescent="0.15">
      <c r="H216" s="41">
        <f t="shared" si="7"/>
        <v>46384</v>
      </c>
      <c r="I216" s="42">
        <f t="shared" si="6"/>
        <v>1</v>
      </c>
      <c r="J216" s="42">
        <f ca="1">IF(J$1="",0,COUNTIFS(工数管理!$AK$3:$AK$98,J$1,工数管理!$K$3:$K$98,"&lt;="&amp;$H216,工数管理!$L$3:$L$98,"&gt;="&amp;$H216)+COUNTIFS(工数管理!$AK$3:$AK$98,J$1,工数管理!$M$3:$M$98,"&lt;="&amp;$H216,工数管理!$N$3:$N$98,"&gt;="&amp;$H216)+COUNTIFS(工数管理!$AK$3:$AK$98,J$1,工数管理!$O$3:$O$98,"&lt;="&amp;$H216,工数管理!$P$3:$P$98,"&gt;="&amp;$H216)+COUNTIFS(工数管理!$AK$3:$AK$98,J$1,工数管理!$Q$3:$Q$98,"&lt;="&amp;$H216,工数管理!$R$3:$R$98,"&gt;="&amp;$H216)+COUNTIFS(工数管理!$AK$3:$AK$98,J$1,工数管理!$S$3:$S$98,"&lt;="&amp;$H216,工数管理!$T$3:$T$98,"&gt;="&amp;$H216)+COUNTIFS(工数管理!$AK$3:$AK$98,J$1,工数管理!$U$3:$U$98,"&lt;="&amp;$H216,工数管理!$V$3:$V$98,"&gt;="&amp;$H216)+COUNTIFS(工数管理!$AK$3:$AK$98,J$1,工数管理!$W$3:$W$98,"&lt;="&amp;$H216,工数管理!$X$3:$X$98,"&gt;="&amp;$H216)+COUNTIFS(工数管理!$AK$3:$AK$98,J$1,工数管理!$Y$3:$Y$98,"&lt;="&amp;$H216,工数管理!$Z$3:$Z$98,"&gt;="&amp;$H216)+COUNTIFS(工数管理!$AK$3:$AK$98,J$1,工数管理!$AA$3:$AA$98,"&lt;="&amp;$H216,工数管理!$AB$3:$AB$98,"&gt;="&amp;$H216)+COUNTIFS(工数管理!$AK$3:$AK$98,J$1,工数管理!$AC$3:$AC$98,"&lt;="&amp;$H216,工数管理!$AD$3:$AD$98,"&gt;="&amp;$H216)+COUNTIFS(工数管理!$AK$3:$AK$98,J$1,工数管理!$AE$3:$AE$98,"&lt;="&amp;$H216,工数管理!$AF$3:$AF$98,"&gt;="&amp;$H216)+COUNTIFS(工数管理!$AK$3:$AK$98,J$1,工数管理!$AG$3:$AG$98,"&lt;="&amp;$H216,工数管理!$AH$3:$AH$98,"&gt;="&amp;$H216)+(COUNTIFS(工数管理!$AK$3:$AK$98,J$1,工数管理!$K$3:$K$98,"&lt;="&amp;$H216,工数管理!$L$3:$L$98,"")+COUNTIFS(工数管理!$AK$3:$AK$98,J$1,工数管理!$M$3:$M$98,"&lt;="&amp;$H216,工数管理!$N$3:$N$98,"")+COUNTIFS(工数管理!$AK$3:$AK$98,J$1,工数管理!$O$3:$O$98,"&lt;="&amp;$H216,工数管理!$P$3:$P$98,"")+COUNTIFS(工数管理!$AK$3:$AK$98,J$1,工数管理!$Q$3:$Q$98,"&lt;="&amp;$H216,工数管理!$R$3:$R$98,"")+COUNTIFS(工数管理!$AK$3:$AK$98,J$1,工数管理!$S$3:$S$98,"&lt;="&amp;$H216,工数管理!$T$3:$T$98,"")+COUNTIFS(工数管理!$AK$3:$AK$98,J$1,工数管理!$U$3:$U$98,"&lt;="&amp;$H216,工数管理!$V$3:$V$98,"")+COUNTIFS(工数管理!$AK$3:$AK$98,J$1,工数管理!$W$3:$W$98,"&lt;="&amp;$H216,工数管理!$X$3:$X$98,"")+COUNTIFS(工数管理!$AK$3:$AK$98,J$1,工数管理!$Y$3:$Y$98,"&lt;="&amp;$H216,工数管理!$Z$3:$Z$98,"")+COUNTIFS(工数管理!$AK$3:$AK$98,J$1,工数管理!$AA$3:$AA$98,"&lt;="&amp;$H216,工数管理!$AB$3:$AB$98,"")+COUNTIFS(工数管理!$AK$3:$AK$98,J$1,工数管理!$AC$3:$AC$98,"&lt;="&amp;$H216,工数管理!$AD$3:$AD$98,"")+COUNTIFS(工数管理!$AK$3:$AK$98,J$1,工数管理!$AE$3:$AE$98,"&lt;="&amp;$H216,工数管理!$AF$3:$AF$98,"")+COUNTIFS(工数管理!$AK$3:$AK$98,J$1,工数管理!$AG$3:$AG$98,"&lt;="&amp;$H216,工数管理!$AH$3:$AH$98,""))*($H216&lt;=工数管理!$AI$1))</f>
        <v>0</v>
      </c>
      <c r="K216" s="42">
        <f ca="1">IF(K$1="",0,COUNTIFS(工数管理!$AK$3:$AK$98,K$1,工数管理!$K$3:$K$98,"&lt;="&amp;$H216,工数管理!$L$3:$L$98,"&gt;="&amp;$H216)+COUNTIFS(工数管理!$AK$3:$AK$98,K$1,工数管理!$M$3:$M$98,"&lt;="&amp;$H216,工数管理!$N$3:$N$98,"&gt;="&amp;$H216)+COUNTIFS(工数管理!$AK$3:$AK$98,K$1,工数管理!$O$3:$O$98,"&lt;="&amp;$H216,工数管理!$P$3:$P$98,"&gt;="&amp;$H216)+COUNTIFS(工数管理!$AK$3:$AK$98,K$1,工数管理!$Q$3:$Q$98,"&lt;="&amp;$H216,工数管理!$R$3:$R$98,"&gt;="&amp;$H216)+COUNTIFS(工数管理!$AK$3:$AK$98,K$1,工数管理!$S$3:$S$98,"&lt;="&amp;$H216,工数管理!$T$3:$T$98,"&gt;="&amp;$H216)+COUNTIFS(工数管理!$AK$3:$AK$98,K$1,工数管理!$U$3:$U$98,"&lt;="&amp;$H216,工数管理!$V$3:$V$98,"&gt;="&amp;$H216)+COUNTIFS(工数管理!$AK$3:$AK$98,K$1,工数管理!$W$3:$W$98,"&lt;="&amp;$H216,工数管理!$X$3:$X$98,"&gt;="&amp;$H216)+COUNTIFS(工数管理!$AK$3:$AK$98,K$1,工数管理!$Y$3:$Y$98,"&lt;="&amp;$H216,工数管理!$Z$3:$Z$98,"&gt;="&amp;$H216)+COUNTIFS(工数管理!$AK$3:$AK$98,K$1,工数管理!$AA$3:$AA$98,"&lt;="&amp;$H216,工数管理!$AB$3:$AB$98,"&gt;="&amp;$H216)+COUNTIFS(工数管理!$AK$3:$AK$98,K$1,工数管理!$AC$3:$AC$98,"&lt;="&amp;$H216,工数管理!$AD$3:$AD$98,"&gt;="&amp;$H216)+COUNTIFS(工数管理!$AK$3:$AK$98,K$1,工数管理!$AE$3:$AE$98,"&lt;="&amp;$H216,工数管理!$AF$3:$AF$98,"&gt;="&amp;$H216)+COUNTIFS(工数管理!$AK$3:$AK$98,K$1,工数管理!$AG$3:$AG$98,"&lt;="&amp;$H216,工数管理!$AH$3:$AH$98,"&gt;="&amp;$H216)+(COUNTIFS(工数管理!$AK$3:$AK$98,K$1,工数管理!$K$3:$K$98,"&lt;="&amp;$H216,工数管理!$L$3:$L$98,"")+COUNTIFS(工数管理!$AK$3:$AK$98,K$1,工数管理!$M$3:$M$98,"&lt;="&amp;$H216,工数管理!$N$3:$N$98,"")+COUNTIFS(工数管理!$AK$3:$AK$98,K$1,工数管理!$O$3:$O$98,"&lt;="&amp;$H216,工数管理!$P$3:$P$98,"")+COUNTIFS(工数管理!$AK$3:$AK$98,K$1,工数管理!$Q$3:$Q$98,"&lt;="&amp;$H216,工数管理!$R$3:$R$98,"")+COUNTIFS(工数管理!$AK$3:$AK$98,K$1,工数管理!$S$3:$S$98,"&lt;="&amp;$H216,工数管理!$T$3:$T$98,"")+COUNTIFS(工数管理!$AK$3:$AK$98,K$1,工数管理!$U$3:$U$98,"&lt;="&amp;$H216,工数管理!$V$3:$V$98,"")+COUNTIFS(工数管理!$AK$3:$AK$98,K$1,工数管理!$W$3:$W$98,"&lt;="&amp;$H216,工数管理!$X$3:$X$98,"")+COUNTIFS(工数管理!$AK$3:$AK$98,K$1,工数管理!$Y$3:$Y$98,"&lt;="&amp;$H216,工数管理!$Z$3:$Z$98,"")+COUNTIFS(工数管理!$AK$3:$AK$98,K$1,工数管理!$AA$3:$AA$98,"&lt;="&amp;$H216,工数管理!$AB$3:$AB$98,"")+COUNTIFS(工数管理!$AK$3:$AK$98,K$1,工数管理!$AC$3:$AC$98,"&lt;="&amp;$H216,工数管理!$AD$3:$AD$98,"")+COUNTIFS(工数管理!$AK$3:$AK$98,K$1,工数管理!$AE$3:$AE$98,"&lt;="&amp;$H216,工数管理!$AF$3:$AF$98,"")+COUNTIFS(工数管理!$AK$3:$AK$98,K$1,工数管理!$AG$3:$AG$98,"&lt;="&amp;$H216,工数管理!$AH$3:$AH$98,""))*($H216&lt;=工数管理!$AI$1))</f>
        <v>0</v>
      </c>
      <c r="L216" s="42">
        <f ca="1">IF(L$1="",0,COUNTIFS(工数管理!$AK$3:$AK$98,L$1,工数管理!$K$3:$K$98,"&lt;="&amp;$H216,工数管理!$L$3:$L$98,"&gt;="&amp;$H216)+COUNTIFS(工数管理!$AK$3:$AK$98,L$1,工数管理!$M$3:$M$98,"&lt;="&amp;$H216,工数管理!$N$3:$N$98,"&gt;="&amp;$H216)+COUNTIFS(工数管理!$AK$3:$AK$98,L$1,工数管理!$O$3:$O$98,"&lt;="&amp;$H216,工数管理!$P$3:$P$98,"&gt;="&amp;$H216)+COUNTIFS(工数管理!$AK$3:$AK$98,L$1,工数管理!$Q$3:$Q$98,"&lt;="&amp;$H216,工数管理!$R$3:$R$98,"&gt;="&amp;$H216)+COUNTIFS(工数管理!$AK$3:$AK$98,L$1,工数管理!$S$3:$S$98,"&lt;="&amp;$H216,工数管理!$T$3:$T$98,"&gt;="&amp;$H216)+COUNTIFS(工数管理!$AK$3:$AK$98,L$1,工数管理!$U$3:$U$98,"&lt;="&amp;$H216,工数管理!$V$3:$V$98,"&gt;="&amp;$H216)+COUNTIFS(工数管理!$AK$3:$AK$98,L$1,工数管理!$W$3:$W$98,"&lt;="&amp;$H216,工数管理!$X$3:$X$98,"&gt;="&amp;$H216)+COUNTIFS(工数管理!$AK$3:$AK$98,L$1,工数管理!$Y$3:$Y$98,"&lt;="&amp;$H216,工数管理!$Z$3:$Z$98,"&gt;="&amp;$H216)+COUNTIFS(工数管理!$AK$3:$AK$98,L$1,工数管理!$AA$3:$AA$98,"&lt;="&amp;$H216,工数管理!$AB$3:$AB$98,"&gt;="&amp;$H216)+COUNTIFS(工数管理!$AK$3:$AK$98,L$1,工数管理!$AC$3:$AC$98,"&lt;="&amp;$H216,工数管理!$AD$3:$AD$98,"&gt;="&amp;$H216)+COUNTIFS(工数管理!$AK$3:$AK$98,L$1,工数管理!$AE$3:$AE$98,"&lt;="&amp;$H216,工数管理!$AF$3:$AF$98,"&gt;="&amp;$H216)+COUNTIFS(工数管理!$AK$3:$AK$98,L$1,工数管理!$AG$3:$AG$98,"&lt;="&amp;$H216,工数管理!$AH$3:$AH$98,"&gt;="&amp;$H216)+(COUNTIFS(工数管理!$AK$3:$AK$98,L$1,工数管理!$K$3:$K$98,"&lt;="&amp;$H216,工数管理!$L$3:$L$98,"")+COUNTIFS(工数管理!$AK$3:$AK$98,L$1,工数管理!$M$3:$M$98,"&lt;="&amp;$H216,工数管理!$N$3:$N$98,"")+COUNTIFS(工数管理!$AK$3:$AK$98,L$1,工数管理!$O$3:$O$98,"&lt;="&amp;$H216,工数管理!$P$3:$P$98,"")+COUNTIFS(工数管理!$AK$3:$AK$98,L$1,工数管理!$Q$3:$Q$98,"&lt;="&amp;$H216,工数管理!$R$3:$R$98,"")+COUNTIFS(工数管理!$AK$3:$AK$98,L$1,工数管理!$S$3:$S$98,"&lt;="&amp;$H216,工数管理!$T$3:$T$98,"")+COUNTIFS(工数管理!$AK$3:$AK$98,L$1,工数管理!$U$3:$U$98,"&lt;="&amp;$H216,工数管理!$V$3:$V$98,"")+COUNTIFS(工数管理!$AK$3:$AK$98,L$1,工数管理!$W$3:$W$98,"&lt;="&amp;$H216,工数管理!$X$3:$X$98,"")+COUNTIFS(工数管理!$AK$3:$AK$98,L$1,工数管理!$Y$3:$Y$98,"&lt;="&amp;$H216,工数管理!$Z$3:$Z$98,"")+COUNTIFS(工数管理!$AK$3:$AK$98,L$1,工数管理!$AA$3:$AA$98,"&lt;="&amp;$H216,工数管理!$AB$3:$AB$98,"")+COUNTIFS(工数管理!$AK$3:$AK$98,L$1,工数管理!$AC$3:$AC$98,"&lt;="&amp;$H216,工数管理!$AD$3:$AD$98,"")+COUNTIFS(工数管理!$AK$3:$AK$98,L$1,工数管理!$AE$3:$AE$98,"&lt;="&amp;$H216,工数管理!$AF$3:$AF$98,"")+COUNTIFS(工数管理!$AK$3:$AK$98,L$1,工数管理!$AG$3:$AG$98,"&lt;="&amp;$H216,工数管理!$AH$3:$AH$98,""))*($H216&lt;=工数管理!$AI$1))</f>
        <v>0</v>
      </c>
    </row>
    <row r="217" spans="8:12" x14ac:dyDescent="0.15">
      <c r="H217" s="41">
        <f t="shared" si="7"/>
        <v>46385</v>
      </c>
      <c r="I217" s="42">
        <f t="shared" si="6"/>
        <v>0</v>
      </c>
      <c r="J217" s="42">
        <f ca="1">IF(J$1="",0,COUNTIFS(工数管理!$AK$3:$AK$98,J$1,工数管理!$K$3:$K$98,"&lt;="&amp;$H217,工数管理!$L$3:$L$98,"&gt;="&amp;$H217)+COUNTIFS(工数管理!$AK$3:$AK$98,J$1,工数管理!$M$3:$M$98,"&lt;="&amp;$H217,工数管理!$N$3:$N$98,"&gt;="&amp;$H217)+COUNTIFS(工数管理!$AK$3:$AK$98,J$1,工数管理!$O$3:$O$98,"&lt;="&amp;$H217,工数管理!$P$3:$P$98,"&gt;="&amp;$H217)+COUNTIFS(工数管理!$AK$3:$AK$98,J$1,工数管理!$Q$3:$Q$98,"&lt;="&amp;$H217,工数管理!$R$3:$R$98,"&gt;="&amp;$H217)+COUNTIFS(工数管理!$AK$3:$AK$98,J$1,工数管理!$S$3:$S$98,"&lt;="&amp;$H217,工数管理!$T$3:$T$98,"&gt;="&amp;$H217)+COUNTIFS(工数管理!$AK$3:$AK$98,J$1,工数管理!$U$3:$U$98,"&lt;="&amp;$H217,工数管理!$V$3:$V$98,"&gt;="&amp;$H217)+COUNTIFS(工数管理!$AK$3:$AK$98,J$1,工数管理!$W$3:$W$98,"&lt;="&amp;$H217,工数管理!$X$3:$X$98,"&gt;="&amp;$H217)+COUNTIFS(工数管理!$AK$3:$AK$98,J$1,工数管理!$Y$3:$Y$98,"&lt;="&amp;$H217,工数管理!$Z$3:$Z$98,"&gt;="&amp;$H217)+COUNTIFS(工数管理!$AK$3:$AK$98,J$1,工数管理!$AA$3:$AA$98,"&lt;="&amp;$H217,工数管理!$AB$3:$AB$98,"&gt;="&amp;$H217)+COUNTIFS(工数管理!$AK$3:$AK$98,J$1,工数管理!$AC$3:$AC$98,"&lt;="&amp;$H217,工数管理!$AD$3:$AD$98,"&gt;="&amp;$H217)+COUNTIFS(工数管理!$AK$3:$AK$98,J$1,工数管理!$AE$3:$AE$98,"&lt;="&amp;$H217,工数管理!$AF$3:$AF$98,"&gt;="&amp;$H217)+COUNTIFS(工数管理!$AK$3:$AK$98,J$1,工数管理!$AG$3:$AG$98,"&lt;="&amp;$H217,工数管理!$AH$3:$AH$98,"&gt;="&amp;$H217)+(COUNTIFS(工数管理!$AK$3:$AK$98,J$1,工数管理!$K$3:$K$98,"&lt;="&amp;$H217,工数管理!$L$3:$L$98,"")+COUNTIFS(工数管理!$AK$3:$AK$98,J$1,工数管理!$M$3:$M$98,"&lt;="&amp;$H217,工数管理!$N$3:$N$98,"")+COUNTIFS(工数管理!$AK$3:$AK$98,J$1,工数管理!$O$3:$O$98,"&lt;="&amp;$H217,工数管理!$P$3:$P$98,"")+COUNTIFS(工数管理!$AK$3:$AK$98,J$1,工数管理!$Q$3:$Q$98,"&lt;="&amp;$H217,工数管理!$R$3:$R$98,"")+COUNTIFS(工数管理!$AK$3:$AK$98,J$1,工数管理!$S$3:$S$98,"&lt;="&amp;$H217,工数管理!$T$3:$T$98,"")+COUNTIFS(工数管理!$AK$3:$AK$98,J$1,工数管理!$U$3:$U$98,"&lt;="&amp;$H217,工数管理!$V$3:$V$98,"")+COUNTIFS(工数管理!$AK$3:$AK$98,J$1,工数管理!$W$3:$W$98,"&lt;="&amp;$H217,工数管理!$X$3:$X$98,"")+COUNTIFS(工数管理!$AK$3:$AK$98,J$1,工数管理!$Y$3:$Y$98,"&lt;="&amp;$H217,工数管理!$Z$3:$Z$98,"")+COUNTIFS(工数管理!$AK$3:$AK$98,J$1,工数管理!$AA$3:$AA$98,"&lt;="&amp;$H217,工数管理!$AB$3:$AB$98,"")+COUNTIFS(工数管理!$AK$3:$AK$98,J$1,工数管理!$AC$3:$AC$98,"&lt;="&amp;$H217,工数管理!$AD$3:$AD$98,"")+COUNTIFS(工数管理!$AK$3:$AK$98,J$1,工数管理!$AE$3:$AE$98,"&lt;="&amp;$H217,工数管理!$AF$3:$AF$98,"")+COUNTIFS(工数管理!$AK$3:$AK$98,J$1,工数管理!$AG$3:$AG$98,"&lt;="&amp;$H217,工数管理!$AH$3:$AH$98,""))*($H217&lt;=工数管理!$AI$1))</f>
        <v>0</v>
      </c>
      <c r="K217" s="42">
        <f ca="1">IF(K$1="",0,COUNTIFS(工数管理!$AK$3:$AK$98,K$1,工数管理!$K$3:$K$98,"&lt;="&amp;$H217,工数管理!$L$3:$L$98,"&gt;="&amp;$H217)+COUNTIFS(工数管理!$AK$3:$AK$98,K$1,工数管理!$M$3:$M$98,"&lt;="&amp;$H217,工数管理!$N$3:$N$98,"&gt;="&amp;$H217)+COUNTIFS(工数管理!$AK$3:$AK$98,K$1,工数管理!$O$3:$O$98,"&lt;="&amp;$H217,工数管理!$P$3:$P$98,"&gt;="&amp;$H217)+COUNTIFS(工数管理!$AK$3:$AK$98,K$1,工数管理!$Q$3:$Q$98,"&lt;="&amp;$H217,工数管理!$R$3:$R$98,"&gt;="&amp;$H217)+COUNTIFS(工数管理!$AK$3:$AK$98,K$1,工数管理!$S$3:$S$98,"&lt;="&amp;$H217,工数管理!$T$3:$T$98,"&gt;="&amp;$H217)+COUNTIFS(工数管理!$AK$3:$AK$98,K$1,工数管理!$U$3:$U$98,"&lt;="&amp;$H217,工数管理!$V$3:$V$98,"&gt;="&amp;$H217)+COUNTIFS(工数管理!$AK$3:$AK$98,K$1,工数管理!$W$3:$W$98,"&lt;="&amp;$H217,工数管理!$X$3:$X$98,"&gt;="&amp;$H217)+COUNTIFS(工数管理!$AK$3:$AK$98,K$1,工数管理!$Y$3:$Y$98,"&lt;="&amp;$H217,工数管理!$Z$3:$Z$98,"&gt;="&amp;$H217)+COUNTIFS(工数管理!$AK$3:$AK$98,K$1,工数管理!$AA$3:$AA$98,"&lt;="&amp;$H217,工数管理!$AB$3:$AB$98,"&gt;="&amp;$H217)+COUNTIFS(工数管理!$AK$3:$AK$98,K$1,工数管理!$AC$3:$AC$98,"&lt;="&amp;$H217,工数管理!$AD$3:$AD$98,"&gt;="&amp;$H217)+COUNTIFS(工数管理!$AK$3:$AK$98,K$1,工数管理!$AE$3:$AE$98,"&lt;="&amp;$H217,工数管理!$AF$3:$AF$98,"&gt;="&amp;$H217)+COUNTIFS(工数管理!$AK$3:$AK$98,K$1,工数管理!$AG$3:$AG$98,"&lt;="&amp;$H217,工数管理!$AH$3:$AH$98,"&gt;="&amp;$H217)+(COUNTIFS(工数管理!$AK$3:$AK$98,K$1,工数管理!$K$3:$K$98,"&lt;="&amp;$H217,工数管理!$L$3:$L$98,"")+COUNTIFS(工数管理!$AK$3:$AK$98,K$1,工数管理!$M$3:$M$98,"&lt;="&amp;$H217,工数管理!$N$3:$N$98,"")+COUNTIFS(工数管理!$AK$3:$AK$98,K$1,工数管理!$O$3:$O$98,"&lt;="&amp;$H217,工数管理!$P$3:$P$98,"")+COUNTIFS(工数管理!$AK$3:$AK$98,K$1,工数管理!$Q$3:$Q$98,"&lt;="&amp;$H217,工数管理!$R$3:$R$98,"")+COUNTIFS(工数管理!$AK$3:$AK$98,K$1,工数管理!$S$3:$S$98,"&lt;="&amp;$H217,工数管理!$T$3:$T$98,"")+COUNTIFS(工数管理!$AK$3:$AK$98,K$1,工数管理!$U$3:$U$98,"&lt;="&amp;$H217,工数管理!$V$3:$V$98,"")+COUNTIFS(工数管理!$AK$3:$AK$98,K$1,工数管理!$W$3:$W$98,"&lt;="&amp;$H217,工数管理!$X$3:$X$98,"")+COUNTIFS(工数管理!$AK$3:$AK$98,K$1,工数管理!$Y$3:$Y$98,"&lt;="&amp;$H217,工数管理!$Z$3:$Z$98,"")+COUNTIFS(工数管理!$AK$3:$AK$98,K$1,工数管理!$AA$3:$AA$98,"&lt;="&amp;$H217,工数管理!$AB$3:$AB$98,"")+COUNTIFS(工数管理!$AK$3:$AK$98,K$1,工数管理!$AC$3:$AC$98,"&lt;="&amp;$H217,工数管理!$AD$3:$AD$98,"")+COUNTIFS(工数管理!$AK$3:$AK$98,K$1,工数管理!$AE$3:$AE$98,"&lt;="&amp;$H217,工数管理!$AF$3:$AF$98,"")+COUNTIFS(工数管理!$AK$3:$AK$98,K$1,工数管理!$AG$3:$AG$98,"&lt;="&amp;$H217,工数管理!$AH$3:$AH$98,""))*($H217&lt;=工数管理!$AI$1))</f>
        <v>0</v>
      </c>
      <c r="L217" s="42">
        <f ca="1">IF(L$1="",0,COUNTIFS(工数管理!$AK$3:$AK$98,L$1,工数管理!$K$3:$K$98,"&lt;="&amp;$H217,工数管理!$L$3:$L$98,"&gt;="&amp;$H217)+COUNTIFS(工数管理!$AK$3:$AK$98,L$1,工数管理!$M$3:$M$98,"&lt;="&amp;$H217,工数管理!$N$3:$N$98,"&gt;="&amp;$H217)+COUNTIFS(工数管理!$AK$3:$AK$98,L$1,工数管理!$O$3:$O$98,"&lt;="&amp;$H217,工数管理!$P$3:$P$98,"&gt;="&amp;$H217)+COUNTIFS(工数管理!$AK$3:$AK$98,L$1,工数管理!$Q$3:$Q$98,"&lt;="&amp;$H217,工数管理!$R$3:$R$98,"&gt;="&amp;$H217)+COUNTIFS(工数管理!$AK$3:$AK$98,L$1,工数管理!$S$3:$S$98,"&lt;="&amp;$H217,工数管理!$T$3:$T$98,"&gt;="&amp;$H217)+COUNTIFS(工数管理!$AK$3:$AK$98,L$1,工数管理!$U$3:$U$98,"&lt;="&amp;$H217,工数管理!$V$3:$V$98,"&gt;="&amp;$H217)+COUNTIFS(工数管理!$AK$3:$AK$98,L$1,工数管理!$W$3:$W$98,"&lt;="&amp;$H217,工数管理!$X$3:$X$98,"&gt;="&amp;$H217)+COUNTIFS(工数管理!$AK$3:$AK$98,L$1,工数管理!$Y$3:$Y$98,"&lt;="&amp;$H217,工数管理!$Z$3:$Z$98,"&gt;="&amp;$H217)+COUNTIFS(工数管理!$AK$3:$AK$98,L$1,工数管理!$AA$3:$AA$98,"&lt;="&amp;$H217,工数管理!$AB$3:$AB$98,"&gt;="&amp;$H217)+COUNTIFS(工数管理!$AK$3:$AK$98,L$1,工数管理!$AC$3:$AC$98,"&lt;="&amp;$H217,工数管理!$AD$3:$AD$98,"&gt;="&amp;$H217)+COUNTIFS(工数管理!$AK$3:$AK$98,L$1,工数管理!$AE$3:$AE$98,"&lt;="&amp;$H217,工数管理!$AF$3:$AF$98,"&gt;="&amp;$H217)+COUNTIFS(工数管理!$AK$3:$AK$98,L$1,工数管理!$AG$3:$AG$98,"&lt;="&amp;$H217,工数管理!$AH$3:$AH$98,"&gt;="&amp;$H217)+(COUNTIFS(工数管理!$AK$3:$AK$98,L$1,工数管理!$K$3:$K$98,"&lt;="&amp;$H217,工数管理!$L$3:$L$98,"")+COUNTIFS(工数管理!$AK$3:$AK$98,L$1,工数管理!$M$3:$M$98,"&lt;="&amp;$H217,工数管理!$N$3:$N$98,"")+COUNTIFS(工数管理!$AK$3:$AK$98,L$1,工数管理!$O$3:$O$98,"&lt;="&amp;$H217,工数管理!$P$3:$P$98,"")+COUNTIFS(工数管理!$AK$3:$AK$98,L$1,工数管理!$Q$3:$Q$98,"&lt;="&amp;$H217,工数管理!$R$3:$R$98,"")+COUNTIFS(工数管理!$AK$3:$AK$98,L$1,工数管理!$S$3:$S$98,"&lt;="&amp;$H217,工数管理!$T$3:$T$98,"")+COUNTIFS(工数管理!$AK$3:$AK$98,L$1,工数管理!$U$3:$U$98,"&lt;="&amp;$H217,工数管理!$V$3:$V$98,"")+COUNTIFS(工数管理!$AK$3:$AK$98,L$1,工数管理!$W$3:$W$98,"&lt;="&amp;$H217,工数管理!$X$3:$X$98,"")+COUNTIFS(工数管理!$AK$3:$AK$98,L$1,工数管理!$Y$3:$Y$98,"&lt;="&amp;$H217,工数管理!$Z$3:$Z$98,"")+COUNTIFS(工数管理!$AK$3:$AK$98,L$1,工数管理!$AA$3:$AA$98,"&lt;="&amp;$H217,工数管理!$AB$3:$AB$98,"")+COUNTIFS(工数管理!$AK$3:$AK$98,L$1,工数管理!$AC$3:$AC$98,"&lt;="&amp;$H217,工数管理!$AD$3:$AD$98,"")+COUNTIFS(工数管理!$AK$3:$AK$98,L$1,工数管理!$AE$3:$AE$98,"&lt;="&amp;$H217,工数管理!$AF$3:$AF$98,"")+COUNTIFS(工数管理!$AK$3:$AK$98,L$1,工数管理!$AG$3:$AG$98,"&lt;="&amp;$H217,工数管理!$AH$3:$AH$98,""))*($H217&lt;=工数管理!$AI$1))</f>
        <v>0</v>
      </c>
    </row>
    <row r="218" spans="8:12" x14ac:dyDescent="0.15">
      <c r="H218" s="41">
        <f t="shared" si="7"/>
        <v>46386</v>
      </c>
      <c r="I218" s="42">
        <f t="shared" si="6"/>
        <v>0</v>
      </c>
      <c r="J218" s="42">
        <f ca="1">IF(J$1="",0,COUNTIFS(工数管理!$AK$3:$AK$98,J$1,工数管理!$K$3:$K$98,"&lt;="&amp;$H218,工数管理!$L$3:$L$98,"&gt;="&amp;$H218)+COUNTIFS(工数管理!$AK$3:$AK$98,J$1,工数管理!$M$3:$M$98,"&lt;="&amp;$H218,工数管理!$N$3:$N$98,"&gt;="&amp;$H218)+COUNTIFS(工数管理!$AK$3:$AK$98,J$1,工数管理!$O$3:$O$98,"&lt;="&amp;$H218,工数管理!$P$3:$P$98,"&gt;="&amp;$H218)+COUNTIFS(工数管理!$AK$3:$AK$98,J$1,工数管理!$Q$3:$Q$98,"&lt;="&amp;$H218,工数管理!$R$3:$R$98,"&gt;="&amp;$H218)+COUNTIFS(工数管理!$AK$3:$AK$98,J$1,工数管理!$S$3:$S$98,"&lt;="&amp;$H218,工数管理!$T$3:$T$98,"&gt;="&amp;$H218)+COUNTIFS(工数管理!$AK$3:$AK$98,J$1,工数管理!$U$3:$U$98,"&lt;="&amp;$H218,工数管理!$V$3:$V$98,"&gt;="&amp;$H218)+COUNTIFS(工数管理!$AK$3:$AK$98,J$1,工数管理!$W$3:$W$98,"&lt;="&amp;$H218,工数管理!$X$3:$X$98,"&gt;="&amp;$H218)+COUNTIFS(工数管理!$AK$3:$AK$98,J$1,工数管理!$Y$3:$Y$98,"&lt;="&amp;$H218,工数管理!$Z$3:$Z$98,"&gt;="&amp;$H218)+COUNTIFS(工数管理!$AK$3:$AK$98,J$1,工数管理!$AA$3:$AA$98,"&lt;="&amp;$H218,工数管理!$AB$3:$AB$98,"&gt;="&amp;$H218)+COUNTIFS(工数管理!$AK$3:$AK$98,J$1,工数管理!$AC$3:$AC$98,"&lt;="&amp;$H218,工数管理!$AD$3:$AD$98,"&gt;="&amp;$H218)+COUNTIFS(工数管理!$AK$3:$AK$98,J$1,工数管理!$AE$3:$AE$98,"&lt;="&amp;$H218,工数管理!$AF$3:$AF$98,"&gt;="&amp;$H218)+COUNTIFS(工数管理!$AK$3:$AK$98,J$1,工数管理!$AG$3:$AG$98,"&lt;="&amp;$H218,工数管理!$AH$3:$AH$98,"&gt;="&amp;$H218)+(COUNTIFS(工数管理!$AK$3:$AK$98,J$1,工数管理!$K$3:$K$98,"&lt;="&amp;$H218,工数管理!$L$3:$L$98,"")+COUNTIFS(工数管理!$AK$3:$AK$98,J$1,工数管理!$M$3:$M$98,"&lt;="&amp;$H218,工数管理!$N$3:$N$98,"")+COUNTIFS(工数管理!$AK$3:$AK$98,J$1,工数管理!$O$3:$O$98,"&lt;="&amp;$H218,工数管理!$P$3:$P$98,"")+COUNTIFS(工数管理!$AK$3:$AK$98,J$1,工数管理!$Q$3:$Q$98,"&lt;="&amp;$H218,工数管理!$R$3:$R$98,"")+COUNTIFS(工数管理!$AK$3:$AK$98,J$1,工数管理!$S$3:$S$98,"&lt;="&amp;$H218,工数管理!$T$3:$T$98,"")+COUNTIFS(工数管理!$AK$3:$AK$98,J$1,工数管理!$U$3:$U$98,"&lt;="&amp;$H218,工数管理!$V$3:$V$98,"")+COUNTIFS(工数管理!$AK$3:$AK$98,J$1,工数管理!$W$3:$W$98,"&lt;="&amp;$H218,工数管理!$X$3:$X$98,"")+COUNTIFS(工数管理!$AK$3:$AK$98,J$1,工数管理!$Y$3:$Y$98,"&lt;="&amp;$H218,工数管理!$Z$3:$Z$98,"")+COUNTIFS(工数管理!$AK$3:$AK$98,J$1,工数管理!$AA$3:$AA$98,"&lt;="&amp;$H218,工数管理!$AB$3:$AB$98,"")+COUNTIFS(工数管理!$AK$3:$AK$98,J$1,工数管理!$AC$3:$AC$98,"&lt;="&amp;$H218,工数管理!$AD$3:$AD$98,"")+COUNTIFS(工数管理!$AK$3:$AK$98,J$1,工数管理!$AE$3:$AE$98,"&lt;="&amp;$H218,工数管理!$AF$3:$AF$98,"")+COUNTIFS(工数管理!$AK$3:$AK$98,J$1,工数管理!$AG$3:$AG$98,"&lt;="&amp;$H218,工数管理!$AH$3:$AH$98,""))*($H218&lt;=工数管理!$AI$1))</f>
        <v>0</v>
      </c>
      <c r="K218" s="42">
        <f ca="1">IF(K$1="",0,COUNTIFS(工数管理!$AK$3:$AK$98,K$1,工数管理!$K$3:$K$98,"&lt;="&amp;$H218,工数管理!$L$3:$L$98,"&gt;="&amp;$H218)+COUNTIFS(工数管理!$AK$3:$AK$98,K$1,工数管理!$M$3:$M$98,"&lt;="&amp;$H218,工数管理!$N$3:$N$98,"&gt;="&amp;$H218)+COUNTIFS(工数管理!$AK$3:$AK$98,K$1,工数管理!$O$3:$O$98,"&lt;="&amp;$H218,工数管理!$P$3:$P$98,"&gt;="&amp;$H218)+COUNTIFS(工数管理!$AK$3:$AK$98,K$1,工数管理!$Q$3:$Q$98,"&lt;="&amp;$H218,工数管理!$R$3:$R$98,"&gt;="&amp;$H218)+COUNTIFS(工数管理!$AK$3:$AK$98,K$1,工数管理!$S$3:$S$98,"&lt;="&amp;$H218,工数管理!$T$3:$T$98,"&gt;="&amp;$H218)+COUNTIFS(工数管理!$AK$3:$AK$98,K$1,工数管理!$U$3:$U$98,"&lt;="&amp;$H218,工数管理!$V$3:$V$98,"&gt;="&amp;$H218)+COUNTIFS(工数管理!$AK$3:$AK$98,K$1,工数管理!$W$3:$W$98,"&lt;="&amp;$H218,工数管理!$X$3:$X$98,"&gt;="&amp;$H218)+COUNTIFS(工数管理!$AK$3:$AK$98,K$1,工数管理!$Y$3:$Y$98,"&lt;="&amp;$H218,工数管理!$Z$3:$Z$98,"&gt;="&amp;$H218)+COUNTIFS(工数管理!$AK$3:$AK$98,K$1,工数管理!$AA$3:$AA$98,"&lt;="&amp;$H218,工数管理!$AB$3:$AB$98,"&gt;="&amp;$H218)+COUNTIFS(工数管理!$AK$3:$AK$98,K$1,工数管理!$AC$3:$AC$98,"&lt;="&amp;$H218,工数管理!$AD$3:$AD$98,"&gt;="&amp;$H218)+COUNTIFS(工数管理!$AK$3:$AK$98,K$1,工数管理!$AE$3:$AE$98,"&lt;="&amp;$H218,工数管理!$AF$3:$AF$98,"&gt;="&amp;$H218)+COUNTIFS(工数管理!$AK$3:$AK$98,K$1,工数管理!$AG$3:$AG$98,"&lt;="&amp;$H218,工数管理!$AH$3:$AH$98,"&gt;="&amp;$H218)+(COUNTIFS(工数管理!$AK$3:$AK$98,K$1,工数管理!$K$3:$K$98,"&lt;="&amp;$H218,工数管理!$L$3:$L$98,"")+COUNTIFS(工数管理!$AK$3:$AK$98,K$1,工数管理!$M$3:$M$98,"&lt;="&amp;$H218,工数管理!$N$3:$N$98,"")+COUNTIFS(工数管理!$AK$3:$AK$98,K$1,工数管理!$O$3:$O$98,"&lt;="&amp;$H218,工数管理!$P$3:$P$98,"")+COUNTIFS(工数管理!$AK$3:$AK$98,K$1,工数管理!$Q$3:$Q$98,"&lt;="&amp;$H218,工数管理!$R$3:$R$98,"")+COUNTIFS(工数管理!$AK$3:$AK$98,K$1,工数管理!$S$3:$S$98,"&lt;="&amp;$H218,工数管理!$T$3:$T$98,"")+COUNTIFS(工数管理!$AK$3:$AK$98,K$1,工数管理!$U$3:$U$98,"&lt;="&amp;$H218,工数管理!$V$3:$V$98,"")+COUNTIFS(工数管理!$AK$3:$AK$98,K$1,工数管理!$W$3:$W$98,"&lt;="&amp;$H218,工数管理!$X$3:$X$98,"")+COUNTIFS(工数管理!$AK$3:$AK$98,K$1,工数管理!$Y$3:$Y$98,"&lt;="&amp;$H218,工数管理!$Z$3:$Z$98,"")+COUNTIFS(工数管理!$AK$3:$AK$98,K$1,工数管理!$AA$3:$AA$98,"&lt;="&amp;$H218,工数管理!$AB$3:$AB$98,"")+COUNTIFS(工数管理!$AK$3:$AK$98,K$1,工数管理!$AC$3:$AC$98,"&lt;="&amp;$H218,工数管理!$AD$3:$AD$98,"")+COUNTIFS(工数管理!$AK$3:$AK$98,K$1,工数管理!$AE$3:$AE$98,"&lt;="&amp;$H218,工数管理!$AF$3:$AF$98,"")+COUNTIFS(工数管理!$AK$3:$AK$98,K$1,工数管理!$AG$3:$AG$98,"&lt;="&amp;$H218,工数管理!$AH$3:$AH$98,""))*($H218&lt;=工数管理!$AI$1))</f>
        <v>0</v>
      </c>
      <c r="L218" s="42">
        <f ca="1">IF(L$1="",0,COUNTIFS(工数管理!$AK$3:$AK$98,L$1,工数管理!$K$3:$K$98,"&lt;="&amp;$H218,工数管理!$L$3:$L$98,"&gt;="&amp;$H218)+COUNTIFS(工数管理!$AK$3:$AK$98,L$1,工数管理!$M$3:$M$98,"&lt;="&amp;$H218,工数管理!$N$3:$N$98,"&gt;="&amp;$H218)+COUNTIFS(工数管理!$AK$3:$AK$98,L$1,工数管理!$O$3:$O$98,"&lt;="&amp;$H218,工数管理!$P$3:$P$98,"&gt;="&amp;$H218)+COUNTIFS(工数管理!$AK$3:$AK$98,L$1,工数管理!$Q$3:$Q$98,"&lt;="&amp;$H218,工数管理!$R$3:$R$98,"&gt;="&amp;$H218)+COUNTIFS(工数管理!$AK$3:$AK$98,L$1,工数管理!$S$3:$S$98,"&lt;="&amp;$H218,工数管理!$T$3:$T$98,"&gt;="&amp;$H218)+COUNTIFS(工数管理!$AK$3:$AK$98,L$1,工数管理!$U$3:$U$98,"&lt;="&amp;$H218,工数管理!$V$3:$V$98,"&gt;="&amp;$H218)+COUNTIFS(工数管理!$AK$3:$AK$98,L$1,工数管理!$W$3:$W$98,"&lt;="&amp;$H218,工数管理!$X$3:$X$98,"&gt;="&amp;$H218)+COUNTIFS(工数管理!$AK$3:$AK$98,L$1,工数管理!$Y$3:$Y$98,"&lt;="&amp;$H218,工数管理!$Z$3:$Z$98,"&gt;="&amp;$H218)+COUNTIFS(工数管理!$AK$3:$AK$98,L$1,工数管理!$AA$3:$AA$98,"&lt;="&amp;$H218,工数管理!$AB$3:$AB$98,"&gt;="&amp;$H218)+COUNTIFS(工数管理!$AK$3:$AK$98,L$1,工数管理!$AC$3:$AC$98,"&lt;="&amp;$H218,工数管理!$AD$3:$AD$98,"&gt;="&amp;$H218)+COUNTIFS(工数管理!$AK$3:$AK$98,L$1,工数管理!$AE$3:$AE$98,"&lt;="&amp;$H218,工数管理!$AF$3:$AF$98,"&gt;="&amp;$H218)+COUNTIFS(工数管理!$AK$3:$AK$98,L$1,工数管理!$AG$3:$AG$98,"&lt;="&amp;$H218,工数管理!$AH$3:$AH$98,"&gt;="&amp;$H218)+(COUNTIFS(工数管理!$AK$3:$AK$98,L$1,工数管理!$K$3:$K$98,"&lt;="&amp;$H218,工数管理!$L$3:$L$98,"")+COUNTIFS(工数管理!$AK$3:$AK$98,L$1,工数管理!$M$3:$M$98,"&lt;="&amp;$H218,工数管理!$N$3:$N$98,"")+COUNTIFS(工数管理!$AK$3:$AK$98,L$1,工数管理!$O$3:$O$98,"&lt;="&amp;$H218,工数管理!$P$3:$P$98,"")+COUNTIFS(工数管理!$AK$3:$AK$98,L$1,工数管理!$Q$3:$Q$98,"&lt;="&amp;$H218,工数管理!$R$3:$R$98,"")+COUNTIFS(工数管理!$AK$3:$AK$98,L$1,工数管理!$S$3:$S$98,"&lt;="&amp;$H218,工数管理!$T$3:$T$98,"")+COUNTIFS(工数管理!$AK$3:$AK$98,L$1,工数管理!$U$3:$U$98,"&lt;="&amp;$H218,工数管理!$V$3:$V$98,"")+COUNTIFS(工数管理!$AK$3:$AK$98,L$1,工数管理!$W$3:$W$98,"&lt;="&amp;$H218,工数管理!$X$3:$X$98,"")+COUNTIFS(工数管理!$AK$3:$AK$98,L$1,工数管理!$Y$3:$Y$98,"&lt;="&amp;$H218,工数管理!$Z$3:$Z$98,"")+COUNTIFS(工数管理!$AK$3:$AK$98,L$1,工数管理!$AA$3:$AA$98,"&lt;="&amp;$H218,工数管理!$AB$3:$AB$98,"")+COUNTIFS(工数管理!$AK$3:$AK$98,L$1,工数管理!$AC$3:$AC$98,"&lt;="&amp;$H218,工数管理!$AD$3:$AD$98,"")+COUNTIFS(工数管理!$AK$3:$AK$98,L$1,工数管理!$AE$3:$AE$98,"&lt;="&amp;$H218,工数管理!$AF$3:$AF$98,"")+COUNTIFS(工数管理!$AK$3:$AK$98,L$1,工数管理!$AG$3:$AG$98,"&lt;="&amp;$H218,工数管理!$AH$3:$AH$98,""))*($H218&lt;=工数管理!$AI$1))</f>
        <v>0</v>
      </c>
    </row>
    <row r="219" spans="8:12" x14ac:dyDescent="0.15">
      <c r="H219" s="41">
        <f t="shared" si="7"/>
        <v>46387</v>
      </c>
      <c r="I219" s="42">
        <f t="shared" si="6"/>
        <v>0</v>
      </c>
      <c r="J219" s="42">
        <f ca="1">IF(J$1="",0,COUNTIFS(工数管理!$AK$3:$AK$98,J$1,工数管理!$K$3:$K$98,"&lt;="&amp;$H219,工数管理!$L$3:$L$98,"&gt;="&amp;$H219)+COUNTIFS(工数管理!$AK$3:$AK$98,J$1,工数管理!$M$3:$M$98,"&lt;="&amp;$H219,工数管理!$N$3:$N$98,"&gt;="&amp;$H219)+COUNTIFS(工数管理!$AK$3:$AK$98,J$1,工数管理!$O$3:$O$98,"&lt;="&amp;$H219,工数管理!$P$3:$P$98,"&gt;="&amp;$H219)+COUNTIFS(工数管理!$AK$3:$AK$98,J$1,工数管理!$Q$3:$Q$98,"&lt;="&amp;$H219,工数管理!$R$3:$R$98,"&gt;="&amp;$H219)+COUNTIFS(工数管理!$AK$3:$AK$98,J$1,工数管理!$S$3:$S$98,"&lt;="&amp;$H219,工数管理!$T$3:$T$98,"&gt;="&amp;$H219)+COUNTIFS(工数管理!$AK$3:$AK$98,J$1,工数管理!$U$3:$U$98,"&lt;="&amp;$H219,工数管理!$V$3:$V$98,"&gt;="&amp;$H219)+COUNTIFS(工数管理!$AK$3:$AK$98,J$1,工数管理!$W$3:$W$98,"&lt;="&amp;$H219,工数管理!$X$3:$X$98,"&gt;="&amp;$H219)+COUNTIFS(工数管理!$AK$3:$AK$98,J$1,工数管理!$Y$3:$Y$98,"&lt;="&amp;$H219,工数管理!$Z$3:$Z$98,"&gt;="&amp;$H219)+COUNTIFS(工数管理!$AK$3:$AK$98,J$1,工数管理!$AA$3:$AA$98,"&lt;="&amp;$H219,工数管理!$AB$3:$AB$98,"&gt;="&amp;$H219)+COUNTIFS(工数管理!$AK$3:$AK$98,J$1,工数管理!$AC$3:$AC$98,"&lt;="&amp;$H219,工数管理!$AD$3:$AD$98,"&gt;="&amp;$H219)+COUNTIFS(工数管理!$AK$3:$AK$98,J$1,工数管理!$AE$3:$AE$98,"&lt;="&amp;$H219,工数管理!$AF$3:$AF$98,"&gt;="&amp;$H219)+COUNTIFS(工数管理!$AK$3:$AK$98,J$1,工数管理!$AG$3:$AG$98,"&lt;="&amp;$H219,工数管理!$AH$3:$AH$98,"&gt;="&amp;$H219)+(COUNTIFS(工数管理!$AK$3:$AK$98,J$1,工数管理!$K$3:$K$98,"&lt;="&amp;$H219,工数管理!$L$3:$L$98,"")+COUNTIFS(工数管理!$AK$3:$AK$98,J$1,工数管理!$M$3:$M$98,"&lt;="&amp;$H219,工数管理!$N$3:$N$98,"")+COUNTIFS(工数管理!$AK$3:$AK$98,J$1,工数管理!$O$3:$O$98,"&lt;="&amp;$H219,工数管理!$P$3:$P$98,"")+COUNTIFS(工数管理!$AK$3:$AK$98,J$1,工数管理!$Q$3:$Q$98,"&lt;="&amp;$H219,工数管理!$R$3:$R$98,"")+COUNTIFS(工数管理!$AK$3:$AK$98,J$1,工数管理!$S$3:$S$98,"&lt;="&amp;$H219,工数管理!$T$3:$T$98,"")+COUNTIFS(工数管理!$AK$3:$AK$98,J$1,工数管理!$U$3:$U$98,"&lt;="&amp;$H219,工数管理!$V$3:$V$98,"")+COUNTIFS(工数管理!$AK$3:$AK$98,J$1,工数管理!$W$3:$W$98,"&lt;="&amp;$H219,工数管理!$X$3:$X$98,"")+COUNTIFS(工数管理!$AK$3:$AK$98,J$1,工数管理!$Y$3:$Y$98,"&lt;="&amp;$H219,工数管理!$Z$3:$Z$98,"")+COUNTIFS(工数管理!$AK$3:$AK$98,J$1,工数管理!$AA$3:$AA$98,"&lt;="&amp;$H219,工数管理!$AB$3:$AB$98,"")+COUNTIFS(工数管理!$AK$3:$AK$98,J$1,工数管理!$AC$3:$AC$98,"&lt;="&amp;$H219,工数管理!$AD$3:$AD$98,"")+COUNTIFS(工数管理!$AK$3:$AK$98,J$1,工数管理!$AE$3:$AE$98,"&lt;="&amp;$H219,工数管理!$AF$3:$AF$98,"")+COUNTIFS(工数管理!$AK$3:$AK$98,J$1,工数管理!$AG$3:$AG$98,"&lt;="&amp;$H219,工数管理!$AH$3:$AH$98,""))*($H219&lt;=工数管理!$AI$1))</f>
        <v>0</v>
      </c>
      <c r="K219" s="42">
        <f ca="1">IF(K$1="",0,COUNTIFS(工数管理!$AK$3:$AK$98,K$1,工数管理!$K$3:$K$98,"&lt;="&amp;$H219,工数管理!$L$3:$L$98,"&gt;="&amp;$H219)+COUNTIFS(工数管理!$AK$3:$AK$98,K$1,工数管理!$M$3:$M$98,"&lt;="&amp;$H219,工数管理!$N$3:$N$98,"&gt;="&amp;$H219)+COUNTIFS(工数管理!$AK$3:$AK$98,K$1,工数管理!$O$3:$O$98,"&lt;="&amp;$H219,工数管理!$P$3:$P$98,"&gt;="&amp;$H219)+COUNTIFS(工数管理!$AK$3:$AK$98,K$1,工数管理!$Q$3:$Q$98,"&lt;="&amp;$H219,工数管理!$R$3:$R$98,"&gt;="&amp;$H219)+COUNTIFS(工数管理!$AK$3:$AK$98,K$1,工数管理!$S$3:$S$98,"&lt;="&amp;$H219,工数管理!$T$3:$T$98,"&gt;="&amp;$H219)+COUNTIFS(工数管理!$AK$3:$AK$98,K$1,工数管理!$U$3:$U$98,"&lt;="&amp;$H219,工数管理!$V$3:$V$98,"&gt;="&amp;$H219)+COUNTIFS(工数管理!$AK$3:$AK$98,K$1,工数管理!$W$3:$W$98,"&lt;="&amp;$H219,工数管理!$X$3:$X$98,"&gt;="&amp;$H219)+COUNTIFS(工数管理!$AK$3:$AK$98,K$1,工数管理!$Y$3:$Y$98,"&lt;="&amp;$H219,工数管理!$Z$3:$Z$98,"&gt;="&amp;$H219)+COUNTIFS(工数管理!$AK$3:$AK$98,K$1,工数管理!$AA$3:$AA$98,"&lt;="&amp;$H219,工数管理!$AB$3:$AB$98,"&gt;="&amp;$H219)+COUNTIFS(工数管理!$AK$3:$AK$98,K$1,工数管理!$AC$3:$AC$98,"&lt;="&amp;$H219,工数管理!$AD$3:$AD$98,"&gt;="&amp;$H219)+COUNTIFS(工数管理!$AK$3:$AK$98,K$1,工数管理!$AE$3:$AE$98,"&lt;="&amp;$H219,工数管理!$AF$3:$AF$98,"&gt;="&amp;$H219)+COUNTIFS(工数管理!$AK$3:$AK$98,K$1,工数管理!$AG$3:$AG$98,"&lt;="&amp;$H219,工数管理!$AH$3:$AH$98,"&gt;="&amp;$H219)+(COUNTIFS(工数管理!$AK$3:$AK$98,K$1,工数管理!$K$3:$K$98,"&lt;="&amp;$H219,工数管理!$L$3:$L$98,"")+COUNTIFS(工数管理!$AK$3:$AK$98,K$1,工数管理!$M$3:$M$98,"&lt;="&amp;$H219,工数管理!$N$3:$N$98,"")+COUNTIFS(工数管理!$AK$3:$AK$98,K$1,工数管理!$O$3:$O$98,"&lt;="&amp;$H219,工数管理!$P$3:$P$98,"")+COUNTIFS(工数管理!$AK$3:$AK$98,K$1,工数管理!$Q$3:$Q$98,"&lt;="&amp;$H219,工数管理!$R$3:$R$98,"")+COUNTIFS(工数管理!$AK$3:$AK$98,K$1,工数管理!$S$3:$S$98,"&lt;="&amp;$H219,工数管理!$T$3:$T$98,"")+COUNTIFS(工数管理!$AK$3:$AK$98,K$1,工数管理!$U$3:$U$98,"&lt;="&amp;$H219,工数管理!$V$3:$V$98,"")+COUNTIFS(工数管理!$AK$3:$AK$98,K$1,工数管理!$W$3:$W$98,"&lt;="&amp;$H219,工数管理!$X$3:$X$98,"")+COUNTIFS(工数管理!$AK$3:$AK$98,K$1,工数管理!$Y$3:$Y$98,"&lt;="&amp;$H219,工数管理!$Z$3:$Z$98,"")+COUNTIFS(工数管理!$AK$3:$AK$98,K$1,工数管理!$AA$3:$AA$98,"&lt;="&amp;$H219,工数管理!$AB$3:$AB$98,"")+COUNTIFS(工数管理!$AK$3:$AK$98,K$1,工数管理!$AC$3:$AC$98,"&lt;="&amp;$H219,工数管理!$AD$3:$AD$98,"")+COUNTIFS(工数管理!$AK$3:$AK$98,K$1,工数管理!$AE$3:$AE$98,"&lt;="&amp;$H219,工数管理!$AF$3:$AF$98,"")+COUNTIFS(工数管理!$AK$3:$AK$98,K$1,工数管理!$AG$3:$AG$98,"&lt;="&amp;$H219,工数管理!$AH$3:$AH$98,""))*($H219&lt;=工数管理!$AI$1))</f>
        <v>0</v>
      </c>
      <c r="L219" s="42">
        <f ca="1">IF(L$1="",0,COUNTIFS(工数管理!$AK$3:$AK$98,L$1,工数管理!$K$3:$K$98,"&lt;="&amp;$H219,工数管理!$L$3:$L$98,"&gt;="&amp;$H219)+COUNTIFS(工数管理!$AK$3:$AK$98,L$1,工数管理!$M$3:$M$98,"&lt;="&amp;$H219,工数管理!$N$3:$N$98,"&gt;="&amp;$H219)+COUNTIFS(工数管理!$AK$3:$AK$98,L$1,工数管理!$O$3:$O$98,"&lt;="&amp;$H219,工数管理!$P$3:$P$98,"&gt;="&amp;$H219)+COUNTIFS(工数管理!$AK$3:$AK$98,L$1,工数管理!$Q$3:$Q$98,"&lt;="&amp;$H219,工数管理!$R$3:$R$98,"&gt;="&amp;$H219)+COUNTIFS(工数管理!$AK$3:$AK$98,L$1,工数管理!$S$3:$S$98,"&lt;="&amp;$H219,工数管理!$T$3:$T$98,"&gt;="&amp;$H219)+COUNTIFS(工数管理!$AK$3:$AK$98,L$1,工数管理!$U$3:$U$98,"&lt;="&amp;$H219,工数管理!$V$3:$V$98,"&gt;="&amp;$H219)+COUNTIFS(工数管理!$AK$3:$AK$98,L$1,工数管理!$W$3:$W$98,"&lt;="&amp;$H219,工数管理!$X$3:$X$98,"&gt;="&amp;$H219)+COUNTIFS(工数管理!$AK$3:$AK$98,L$1,工数管理!$Y$3:$Y$98,"&lt;="&amp;$H219,工数管理!$Z$3:$Z$98,"&gt;="&amp;$H219)+COUNTIFS(工数管理!$AK$3:$AK$98,L$1,工数管理!$AA$3:$AA$98,"&lt;="&amp;$H219,工数管理!$AB$3:$AB$98,"&gt;="&amp;$H219)+COUNTIFS(工数管理!$AK$3:$AK$98,L$1,工数管理!$AC$3:$AC$98,"&lt;="&amp;$H219,工数管理!$AD$3:$AD$98,"&gt;="&amp;$H219)+COUNTIFS(工数管理!$AK$3:$AK$98,L$1,工数管理!$AE$3:$AE$98,"&lt;="&amp;$H219,工数管理!$AF$3:$AF$98,"&gt;="&amp;$H219)+COUNTIFS(工数管理!$AK$3:$AK$98,L$1,工数管理!$AG$3:$AG$98,"&lt;="&amp;$H219,工数管理!$AH$3:$AH$98,"&gt;="&amp;$H219)+(COUNTIFS(工数管理!$AK$3:$AK$98,L$1,工数管理!$K$3:$K$98,"&lt;="&amp;$H219,工数管理!$L$3:$L$98,"")+COUNTIFS(工数管理!$AK$3:$AK$98,L$1,工数管理!$M$3:$M$98,"&lt;="&amp;$H219,工数管理!$N$3:$N$98,"")+COUNTIFS(工数管理!$AK$3:$AK$98,L$1,工数管理!$O$3:$O$98,"&lt;="&amp;$H219,工数管理!$P$3:$P$98,"")+COUNTIFS(工数管理!$AK$3:$AK$98,L$1,工数管理!$Q$3:$Q$98,"&lt;="&amp;$H219,工数管理!$R$3:$R$98,"")+COUNTIFS(工数管理!$AK$3:$AK$98,L$1,工数管理!$S$3:$S$98,"&lt;="&amp;$H219,工数管理!$T$3:$T$98,"")+COUNTIFS(工数管理!$AK$3:$AK$98,L$1,工数管理!$U$3:$U$98,"&lt;="&amp;$H219,工数管理!$V$3:$V$98,"")+COUNTIFS(工数管理!$AK$3:$AK$98,L$1,工数管理!$W$3:$W$98,"&lt;="&amp;$H219,工数管理!$X$3:$X$98,"")+COUNTIFS(工数管理!$AK$3:$AK$98,L$1,工数管理!$Y$3:$Y$98,"&lt;="&amp;$H219,工数管理!$Z$3:$Z$98,"")+COUNTIFS(工数管理!$AK$3:$AK$98,L$1,工数管理!$AA$3:$AA$98,"&lt;="&amp;$H219,工数管理!$AB$3:$AB$98,"")+COUNTIFS(工数管理!$AK$3:$AK$98,L$1,工数管理!$AC$3:$AC$98,"&lt;="&amp;$H219,工数管理!$AD$3:$AD$98,"")+COUNTIFS(工数管理!$AK$3:$AK$98,L$1,工数管理!$AE$3:$AE$98,"&lt;="&amp;$H219,工数管理!$AF$3:$AF$98,"")+COUNTIFS(工数管理!$AK$3:$AK$98,L$1,工数管理!$AG$3:$AG$98,"&lt;="&amp;$H219,工数管理!$AH$3:$AH$98,""))*($H219&lt;=工数管理!$AI$1))</f>
        <v>0</v>
      </c>
    </row>
    <row r="220" spans="8:12" x14ac:dyDescent="0.15">
      <c r="H220" s="41">
        <f t="shared" si="7"/>
        <v>46388</v>
      </c>
      <c r="I220" s="42">
        <f t="shared" si="6"/>
        <v>0</v>
      </c>
      <c r="J220" s="42">
        <f ca="1">IF(J$1="",0,COUNTIFS(工数管理!$AK$3:$AK$98,J$1,工数管理!$K$3:$K$98,"&lt;="&amp;$H220,工数管理!$L$3:$L$98,"&gt;="&amp;$H220)+COUNTIFS(工数管理!$AK$3:$AK$98,J$1,工数管理!$M$3:$M$98,"&lt;="&amp;$H220,工数管理!$N$3:$N$98,"&gt;="&amp;$H220)+COUNTIFS(工数管理!$AK$3:$AK$98,J$1,工数管理!$O$3:$O$98,"&lt;="&amp;$H220,工数管理!$P$3:$P$98,"&gt;="&amp;$H220)+COUNTIFS(工数管理!$AK$3:$AK$98,J$1,工数管理!$Q$3:$Q$98,"&lt;="&amp;$H220,工数管理!$R$3:$R$98,"&gt;="&amp;$H220)+COUNTIFS(工数管理!$AK$3:$AK$98,J$1,工数管理!$S$3:$S$98,"&lt;="&amp;$H220,工数管理!$T$3:$T$98,"&gt;="&amp;$H220)+COUNTIFS(工数管理!$AK$3:$AK$98,J$1,工数管理!$U$3:$U$98,"&lt;="&amp;$H220,工数管理!$V$3:$V$98,"&gt;="&amp;$H220)+COUNTIFS(工数管理!$AK$3:$AK$98,J$1,工数管理!$W$3:$W$98,"&lt;="&amp;$H220,工数管理!$X$3:$X$98,"&gt;="&amp;$H220)+COUNTIFS(工数管理!$AK$3:$AK$98,J$1,工数管理!$Y$3:$Y$98,"&lt;="&amp;$H220,工数管理!$Z$3:$Z$98,"&gt;="&amp;$H220)+COUNTIFS(工数管理!$AK$3:$AK$98,J$1,工数管理!$AA$3:$AA$98,"&lt;="&amp;$H220,工数管理!$AB$3:$AB$98,"&gt;="&amp;$H220)+COUNTIFS(工数管理!$AK$3:$AK$98,J$1,工数管理!$AC$3:$AC$98,"&lt;="&amp;$H220,工数管理!$AD$3:$AD$98,"&gt;="&amp;$H220)+COUNTIFS(工数管理!$AK$3:$AK$98,J$1,工数管理!$AE$3:$AE$98,"&lt;="&amp;$H220,工数管理!$AF$3:$AF$98,"&gt;="&amp;$H220)+COUNTIFS(工数管理!$AK$3:$AK$98,J$1,工数管理!$AG$3:$AG$98,"&lt;="&amp;$H220,工数管理!$AH$3:$AH$98,"&gt;="&amp;$H220)+(COUNTIFS(工数管理!$AK$3:$AK$98,J$1,工数管理!$K$3:$K$98,"&lt;="&amp;$H220,工数管理!$L$3:$L$98,"")+COUNTIFS(工数管理!$AK$3:$AK$98,J$1,工数管理!$M$3:$M$98,"&lt;="&amp;$H220,工数管理!$N$3:$N$98,"")+COUNTIFS(工数管理!$AK$3:$AK$98,J$1,工数管理!$O$3:$O$98,"&lt;="&amp;$H220,工数管理!$P$3:$P$98,"")+COUNTIFS(工数管理!$AK$3:$AK$98,J$1,工数管理!$Q$3:$Q$98,"&lt;="&amp;$H220,工数管理!$R$3:$R$98,"")+COUNTIFS(工数管理!$AK$3:$AK$98,J$1,工数管理!$S$3:$S$98,"&lt;="&amp;$H220,工数管理!$T$3:$T$98,"")+COUNTIFS(工数管理!$AK$3:$AK$98,J$1,工数管理!$U$3:$U$98,"&lt;="&amp;$H220,工数管理!$V$3:$V$98,"")+COUNTIFS(工数管理!$AK$3:$AK$98,J$1,工数管理!$W$3:$W$98,"&lt;="&amp;$H220,工数管理!$X$3:$X$98,"")+COUNTIFS(工数管理!$AK$3:$AK$98,J$1,工数管理!$Y$3:$Y$98,"&lt;="&amp;$H220,工数管理!$Z$3:$Z$98,"")+COUNTIFS(工数管理!$AK$3:$AK$98,J$1,工数管理!$AA$3:$AA$98,"&lt;="&amp;$H220,工数管理!$AB$3:$AB$98,"")+COUNTIFS(工数管理!$AK$3:$AK$98,J$1,工数管理!$AC$3:$AC$98,"&lt;="&amp;$H220,工数管理!$AD$3:$AD$98,"")+COUNTIFS(工数管理!$AK$3:$AK$98,J$1,工数管理!$AE$3:$AE$98,"&lt;="&amp;$H220,工数管理!$AF$3:$AF$98,"")+COUNTIFS(工数管理!$AK$3:$AK$98,J$1,工数管理!$AG$3:$AG$98,"&lt;="&amp;$H220,工数管理!$AH$3:$AH$98,""))*($H220&lt;=工数管理!$AI$1))</f>
        <v>0</v>
      </c>
      <c r="K220" s="42">
        <f ca="1">IF(K$1="",0,COUNTIFS(工数管理!$AK$3:$AK$98,K$1,工数管理!$K$3:$K$98,"&lt;="&amp;$H220,工数管理!$L$3:$L$98,"&gt;="&amp;$H220)+COUNTIFS(工数管理!$AK$3:$AK$98,K$1,工数管理!$M$3:$M$98,"&lt;="&amp;$H220,工数管理!$N$3:$N$98,"&gt;="&amp;$H220)+COUNTIFS(工数管理!$AK$3:$AK$98,K$1,工数管理!$O$3:$O$98,"&lt;="&amp;$H220,工数管理!$P$3:$P$98,"&gt;="&amp;$H220)+COUNTIFS(工数管理!$AK$3:$AK$98,K$1,工数管理!$Q$3:$Q$98,"&lt;="&amp;$H220,工数管理!$R$3:$R$98,"&gt;="&amp;$H220)+COUNTIFS(工数管理!$AK$3:$AK$98,K$1,工数管理!$S$3:$S$98,"&lt;="&amp;$H220,工数管理!$T$3:$T$98,"&gt;="&amp;$H220)+COUNTIFS(工数管理!$AK$3:$AK$98,K$1,工数管理!$U$3:$U$98,"&lt;="&amp;$H220,工数管理!$V$3:$V$98,"&gt;="&amp;$H220)+COUNTIFS(工数管理!$AK$3:$AK$98,K$1,工数管理!$W$3:$W$98,"&lt;="&amp;$H220,工数管理!$X$3:$X$98,"&gt;="&amp;$H220)+COUNTIFS(工数管理!$AK$3:$AK$98,K$1,工数管理!$Y$3:$Y$98,"&lt;="&amp;$H220,工数管理!$Z$3:$Z$98,"&gt;="&amp;$H220)+COUNTIFS(工数管理!$AK$3:$AK$98,K$1,工数管理!$AA$3:$AA$98,"&lt;="&amp;$H220,工数管理!$AB$3:$AB$98,"&gt;="&amp;$H220)+COUNTIFS(工数管理!$AK$3:$AK$98,K$1,工数管理!$AC$3:$AC$98,"&lt;="&amp;$H220,工数管理!$AD$3:$AD$98,"&gt;="&amp;$H220)+COUNTIFS(工数管理!$AK$3:$AK$98,K$1,工数管理!$AE$3:$AE$98,"&lt;="&amp;$H220,工数管理!$AF$3:$AF$98,"&gt;="&amp;$H220)+COUNTIFS(工数管理!$AK$3:$AK$98,K$1,工数管理!$AG$3:$AG$98,"&lt;="&amp;$H220,工数管理!$AH$3:$AH$98,"&gt;="&amp;$H220)+(COUNTIFS(工数管理!$AK$3:$AK$98,K$1,工数管理!$K$3:$K$98,"&lt;="&amp;$H220,工数管理!$L$3:$L$98,"")+COUNTIFS(工数管理!$AK$3:$AK$98,K$1,工数管理!$M$3:$M$98,"&lt;="&amp;$H220,工数管理!$N$3:$N$98,"")+COUNTIFS(工数管理!$AK$3:$AK$98,K$1,工数管理!$O$3:$O$98,"&lt;="&amp;$H220,工数管理!$P$3:$P$98,"")+COUNTIFS(工数管理!$AK$3:$AK$98,K$1,工数管理!$Q$3:$Q$98,"&lt;="&amp;$H220,工数管理!$R$3:$R$98,"")+COUNTIFS(工数管理!$AK$3:$AK$98,K$1,工数管理!$S$3:$S$98,"&lt;="&amp;$H220,工数管理!$T$3:$T$98,"")+COUNTIFS(工数管理!$AK$3:$AK$98,K$1,工数管理!$U$3:$U$98,"&lt;="&amp;$H220,工数管理!$V$3:$V$98,"")+COUNTIFS(工数管理!$AK$3:$AK$98,K$1,工数管理!$W$3:$W$98,"&lt;="&amp;$H220,工数管理!$X$3:$X$98,"")+COUNTIFS(工数管理!$AK$3:$AK$98,K$1,工数管理!$Y$3:$Y$98,"&lt;="&amp;$H220,工数管理!$Z$3:$Z$98,"")+COUNTIFS(工数管理!$AK$3:$AK$98,K$1,工数管理!$AA$3:$AA$98,"&lt;="&amp;$H220,工数管理!$AB$3:$AB$98,"")+COUNTIFS(工数管理!$AK$3:$AK$98,K$1,工数管理!$AC$3:$AC$98,"&lt;="&amp;$H220,工数管理!$AD$3:$AD$98,"")+COUNTIFS(工数管理!$AK$3:$AK$98,K$1,工数管理!$AE$3:$AE$98,"&lt;="&amp;$H220,工数管理!$AF$3:$AF$98,"")+COUNTIFS(工数管理!$AK$3:$AK$98,K$1,工数管理!$AG$3:$AG$98,"&lt;="&amp;$H220,工数管理!$AH$3:$AH$98,""))*($H220&lt;=工数管理!$AI$1))</f>
        <v>0</v>
      </c>
      <c r="L220" s="42">
        <f ca="1">IF(L$1="",0,COUNTIFS(工数管理!$AK$3:$AK$98,L$1,工数管理!$K$3:$K$98,"&lt;="&amp;$H220,工数管理!$L$3:$L$98,"&gt;="&amp;$H220)+COUNTIFS(工数管理!$AK$3:$AK$98,L$1,工数管理!$M$3:$M$98,"&lt;="&amp;$H220,工数管理!$N$3:$N$98,"&gt;="&amp;$H220)+COUNTIFS(工数管理!$AK$3:$AK$98,L$1,工数管理!$O$3:$O$98,"&lt;="&amp;$H220,工数管理!$P$3:$P$98,"&gt;="&amp;$H220)+COUNTIFS(工数管理!$AK$3:$AK$98,L$1,工数管理!$Q$3:$Q$98,"&lt;="&amp;$H220,工数管理!$R$3:$R$98,"&gt;="&amp;$H220)+COUNTIFS(工数管理!$AK$3:$AK$98,L$1,工数管理!$S$3:$S$98,"&lt;="&amp;$H220,工数管理!$T$3:$T$98,"&gt;="&amp;$H220)+COUNTIFS(工数管理!$AK$3:$AK$98,L$1,工数管理!$U$3:$U$98,"&lt;="&amp;$H220,工数管理!$V$3:$V$98,"&gt;="&amp;$H220)+COUNTIFS(工数管理!$AK$3:$AK$98,L$1,工数管理!$W$3:$W$98,"&lt;="&amp;$H220,工数管理!$X$3:$X$98,"&gt;="&amp;$H220)+COUNTIFS(工数管理!$AK$3:$AK$98,L$1,工数管理!$Y$3:$Y$98,"&lt;="&amp;$H220,工数管理!$Z$3:$Z$98,"&gt;="&amp;$H220)+COUNTIFS(工数管理!$AK$3:$AK$98,L$1,工数管理!$AA$3:$AA$98,"&lt;="&amp;$H220,工数管理!$AB$3:$AB$98,"&gt;="&amp;$H220)+COUNTIFS(工数管理!$AK$3:$AK$98,L$1,工数管理!$AC$3:$AC$98,"&lt;="&amp;$H220,工数管理!$AD$3:$AD$98,"&gt;="&amp;$H220)+COUNTIFS(工数管理!$AK$3:$AK$98,L$1,工数管理!$AE$3:$AE$98,"&lt;="&amp;$H220,工数管理!$AF$3:$AF$98,"&gt;="&amp;$H220)+COUNTIFS(工数管理!$AK$3:$AK$98,L$1,工数管理!$AG$3:$AG$98,"&lt;="&amp;$H220,工数管理!$AH$3:$AH$98,"&gt;="&amp;$H220)+(COUNTIFS(工数管理!$AK$3:$AK$98,L$1,工数管理!$K$3:$K$98,"&lt;="&amp;$H220,工数管理!$L$3:$L$98,"")+COUNTIFS(工数管理!$AK$3:$AK$98,L$1,工数管理!$M$3:$M$98,"&lt;="&amp;$H220,工数管理!$N$3:$N$98,"")+COUNTIFS(工数管理!$AK$3:$AK$98,L$1,工数管理!$O$3:$O$98,"&lt;="&amp;$H220,工数管理!$P$3:$P$98,"")+COUNTIFS(工数管理!$AK$3:$AK$98,L$1,工数管理!$Q$3:$Q$98,"&lt;="&amp;$H220,工数管理!$R$3:$R$98,"")+COUNTIFS(工数管理!$AK$3:$AK$98,L$1,工数管理!$S$3:$S$98,"&lt;="&amp;$H220,工数管理!$T$3:$T$98,"")+COUNTIFS(工数管理!$AK$3:$AK$98,L$1,工数管理!$U$3:$U$98,"&lt;="&amp;$H220,工数管理!$V$3:$V$98,"")+COUNTIFS(工数管理!$AK$3:$AK$98,L$1,工数管理!$W$3:$W$98,"&lt;="&amp;$H220,工数管理!$X$3:$X$98,"")+COUNTIFS(工数管理!$AK$3:$AK$98,L$1,工数管理!$Y$3:$Y$98,"&lt;="&amp;$H220,工数管理!$Z$3:$Z$98,"")+COUNTIFS(工数管理!$AK$3:$AK$98,L$1,工数管理!$AA$3:$AA$98,"&lt;="&amp;$H220,工数管理!$AB$3:$AB$98,"")+COUNTIFS(工数管理!$AK$3:$AK$98,L$1,工数管理!$AC$3:$AC$98,"&lt;="&amp;$H220,工数管理!$AD$3:$AD$98,"")+COUNTIFS(工数管理!$AK$3:$AK$98,L$1,工数管理!$AE$3:$AE$98,"&lt;="&amp;$H220,工数管理!$AF$3:$AF$98,"")+COUNTIFS(工数管理!$AK$3:$AK$98,L$1,工数管理!$AG$3:$AG$98,"&lt;="&amp;$H220,工数管理!$AH$3:$AH$98,""))*($H220&lt;=工数管理!$AI$1))</f>
        <v>0</v>
      </c>
    </row>
    <row r="221" spans="8:12" x14ac:dyDescent="0.15">
      <c r="H221" s="41">
        <f t="shared" si="7"/>
        <v>46389</v>
      </c>
      <c r="I221" s="42">
        <f t="shared" si="6"/>
        <v>0</v>
      </c>
      <c r="J221" s="42">
        <f ca="1">IF(J$1="",0,COUNTIFS(工数管理!$AK$3:$AK$98,J$1,工数管理!$K$3:$K$98,"&lt;="&amp;$H221,工数管理!$L$3:$L$98,"&gt;="&amp;$H221)+COUNTIFS(工数管理!$AK$3:$AK$98,J$1,工数管理!$M$3:$M$98,"&lt;="&amp;$H221,工数管理!$N$3:$N$98,"&gt;="&amp;$H221)+COUNTIFS(工数管理!$AK$3:$AK$98,J$1,工数管理!$O$3:$O$98,"&lt;="&amp;$H221,工数管理!$P$3:$P$98,"&gt;="&amp;$H221)+COUNTIFS(工数管理!$AK$3:$AK$98,J$1,工数管理!$Q$3:$Q$98,"&lt;="&amp;$H221,工数管理!$R$3:$R$98,"&gt;="&amp;$H221)+COUNTIFS(工数管理!$AK$3:$AK$98,J$1,工数管理!$S$3:$S$98,"&lt;="&amp;$H221,工数管理!$T$3:$T$98,"&gt;="&amp;$H221)+COUNTIFS(工数管理!$AK$3:$AK$98,J$1,工数管理!$U$3:$U$98,"&lt;="&amp;$H221,工数管理!$V$3:$V$98,"&gt;="&amp;$H221)+COUNTIFS(工数管理!$AK$3:$AK$98,J$1,工数管理!$W$3:$W$98,"&lt;="&amp;$H221,工数管理!$X$3:$X$98,"&gt;="&amp;$H221)+COUNTIFS(工数管理!$AK$3:$AK$98,J$1,工数管理!$Y$3:$Y$98,"&lt;="&amp;$H221,工数管理!$Z$3:$Z$98,"&gt;="&amp;$H221)+COUNTIFS(工数管理!$AK$3:$AK$98,J$1,工数管理!$AA$3:$AA$98,"&lt;="&amp;$H221,工数管理!$AB$3:$AB$98,"&gt;="&amp;$H221)+COUNTIFS(工数管理!$AK$3:$AK$98,J$1,工数管理!$AC$3:$AC$98,"&lt;="&amp;$H221,工数管理!$AD$3:$AD$98,"&gt;="&amp;$H221)+COUNTIFS(工数管理!$AK$3:$AK$98,J$1,工数管理!$AE$3:$AE$98,"&lt;="&amp;$H221,工数管理!$AF$3:$AF$98,"&gt;="&amp;$H221)+COUNTIFS(工数管理!$AK$3:$AK$98,J$1,工数管理!$AG$3:$AG$98,"&lt;="&amp;$H221,工数管理!$AH$3:$AH$98,"&gt;="&amp;$H221)+(COUNTIFS(工数管理!$AK$3:$AK$98,J$1,工数管理!$K$3:$K$98,"&lt;="&amp;$H221,工数管理!$L$3:$L$98,"")+COUNTIFS(工数管理!$AK$3:$AK$98,J$1,工数管理!$M$3:$M$98,"&lt;="&amp;$H221,工数管理!$N$3:$N$98,"")+COUNTIFS(工数管理!$AK$3:$AK$98,J$1,工数管理!$O$3:$O$98,"&lt;="&amp;$H221,工数管理!$P$3:$P$98,"")+COUNTIFS(工数管理!$AK$3:$AK$98,J$1,工数管理!$Q$3:$Q$98,"&lt;="&amp;$H221,工数管理!$R$3:$R$98,"")+COUNTIFS(工数管理!$AK$3:$AK$98,J$1,工数管理!$S$3:$S$98,"&lt;="&amp;$H221,工数管理!$T$3:$T$98,"")+COUNTIFS(工数管理!$AK$3:$AK$98,J$1,工数管理!$U$3:$U$98,"&lt;="&amp;$H221,工数管理!$V$3:$V$98,"")+COUNTIFS(工数管理!$AK$3:$AK$98,J$1,工数管理!$W$3:$W$98,"&lt;="&amp;$H221,工数管理!$X$3:$X$98,"")+COUNTIFS(工数管理!$AK$3:$AK$98,J$1,工数管理!$Y$3:$Y$98,"&lt;="&amp;$H221,工数管理!$Z$3:$Z$98,"")+COUNTIFS(工数管理!$AK$3:$AK$98,J$1,工数管理!$AA$3:$AA$98,"&lt;="&amp;$H221,工数管理!$AB$3:$AB$98,"")+COUNTIFS(工数管理!$AK$3:$AK$98,J$1,工数管理!$AC$3:$AC$98,"&lt;="&amp;$H221,工数管理!$AD$3:$AD$98,"")+COUNTIFS(工数管理!$AK$3:$AK$98,J$1,工数管理!$AE$3:$AE$98,"&lt;="&amp;$H221,工数管理!$AF$3:$AF$98,"")+COUNTIFS(工数管理!$AK$3:$AK$98,J$1,工数管理!$AG$3:$AG$98,"&lt;="&amp;$H221,工数管理!$AH$3:$AH$98,""))*($H221&lt;=工数管理!$AI$1))</f>
        <v>0</v>
      </c>
      <c r="K221" s="42">
        <f ca="1">IF(K$1="",0,COUNTIFS(工数管理!$AK$3:$AK$98,K$1,工数管理!$K$3:$K$98,"&lt;="&amp;$H221,工数管理!$L$3:$L$98,"&gt;="&amp;$H221)+COUNTIFS(工数管理!$AK$3:$AK$98,K$1,工数管理!$M$3:$M$98,"&lt;="&amp;$H221,工数管理!$N$3:$N$98,"&gt;="&amp;$H221)+COUNTIFS(工数管理!$AK$3:$AK$98,K$1,工数管理!$O$3:$O$98,"&lt;="&amp;$H221,工数管理!$P$3:$P$98,"&gt;="&amp;$H221)+COUNTIFS(工数管理!$AK$3:$AK$98,K$1,工数管理!$Q$3:$Q$98,"&lt;="&amp;$H221,工数管理!$R$3:$R$98,"&gt;="&amp;$H221)+COUNTIFS(工数管理!$AK$3:$AK$98,K$1,工数管理!$S$3:$S$98,"&lt;="&amp;$H221,工数管理!$T$3:$T$98,"&gt;="&amp;$H221)+COUNTIFS(工数管理!$AK$3:$AK$98,K$1,工数管理!$U$3:$U$98,"&lt;="&amp;$H221,工数管理!$V$3:$V$98,"&gt;="&amp;$H221)+COUNTIFS(工数管理!$AK$3:$AK$98,K$1,工数管理!$W$3:$W$98,"&lt;="&amp;$H221,工数管理!$X$3:$X$98,"&gt;="&amp;$H221)+COUNTIFS(工数管理!$AK$3:$AK$98,K$1,工数管理!$Y$3:$Y$98,"&lt;="&amp;$H221,工数管理!$Z$3:$Z$98,"&gt;="&amp;$H221)+COUNTIFS(工数管理!$AK$3:$AK$98,K$1,工数管理!$AA$3:$AA$98,"&lt;="&amp;$H221,工数管理!$AB$3:$AB$98,"&gt;="&amp;$H221)+COUNTIFS(工数管理!$AK$3:$AK$98,K$1,工数管理!$AC$3:$AC$98,"&lt;="&amp;$H221,工数管理!$AD$3:$AD$98,"&gt;="&amp;$H221)+COUNTIFS(工数管理!$AK$3:$AK$98,K$1,工数管理!$AE$3:$AE$98,"&lt;="&amp;$H221,工数管理!$AF$3:$AF$98,"&gt;="&amp;$H221)+COUNTIFS(工数管理!$AK$3:$AK$98,K$1,工数管理!$AG$3:$AG$98,"&lt;="&amp;$H221,工数管理!$AH$3:$AH$98,"&gt;="&amp;$H221)+(COUNTIFS(工数管理!$AK$3:$AK$98,K$1,工数管理!$K$3:$K$98,"&lt;="&amp;$H221,工数管理!$L$3:$L$98,"")+COUNTIFS(工数管理!$AK$3:$AK$98,K$1,工数管理!$M$3:$M$98,"&lt;="&amp;$H221,工数管理!$N$3:$N$98,"")+COUNTIFS(工数管理!$AK$3:$AK$98,K$1,工数管理!$O$3:$O$98,"&lt;="&amp;$H221,工数管理!$P$3:$P$98,"")+COUNTIFS(工数管理!$AK$3:$AK$98,K$1,工数管理!$Q$3:$Q$98,"&lt;="&amp;$H221,工数管理!$R$3:$R$98,"")+COUNTIFS(工数管理!$AK$3:$AK$98,K$1,工数管理!$S$3:$S$98,"&lt;="&amp;$H221,工数管理!$T$3:$T$98,"")+COUNTIFS(工数管理!$AK$3:$AK$98,K$1,工数管理!$U$3:$U$98,"&lt;="&amp;$H221,工数管理!$V$3:$V$98,"")+COUNTIFS(工数管理!$AK$3:$AK$98,K$1,工数管理!$W$3:$W$98,"&lt;="&amp;$H221,工数管理!$X$3:$X$98,"")+COUNTIFS(工数管理!$AK$3:$AK$98,K$1,工数管理!$Y$3:$Y$98,"&lt;="&amp;$H221,工数管理!$Z$3:$Z$98,"")+COUNTIFS(工数管理!$AK$3:$AK$98,K$1,工数管理!$AA$3:$AA$98,"&lt;="&amp;$H221,工数管理!$AB$3:$AB$98,"")+COUNTIFS(工数管理!$AK$3:$AK$98,K$1,工数管理!$AC$3:$AC$98,"&lt;="&amp;$H221,工数管理!$AD$3:$AD$98,"")+COUNTIFS(工数管理!$AK$3:$AK$98,K$1,工数管理!$AE$3:$AE$98,"&lt;="&amp;$H221,工数管理!$AF$3:$AF$98,"")+COUNTIFS(工数管理!$AK$3:$AK$98,K$1,工数管理!$AG$3:$AG$98,"&lt;="&amp;$H221,工数管理!$AH$3:$AH$98,""))*($H221&lt;=工数管理!$AI$1))</f>
        <v>0</v>
      </c>
      <c r="L221" s="42">
        <f ca="1">IF(L$1="",0,COUNTIFS(工数管理!$AK$3:$AK$98,L$1,工数管理!$K$3:$K$98,"&lt;="&amp;$H221,工数管理!$L$3:$L$98,"&gt;="&amp;$H221)+COUNTIFS(工数管理!$AK$3:$AK$98,L$1,工数管理!$M$3:$M$98,"&lt;="&amp;$H221,工数管理!$N$3:$N$98,"&gt;="&amp;$H221)+COUNTIFS(工数管理!$AK$3:$AK$98,L$1,工数管理!$O$3:$O$98,"&lt;="&amp;$H221,工数管理!$P$3:$P$98,"&gt;="&amp;$H221)+COUNTIFS(工数管理!$AK$3:$AK$98,L$1,工数管理!$Q$3:$Q$98,"&lt;="&amp;$H221,工数管理!$R$3:$R$98,"&gt;="&amp;$H221)+COUNTIFS(工数管理!$AK$3:$AK$98,L$1,工数管理!$S$3:$S$98,"&lt;="&amp;$H221,工数管理!$T$3:$T$98,"&gt;="&amp;$H221)+COUNTIFS(工数管理!$AK$3:$AK$98,L$1,工数管理!$U$3:$U$98,"&lt;="&amp;$H221,工数管理!$V$3:$V$98,"&gt;="&amp;$H221)+COUNTIFS(工数管理!$AK$3:$AK$98,L$1,工数管理!$W$3:$W$98,"&lt;="&amp;$H221,工数管理!$X$3:$X$98,"&gt;="&amp;$H221)+COUNTIFS(工数管理!$AK$3:$AK$98,L$1,工数管理!$Y$3:$Y$98,"&lt;="&amp;$H221,工数管理!$Z$3:$Z$98,"&gt;="&amp;$H221)+COUNTIFS(工数管理!$AK$3:$AK$98,L$1,工数管理!$AA$3:$AA$98,"&lt;="&amp;$H221,工数管理!$AB$3:$AB$98,"&gt;="&amp;$H221)+COUNTIFS(工数管理!$AK$3:$AK$98,L$1,工数管理!$AC$3:$AC$98,"&lt;="&amp;$H221,工数管理!$AD$3:$AD$98,"&gt;="&amp;$H221)+COUNTIFS(工数管理!$AK$3:$AK$98,L$1,工数管理!$AE$3:$AE$98,"&lt;="&amp;$H221,工数管理!$AF$3:$AF$98,"&gt;="&amp;$H221)+COUNTIFS(工数管理!$AK$3:$AK$98,L$1,工数管理!$AG$3:$AG$98,"&lt;="&amp;$H221,工数管理!$AH$3:$AH$98,"&gt;="&amp;$H221)+(COUNTIFS(工数管理!$AK$3:$AK$98,L$1,工数管理!$K$3:$K$98,"&lt;="&amp;$H221,工数管理!$L$3:$L$98,"")+COUNTIFS(工数管理!$AK$3:$AK$98,L$1,工数管理!$M$3:$M$98,"&lt;="&amp;$H221,工数管理!$N$3:$N$98,"")+COUNTIFS(工数管理!$AK$3:$AK$98,L$1,工数管理!$O$3:$O$98,"&lt;="&amp;$H221,工数管理!$P$3:$P$98,"")+COUNTIFS(工数管理!$AK$3:$AK$98,L$1,工数管理!$Q$3:$Q$98,"&lt;="&amp;$H221,工数管理!$R$3:$R$98,"")+COUNTIFS(工数管理!$AK$3:$AK$98,L$1,工数管理!$S$3:$S$98,"&lt;="&amp;$H221,工数管理!$T$3:$T$98,"")+COUNTIFS(工数管理!$AK$3:$AK$98,L$1,工数管理!$U$3:$U$98,"&lt;="&amp;$H221,工数管理!$V$3:$V$98,"")+COUNTIFS(工数管理!$AK$3:$AK$98,L$1,工数管理!$W$3:$W$98,"&lt;="&amp;$H221,工数管理!$X$3:$X$98,"")+COUNTIFS(工数管理!$AK$3:$AK$98,L$1,工数管理!$Y$3:$Y$98,"&lt;="&amp;$H221,工数管理!$Z$3:$Z$98,"")+COUNTIFS(工数管理!$AK$3:$AK$98,L$1,工数管理!$AA$3:$AA$98,"&lt;="&amp;$H221,工数管理!$AB$3:$AB$98,"")+COUNTIFS(工数管理!$AK$3:$AK$98,L$1,工数管理!$AC$3:$AC$98,"&lt;="&amp;$H221,工数管理!$AD$3:$AD$98,"")+COUNTIFS(工数管理!$AK$3:$AK$98,L$1,工数管理!$AE$3:$AE$98,"&lt;="&amp;$H221,工数管理!$AF$3:$AF$98,"")+COUNTIFS(工数管理!$AK$3:$AK$98,L$1,工数管理!$AG$3:$AG$98,"&lt;="&amp;$H221,工数管理!$AH$3:$AH$98,""))*($H221&lt;=工数管理!$AI$1))</f>
        <v>0</v>
      </c>
    </row>
    <row r="222" spans="8:12" x14ac:dyDescent="0.15">
      <c r="H222" s="41">
        <f t="shared" si="7"/>
        <v>46390</v>
      </c>
      <c r="I222" s="42">
        <f t="shared" si="6"/>
        <v>0</v>
      </c>
      <c r="J222" s="42">
        <f ca="1">IF(J$1="",0,COUNTIFS(工数管理!$AK$3:$AK$98,J$1,工数管理!$K$3:$K$98,"&lt;="&amp;$H222,工数管理!$L$3:$L$98,"&gt;="&amp;$H222)+COUNTIFS(工数管理!$AK$3:$AK$98,J$1,工数管理!$M$3:$M$98,"&lt;="&amp;$H222,工数管理!$N$3:$N$98,"&gt;="&amp;$H222)+COUNTIFS(工数管理!$AK$3:$AK$98,J$1,工数管理!$O$3:$O$98,"&lt;="&amp;$H222,工数管理!$P$3:$P$98,"&gt;="&amp;$H222)+COUNTIFS(工数管理!$AK$3:$AK$98,J$1,工数管理!$Q$3:$Q$98,"&lt;="&amp;$H222,工数管理!$R$3:$R$98,"&gt;="&amp;$H222)+COUNTIFS(工数管理!$AK$3:$AK$98,J$1,工数管理!$S$3:$S$98,"&lt;="&amp;$H222,工数管理!$T$3:$T$98,"&gt;="&amp;$H222)+COUNTIFS(工数管理!$AK$3:$AK$98,J$1,工数管理!$U$3:$U$98,"&lt;="&amp;$H222,工数管理!$V$3:$V$98,"&gt;="&amp;$H222)+COUNTIFS(工数管理!$AK$3:$AK$98,J$1,工数管理!$W$3:$W$98,"&lt;="&amp;$H222,工数管理!$X$3:$X$98,"&gt;="&amp;$H222)+COUNTIFS(工数管理!$AK$3:$AK$98,J$1,工数管理!$Y$3:$Y$98,"&lt;="&amp;$H222,工数管理!$Z$3:$Z$98,"&gt;="&amp;$H222)+COUNTIFS(工数管理!$AK$3:$AK$98,J$1,工数管理!$AA$3:$AA$98,"&lt;="&amp;$H222,工数管理!$AB$3:$AB$98,"&gt;="&amp;$H222)+COUNTIFS(工数管理!$AK$3:$AK$98,J$1,工数管理!$AC$3:$AC$98,"&lt;="&amp;$H222,工数管理!$AD$3:$AD$98,"&gt;="&amp;$H222)+COUNTIFS(工数管理!$AK$3:$AK$98,J$1,工数管理!$AE$3:$AE$98,"&lt;="&amp;$H222,工数管理!$AF$3:$AF$98,"&gt;="&amp;$H222)+COUNTIFS(工数管理!$AK$3:$AK$98,J$1,工数管理!$AG$3:$AG$98,"&lt;="&amp;$H222,工数管理!$AH$3:$AH$98,"&gt;="&amp;$H222)+(COUNTIFS(工数管理!$AK$3:$AK$98,J$1,工数管理!$K$3:$K$98,"&lt;="&amp;$H222,工数管理!$L$3:$L$98,"")+COUNTIFS(工数管理!$AK$3:$AK$98,J$1,工数管理!$M$3:$M$98,"&lt;="&amp;$H222,工数管理!$N$3:$N$98,"")+COUNTIFS(工数管理!$AK$3:$AK$98,J$1,工数管理!$O$3:$O$98,"&lt;="&amp;$H222,工数管理!$P$3:$P$98,"")+COUNTIFS(工数管理!$AK$3:$AK$98,J$1,工数管理!$Q$3:$Q$98,"&lt;="&amp;$H222,工数管理!$R$3:$R$98,"")+COUNTIFS(工数管理!$AK$3:$AK$98,J$1,工数管理!$S$3:$S$98,"&lt;="&amp;$H222,工数管理!$T$3:$T$98,"")+COUNTIFS(工数管理!$AK$3:$AK$98,J$1,工数管理!$U$3:$U$98,"&lt;="&amp;$H222,工数管理!$V$3:$V$98,"")+COUNTIFS(工数管理!$AK$3:$AK$98,J$1,工数管理!$W$3:$W$98,"&lt;="&amp;$H222,工数管理!$X$3:$X$98,"")+COUNTIFS(工数管理!$AK$3:$AK$98,J$1,工数管理!$Y$3:$Y$98,"&lt;="&amp;$H222,工数管理!$Z$3:$Z$98,"")+COUNTIFS(工数管理!$AK$3:$AK$98,J$1,工数管理!$AA$3:$AA$98,"&lt;="&amp;$H222,工数管理!$AB$3:$AB$98,"")+COUNTIFS(工数管理!$AK$3:$AK$98,J$1,工数管理!$AC$3:$AC$98,"&lt;="&amp;$H222,工数管理!$AD$3:$AD$98,"")+COUNTIFS(工数管理!$AK$3:$AK$98,J$1,工数管理!$AE$3:$AE$98,"&lt;="&amp;$H222,工数管理!$AF$3:$AF$98,"")+COUNTIFS(工数管理!$AK$3:$AK$98,J$1,工数管理!$AG$3:$AG$98,"&lt;="&amp;$H222,工数管理!$AH$3:$AH$98,""))*($H222&lt;=工数管理!$AI$1))</f>
        <v>0</v>
      </c>
      <c r="K222" s="42">
        <f ca="1">IF(K$1="",0,COUNTIFS(工数管理!$AK$3:$AK$98,K$1,工数管理!$K$3:$K$98,"&lt;="&amp;$H222,工数管理!$L$3:$L$98,"&gt;="&amp;$H222)+COUNTIFS(工数管理!$AK$3:$AK$98,K$1,工数管理!$M$3:$M$98,"&lt;="&amp;$H222,工数管理!$N$3:$N$98,"&gt;="&amp;$H222)+COUNTIFS(工数管理!$AK$3:$AK$98,K$1,工数管理!$O$3:$O$98,"&lt;="&amp;$H222,工数管理!$P$3:$P$98,"&gt;="&amp;$H222)+COUNTIFS(工数管理!$AK$3:$AK$98,K$1,工数管理!$Q$3:$Q$98,"&lt;="&amp;$H222,工数管理!$R$3:$R$98,"&gt;="&amp;$H222)+COUNTIFS(工数管理!$AK$3:$AK$98,K$1,工数管理!$S$3:$S$98,"&lt;="&amp;$H222,工数管理!$T$3:$T$98,"&gt;="&amp;$H222)+COUNTIFS(工数管理!$AK$3:$AK$98,K$1,工数管理!$U$3:$U$98,"&lt;="&amp;$H222,工数管理!$V$3:$V$98,"&gt;="&amp;$H222)+COUNTIFS(工数管理!$AK$3:$AK$98,K$1,工数管理!$W$3:$W$98,"&lt;="&amp;$H222,工数管理!$X$3:$X$98,"&gt;="&amp;$H222)+COUNTIFS(工数管理!$AK$3:$AK$98,K$1,工数管理!$Y$3:$Y$98,"&lt;="&amp;$H222,工数管理!$Z$3:$Z$98,"&gt;="&amp;$H222)+COUNTIFS(工数管理!$AK$3:$AK$98,K$1,工数管理!$AA$3:$AA$98,"&lt;="&amp;$H222,工数管理!$AB$3:$AB$98,"&gt;="&amp;$H222)+COUNTIFS(工数管理!$AK$3:$AK$98,K$1,工数管理!$AC$3:$AC$98,"&lt;="&amp;$H222,工数管理!$AD$3:$AD$98,"&gt;="&amp;$H222)+COUNTIFS(工数管理!$AK$3:$AK$98,K$1,工数管理!$AE$3:$AE$98,"&lt;="&amp;$H222,工数管理!$AF$3:$AF$98,"&gt;="&amp;$H222)+COUNTIFS(工数管理!$AK$3:$AK$98,K$1,工数管理!$AG$3:$AG$98,"&lt;="&amp;$H222,工数管理!$AH$3:$AH$98,"&gt;="&amp;$H222)+(COUNTIFS(工数管理!$AK$3:$AK$98,K$1,工数管理!$K$3:$K$98,"&lt;="&amp;$H222,工数管理!$L$3:$L$98,"")+COUNTIFS(工数管理!$AK$3:$AK$98,K$1,工数管理!$M$3:$M$98,"&lt;="&amp;$H222,工数管理!$N$3:$N$98,"")+COUNTIFS(工数管理!$AK$3:$AK$98,K$1,工数管理!$O$3:$O$98,"&lt;="&amp;$H222,工数管理!$P$3:$P$98,"")+COUNTIFS(工数管理!$AK$3:$AK$98,K$1,工数管理!$Q$3:$Q$98,"&lt;="&amp;$H222,工数管理!$R$3:$R$98,"")+COUNTIFS(工数管理!$AK$3:$AK$98,K$1,工数管理!$S$3:$S$98,"&lt;="&amp;$H222,工数管理!$T$3:$T$98,"")+COUNTIFS(工数管理!$AK$3:$AK$98,K$1,工数管理!$U$3:$U$98,"&lt;="&amp;$H222,工数管理!$V$3:$V$98,"")+COUNTIFS(工数管理!$AK$3:$AK$98,K$1,工数管理!$W$3:$W$98,"&lt;="&amp;$H222,工数管理!$X$3:$X$98,"")+COUNTIFS(工数管理!$AK$3:$AK$98,K$1,工数管理!$Y$3:$Y$98,"&lt;="&amp;$H222,工数管理!$Z$3:$Z$98,"")+COUNTIFS(工数管理!$AK$3:$AK$98,K$1,工数管理!$AA$3:$AA$98,"&lt;="&amp;$H222,工数管理!$AB$3:$AB$98,"")+COUNTIFS(工数管理!$AK$3:$AK$98,K$1,工数管理!$AC$3:$AC$98,"&lt;="&amp;$H222,工数管理!$AD$3:$AD$98,"")+COUNTIFS(工数管理!$AK$3:$AK$98,K$1,工数管理!$AE$3:$AE$98,"&lt;="&amp;$H222,工数管理!$AF$3:$AF$98,"")+COUNTIFS(工数管理!$AK$3:$AK$98,K$1,工数管理!$AG$3:$AG$98,"&lt;="&amp;$H222,工数管理!$AH$3:$AH$98,""))*($H222&lt;=工数管理!$AI$1))</f>
        <v>0</v>
      </c>
      <c r="L222" s="42">
        <f ca="1">IF(L$1="",0,COUNTIFS(工数管理!$AK$3:$AK$98,L$1,工数管理!$K$3:$K$98,"&lt;="&amp;$H222,工数管理!$L$3:$L$98,"&gt;="&amp;$H222)+COUNTIFS(工数管理!$AK$3:$AK$98,L$1,工数管理!$M$3:$M$98,"&lt;="&amp;$H222,工数管理!$N$3:$N$98,"&gt;="&amp;$H222)+COUNTIFS(工数管理!$AK$3:$AK$98,L$1,工数管理!$O$3:$O$98,"&lt;="&amp;$H222,工数管理!$P$3:$P$98,"&gt;="&amp;$H222)+COUNTIFS(工数管理!$AK$3:$AK$98,L$1,工数管理!$Q$3:$Q$98,"&lt;="&amp;$H222,工数管理!$R$3:$R$98,"&gt;="&amp;$H222)+COUNTIFS(工数管理!$AK$3:$AK$98,L$1,工数管理!$S$3:$S$98,"&lt;="&amp;$H222,工数管理!$T$3:$T$98,"&gt;="&amp;$H222)+COUNTIFS(工数管理!$AK$3:$AK$98,L$1,工数管理!$U$3:$U$98,"&lt;="&amp;$H222,工数管理!$V$3:$V$98,"&gt;="&amp;$H222)+COUNTIFS(工数管理!$AK$3:$AK$98,L$1,工数管理!$W$3:$W$98,"&lt;="&amp;$H222,工数管理!$X$3:$X$98,"&gt;="&amp;$H222)+COUNTIFS(工数管理!$AK$3:$AK$98,L$1,工数管理!$Y$3:$Y$98,"&lt;="&amp;$H222,工数管理!$Z$3:$Z$98,"&gt;="&amp;$H222)+COUNTIFS(工数管理!$AK$3:$AK$98,L$1,工数管理!$AA$3:$AA$98,"&lt;="&amp;$H222,工数管理!$AB$3:$AB$98,"&gt;="&amp;$H222)+COUNTIFS(工数管理!$AK$3:$AK$98,L$1,工数管理!$AC$3:$AC$98,"&lt;="&amp;$H222,工数管理!$AD$3:$AD$98,"&gt;="&amp;$H222)+COUNTIFS(工数管理!$AK$3:$AK$98,L$1,工数管理!$AE$3:$AE$98,"&lt;="&amp;$H222,工数管理!$AF$3:$AF$98,"&gt;="&amp;$H222)+COUNTIFS(工数管理!$AK$3:$AK$98,L$1,工数管理!$AG$3:$AG$98,"&lt;="&amp;$H222,工数管理!$AH$3:$AH$98,"&gt;="&amp;$H222)+(COUNTIFS(工数管理!$AK$3:$AK$98,L$1,工数管理!$K$3:$K$98,"&lt;="&amp;$H222,工数管理!$L$3:$L$98,"")+COUNTIFS(工数管理!$AK$3:$AK$98,L$1,工数管理!$M$3:$M$98,"&lt;="&amp;$H222,工数管理!$N$3:$N$98,"")+COUNTIFS(工数管理!$AK$3:$AK$98,L$1,工数管理!$O$3:$O$98,"&lt;="&amp;$H222,工数管理!$P$3:$P$98,"")+COUNTIFS(工数管理!$AK$3:$AK$98,L$1,工数管理!$Q$3:$Q$98,"&lt;="&amp;$H222,工数管理!$R$3:$R$98,"")+COUNTIFS(工数管理!$AK$3:$AK$98,L$1,工数管理!$S$3:$S$98,"&lt;="&amp;$H222,工数管理!$T$3:$T$98,"")+COUNTIFS(工数管理!$AK$3:$AK$98,L$1,工数管理!$U$3:$U$98,"&lt;="&amp;$H222,工数管理!$V$3:$V$98,"")+COUNTIFS(工数管理!$AK$3:$AK$98,L$1,工数管理!$W$3:$W$98,"&lt;="&amp;$H222,工数管理!$X$3:$X$98,"")+COUNTIFS(工数管理!$AK$3:$AK$98,L$1,工数管理!$Y$3:$Y$98,"&lt;="&amp;$H222,工数管理!$Z$3:$Z$98,"")+COUNTIFS(工数管理!$AK$3:$AK$98,L$1,工数管理!$AA$3:$AA$98,"&lt;="&amp;$H222,工数管理!$AB$3:$AB$98,"")+COUNTIFS(工数管理!$AK$3:$AK$98,L$1,工数管理!$AC$3:$AC$98,"&lt;="&amp;$H222,工数管理!$AD$3:$AD$98,"")+COUNTIFS(工数管理!$AK$3:$AK$98,L$1,工数管理!$AE$3:$AE$98,"&lt;="&amp;$H222,工数管理!$AF$3:$AF$98,"")+COUNTIFS(工数管理!$AK$3:$AK$98,L$1,工数管理!$AG$3:$AG$98,"&lt;="&amp;$H222,工数管理!$AH$3:$AH$98,""))*($H222&lt;=工数管理!$AI$1))</f>
        <v>0</v>
      </c>
    </row>
    <row r="223" spans="8:12" x14ac:dyDescent="0.15">
      <c r="H223" s="41">
        <f t="shared" si="7"/>
        <v>46391</v>
      </c>
      <c r="I223" s="42">
        <f t="shared" si="6"/>
        <v>0</v>
      </c>
      <c r="J223" s="42">
        <f ca="1">IF(J$1="",0,COUNTIFS(工数管理!$AK$3:$AK$98,J$1,工数管理!$K$3:$K$98,"&lt;="&amp;$H223,工数管理!$L$3:$L$98,"&gt;="&amp;$H223)+COUNTIFS(工数管理!$AK$3:$AK$98,J$1,工数管理!$M$3:$M$98,"&lt;="&amp;$H223,工数管理!$N$3:$N$98,"&gt;="&amp;$H223)+COUNTIFS(工数管理!$AK$3:$AK$98,J$1,工数管理!$O$3:$O$98,"&lt;="&amp;$H223,工数管理!$P$3:$P$98,"&gt;="&amp;$H223)+COUNTIFS(工数管理!$AK$3:$AK$98,J$1,工数管理!$Q$3:$Q$98,"&lt;="&amp;$H223,工数管理!$R$3:$R$98,"&gt;="&amp;$H223)+COUNTIFS(工数管理!$AK$3:$AK$98,J$1,工数管理!$S$3:$S$98,"&lt;="&amp;$H223,工数管理!$T$3:$T$98,"&gt;="&amp;$H223)+COUNTIFS(工数管理!$AK$3:$AK$98,J$1,工数管理!$U$3:$U$98,"&lt;="&amp;$H223,工数管理!$V$3:$V$98,"&gt;="&amp;$H223)+COUNTIFS(工数管理!$AK$3:$AK$98,J$1,工数管理!$W$3:$W$98,"&lt;="&amp;$H223,工数管理!$X$3:$X$98,"&gt;="&amp;$H223)+COUNTIFS(工数管理!$AK$3:$AK$98,J$1,工数管理!$Y$3:$Y$98,"&lt;="&amp;$H223,工数管理!$Z$3:$Z$98,"&gt;="&amp;$H223)+COUNTIFS(工数管理!$AK$3:$AK$98,J$1,工数管理!$AA$3:$AA$98,"&lt;="&amp;$H223,工数管理!$AB$3:$AB$98,"&gt;="&amp;$H223)+COUNTIFS(工数管理!$AK$3:$AK$98,J$1,工数管理!$AC$3:$AC$98,"&lt;="&amp;$H223,工数管理!$AD$3:$AD$98,"&gt;="&amp;$H223)+COUNTIFS(工数管理!$AK$3:$AK$98,J$1,工数管理!$AE$3:$AE$98,"&lt;="&amp;$H223,工数管理!$AF$3:$AF$98,"&gt;="&amp;$H223)+COUNTIFS(工数管理!$AK$3:$AK$98,J$1,工数管理!$AG$3:$AG$98,"&lt;="&amp;$H223,工数管理!$AH$3:$AH$98,"&gt;="&amp;$H223)+(COUNTIFS(工数管理!$AK$3:$AK$98,J$1,工数管理!$K$3:$K$98,"&lt;="&amp;$H223,工数管理!$L$3:$L$98,"")+COUNTIFS(工数管理!$AK$3:$AK$98,J$1,工数管理!$M$3:$M$98,"&lt;="&amp;$H223,工数管理!$N$3:$N$98,"")+COUNTIFS(工数管理!$AK$3:$AK$98,J$1,工数管理!$O$3:$O$98,"&lt;="&amp;$H223,工数管理!$P$3:$P$98,"")+COUNTIFS(工数管理!$AK$3:$AK$98,J$1,工数管理!$Q$3:$Q$98,"&lt;="&amp;$H223,工数管理!$R$3:$R$98,"")+COUNTIFS(工数管理!$AK$3:$AK$98,J$1,工数管理!$S$3:$S$98,"&lt;="&amp;$H223,工数管理!$T$3:$T$98,"")+COUNTIFS(工数管理!$AK$3:$AK$98,J$1,工数管理!$U$3:$U$98,"&lt;="&amp;$H223,工数管理!$V$3:$V$98,"")+COUNTIFS(工数管理!$AK$3:$AK$98,J$1,工数管理!$W$3:$W$98,"&lt;="&amp;$H223,工数管理!$X$3:$X$98,"")+COUNTIFS(工数管理!$AK$3:$AK$98,J$1,工数管理!$Y$3:$Y$98,"&lt;="&amp;$H223,工数管理!$Z$3:$Z$98,"")+COUNTIFS(工数管理!$AK$3:$AK$98,J$1,工数管理!$AA$3:$AA$98,"&lt;="&amp;$H223,工数管理!$AB$3:$AB$98,"")+COUNTIFS(工数管理!$AK$3:$AK$98,J$1,工数管理!$AC$3:$AC$98,"&lt;="&amp;$H223,工数管理!$AD$3:$AD$98,"")+COUNTIFS(工数管理!$AK$3:$AK$98,J$1,工数管理!$AE$3:$AE$98,"&lt;="&amp;$H223,工数管理!$AF$3:$AF$98,"")+COUNTIFS(工数管理!$AK$3:$AK$98,J$1,工数管理!$AG$3:$AG$98,"&lt;="&amp;$H223,工数管理!$AH$3:$AH$98,""))*($H223&lt;=工数管理!$AI$1))</f>
        <v>0</v>
      </c>
      <c r="K223" s="42">
        <f ca="1">IF(K$1="",0,COUNTIFS(工数管理!$AK$3:$AK$98,K$1,工数管理!$K$3:$K$98,"&lt;="&amp;$H223,工数管理!$L$3:$L$98,"&gt;="&amp;$H223)+COUNTIFS(工数管理!$AK$3:$AK$98,K$1,工数管理!$M$3:$M$98,"&lt;="&amp;$H223,工数管理!$N$3:$N$98,"&gt;="&amp;$H223)+COUNTIFS(工数管理!$AK$3:$AK$98,K$1,工数管理!$O$3:$O$98,"&lt;="&amp;$H223,工数管理!$P$3:$P$98,"&gt;="&amp;$H223)+COUNTIFS(工数管理!$AK$3:$AK$98,K$1,工数管理!$Q$3:$Q$98,"&lt;="&amp;$H223,工数管理!$R$3:$R$98,"&gt;="&amp;$H223)+COUNTIFS(工数管理!$AK$3:$AK$98,K$1,工数管理!$S$3:$S$98,"&lt;="&amp;$H223,工数管理!$T$3:$T$98,"&gt;="&amp;$H223)+COUNTIFS(工数管理!$AK$3:$AK$98,K$1,工数管理!$U$3:$U$98,"&lt;="&amp;$H223,工数管理!$V$3:$V$98,"&gt;="&amp;$H223)+COUNTIFS(工数管理!$AK$3:$AK$98,K$1,工数管理!$W$3:$W$98,"&lt;="&amp;$H223,工数管理!$X$3:$X$98,"&gt;="&amp;$H223)+COUNTIFS(工数管理!$AK$3:$AK$98,K$1,工数管理!$Y$3:$Y$98,"&lt;="&amp;$H223,工数管理!$Z$3:$Z$98,"&gt;="&amp;$H223)+COUNTIFS(工数管理!$AK$3:$AK$98,K$1,工数管理!$AA$3:$AA$98,"&lt;="&amp;$H223,工数管理!$AB$3:$AB$98,"&gt;="&amp;$H223)+COUNTIFS(工数管理!$AK$3:$AK$98,K$1,工数管理!$AC$3:$AC$98,"&lt;="&amp;$H223,工数管理!$AD$3:$AD$98,"&gt;="&amp;$H223)+COUNTIFS(工数管理!$AK$3:$AK$98,K$1,工数管理!$AE$3:$AE$98,"&lt;="&amp;$H223,工数管理!$AF$3:$AF$98,"&gt;="&amp;$H223)+COUNTIFS(工数管理!$AK$3:$AK$98,K$1,工数管理!$AG$3:$AG$98,"&lt;="&amp;$H223,工数管理!$AH$3:$AH$98,"&gt;="&amp;$H223)+(COUNTIFS(工数管理!$AK$3:$AK$98,K$1,工数管理!$K$3:$K$98,"&lt;="&amp;$H223,工数管理!$L$3:$L$98,"")+COUNTIFS(工数管理!$AK$3:$AK$98,K$1,工数管理!$M$3:$M$98,"&lt;="&amp;$H223,工数管理!$N$3:$N$98,"")+COUNTIFS(工数管理!$AK$3:$AK$98,K$1,工数管理!$O$3:$O$98,"&lt;="&amp;$H223,工数管理!$P$3:$P$98,"")+COUNTIFS(工数管理!$AK$3:$AK$98,K$1,工数管理!$Q$3:$Q$98,"&lt;="&amp;$H223,工数管理!$R$3:$R$98,"")+COUNTIFS(工数管理!$AK$3:$AK$98,K$1,工数管理!$S$3:$S$98,"&lt;="&amp;$H223,工数管理!$T$3:$T$98,"")+COUNTIFS(工数管理!$AK$3:$AK$98,K$1,工数管理!$U$3:$U$98,"&lt;="&amp;$H223,工数管理!$V$3:$V$98,"")+COUNTIFS(工数管理!$AK$3:$AK$98,K$1,工数管理!$W$3:$W$98,"&lt;="&amp;$H223,工数管理!$X$3:$X$98,"")+COUNTIFS(工数管理!$AK$3:$AK$98,K$1,工数管理!$Y$3:$Y$98,"&lt;="&amp;$H223,工数管理!$Z$3:$Z$98,"")+COUNTIFS(工数管理!$AK$3:$AK$98,K$1,工数管理!$AA$3:$AA$98,"&lt;="&amp;$H223,工数管理!$AB$3:$AB$98,"")+COUNTIFS(工数管理!$AK$3:$AK$98,K$1,工数管理!$AC$3:$AC$98,"&lt;="&amp;$H223,工数管理!$AD$3:$AD$98,"")+COUNTIFS(工数管理!$AK$3:$AK$98,K$1,工数管理!$AE$3:$AE$98,"&lt;="&amp;$H223,工数管理!$AF$3:$AF$98,"")+COUNTIFS(工数管理!$AK$3:$AK$98,K$1,工数管理!$AG$3:$AG$98,"&lt;="&amp;$H223,工数管理!$AH$3:$AH$98,""))*($H223&lt;=工数管理!$AI$1))</f>
        <v>0</v>
      </c>
      <c r="L223" s="42">
        <f ca="1">IF(L$1="",0,COUNTIFS(工数管理!$AK$3:$AK$98,L$1,工数管理!$K$3:$K$98,"&lt;="&amp;$H223,工数管理!$L$3:$L$98,"&gt;="&amp;$H223)+COUNTIFS(工数管理!$AK$3:$AK$98,L$1,工数管理!$M$3:$M$98,"&lt;="&amp;$H223,工数管理!$N$3:$N$98,"&gt;="&amp;$H223)+COUNTIFS(工数管理!$AK$3:$AK$98,L$1,工数管理!$O$3:$O$98,"&lt;="&amp;$H223,工数管理!$P$3:$P$98,"&gt;="&amp;$H223)+COUNTIFS(工数管理!$AK$3:$AK$98,L$1,工数管理!$Q$3:$Q$98,"&lt;="&amp;$H223,工数管理!$R$3:$R$98,"&gt;="&amp;$H223)+COUNTIFS(工数管理!$AK$3:$AK$98,L$1,工数管理!$S$3:$S$98,"&lt;="&amp;$H223,工数管理!$T$3:$T$98,"&gt;="&amp;$H223)+COUNTIFS(工数管理!$AK$3:$AK$98,L$1,工数管理!$U$3:$U$98,"&lt;="&amp;$H223,工数管理!$V$3:$V$98,"&gt;="&amp;$H223)+COUNTIFS(工数管理!$AK$3:$AK$98,L$1,工数管理!$W$3:$W$98,"&lt;="&amp;$H223,工数管理!$X$3:$X$98,"&gt;="&amp;$H223)+COUNTIFS(工数管理!$AK$3:$AK$98,L$1,工数管理!$Y$3:$Y$98,"&lt;="&amp;$H223,工数管理!$Z$3:$Z$98,"&gt;="&amp;$H223)+COUNTIFS(工数管理!$AK$3:$AK$98,L$1,工数管理!$AA$3:$AA$98,"&lt;="&amp;$H223,工数管理!$AB$3:$AB$98,"&gt;="&amp;$H223)+COUNTIFS(工数管理!$AK$3:$AK$98,L$1,工数管理!$AC$3:$AC$98,"&lt;="&amp;$H223,工数管理!$AD$3:$AD$98,"&gt;="&amp;$H223)+COUNTIFS(工数管理!$AK$3:$AK$98,L$1,工数管理!$AE$3:$AE$98,"&lt;="&amp;$H223,工数管理!$AF$3:$AF$98,"&gt;="&amp;$H223)+COUNTIFS(工数管理!$AK$3:$AK$98,L$1,工数管理!$AG$3:$AG$98,"&lt;="&amp;$H223,工数管理!$AH$3:$AH$98,"&gt;="&amp;$H223)+(COUNTIFS(工数管理!$AK$3:$AK$98,L$1,工数管理!$K$3:$K$98,"&lt;="&amp;$H223,工数管理!$L$3:$L$98,"")+COUNTIFS(工数管理!$AK$3:$AK$98,L$1,工数管理!$M$3:$M$98,"&lt;="&amp;$H223,工数管理!$N$3:$N$98,"")+COUNTIFS(工数管理!$AK$3:$AK$98,L$1,工数管理!$O$3:$O$98,"&lt;="&amp;$H223,工数管理!$P$3:$P$98,"")+COUNTIFS(工数管理!$AK$3:$AK$98,L$1,工数管理!$Q$3:$Q$98,"&lt;="&amp;$H223,工数管理!$R$3:$R$98,"")+COUNTIFS(工数管理!$AK$3:$AK$98,L$1,工数管理!$S$3:$S$98,"&lt;="&amp;$H223,工数管理!$T$3:$T$98,"")+COUNTIFS(工数管理!$AK$3:$AK$98,L$1,工数管理!$U$3:$U$98,"&lt;="&amp;$H223,工数管理!$V$3:$V$98,"")+COUNTIFS(工数管理!$AK$3:$AK$98,L$1,工数管理!$W$3:$W$98,"&lt;="&amp;$H223,工数管理!$X$3:$X$98,"")+COUNTIFS(工数管理!$AK$3:$AK$98,L$1,工数管理!$Y$3:$Y$98,"&lt;="&amp;$H223,工数管理!$Z$3:$Z$98,"")+COUNTIFS(工数管理!$AK$3:$AK$98,L$1,工数管理!$AA$3:$AA$98,"&lt;="&amp;$H223,工数管理!$AB$3:$AB$98,"")+COUNTIFS(工数管理!$AK$3:$AK$98,L$1,工数管理!$AC$3:$AC$98,"&lt;="&amp;$H223,工数管理!$AD$3:$AD$98,"")+COUNTIFS(工数管理!$AK$3:$AK$98,L$1,工数管理!$AE$3:$AE$98,"&lt;="&amp;$H223,工数管理!$AF$3:$AF$98,"")+COUNTIFS(工数管理!$AK$3:$AK$98,L$1,工数管理!$AG$3:$AG$98,"&lt;="&amp;$H223,工数管理!$AH$3:$AH$98,""))*($H223&lt;=工数管理!$AI$1))</f>
        <v>0</v>
      </c>
    </row>
    <row r="224" spans="8:12" x14ac:dyDescent="0.15">
      <c r="H224" s="41">
        <f t="shared" si="7"/>
        <v>46392</v>
      </c>
      <c r="I224" s="42">
        <f t="shared" si="6"/>
        <v>1</v>
      </c>
      <c r="J224" s="42">
        <f ca="1">IF(J$1="",0,COUNTIFS(工数管理!$AK$3:$AK$98,J$1,工数管理!$K$3:$K$98,"&lt;="&amp;$H224,工数管理!$L$3:$L$98,"&gt;="&amp;$H224)+COUNTIFS(工数管理!$AK$3:$AK$98,J$1,工数管理!$M$3:$M$98,"&lt;="&amp;$H224,工数管理!$N$3:$N$98,"&gt;="&amp;$H224)+COUNTIFS(工数管理!$AK$3:$AK$98,J$1,工数管理!$O$3:$O$98,"&lt;="&amp;$H224,工数管理!$P$3:$P$98,"&gt;="&amp;$H224)+COUNTIFS(工数管理!$AK$3:$AK$98,J$1,工数管理!$Q$3:$Q$98,"&lt;="&amp;$H224,工数管理!$R$3:$R$98,"&gt;="&amp;$H224)+COUNTIFS(工数管理!$AK$3:$AK$98,J$1,工数管理!$S$3:$S$98,"&lt;="&amp;$H224,工数管理!$T$3:$T$98,"&gt;="&amp;$H224)+COUNTIFS(工数管理!$AK$3:$AK$98,J$1,工数管理!$U$3:$U$98,"&lt;="&amp;$H224,工数管理!$V$3:$V$98,"&gt;="&amp;$H224)+COUNTIFS(工数管理!$AK$3:$AK$98,J$1,工数管理!$W$3:$W$98,"&lt;="&amp;$H224,工数管理!$X$3:$X$98,"&gt;="&amp;$H224)+COUNTIFS(工数管理!$AK$3:$AK$98,J$1,工数管理!$Y$3:$Y$98,"&lt;="&amp;$H224,工数管理!$Z$3:$Z$98,"&gt;="&amp;$H224)+COUNTIFS(工数管理!$AK$3:$AK$98,J$1,工数管理!$AA$3:$AA$98,"&lt;="&amp;$H224,工数管理!$AB$3:$AB$98,"&gt;="&amp;$H224)+COUNTIFS(工数管理!$AK$3:$AK$98,J$1,工数管理!$AC$3:$AC$98,"&lt;="&amp;$H224,工数管理!$AD$3:$AD$98,"&gt;="&amp;$H224)+COUNTIFS(工数管理!$AK$3:$AK$98,J$1,工数管理!$AE$3:$AE$98,"&lt;="&amp;$H224,工数管理!$AF$3:$AF$98,"&gt;="&amp;$H224)+COUNTIFS(工数管理!$AK$3:$AK$98,J$1,工数管理!$AG$3:$AG$98,"&lt;="&amp;$H224,工数管理!$AH$3:$AH$98,"&gt;="&amp;$H224)+(COUNTIFS(工数管理!$AK$3:$AK$98,J$1,工数管理!$K$3:$K$98,"&lt;="&amp;$H224,工数管理!$L$3:$L$98,"")+COUNTIFS(工数管理!$AK$3:$AK$98,J$1,工数管理!$M$3:$M$98,"&lt;="&amp;$H224,工数管理!$N$3:$N$98,"")+COUNTIFS(工数管理!$AK$3:$AK$98,J$1,工数管理!$O$3:$O$98,"&lt;="&amp;$H224,工数管理!$P$3:$P$98,"")+COUNTIFS(工数管理!$AK$3:$AK$98,J$1,工数管理!$Q$3:$Q$98,"&lt;="&amp;$H224,工数管理!$R$3:$R$98,"")+COUNTIFS(工数管理!$AK$3:$AK$98,J$1,工数管理!$S$3:$S$98,"&lt;="&amp;$H224,工数管理!$T$3:$T$98,"")+COUNTIFS(工数管理!$AK$3:$AK$98,J$1,工数管理!$U$3:$U$98,"&lt;="&amp;$H224,工数管理!$V$3:$V$98,"")+COUNTIFS(工数管理!$AK$3:$AK$98,J$1,工数管理!$W$3:$W$98,"&lt;="&amp;$H224,工数管理!$X$3:$X$98,"")+COUNTIFS(工数管理!$AK$3:$AK$98,J$1,工数管理!$Y$3:$Y$98,"&lt;="&amp;$H224,工数管理!$Z$3:$Z$98,"")+COUNTIFS(工数管理!$AK$3:$AK$98,J$1,工数管理!$AA$3:$AA$98,"&lt;="&amp;$H224,工数管理!$AB$3:$AB$98,"")+COUNTIFS(工数管理!$AK$3:$AK$98,J$1,工数管理!$AC$3:$AC$98,"&lt;="&amp;$H224,工数管理!$AD$3:$AD$98,"")+COUNTIFS(工数管理!$AK$3:$AK$98,J$1,工数管理!$AE$3:$AE$98,"&lt;="&amp;$H224,工数管理!$AF$3:$AF$98,"")+COUNTIFS(工数管理!$AK$3:$AK$98,J$1,工数管理!$AG$3:$AG$98,"&lt;="&amp;$H224,工数管理!$AH$3:$AH$98,""))*($H224&lt;=工数管理!$AI$1))</f>
        <v>0</v>
      </c>
      <c r="K224" s="42">
        <f ca="1">IF(K$1="",0,COUNTIFS(工数管理!$AK$3:$AK$98,K$1,工数管理!$K$3:$K$98,"&lt;="&amp;$H224,工数管理!$L$3:$L$98,"&gt;="&amp;$H224)+COUNTIFS(工数管理!$AK$3:$AK$98,K$1,工数管理!$M$3:$M$98,"&lt;="&amp;$H224,工数管理!$N$3:$N$98,"&gt;="&amp;$H224)+COUNTIFS(工数管理!$AK$3:$AK$98,K$1,工数管理!$O$3:$O$98,"&lt;="&amp;$H224,工数管理!$P$3:$P$98,"&gt;="&amp;$H224)+COUNTIFS(工数管理!$AK$3:$AK$98,K$1,工数管理!$Q$3:$Q$98,"&lt;="&amp;$H224,工数管理!$R$3:$R$98,"&gt;="&amp;$H224)+COUNTIFS(工数管理!$AK$3:$AK$98,K$1,工数管理!$S$3:$S$98,"&lt;="&amp;$H224,工数管理!$T$3:$T$98,"&gt;="&amp;$H224)+COUNTIFS(工数管理!$AK$3:$AK$98,K$1,工数管理!$U$3:$U$98,"&lt;="&amp;$H224,工数管理!$V$3:$V$98,"&gt;="&amp;$H224)+COUNTIFS(工数管理!$AK$3:$AK$98,K$1,工数管理!$W$3:$W$98,"&lt;="&amp;$H224,工数管理!$X$3:$X$98,"&gt;="&amp;$H224)+COUNTIFS(工数管理!$AK$3:$AK$98,K$1,工数管理!$Y$3:$Y$98,"&lt;="&amp;$H224,工数管理!$Z$3:$Z$98,"&gt;="&amp;$H224)+COUNTIFS(工数管理!$AK$3:$AK$98,K$1,工数管理!$AA$3:$AA$98,"&lt;="&amp;$H224,工数管理!$AB$3:$AB$98,"&gt;="&amp;$H224)+COUNTIFS(工数管理!$AK$3:$AK$98,K$1,工数管理!$AC$3:$AC$98,"&lt;="&amp;$H224,工数管理!$AD$3:$AD$98,"&gt;="&amp;$H224)+COUNTIFS(工数管理!$AK$3:$AK$98,K$1,工数管理!$AE$3:$AE$98,"&lt;="&amp;$H224,工数管理!$AF$3:$AF$98,"&gt;="&amp;$H224)+COUNTIFS(工数管理!$AK$3:$AK$98,K$1,工数管理!$AG$3:$AG$98,"&lt;="&amp;$H224,工数管理!$AH$3:$AH$98,"&gt;="&amp;$H224)+(COUNTIFS(工数管理!$AK$3:$AK$98,K$1,工数管理!$K$3:$K$98,"&lt;="&amp;$H224,工数管理!$L$3:$L$98,"")+COUNTIFS(工数管理!$AK$3:$AK$98,K$1,工数管理!$M$3:$M$98,"&lt;="&amp;$H224,工数管理!$N$3:$N$98,"")+COUNTIFS(工数管理!$AK$3:$AK$98,K$1,工数管理!$O$3:$O$98,"&lt;="&amp;$H224,工数管理!$P$3:$P$98,"")+COUNTIFS(工数管理!$AK$3:$AK$98,K$1,工数管理!$Q$3:$Q$98,"&lt;="&amp;$H224,工数管理!$R$3:$R$98,"")+COUNTIFS(工数管理!$AK$3:$AK$98,K$1,工数管理!$S$3:$S$98,"&lt;="&amp;$H224,工数管理!$T$3:$T$98,"")+COUNTIFS(工数管理!$AK$3:$AK$98,K$1,工数管理!$U$3:$U$98,"&lt;="&amp;$H224,工数管理!$V$3:$V$98,"")+COUNTIFS(工数管理!$AK$3:$AK$98,K$1,工数管理!$W$3:$W$98,"&lt;="&amp;$H224,工数管理!$X$3:$X$98,"")+COUNTIFS(工数管理!$AK$3:$AK$98,K$1,工数管理!$Y$3:$Y$98,"&lt;="&amp;$H224,工数管理!$Z$3:$Z$98,"")+COUNTIFS(工数管理!$AK$3:$AK$98,K$1,工数管理!$AA$3:$AA$98,"&lt;="&amp;$H224,工数管理!$AB$3:$AB$98,"")+COUNTIFS(工数管理!$AK$3:$AK$98,K$1,工数管理!$AC$3:$AC$98,"&lt;="&amp;$H224,工数管理!$AD$3:$AD$98,"")+COUNTIFS(工数管理!$AK$3:$AK$98,K$1,工数管理!$AE$3:$AE$98,"&lt;="&amp;$H224,工数管理!$AF$3:$AF$98,"")+COUNTIFS(工数管理!$AK$3:$AK$98,K$1,工数管理!$AG$3:$AG$98,"&lt;="&amp;$H224,工数管理!$AH$3:$AH$98,""))*($H224&lt;=工数管理!$AI$1))</f>
        <v>0</v>
      </c>
      <c r="L224" s="42">
        <f ca="1">IF(L$1="",0,COUNTIFS(工数管理!$AK$3:$AK$98,L$1,工数管理!$K$3:$K$98,"&lt;="&amp;$H224,工数管理!$L$3:$L$98,"&gt;="&amp;$H224)+COUNTIFS(工数管理!$AK$3:$AK$98,L$1,工数管理!$M$3:$M$98,"&lt;="&amp;$H224,工数管理!$N$3:$N$98,"&gt;="&amp;$H224)+COUNTIFS(工数管理!$AK$3:$AK$98,L$1,工数管理!$O$3:$O$98,"&lt;="&amp;$H224,工数管理!$P$3:$P$98,"&gt;="&amp;$H224)+COUNTIFS(工数管理!$AK$3:$AK$98,L$1,工数管理!$Q$3:$Q$98,"&lt;="&amp;$H224,工数管理!$R$3:$R$98,"&gt;="&amp;$H224)+COUNTIFS(工数管理!$AK$3:$AK$98,L$1,工数管理!$S$3:$S$98,"&lt;="&amp;$H224,工数管理!$T$3:$T$98,"&gt;="&amp;$H224)+COUNTIFS(工数管理!$AK$3:$AK$98,L$1,工数管理!$U$3:$U$98,"&lt;="&amp;$H224,工数管理!$V$3:$V$98,"&gt;="&amp;$H224)+COUNTIFS(工数管理!$AK$3:$AK$98,L$1,工数管理!$W$3:$W$98,"&lt;="&amp;$H224,工数管理!$X$3:$X$98,"&gt;="&amp;$H224)+COUNTIFS(工数管理!$AK$3:$AK$98,L$1,工数管理!$Y$3:$Y$98,"&lt;="&amp;$H224,工数管理!$Z$3:$Z$98,"&gt;="&amp;$H224)+COUNTIFS(工数管理!$AK$3:$AK$98,L$1,工数管理!$AA$3:$AA$98,"&lt;="&amp;$H224,工数管理!$AB$3:$AB$98,"&gt;="&amp;$H224)+COUNTIFS(工数管理!$AK$3:$AK$98,L$1,工数管理!$AC$3:$AC$98,"&lt;="&amp;$H224,工数管理!$AD$3:$AD$98,"&gt;="&amp;$H224)+COUNTIFS(工数管理!$AK$3:$AK$98,L$1,工数管理!$AE$3:$AE$98,"&lt;="&amp;$H224,工数管理!$AF$3:$AF$98,"&gt;="&amp;$H224)+COUNTIFS(工数管理!$AK$3:$AK$98,L$1,工数管理!$AG$3:$AG$98,"&lt;="&amp;$H224,工数管理!$AH$3:$AH$98,"&gt;="&amp;$H224)+(COUNTIFS(工数管理!$AK$3:$AK$98,L$1,工数管理!$K$3:$K$98,"&lt;="&amp;$H224,工数管理!$L$3:$L$98,"")+COUNTIFS(工数管理!$AK$3:$AK$98,L$1,工数管理!$M$3:$M$98,"&lt;="&amp;$H224,工数管理!$N$3:$N$98,"")+COUNTIFS(工数管理!$AK$3:$AK$98,L$1,工数管理!$O$3:$O$98,"&lt;="&amp;$H224,工数管理!$P$3:$P$98,"")+COUNTIFS(工数管理!$AK$3:$AK$98,L$1,工数管理!$Q$3:$Q$98,"&lt;="&amp;$H224,工数管理!$R$3:$R$98,"")+COUNTIFS(工数管理!$AK$3:$AK$98,L$1,工数管理!$S$3:$S$98,"&lt;="&amp;$H224,工数管理!$T$3:$T$98,"")+COUNTIFS(工数管理!$AK$3:$AK$98,L$1,工数管理!$U$3:$U$98,"&lt;="&amp;$H224,工数管理!$V$3:$V$98,"")+COUNTIFS(工数管理!$AK$3:$AK$98,L$1,工数管理!$W$3:$W$98,"&lt;="&amp;$H224,工数管理!$X$3:$X$98,"")+COUNTIFS(工数管理!$AK$3:$AK$98,L$1,工数管理!$Y$3:$Y$98,"&lt;="&amp;$H224,工数管理!$Z$3:$Z$98,"")+COUNTIFS(工数管理!$AK$3:$AK$98,L$1,工数管理!$AA$3:$AA$98,"&lt;="&amp;$H224,工数管理!$AB$3:$AB$98,"")+COUNTIFS(工数管理!$AK$3:$AK$98,L$1,工数管理!$AC$3:$AC$98,"&lt;="&amp;$H224,工数管理!$AD$3:$AD$98,"")+COUNTIFS(工数管理!$AK$3:$AK$98,L$1,工数管理!$AE$3:$AE$98,"&lt;="&amp;$H224,工数管理!$AF$3:$AF$98,"")+COUNTIFS(工数管理!$AK$3:$AK$98,L$1,工数管理!$AG$3:$AG$98,"&lt;="&amp;$H224,工数管理!$AH$3:$AH$98,""))*($H224&lt;=工数管理!$AI$1))</f>
        <v>0</v>
      </c>
    </row>
    <row r="225" spans="8:12" x14ac:dyDescent="0.15">
      <c r="H225" s="41">
        <f t="shared" si="7"/>
        <v>46393</v>
      </c>
      <c r="I225" s="42">
        <f t="shared" si="6"/>
        <v>1</v>
      </c>
      <c r="J225" s="42">
        <f ca="1">IF(J$1="",0,COUNTIFS(工数管理!$AK$3:$AK$98,J$1,工数管理!$K$3:$K$98,"&lt;="&amp;$H225,工数管理!$L$3:$L$98,"&gt;="&amp;$H225)+COUNTIFS(工数管理!$AK$3:$AK$98,J$1,工数管理!$M$3:$M$98,"&lt;="&amp;$H225,工数管理!$N$3:$N$98,"&gt;="&amp;$H225)+COUNTIFS(工数管理!$AK$3:$AK$98,J$1,工数管理!$O$3:$O$98,"&lt;="&amp;$H225,工数管理!$P$3:$P$98,"&gt;="&amp;$H225)+COUNTIFS(工数管理!$AK$3:$AK$98,J$1,工数管理!$Q$3:$Q$98,"&lt;="&amp;$H225,工数管理!$R$3:$R$98,"&gt;="&amp;$H225)+COUNTIFS(工数管理!$AK$3:$AK$98,J$1,工数管理!$S$3:$S$98,"&lt;="&amp;$H225,工数管理!$T$3:$T$98,"&gt;="&amp;$H225)+COUNTIFS(工数管理!$AK$3:$AK$98,J$1,工数管理!$U$3:$U$98,"&lt;="&amp;$H225,工数管理!$V$3:$V$98,"&gt;="&amp;$H225)+COUNTIFS(工数管理!$AK$3:$AK$98,J$1,工数管理!$W$3:$W$98,"&lt;="&amp;$H225,工数管理!$X$3:$X$98,"&gt;="&amp;$H225)+COUNTIFS(工数管理!$AK$3:$AK$98,J$1,工数管理!$Y$3:$Y$98,"&lt;="&amp;$H225,工数管理!$Z$3:$Z$98,"&gt;="&amp;$H225)+COUNTIFS(工数管理!$AK$3:$AK$98,J$1,工数管理!$AA$3:$AA$98,"&lt;="&amp;$H225,工数管理!$AB$3:$AB$98,"&gt;="&amp;$H225)+COUNTIFS(工数管理!$AK$3:$AK$98,J$1,工数管理!$AC$3:$AC$98,"&lt;="&amp;$H225,工数管理!$AD$3:$AD$98,"&gt;="&amp;$H225)+COUNTIFS(工数管理!$AK$3:$AK$98,J$1,工数管理!$AE$3:$AE$98,"&lt;="&amp;$H225,工数管理!$AF$3:$AF$98,"&gt;="&amp;$H225)+COUNTIFS(工数管理!$AK$3:$AK$98,J$1,工数管理!$AG$3:$AG$98,"&lt;="&amp;$H225,工数管理!$AH$3:$AH$98,"&gt;="&amp;$H225)+(COUNTIFS(工数管理!$AK$3:$AK$98,J$1,工数管理!$K$3:$K$98,"&lt;="&amp;$H225,工数管理!$L$3:$L$98,"")+COUNTIFS(工数管理!$AK$3:$AK$98,J$1,工数管理!$M$3:$M$98,"&lt;="&amp;$H225,工数管理!$N$3:$N$98,"")+COUNTIFS(工数管理!$AK$3:$AK$98,J$1,工数管理!$O$3:$O$98,"&lt;="&amp;$H225,工数管理!$P$3:$P$98,"")+COUNTIFS(工数管理!$AK$3:$AK$98,J$1,工数管理!$Q$3:$Q$98,"&lt;="&amp;$H225,工数管理!$R$3:$R$98,"")+COUNTIFS(工数管理!$AK$3:$AK$98,J$1,工数管理!$S$3:$S$98,"&lt;="&amp;$H225,工数管理!$T$3:$T$98,"")+COUNTIFS(工数管理!$AK$3:$AK$98,J$1,工数管理!$U$3:$U$98,"&lt;="&amp;$H225,工数管理!$V$3:$V$98,"")+COUNTIFS(工数管理!$AK$3:$AK$98,J$1,工数管理!$W$3:$W$98,"&lt;="&amp;$H225,工数管理!$X$3:$X$98,"")+COUNTIFS(工数管理!$AK$3:$AK$98,J$1,工数管理!$Y$3:$Y$98,"&lt;="&amp;$H225,工数管理!$Z$3:$Z$98,"")+COUNTIFS(工数管理!$AK$3:$AK$98,J$1,工数管理!$AA$3:$AA$98,"&lt;="&amp;$H225,工数管理!$AB$3:$AB$98,"")+COUNTIFS(工数管理!$AK$3:$AK$98,J$1,工数管理!$AC$3:$AC$98,"&lt;="&amp;$H225,工数管理!$AD$3:$AD$98,"")+COUNTIFS(工数管理!$AK$3:$AK$98,J$1,工数管理!$AE$3:$AE$98,"&lt;="&amp;$H225,工数管理!$AF$3:$AF$98,"")+COUNTIFS(工数管理!$AK$3:$AK$98,J$1,工数管理!$AG$3:$AG$98,"&lt;="&amp;$H225,工数管理!$AH$3:$AH$98,""))*($H225&lt;=工数管理!$AI$1))</f>
        <v>0</v>
      </c>
      <c r="K225" s="42">
        <f ca="1">IF(K$1="",0,COUNTIFS(工数管理!$AK$3:$AK$98,K$1,工数管理!$K$3:$K$98,"&lt;="&amp;$H225,工数管理!$L$3:$L$98,"&gt;="&amp;$H225)+COUNTIFS(工数管理!$AK$3:$AK$98,K$1,工数管理!$M$3:$M$98,"&lt;="&amp;$H225,工数管理!$N$3:$N$98,"&gt;="&amp;$H225)+COUNTIFS(工数管理!$AK$3:$AK$98,K$1,工数管理!$O$3:$O$98,"&lt;="&amp;$H225,工数管理!$P$3:$P$98,"&gt;="&amp;$H225)+COUNTIFS(工数管理!$AK$3:$AK$98,K$1,工数管理!$Q$3:$Q$98,"&lt;="&amp;$H225,工数管理!$R$3:$R$98,"&gt;="&amp;$H225)+COUNTIFS(工数管理!$AK$3:$AK$98,K$1,工数管理!$S$3:$S$98,"&lt;="&amp;$H225,工数管理!$T$3:$T$98,"&gt;="&amp;$H225)+COUNTIFS(工数管理!$AK$3:$AK$98,K$1,工数管理!$U$3:$U$98,"&lt;="&amp;$H225,工数管理!$V$3:$V$98,"&gt;="&amp;$H225)+COUNTIFS(工数管理!$AK$3:$AK$98,K$1,工数管理!$W$3:$W$98,"&lt;="&amp;$H225,工数管理!$X$3:$X$98,"&gt;="&amp;$H225)+COUNTIFS(工数管理!$AK$3:$AK$98,K$1,工数管理!$Y$3:$Y$98,"&lt;="&amp;$H225,工数管理!$Z$3:$Z$98,"&gt;="&amp;$H225)+COUNTIFS(工数管理!$AK$3:$AK$98,K$1,工数管理!$AA$3:$AA$98,"&lt;="&amp;$H225,工数管理!$AB$3:$AB$98,"&gt;="&amp;$H225)+COUNTIFS(工数管理!$AK$3:$AK$98,K$1,工数管理!$AC$3:$AC$98,"&lt;="&amp;$H225,工数管理!$AD$3:$AD$98,"&gt;="&amp;$H225)+COUNTIFS(工数管理!$AK$3:$AK$98,K$1,工数管理!$AE$3:$AE$98,"&lt;="&amp;$H225,工数管理!$AF$3:$AF$98,"&gt;="&amp;$H225)+COUNTIFS(工数管理!$AK$3:$AK$98,K$1,工数管理!$AG$3:$AG$98,"&lt;="&amp;$H225,工数管理!$AH$3:$AH$98,"&gt;="&amp;$H225)+(COUNTIFS(工数管理!$AK$3:$AK$98,K$1,工数管理!$K$3:$K$98,"&lt;="&amp;$H225,工数管理!$L$3:$L$98,"")+COUNTIFS(工数管理!$AK$3:$AK$98,K$1,工数管理!$M$3:$M$98,"&lt;="&amp;$H225,工数管理!$N$3:$N$98,"")+COUNTIFS(工数管理!$AK$3:$AK$98,K$1,工数管理!$O$3:$O$98,"&lt;="&amp;$H225,工数管理!$P$3:$P$98,"")+COUNTIFS(工数管理!$AK$3:$AK$98,K$1,工数管理!$Q$3:$Q$98,"&lt;="&amp;$H225,工数管理!$R$3:$R$98,"")+COUNTIFS(工数管理!$AK$3:$AK$98,K$1,工数管理!$S$3:$S$98,"&lt;="&amp;$H225,工数管理!$T$3:$T$98,"")+COUNTIFS(工数管理!$AK$3:$AK$98,K$1,工数管理!$U$3:$U$98,"&lt;="&amp;$H225,工数管理!$V$3:$V$98,"")+COUNTIFS(工数管理!$AK$3:$AK$98,K$1,工数管理!$W$3:$W$98,"&lt;="&amp;$H225,工数管理!$X$3:$X$98,"")+COUNTIFS(工数管理!$AK$3:$AK$98,K$1,工数管理!$Y$3:$Y$98,"&lt;="&amp;$H225,工数管理!$Z$3:$Z$98,"")+COUNTIFS(工数管理!$AK$3:$AK$98,K$1,工数管理!$AA$3:$AA$98,"&lt;="&amp;$H225,工数管理!$AB$3:$AB$98,"")+COUNTIFS(工数管理!$AK$3:$AK$98,K$1,工数管理!$AC$3:$AC$98,"&lt;="&amp;$H225,工数管理!$AD$3:$AD$98,"")+COUNTIFS(工数管理!$AK$3:$AK$98,K$1,工数管理!$AE$3:$AE$98,"&lt;="&amp;$H225,工数管理!$AF$3:$AF$98,"")+COUNTIFS(工数管理!$AK$3:$AK$98,K$1,工数管理!$AG$3:$AG$98,"&lt;="&amp;$H225,工数管理!$AH$3:$AH$98,""))*($H225&lt;=工数管理!$AI$1))</f>
        <v>0</v>
      </c>
      <c r="L225" s="42">
        <f ca="1">IF(L$1="",0,COUNTIFS(工数管理!$AK$3:$AK$98,L$1,工数管理!$K$3:$K$98,"&lt;="&amp;$H225,工数管理!$L$3:$L$98,"&gt;="&amp;$H225)+COUNTIFS(工数管理!$AK$3:$AK$98,L$1,工数管理!$M$3:$M$98,"&lt;="&amp;$H225,工数管理!$N$3:$N$98,"&gt;="&amp;$H225)+COUNTIFS(工数管理!$AK$3:$AK$98,L$1,工数管理!$O$3:$O$98,"&lt;="&amp;$H225,工数管理!$P$3:$P$98,"&gt;="&amp;$H225)+COUNTIFS(工数管理!$AK$3:$AK$98,L$1,工数管理!$Q$3:$Q$98,"&lt;="&amp;$H225,工数管理!$R$3:$R$98,"&gt;="&amp;$H225)+COUNTIFS(工数管理!$AK$3:$AK$98,L$1,工数管理!$S$3:$S$98,"&lt;="&amp;$H225,工数管理!$T$3:$T$98,"&gt;="&amp;$H225)+COUNTIFS(工数管理!$AK$3:$AK$98,L$1,工数管理!$U$3:$U$98,"&lt;="&amp;$H225,工数管理!$V$3:$V$98,"&gt;="&amp;$H225)+COUNTIFS(工数管理!$AK$3:$AK$98,L$1,工数管理!$W$3:$W$98,"&lt;="&amp;$H225,工数管理!$X$3:$X$98,"&gt;="&amp;$H225)+COUNTIFS(工数管理!$AK$3:$AK$98,L$1,工数管理!$Y$3:$Y$98,"&lt;="&amp;$H225,工数管理!$Z$3:$Z$98,"&gt;="&amp;$H225)+COUNTIFS(工数管理!$AK$3:$AK$98,L$1,工数管理!$AA$3:$AA$98,"&lt;="&amp;$H225,工数管理!$AB$3:$AB$98,"&gt;="&amp;$H225)+COUNTIFS(工数管理!$AK$3:$AK$98,L$1,工数管理!$AC$3:$AC$98,"&lt;="&amp;$H225,工数管理!$AD$3:$AD$98,"&gt;="&amp;$H225)+COUNTIFS(工数管理!$AK$3:$AK$98,L$1,工数管理!$AE$3:$AE$98,"&lt;="&amp;$H225,工数管理!$AF$3:$AF$98,"&gt;="&amp;$H225)+COUNTIFS(工数管理!$AK$3:$AK$98,L$1,工数管理!$AG$3:$AG$98,"&lt;="&amp;$H225,工数管理!$AH$3:$AH$98,"&gt;="&amp;$H225)+(COUNTIFS(工数管理!$AK$3:$AK$98,L$1,工数管理!$K$3:$K$98,"&lt;="&amp;$H225,工数管理!$L$3:$L$98,"")+COUNTIFS(工数管理!$AK$3:$AK$98,L$1,工数管理!$M$3:$M$98,"&lt;="&amp;$H225,工数管理!$N$3:$N$98,"")+COUNTIFS(工数管理!$AK$3:$AK$98,L$1,工数管理!$O$3:$O$98,"&lt;="&amp;$H225,工数管理!$P$3:$P$98,"")+COUNTIFS(工数管理!$AK$3:$AK$98,L$1,工数管理!$Q$3:$Q$98,"&lt;="&amp;$H225,工数管理!$R$3:$R$98,"")+COUNTIFS(工数管理!$AK$3:$AK$98,L$1,工数管理!$S$3:$S$98,"&lt;="&amp;$H225,工数管理!$T$3:$T$98,"")+COUNTIFS(工数管理!$AK$3:$AK$98,L$1,工数管理!$U$3:$U$98,"&lt;="&amp;$H225,工数管理!$V$3:$V$98,"")+COUNTIFS(工数管理!$AK$3:$AK$98,L$1,工数管理!$W$3:$W$98,"&lt;="&amp;$H225,工数管理!$X$3:$X$98,"")+COUNTIFS(工数管理!$AK$3:$AK$98,L$1,工数管理!$Y$3:$Y$98,"&lt;="&amp;$H225,工数管理!$Z$3:$Z$98,"")+COUNTIFS(工数管理!$AK$3:$AK$98,L$1,工数管理!$AA$3:$AA$98,"&lt;="&amp;$H225,工数管理!$AB$3:$AB$98,"")+COUNTIFS(工数管理!$AK$3:$AK$98,L$1,工数管理!$AC$3:$AC$98,"&lt;="&amp;$H225,工数管理!$AD$3:$AD$98,"")+COUNTIFS(工数管理!$AK$3:$AK$98,L$1,工数管理!$AE$3:$AE$98,"&lt;="&amp;$H225,工数管理!$AF$3:$AF$98,"")+COUNTIFS(工数管理!$AK$3:$AK$98,L$1,工数管理!$AG$3:$AG$98,"&lt;="&amp;$H225,工数管理!$AH$3:$AH$98,""))*($H225&lt;=工数管理!$AI$1))</f>
        <v>0</v>
      </c>
    </row>
    <row r="226" spans="8:12" x14ac:dyDescent="0.15">
      <c r="H226" s="41">
        <f t="shared" si="7"/>
        <v>46394</v>
      </c>
      <c r="I226" s="42">
        <f t="shared" si="6"/>
        <v>1</v>
      </c>
      <c r="J226" s="42">
        <f ca="1">IF(J$1="",0,COUNTIFS(工数管理!$AK$3:$AK$98,J$1,工数管理!$K$3:$K$98,"&lt;="&amp;$H226,工数管理!$L$3:$L$98,"&gt;="&amp;$H226)+COUNTIFS(工数管理!$AK$3:$AK$98,J$1,工数管理!$M$3:$M$98,"&lt;="&amp;$H226,工数管理!$N$3:$N$98,"&gt;="&amp;$H226)+COUNTIFS(工数管理!$AK$3:$AK$98,J$1,工数管理!$O$3:$O$98,"&lt;="&amp;$H226,工数管理!$P$3:$P$98,"&gt;="&amp;$H226)+COUNTIFS(工数管理!$AK$3:$AK$98,J$1,工数管理!$Q$3:$Q$98,"&lt;="&amp;$H226,工数管理!$R$3:$R$98,"&gt;="&amp;$H226)+COUNTIFS(工数管理!$AK$3:$AK$98,J$1,工数管理!$S$3:$S$98,"&lt;="&amp;$H226,工数管理!$T$3:$T$98,"&gt;="&amp;$H226)+COUNTIFS(工数管理!$AK$3:$AK$98,J$1,工数管理!$U$3:$U$98,"&lt;="&amp;$H226,工数管理!$V$3:$V$98,"&gt;="&amp;$H226)+COUNTIFS(工数管理!$AK$3:$AK$98,J$1,工数管理!$W$3:$W$98,"&lt;="&amp;$H226,工数管理!$X$3:$X$98,"&gt;="&amp;$H226)+COUNTIFS(工数管理!$AK$3:$AK$98,J$1,工数管理!$Y$3:$Y$98,"&lt;="&amp;$H226,工数管理!$Z$3:$Z$98,"&gt;="&amp;$H226)+COUNTIFS(工数管理!$AK$3:$AK$98,J$1,工数管理!$AA$3:$AA$98,"&lt;="&amp;$H226,工数管理!$AB$3:$AB$98,"&gt;="&amp;$H226)+COUNTIFS(工数管理!$AK$3:$AK$98,J$1,工数管理!$AC$3:$AC$98,"&lt;="&amp;$H226,工数管理!$AD$3:$AD$98,"&gt;="&amp;$H226)+COUNTIFS(工数管理!$AK$3:$AK$98,J$1,工数管理!$AE$3:$AE$98,"&lt;="&amp;$H226,工数管理!$AF$3:$AF$98,"&gt;="&amp;$H226)+COUNTIFS(工数管理!$AK$3:$AK$98,J$1,工数管理!$AG$3:$AG$98,"&lt;="&amp;$H226,工数管理!$AH$3:$AH$98,"&gt;="&amp;$H226)+(COUNTIFS(工数管理!$AK$3:$AK$98,J$1,工数管理!$K$3:$K$98,"&lt;="&amp;$H226,工数管理!$L$3:$L$98,"")+COUNTIFS(工数管理!$AK$3:$AK$98,J$1,工数管理!$M$3:$M$98,"&lt;="&amp;$H226,工数管理!$N$3:$N$98,"")+COUNTIFS(工数管理!$AK$3:$AK$98,J$1,工数管理!$O$3:$O$98,"&lt;="&amp;$H226,工数管理!$P$3:$P$98,"")+COUNTIFS(工数管理!$AK$3:$AK$98,J$1,工数管理!$Q$3:$Q$98,"&lt;="&amp;$H226,工数管理!$R$3:$R$98,"")+COUNTIFS(工数管理!$AK$3:$AK$98,J$1,工数管理!$S$3:$S$98,"&lt;="&amp;$H226,工数管理!$T$3:$T$98,"")+COUNTIFS(工数管理!$AK$3:$AK$98,J$1,工数管理!$U$3:$U$98,"&lt;="&amp;$H226,工数管理!$V$3:$V$98,"")+COUNTIFS(工数管理!$AK$3:$AK$98,J$1,工数管理!$W$3:$W$98,"&lt;="&amp;$H226,工数管理!$X$3:$X$98,"")+COUNTIFS(工数管理!$AK$3:$AK$98,J$1,工数管理!$Y$3:$Y$98,"&lt;="&amp;$H226,工数管理!$Z$3:$Z$98,"")+COUNTIFS(工数管理!$AK$3:$AK$98,J$1,工数管理!$AA$3:$AA$98,"&lt;="&amp;$H226,工数管理!$AB$3:$AB$98,"")+COUNTIFS(工数管理!$AK$3:$AK$98,J$1,工数管理!$AC$3:$AC$98,"&lt;="&amp;$H226,工数管理!$AD$3:$AD$98,"")+COUNTIFS(工数管理!$AK$3:$AK$98,J$1,工数管理!$AE$3:$AE$98,"&lt;="&amp;$H226,工数管理!$AF$3:$AF$98,"")+COUNTIFS(工数管理!$AK$3:$AK$98,J$1,工数管理!$AG$3:$AG$98,"&lt;="&amp;$H226,工数管理!$AH$3:$AH$98,""))*($H226&lt;=工数管理!$AI$1))</f>
        <v>0</v>
      </c>
      <c r="K226" s="42">
        <f ca="1">IF(K$1="",0,COUNTIFS(工数管理!$AK$3:$AK$98,K$1,工数管理!$K$3:$K$98,"&lt;="&amp;$H226,工数管理!$L$3:$L$98,"&gt;="&amp;$H226)+COUNTIFS(工数管理!$AK$3:$AK$98,K$1,工数管理!$M$3:$M$98,"&lt;="&amp;$H226,工数管理!$N$3:$N$98,"&gt;="&amp;$H226)+COUNTIFS(工数管理!$AK$3:$AK$98,K$1,工数管理!$O$3:$O$98,"&lt;="&amp;$H226,工数管理!$P$3:$P$98,"&gt;="&amp;$H226)+COUNTIFS(工数管理!$AK$3:$AK$98,K$1,工数管理!$Q$3:$Q$98,"&lt;="&amp;$H226,工数管理!$R$3:$R$98,"&gt;="&amp;$H226)+COUNTIFS(工数管理!$AK$3:$AK$98,K$1,工数管理!$S$3:$S$98,"&lt;="&amp;$H226,工数管理!$T$3:$T$98,"&gt;="&amp;$H226)+COUNTIFS(工数管理!$AK$3:$AK$98,K$1,工数管理!$U$3:$U$98,"&lt;="&amp;$H226,工数管理!$V$3:$V$98,"&gt;="&amp;$H226)+COUNTIFS(工数管理!$AK$3:$AK$98,K$1,工数管理!$W$3:$W$98,"&lt;="&amp;$H226,工数管理!$X$3:$X$98,"&gt;="&amp;$H226)+COUNTIFS(工数管理!$AK$3:$AK$98,K$1,工数管理!$Y$3:$Y$98,"&lt;="&amp;$H226,工数管理!$Z$3:$Z$98,"&gt;="&amp;$H226)+COUNTIFS(工数管理!$AK$3:$AK$98,K$1,工数管理!$AA$3:$AA$98,"&lt;="&amp;$H226,工数管理!$AB$3:$AB$98,"&gt;="&amp;$H226)+COUNTIFS(工数管理!$AK$3:$AK$98,K$1,工数管理!$AC$3:$AC$98,"&lt;="&amp;$H226,工数管理!$AD$3:$AD$98,"&gt;="&amp;$H226)+COUNTIFS(工数管理!$AK$3:$AK$98,K$1,工数管理!$AE$3:$AE$98,"&lt;="&amp;$H226,工数管理!$AF$3:$AF$98,"&gt;="&amp;$H226)+COUNTIFS(工数管理!$AK$3:$AK$98,K$1,工数管理!$AG$3:$AG$98,"&lt;="&amp;$H226,工数管理!$AH$3:$AH$98,"&gt;="&amp;$H226)+(COUNTIFS(工数管理!$AK$3:$AK$98,K$1,工数管理!$K$3:$K$98,"&lt;="&amp;$H226,工数管理!$L$3:$L$98,"")+COUNTIFS(工数管理!$AK$3:$AK$98,K$1,工数管理!$M$3:$M$98,"&lt;="&amp;$H226,工数管理!$N$3:$N$98,"")+COUNTIFS(工数管理!$AK$3:$AK$98,K$1,工数管理!$O$3:$O$98,"&lt;="&amp;$H226,工数管理!$P$3:$P$98,"")+COUNTIFS(工数管理!$AK$3:$AK$98,K$1,工数管理!$Q$3:$Q$98,"&lt;="&amp;$H226,工数管理!$R$3:$R$98,"")+COUNTIFS(工数管理!$AK$3:$AK$98,K$1,工数管理!$S$3:$S$98,"&lt;="&amp;$H226,工数管理!$T$3:$T$98,"")+COUNTIFS(工数管理!$AK$3:$AK$98,K$1,工数管理!$U$3:$U$98,"&lt;="&amp;$H226,工数管理!$V$3:$V$98,"")+COUNTIFS(工数管理!$AK$3:$AK$98,K$1,工数管理!$W$3:$W$98,"&lt;="&amp;$H226,工数管理!$X$3:$X$98,"")+COUNTIFS(工数管理!$AK$3:$AK$98,K$1,工数管理!$Y$3:$Y$98,"&lt;="&amp;$H226,工数管理!$Z$3:$Z$98,"")+COUNTIFS(工数管理!$AK$3:$AK$98,K$1,工数管理!$AA$3:$AA$98,"&lt;="&amp;$H226,工数管理!$AB$3:$AB$98,"")+COUNTIFS(工数管理!$AK$3:$AK$98,K$1,工数管理!$AC$3:$AC$98,"&lt;="&amp;$H226,工数管理!$AD$3:$AD$98,"")+COUNTIFS(工数管理!$AK$3:$AK$98,K$1,工数管理!$AE$3:$AE$98,"&lt;="&amp;$H226,工数管理!$AF$3:$AF$98,"")+COUNTIFS(工数管理!$AK$3:$AK$98,K$1,工数管理!$AG$3:$AG$98,"&lt;="&amp;$H226,工数管理!$AH$3:$AH$98,""))*($H226&lt;=工数管理!$AI$1))</f>
        <v>0</v>
      </c>
      <c r="L226" s="42">
        <f ca="1">IF(L$1="",0,COUNTIFS(工数管理!$AK$3:$AK$98,L$1,工数管理!$K$3:$K$98,"&lt;="&amp;$H226,工数管理!$L$3:$L$98,"&gt;="&amp;$H226)+COUNTIFS(工数管理!$AK$3:$AK$98,L$1,工数管理!$M$3:$M$98,"&lt;="&amp;$H226,工数管理!$N$3:$N$98,"&gt;="&amp;$H226)+COUNTIFS(工数管理!$AK$3:$AK$98,L$1,工数管理!$O$3:$O$98,"&lt;="&amp;$H226,工数管理!$P$3:$P$98,"&gt;="&amp;$H226)+COUNTIFS(工数管理!$AK$3:$AK$98,L$1,工数管理!$Q$3:$Q$98,"&lt;="&amp;$H226,工数管理!$R$3:$R$98,"&gt;="&amp;$H226)+COUNTIFS(工数管理!$AK$3:$AK$98,L$1,工数管理!$S$3:$S$98,"&lt;="&amp;$H226,工数管理!$T$3:$T$98,"&gt;="&amp;$H226)+COUNTIFS(工数管理!$AK$3:$AK$98,L$1,工数管理!$U$3:$U$98,"&lt;="&amp;$H226,工数管理!$V$3:$V$98,"&gt;="&amp;$H226)+COUNTIFS(工数管理!$AK$3:$AK$98,L$1,工数管理!$W$3:$W$98,"&lt;="&amp;$H226,工数管理!$X$3:$X$98,"&gt;="&amp;$H226)+COUNTIFS(工数管理!$AK$3:$AK$98,L$1,工数管理!$Y$3:$Y$98,"&lt;="&amp;$H226,工数管理!$Z$3:$Z$98,"&gt;="&amp;$H226)+COUNTIFS(工数管理!$AK$3:$AK$98,L$1,工数管理!$AA$3:$AA$98,"&lt;="&amp;$H226,工数管理!$AB$3:$AB$98,"&gt;="&amp;$H226)+COUNTIFS(工数管理!$AK$3:$AK$98,L$1,工数管理!$AC$3:$AC$98,"&lt;="&amp;$H226,工数管理!$AD$3:$AD$98,"&gt;="&amp;$H226)+COUNTIFS(工数管理!$AK$3:$AK$98,L$1,工数管理!$AE$3:$AE$98,"&lt;="&amp;$H226,工数管理!$AF$3:$AF$98,"&gt;="&amp;$H226)+COUNTIFS(工数管理!$AK$3:$AK$98,L$1,工数管理!$AG$3:$AG$98,"&lt;="&amp;$H226,工数管理!$AH$3:$AH$98,"&gt;="&amp;$H226)+(COUNTIFS(工数管理!$AK$3:$AK$98,L$1,工数管理!$K$3:$K$98,"&lt;="&amp;$H226,工数管理!$L$3:$L$98,"")+COUNTIFS(工数管理!$AK$3:$AK$98,L$1,工数管理!$M$3:$M$98,"&lt;="&amp;$H226,工数管理!$N$3:$N$98,"")+COUNTIFS(工数管理!$AK$3:$AK$98,L$1,工数管理!$O$3:$O$98,"&lt;="&amp;$H226,工数管理!$P$3:$P$98,"")+COUNTIFS(工数管理!$AK$3:$AK$98,L$1,工数管理!$Q$3:$Q$98,"&lt;="&amp;$H226,工数管理!$R$3:$R$98,"")+COUNTIFS(工数管理!$AK$3:$AK$98,L$1,工数管理!$S$3:$S$98,"&lt;="&amp;$H226,工数管理!$T$3:$T$98,"")+COUNTIFS(工数管理!$AK$3:$AK$98,L$1,工数管理!$U$3:$U$98,"&lt;="&amp;$H226,工数管理!$V$3:$V$98,"")+COUNTIFS(工数管理!$AK$3:$AK$98,L$1,工数管理!$W$3:$W$98,"&lt;="&amp;$H226,工数管理!$X$3:$X$98,"")+COUNTIFS(工数管理!$AK$3:$AK$98,L$1,工数管理!$Y$3:$Y$98,"&lt;="&amp;$H226,工数管理!$Z$3:$Z$98,"")+COUNTIFS(工数管理!$AK$3:$AK$98,L$1,工数管理!$AA$3:$AA$98,"&lt;="&amp;$H226,工数管理!$AB$3:$AB$98,"")+COUNTIFS(工数管理!$AK$3:$AK$98,L$1,工数管理!$AC$3:$AC$98,"&lt;="&amp;$H226,工数管理!$AD$3:$AD$98,"")+COUNTIFS(工数管理!$AK$3:$AK$98,L$1,工数管理!$AE$3:$AE$98,"&lt;="&amp;$H226,工数管理!$AF$3:$AF$98,"")+COUNTIFS(工数管理!$AK$3:$AK$98,L$1,工数管理!$AG$3:$AG$98,"&lt;="&amp;$H226,工数管理!$AH$3:$AH$98,""))*($H226&lt;=工数管理!$AI$1))</f>
        <v>0</v>
      </c>
    </row>
    <row r="227" spans="8:12" x14ac:dyDescent="0.15">
      <c r="H227" s="41">
        <f t="shared" si="7"/>
        <v>46395</v>
      </c>
      <c r="I227" s="42">
        <f t="shared" si="6"/>
        <v>1</v>
      </c>
      <c r="J227" s="42">
        <f ca="1">IF(J$1="",0,COUNTIFS(工数管理!$AK$3:$AK$98,J$1,工数管理!$K$3:$K$98,"&lt;="&amp;$H227,工数管理!$L$3:$L$98,"&gt;="&amp;$H227)+COUNTIFS(工数管理!$AK$3:$AK$98,J$1,工数管理!$M$3:$M$98,"&lt;="&amp;$H227,工数管理!$N$3:$N$98,"&gt;="&amp;$H227)+COUNTIFS(工数管理!$AK$3:$AK$98,J$1,工数管理!$O$3:$O$98,"&lt;="&amp;$H227,工数管理!$P$3:$P$98,"&gt;="&amp;$H227)+COUNTIFS(工数管理!$AK$3:$AK$98,J$1,工数管理!$Q$3:$Q$98,"&lt;="&amp;$H227,工数管理!$R$3:$R$98,"&gt;="&amp;$H227)+COUNTIFS(工数管理!$AK$3:$AK$98,J$1,工数管理!$S$3:$S$98,"&lt;="&amp;$H227,工数管理!$T$3:$T$98,"&gt;="&amp;$H227)+COUNTIFS(工数管理!$AK$3:$AK$98,J$1,工数管理!$U$3:$U$98,"&lt;="&amp;$H227,工数管理!$V$3:$V$98,"&gt;="&amp;$H227)+COUNTIFS(工数管理!$AK$3:$AK$98,J$1,工数管理!$W$3:$W$98,"&lt;="&amp;$H227,工数管理!$X$3:$X$98,"&gt;="&amp;$H227)+COUNTIFS(工数管理!$AK$3:$AK$98,J$1,工数管理!$Y$3:$Y$98,"&lt;="&amp;$H227,工数管理!$Z$3:$Z$98,"&gt;="&amp;$H227)+COUNTIFS(工数管理!$AK$3:$AK$98,J$1,工数管理!$AA$3:$AA$98,"&lt;="&amp;$H227,工数管理!$AB$3:$AB$98,"&gt;="&amp;$H227)+COUNTIFS(工数管理!$AK$3:$AK$98,J$1,工数管理!$AC$3:$AC$98,"&lt;="&amp;$H227,工数管理!$AD$3:$AD$98,"&gt;="&amp;$H227)+COUNTIFS(工数管理!$AK$3:$AK$98,J$1,工数管理!$AE$3:$AE$98,"&lt;="&amp;$H227,工数管理!$AF$3:$AF$98,"&gt;="&amp;$H227)+COUNTIFS(工数管理!$AK$3:$AK$98,J$1,工数管理!$AG$3:$AG$98,"&lt;="&amp;$H227,工数管理!$AH$3:$AH$98,"&gt;="&amp;$H227)+(COUNTIFS(工数管理!$AK$3:$AK$98,J$1,工数管理!$K$3:$K$98,"&lt;="&amp;$H227,工数管理!$L$3:$L$98,"")+COUNTIFS(工数管理!$AK$3:$AK$98,J$1,工数管理!$M$3:$M$98,"&lt;="&amp;$H227,工数管理!$N$3:$N$98,"")+COUNTIFS(工数管理!$AK$3:$AK$98,J$1,工数管理!$O$3:$O$98,"&lt;="&amp;$H227,工数管理!$P$3:$P$98,"")+COUNTIFS(工数管理!$AK$3:$AK$98,J$1,工数管理!$Q$3:$Q$98,"&lt;="&amp;$H227,工数管理!$R$3:$R$98,"")+COUNTIFS(工数管理!$AK$3:$AK$98,J$1,工数管理!$S$3:$S$98,"&lt;="&amp;$H227,工数管理!$T$3:$T$98,"")+COUNTIFS(工数管理!$AK$3:$AK$98,J$1,工数管理!$U$3:$U$98,"&lt;="&amp;$H227,工数管理!$V$3:$V$98,"")+COUNTIFS(工数管理!$AK$3:$AK$98,J$1,工数管理!$W$3:$W$98,"&lt;="&amp;$H227,工数管理!$X$3:$X$98,"")+COUNTIFS(工数管理!$AK$3:$AK$98,J$1,工数管理!$Y$3:$Y$98,"&lt;="&amp;$H227,工数管理!$Z$3:$Z$98,"")+COUNTIFS(工数管理!$AK$3:$AK$98,J$1,工数管理!$AA$3:$AA$98,"&lt;="&amp;$H227,工数管理!$AB$3:$AB$98,"")+COUNTIFS(工数管理!$AK$3:$AK$98,J$1,工数管理!$AC$3:$AC$98,"&lt;="&amp;$H227,工数管理!$AD$3:$AD$98,"")+COUNTIFS(工数管理!$AK$3:$AK$98,J$1,工数管理!$AE$3:$AE$98,"&lt;="&amp;$H227,工数管理!$AF$3:$AF$98,"")+COUNTIFS(工数管理!$AK$3:$AK$98,J$1,工数管理!$AG$3:$AG$98,"&lt;="&amp;$H227,工数管理!$AH$3:$AH$98,""))*($H227&lt;=工数管理!$AI$1))</f>
        <v>0</v>
      </c>
      <c r="K227" s="42">
        <f ca="1">IF(K$1="",0,COUNTIFS(工数管理!$AK$3:$AK$98,K$1,工数管理!$K$3:$K$98,"&lt;="&amp;$H227,工数管理!$L$3:$L$98,"&gt;="&amp;$H227)+COUNTIFS(工数管理!$AK$3:$AK$98,K$1,工数管理!$M$3:$M$98,"&lt;="&amp;$H227,工数管理!$N$3:$N$98,"&gt;="&amp;$H227)+COUNTIFS(工数管理!$AK$3:$AK$98,K$1,工数管理!$O$3:$O$98,"&lt;="&amp;$H227,工数管理!$P$3:$P$98,"&gt;="&amp;$H227)+COUNTIFS(工数管理!$AK$3:$AK$98,K$1,工数管理!$Q$3:$Q$98,"&lt;="&amp;$H227,工数管理!$R$3:$R$98,"&gt;="&amp;$H227)+COUNTIFS(工数管理!$AK$3:$AK$98,K$1,工数管理!$S$3:$S$98,"&lt;="&amp;$H227,工数管理!$T$3:$T$98,"&gt;="&amp;$H227)+COUNTIFS(工数管理!$AK$3:$AK$98,K$1,工数管理!$U$3:$U$98,"&lt;="&amp;$H227,工数管理!$V$3:$V$98,"&gt;="&amp;$H227)+COUNTIFS(工数管理!$AK$3:$AK$98,K$1,工数管理!$W$3:$W$98,"&lt;="&amp;$H227,工数管理!$X$3:$X$98,"&gt;="&amp;$H227)+COUNTIFS(工数管理!$AK$3:$AK$98,K$1,工数管理!$Y$3:$Y$98,"&lt;="&amp;$H227,工数管理!$Z$3:$Z$98,"&gt;="&amp;$H227)+COUNTIFS(工数管理!$AK$3:$AK$98,K$1,工数管理!$AA$3:$AA$98,"&lt;="&amp;$H227,工数管理!$AB$3:$AB$98,"&gt;="&amp;$H227)+COUNTIFS(工数管理!$AK$3:$AK$98,K$1,工数管理!$AC$3:$AC$98,"&lt;="&amp;$H227,工数管理!$AD$3:$AD$98,"&gt;="&amp;$H227)+COUNTIFS(工数管理!$AK$3:$AK$98,K$1,工数管理!$AE$3:$AE$98,"&lt;="&amp;$H227,工数管理!$AF$3:$AF$98,"&gt;="&amp;$H227)+COUNTIFS(工数管理!$AK$3:$AK$98,K$1,工数管理!$AG$3:$AG$98,"&lt;="&amp;$H227,工数管理!$AH$3:$AH$98,"&gt;="&amp;$H227)+(COUNTIFS(工数管理!$AK$3:$AK$98,K$1,工数管理!$K$3:$K$98,"&lt;="&amp;$H227,工数管理!$L$3:$L$98,"")+COUNTIFS(工数管理!$AK$3:$AK$98,K$1,工数管理!$M$3:$M$98,"&lt;="&amp;$H227,工数管理!$N$3:$N$98,"")+COUNTIFS(工数管理!$AK$3:$AK$98,K$1,工数管理!$O$3:$O$98,"&lt;="&amp;$H227,工数管理!$P$3:$P$98,"")+COUNTIFS(工数管理!$AK$3:$AK$98,K$1,工数管理!$Q$3:$Q$98,"&lt;="&amp;$H227,工数管理!$R$3:$R$98,"")+COUNTIFS(工数管理!$AK$3:$AK$98,K$1,工数管理!$S$3:$S$98,"&lt;="&amp;$H227,工数管理!$T$3:$T$98,"")+COUNTIFS(工数管理!$AK$3:$AK$98,K$1,工数管理!$U$3:$U$98,"&lt;="&amp;$H227,工数管理!$V$3:$V$98,"")+COUNTIFS(工数管理!$AK$3:$AK$98,K$1,工数管理!$W$3:$W$98,"&lt;="&amp;$H227,工数管理!$X$3:$X$98,"")+COUNTIFS(工数管理!$AK$3:$AK$98,K$1,工数管理!$Y$3:$Y$98,"&lt;="&amp;$H227,工数管理!$Z$3:$Z$98,"")+COUNTIFS(工数管理!$AK$3:$AK$98,K$1,工数管理!$AA$3:$AA$98,"&lt;="&amp;$H227,工数管理!$AB$3:$AB$98,"")+COUNTIFS(工数管理!$AK$3:$AK$98,K$1,工数管理!$AC$3:$AC$98,"&lt;="&amp;$H227,工数管理!$AD$3:$AD$98,"")+COUNTIFS(工数管理!$AK$3:$AK$98,K$1,工数管理!$AE$3:$AE$98,"&lt;="&amp;$H227,工数管理!$AF$3:$AF$98,"")+COUNTIFS(工数管理!$AK$3:$AK$98,K$1,工数管理!$AG$3:$AG$98,"&lt;="&amp;$H227,工数管理!$AH$3:$AH$98,""))*($H227&lt;=工数管理!$AI$1))</f>
        <v>0</v>
      </c>
      <c r="L227" s="42">
        <f ca="1">IF(L$1="",0,COUNTIFS(工数管理!$AK$3:$AK$98,L$1,工数管理!$K$3:$K$98,"&lt;="&amp;$H227,工数管理!$L$3:$L$98,"&gt;="&amp;$H227)+COUNTIFS(工数管理!$AK$3:$AK$98,L$1,工数管理!$M$3:$M$98,"&lt;="&amp;$H227,工数管理!$N$3:$N$98,"&gt;="&amp;$H227)+COUNTIFS(工数管理!$AK$3:$AK$98,L$1,工数管理!$O$3:$O$98,"&lt;="&amp;$H227,工数管理!$P$3:$P$98,"&gt;="&amp;$H227)+COUNTIFS(工数管理!$AK$3:$AK$98,L$1,工数管理!$Q$3:$Q$98,"&lt;="&amp;$H227,工数管理!$R$3:$R$98,"&gt;="&amp;$H227)+COUNTIFS(工数管理!$AK$3:$AK$98,L$1,工数管理!$S$3:$S$98,"&lt;="&amp;$H227,工数管理!$T$3:$T$98,"&gt;="&amp;$H227)+COUNTIFS(工数管理!$AK$3:$AK$98,L$1,工数管理!$U$3:$U$98,"&lt;="&amp;$H227,工数管理!$V$3:$V$98,"&gt;="&amp;$H227)+COUNTIFS(工数管理!$AK$3:$AK$98,L$1,工数管理!$W$3:$W$98,"&lt;="&amp;$H227,工数管理!$X$3:$X$98,"&gt;="&amp;$H227)+COUNTIFS(工数管理!$AK$3:$AK$98,L$1,工数管理!$Y$3:$Y$98,"&lt;="&amp;$H227,工数管理!$Z$3:$Z$98,"&gt;="&amp;$H227)+COUNTIFS(工数管理!$AK$3:$AK$98,L$1,工数管理!$AA$3:$AA$98,"&lt;="&amp;$H227,工数管理!$AB$3:$AB$98,"&gt;="&amp;$H227)+COUNTIFS(工数管理!$AK$3:$AK$98,L$1,工数管理!$AC$3:$AC$98,"&lt;="&amp;$H227,工数管理!$AD$3:$AD$98,"&gt;="&amp;$H227)+COUNTIFS(工数管理!$AK$3:$AK$98,L$1,工数管理!$AE$3:$AE$98,"&lt;="&amp;$H227,工数管理!$AF$3:$AF$98,"&gt;="&amp;$H227)+COUNTIFS(工数管理!$AK$3:$AK$98,L$1,工数管理!$AG$3:$AG$98,"&lt;="&amp;$H227,工数管理!$AH$3:$AH$98,"&gt;="&amp;$H227)+(COUNTIFS(工数管理!$AK$3:$AK$98,L$1,工数管理!$K$3:$K$98,"&lt;="&amp;$H227,工数管理!$L$3:$L$98,"")+COUNTIFS(工数管理!$AK$3:$AK$98,L$1,工数管理!$M$3:$M$98,"&lt;="&amp;$H227,工数管理!$N$3:$N$98,"")+COUNTIFS(工数管理!$AK$3:$AK$98,L$1,工数管理!$O$3:$O$98,"&lt;="&amp;$H227,工数管理!$P$3:$P$98,"")+COUNTIFS(工数管理!$AK$3:$AK$98,L$1,工数管理!$Q$3:$Q$98,"&lt;="&amp;$H227,工数管理!$R$3:$R$98,"")+COUNTIFS(工数管理!$AK$3:$AK$98,L$1,工数管理!$S$3:$S$98,"&lt;="&amp;$H227,工数管理!$T$3:$T$98,"")+COUNTIFS(工数管理!$AK$3:$AK$98,L$1,工数管理!$U$3:$U$98,"&lt;="&amp;$H227,工数管理!$V$3:$V$98,"")+COUNTIFS(工数管理!$AK$3:$AK$98,L$1,工数管理!$W$3:$W$98,"&lt;="&amp;$H227,工数管理!$X$3:$X$98,"")+COUNTIFS(工数管理!$AK$3:$AK$98,L$1,工数管理!$Y$3:$Y$98,"&lt;="&amp;$H227,工数管理!$Z$3:$Z$98,"")+COUNTIFS(工数管理!$AK$3:$AK$98,L$1,工数管理!$AA$3:$AA$98,"&lt;="&amp;$H227,工数管理!$AB$3:$AB$98,"")+COUNTIFS(工数管理!$AK$3:$AK$98,L$1,工数管理!$AC$3:$AC$98,"&lt;="&amp;$H227,工数管理!$AD$3:$AD$98,"")+COUNTIFS(工数管理!$AK$3:$AK$98,L$1,工数管理!$AE$3:$AE$98,"&lt;="&amp;$H227,工数管理!$AF$3:$AF$98,"")+COUNTIFS(工数管理!$AK$3:$AK$98,L$1,工数管理!$AG$3:$AG$98,"&lt;="&amp;$H227,工数管理!$AH$3:$AH$98,""))*($H227&lt;=工数管理!$AI$1))</f>
        <v>0</v>
      </c>
    </row>
    <row r="228" spans="8:12" x14ac:dyDescent="0.15">
      <c r="H228" s="41">
        <f t="shared" si="7"/>
        <v>46396</v>
      </c>
      <c r="I228" s="42">
        <f t="shared" si="6"/>
        <v>0</v>
      </c>
      <c r="J228" s="42">
        <f ca="1">IF(J$1="",0,COUNTIFS(工数管理!$AK$3:$AK$98,J$1,工数管理!$K$3:$K$98,"&lt;="&amp;$H228,工数管理!$L$3:$L$98,"&gt;="&amp;$H228)+COUNTIFS(工数管理!$AK$3:$AK$98,J$1,工数管理!$M$3:$M$98,"&lt;="&amp;$H228,工数管理!$N$3:$N$98,"&gt;="&amp;$H228)+COUNTIFS(工数管理!$AK$3:$AK$98,J$1,工数管理!$O$3:$O$98,"&lt;="&amp;$H228,工数管理!$P$3:$P$98,"&gt;="&amp;$H228)+COUNTIFS(工数管理!$AK$3:$AK$98,J$1,工数管理!$Q$3:$Q$98,"&lt;="&amp;$H228,工数管理!$R$3:$R$98,"&gt;="&amp;$H228)+COUNTIFS(工数管理!$AK$3:$AK$98,J$1,工数管理!$S$3:$S$98,"&lt;="&amp;$H228,工数管理!$T$3:$T$98,"&gt;="&amp;$H228)+COUNTIFS(工数管理!$AK$3:$AK$98,J$1,工数管理!$U$3:$U$98,"&lt;="&amp;$H228,工数管理!$V$3:$V$98,"&gt;="&amp;$H228)+COUNTIFS(工数管理!$AK$3:$AK$98,J$1,工数管理!$W$3:$W$98,"&lt;="&amp;$H228,工数管理!$X$3:$X$98,"&gt;="&amp;$H228)+COUNTIFS(工数管理!$AK$3:$AK$98,J$1,工数管理!$Y$3:$Y$98,"&lt;="&amp;$H228,工数管理!$Z$3:$Z$98,"&gt;="&amp;$H228)+COUNTIFS(工数管理!$AK$3:$AK$98,J$1,工数管理!$AA$3:$AA$98,"&lt;="&amp;$H228,工数管理!$AB$3:$AB$98,"&gt;="&amp;$H228)+COUNTIFS(工数管理!$AK$3:$AK$98,J$1,工数管理!$AC$3:$AC$98,"&lt;="&amp;$H228,工数管理!$AD$3:$AD$98,"&gt;="&amp;$H228)+COUNTIFS(工数管理!$AK$3:$AK$98,J$1,工数管理!$AE$3:$AE$98,"&lt;="&amp;$H228,工数管理!$AF$3:$AF$98,"&gt;="&amp;$H228)+COUNTIFS(工数管理!$AK$3:$AK$98,J$1,工数管理!$AG$3:$AG$98,"&lt;="&amp;$H228,工数管理!$AH$3:$AH$98,"&gt;="&amp;$H228)+(COUNTIFS(工数管理!$AK$3:$AK$98,J$1,工数管理!$K$3:$K$98,"&lt;="&amp;$H228,工数管理!$L$3:$L$98,"")+COUNTIFS(工数管理!$AK$3:$AK$98,J$1,工数管理!$M$3:$M$98,"&lt;="&amp;$H228,工数管理!$N$3:$N$98,"")+COUNTIFS(工数管理!$AK$3:$AK$98,J$1,工数管理!$O$3:$O$98,"&lt;="&amp;$H228,工数管理!$P$3:$P$98,"")+COUNTIFS(工数管理!$AK$3:$AK$98,J$1,工数管理!$Q$3:$Q$98,"&lt;="&amp;$H228,工数管理!$R$3:$R$98,"")+COUNTIFS(工数管理!$AK$3:$AK$98,J$1,工数管理!$S$3:$S$98,"&lt;="&amp;$H228,工数管理!$T$3:$T$98,"")+COUNTIFS(工数管理!$AK$3:$AK$98,J$1,工数管理!$U$3:$U$98,"&lt;="&amp;$H228,工数管理!$V$3:$V$98,"")+COUNTIFS(工数管理!$AK$3:$AK$98,J$1,工数管理!$W$3:$W$98,"&lt;="&amp;$H228,工数管理!$X$3:$X$98,"")+COUNTIFS(工数管理!$AK$3:$AK$98,J$1,工数管理!$Y$3:$Y$98,"&lt;="&amp;$H228,工数管理!$Z$3:$Z$98,"")+COUNTIFS(工数管理!$AK$3:$AK$98,J$1,工数管理!$AA$3:$AA$98,"&lt;="&amp;$H228,工数管理!$AB$3:$AB$98,"")+COUNTIFS(工数管理!$AK$3:$AK$98,J$1,工数管理!$AC$3:$AC$98,"&lt;="&amp;$H228,工数管理!$AD$3:$AD$98,"")+COUNTIFS(工数管理!$AK$3:$AK$98,J$1,工数管理!$AE$3:$AE$98,"&lt;="&amp;$H228,工数管理!$AF$3:$AF$98,"")+COUNTIFS(工数管理!$AK$3:$AK$98,J$1,工数管理!$AG$3:$AG$98,"&lt;="&amp;$H228,工数管理!$AH$3:$AH$98,""))*($H228&lt;=工数管理!$AI$1))</f>
        <v>0</v>
      </c>
      <c r="K228" s="42">
        <f ca="1">IF(K$1="",0,COUNTIFS(工数管理!$AK$3:$AK$98,K$1,工数管理!$K$3:$K$98,"&lt;="&amp;$H228,工数管理!$L$3:$L$98,"&gt;="&amp;$H228)+COUNTIFS(工数管理!$AK$3:$AK$98,K$1,工数管理!$M$3:$M$98,"&lt;="&amp;$H228,工数管理!$N$3:$N$98,"&gt;="&amp;$H228)+COUNTIFS(工数管理!$AK$3:$AK$98,K$1,工数管理!$O$3:$O$98,"&lt;="&amp;$H228,工数管理!$P$3:$P$98,"&gt;="&amp;$H228)+COUNTIFS(工数管理!$AK$3:$AK$98,K$1,工数管理!$Q$3:$Q$98,"&lt;="&amp;$H228,工数管理!$R$3:$R$98,"&gt;="&amp;$H228)+COUNTIFS(工数管理!$AK$3:$AK$98,K$1,工数管理!$S$3:$S$98,"&lt;="&amp;$H228,工数管理!$T$3:$T$98,"&gt;="&amp;$H228)+COUNTIFS(工数管理!$AK$3:$AK$98,K$1,工数管理!$U$3:$U$98,"&lt;="&amp;$H228,工数管理!$V$3:$V$98,"&gt;="&amp;$H228)+COUNTIFS(工数管理!$AK$3:$AK$98,K$1,工数管理!$W$3:$W$98,"&lt;="&amp;$H228,工数管理!$X$3:$X$98,"&gt;="&amp;$H228)+COUNTIFS(工数管理!$AK$3:$AK$98,K$1,工数管理!$Y$3:$Y$98,"&lt;="&amp;$H228,工数管理!$Z$3:$Z$98,"&gt;="&amp;$H228)+COUNTIFS(工数管理!$AK$3:$AK$98,K$1,工数管理!$AA$3:$AA$98,"&lt;="&amp;$H228,工数管理!$AB$3:$AB$98,"&gt;="&amp;$H228)+COUNTIFS(工数管理!$AK$3:$AK$98,K$1,工数管理!$AC$3:$AC$98,"&lt;="&amp;$H228,工数管理!$AD$3:$AD$98,"&gt;="&amp;$H228)+COUNTIFS(工数管理!$AK$3:$AK$98,K$1,工数管理!$AE$3:$AE$98,"&lt;="&amp;$H228,工数管理!$AF$3:$AF$98,"&gt;="&amp;$H228)+COUNTIFS(工数管理!$AK$3:$AK$98,K$1,工数管理!$AG$3:$AG$98,"&lt;="&amp;$H228,工数管理!$AH$3:$AH$98,"&gt;="&amp;$H228)+(COUNTIFS(工数管理!$AK$3:$AK$98,K$1,工数管理!$K$3:$K$98,"&lt;="&amp;$H228,工数管理!$L$3:$L$98,"")+COUNTIFS(工数管理!$AK$3:$AK$98,K$1,工数管理!$M$3:$M$98,"&lt;="&amp;$H228,工数管理!$N$3:$N$98,"")+COUNTIFS(工数管理!$AK$3:$AK$98,K$1,工数管理!$O$3:$O$98,"&lt;="&amp;$H228,工数管理!$P$3:$P$98,"")+COUNTIFS(工数管理!$AK$3:$AK$98,K$1,工数管理!$Q$3:$Q$98,"&lt;="&amp;$H228,工数管理!$R$3:$R$98,"")+COUNTIFS(工数管理!$AK$3:$AK$98,K$1,工数管理!$S$3:$S$98,"&lt;="&amp;$H228,工数管理!$T$3:$T$98,"")+COUNTIFS(工数管理!$AK$3:$AK$98,K$1,工数管理!$U$3:$U$98,"&lt;="&amp;$H228,工数管理!$V$3:$V$98,"")+COUNTIFS(工数管理!$AK$3:$AK$98,K$1,工数管理!$W$3:$W$98,"&lt;="&amp;$H228,工数管理!$X$3:$X$98,"")+COUNTIFS(工数管理!$AK$3:$AK$98,K$1,工数管理!$Y$3:$Y$98,"&lt;="&amp;$H228,工数管理!$Z$3:$Z$98,"")+COUNTIFS(工数管理!$AK$3:$AK$98,K$1,工数管理!$AA$3:$AA$98,"&lt;="&amp;$H228,工数管理!$AB$3:$AB$98,"")+COUNTIFS(工数管理!$AK$3:$AK$98,K$1,工数管理!$AC$3:$AC$98,"&lt;="&amp;$H228,工数管理!$AD$3:$AD$98,"")+COUNTIFS(工数管理!$AK$3:$AK$98,K$1,工数管理!$AE$3:$AE$98,"&lt;="&amp;$H228,工数管理!$AF$3:$AF$98,"")+COUNTIFS(工数管理!$AK$3:$AK$98,K$1,工数管理!$AG$3:$AG$98,"&lt;="&amp;$H228,工数管理!$AH$3:$AH$98,""))*($H228&lt;=工数管理!$AI$1))</f>
        <v>0</v>
      </c>
      <c r="L228" s="42">
        <f ca="1">IF(L$1="",0,COUNTIFS(工数管理!$AK$3:$AK$98,L$1,工数管理!$K$3:$K$98,"&lt;="&amp;$H228,工数管理!$L$3:$L$98,"&gt;="&amp;$H228)+COUNTIFS(工数管理!$AK$3:$AK$98,L$1,工数管理!$M$3:$M$98,"&lt;="&amp;$H228,工数管理!$N$3:$N$98,"&gt;="&amp;$H228)+COUNTIFS(工数管理!$AK$3:$AK$98,L$1,工数管理!$O$3:$O$98,"&lt;="&amp;$H228,工数管理!$P$3:$P$98,"&gt;="&amp;$H228)+COUNTIFS(工数管理!$AK$3:$AK$98,L$1,工数管理!$Q$3:$Q$98,"&lt;="&amp;$H228,工数管理!$R$3:$R$98,"&gt;="&amp;$H228)+COUNTIFS(工数管理!$AK$3:$AK$98,L$1,工数管理!$S$3:$S$98,"&lt;="&amp;$H228,工数管理!$T$3:$T$98,"&gt;="&amp;$H228)+COUNTIFS(工数管理!$AK$3:$AK$98,L$1,工数管理!$U$3:$U$98,"&lt;="&amp;$H228,工数管理!$V$3:$V$98,"&gt;="&amp;$H228)+COUNTIFS(工数管理!$AK$3:$AK$98,L$1,工数管理!$W$3:$W$98,"&lt;="&amp;$H228,工数管理!$X$3:$X$98,"&gt;="&amp;$H228)+COUNTIFS(工数管理!$AK$3:$AK$98,L$1,工数管理!$Y$3:$Y$98,"&lt;="&amp;$H228,工数管理!$Z$3:$Z$98,"&gt;="&amp;$H228)+COUNTIFS(工数管理!$AK$3:$AK$98,L$1,工数管理!$AA$3:$AA$98,"&lt;="&amp;$H228,工数管理!$AB$3:$AB$98,"&gt;="&amp;$H228)+COUNTIFS(工数管理!$AK$3:$AK$98,L$1,工数管理!$AC$3:$AC$98,"&lt;="&amp;$H228,工数管理!$AD$3:$AD$98,"&gt;="&amp;$H228)+COUNTIFS(工数管理!$AK$3:$AK$98,L$1,工数管理!$AE$3:$AE$98,"&lt;="&amp;$H228,工数管理!$AF$3:$AF$98,"&gt;="&amp;$H228)+COUNTIFS(工数管理!$AK$3:$AK$98,L$1,工数管理!$AG$3:$AG$98,"&lt;="&amp;$H228,工数管理!$AH$3:$AH$98,"&gt;="&amp;$H228)+(COUNTIFS(工数管理!$AK$3:$AK$98,L$1,工数管理!$K$3:$K$98,"&lt;="&amp;$H228,工数管理!$L$3:$L$98,"")+COUNTIFS(工数管理!$AK$3:$AK$98,L$1,工数管理!$M$3:$M$98,"&lt;="&amp;$H228,工数管理!$N$3:$N$98,"")+COUNTIFS(工数管理!$AK$3:$AK$98,L$1,工数管理!$O$3:$O$98,"&lt;="&amp;$H228,工数管理!$P$3:$P$98,"")+COUNTIFS(工数管理!$AK$3:$AK$98,L$1,工数管理!$Q$3:$Q$98,"&lt;="&amp;$H228,工数管理!$R$3:$R$98,"")+COUNTIFS(工数管理!$AK$3:$AK$98,L$1,工数管理!$S$3:$S$98,"&lt;="&amp;$H228,工数管理!$T$3:$T$98,"")+COUNTIFS(工数管理!$AK$3:$AK$98,L$1,工数管理!$U$3:$U$98,"&lt;="&amp;$H228,工数管理!$V$3:$V$98,"")+COUNTIFS(工数管理!$AK$3:$AK$98,L$1,工数管理!$W$3:$W$98,"&lt;="&amp;$H228,工数管理!$X$3:$X$98,"")+COUNTIFS(工数管理!$AK$3:$AK$98,L$1,工数管理!$Y$3:$Y$98,"&lt;="&amp;$H228,工数管理!$Z$3:$Z$98,"")+COUNTIFS(工数管理!$AK$3:$AK$98,L$1,工数管理!$AA$3:$AA$98,"&lt;="&amp;$H228,工数管理!$AB$3:$AB$98,"")+COUNTIFS(工数管理!$AK$3:$AK$98,L$1,工数管理!$AC$3:$AC$98,"&lt;="&amp;$H228,工数管理!$AD$3:$AD$98,"")+COUNTIFS(工数管理!$AK$3:$AK$98,L$1,工数管理!$AE$3:$AE$98,"&lt;="&amp;$H228,工数管理!$AF$3:$AF$98,"")+COUNTIFS(工数管理!$AK$3:$AK$98,L$1,工数管理!$AG$3:$AG$98,"&lt;="&amp;$H228,工数管理!$AH$3:$AH$98,""))*($H228&lt;=工数管理!$AI$1))</f>
        <v>0</v>
      </c>
    </row>
    <row r="229" spans="8:12" x14ac:dyDescent="0.15">
      <c r="H229" s="41">
        <f t="shared" si="7"/>
        <v>46397</v>
      </c>
      <c r="I229" s="42">
        <f t="shared" si="6"/>
        <v>0</v>
      </c>
      <c r="J229" s="42">
        <f ca="1">IF(J$1="",0,COUNTIFS(工数管理!$AK$3:$AK$98,J$1,工数管理!$K$3:$K$98,"&lt;="&amp;$H229,工数管理!$L$3:$L$98,"&gt;="&amp;$H229)+COUNTIFS(工数管理!$AK$3:$AK$98,J$1,工数管理!$M$3:$M$98,"&lt;="&amp;$H229,工数管理!$N$3:$N$98,"&gt;="&amp;$H229)+COUNTIFS(工数管理!$AK$3:$AK$98,J$1,工数管理!$O$3:$O$98,"&lt;="&amp;$H229,工数管理!$P$3:$P$98,"&gt;="&amp;$H229)+COUNTIFS(工数管理!$AK$3:$AK$98,J$1,工数管理!$Q$3:$Q$98,"&lt;="&amp;$H229,工数管理!$R$3:$R$98,"&gt;="&amp;$H229)+COUNTIFS(工数管理!$AK$3:$AK$98,J$1,工数管理!$S$3:$S$98,"&lt;="&amp;$H229,工数管理!$T$3:$T$98,"&gt;="&amp;$H229)+COUNTIFS(工数管理!$AK$3:$AK$98,J$1,工数管理!$U$3:$U$98,"&lt;="&amp;$H229,工数管理!$V$3:$V$98,"&gt;="&amp;$H229)+COUNTIFS(工数管理!$AK$3:$AK$98,J$1,工数管理!$W$3:$W$98,"&lt;="&amp;$H229,工数管理!$X$3:$X$98,"&gt;="&amp;$H229)+COUNTIFS(工数管理!$AK$3:$AK$98,J$1,工数管理!$Y$3:$Y$98,"&lt;="&amp;$H229,工数管理!$Z$3:$Z$98,"&gt;="&amp;$H229)+COUNTIFS(工数管理!$AK$3:$AK$98,J$1,工数管理!$AA$3:$AA$98,"&lt;="&amp;$H229,工数管理!$AB$3:$AB$98,"&gt;="&amp;$H229)+COUNTIFS(工数管理!$AK$3:$AK$98,J$1,工数管理!$AC$3:$AC$98,"&lt;="&amp;$H229,工数管理!$AD$3:$AD$98,"&gt;="&amp;$H229)+COUNTIFS(工数管理!$AK$3:$AK$98,J$1,工数管理!$AE$3:$AE$98,"&lt;="&amp;$H229,工数管理!$AF$3:$AF$98,"&gt;="&amp;$H229)+COUNTIFS(工数管理!$AK$3:$AK$98,J$1,工数管理!$AG$3:$AG$98,"&lt;="&amp;$H229,工数管理!$AH$3:$AH$98,"&gt;="&amp;$H229)+(COUNTIFS(工数管理!$AK$3:$AK$98,J$1,工数管理!$K$3:$K$98,"&lt;="&amp;$H229,工数管理!$L$3:$L$98,"")+COUNTIFS(工数管理!$AK$3:$AK$98,J$1,工数管理!$M$3:$M$98,"&lt;="&amp;$H229,工数管理!$N$3:$N$98,"")+COUNTIFS(工数管理!$AK$3:$AK$98,J$1,工数管理!$O$3:$O$98,"&lt;="&amp;$H229,工数管理!$P$3:$P$98,"")+COUNTIFS(工数管理!$AK$3:$AK$98,J$1,工数管理!$Q$3:$Q$98,"&lt;="&amp;$H229,工数管理!$R$3:$R$98,"")+COUNTIFS(工数管理!$AK$3:$AK$98,J$1,工数管理!$S$3:$S$98,"&lt;="&amp;$H229,工数管理!$T$3:$T$98,"")+COUNTIFS(工数管理!$AK$3:$AK$98,J$1,工数管理!$U$3:$U$98,"&lt;="&amp;$H229,工数管理!$V$3:$V$98,"")+COUNTIFS(工数管理!$AK$3:$AK$98,J$1,工数管理!$W$3:$W$98,"&lt;="&amp;$H229,工数管理!$X$3:$X$98,"")+COUNTIFS(工数管理!$AK$3:$AK$98,J$1,工数管理!$Y$3:$Y$98,"&lt;="&amp;$H229,工数管理!$Z$3:$Z$98,"")+COUNTIFS(工数管理!$AK$3:$AK$98,J$1,工数管理!$AA$3:$AA$98,"&lt;="&amp;$H229,工数管理!$AB$3:$AB$98,"")+COUNTIFS(工数管理!$AK$3:$AK$98,J$1,工数管理!$AC$3:$AC$98,"&lt;="&amp;$H229,工数管理!$AD$3:$AD$98,"")+COUNTIFS(工数管理!$AK$3:$AK$98,J$1,工数管理!$AE$3:$AE$98,"&lt;="&amp;$H229,工数管理!$AF$3:$AF$98,"")+COUNTIFS(工数管理!$AK$3:$AK$98,J$1,工数管理!$AG$3:$AG$98,"&lt;="&amp;$H229,工数管理!$AH$3:$AH$98,""))*($H229&lt;=工数管理!$AI$1))</f>
        <v>0</v>
      </c>
      <c r="K229" s="42">
        <f ca="1">IF(K$1="",0,COUNTIFS(工数管理!$AK$3:$AK$98,K$1,工数管理!$K$3:$K$98,"&lt;="&amp;$H229,工数管理!$L$3:$L$98,"&gt;="&amp;$H229)+COUNTIFS(工数管理!$AK$3:$AK$98,K$1,工数管理!$M$3:$M$98,"&lt;="&amp;$H229,工数管理!$N$3:$N$98,"&gt;="&amp;$H229)+COUNTIFS(工数管理!$AK$3:$AK$98,K$1,工数管理!$O$3:$O$98,"&lt;="&amp;$H229,工数管理!$P$3:$P$98,"&gt;="&amp;$H229)+COUNTIFS(工数管理!$AK$3:$AK$98,K$1,工数管理!$Q$3:$Q$98,"&lt;="&amp;$H229,工数管理!$R$3:$R$98,"&gt;="&amp;$H229)+COUNTIFS(工数管理!$AK$3:$AK$98,K$1,工数管理!$S$3:$S$98,"&lt;="&amp;$H229,工数管理!$T$3:$T$98,"&gt;="&amp;$H229)+COUNTIFS(工数管理!$AK$3:$AK$98,K$1,工数管理!$U$3:$U$98,"&lt;="&amp;$H229,工数管理!$V$3:$V$98,"&gt;="&amp;$H229)+COUNTIFS(工数管理!$AK$3:$AK$98,K$1,工数管理!$W$3:$W$98,"&lt;="&amp;$H229,工数管理!$X$3:$X$98,"&gt;="&amp;$H229)+COUNTIFS(工数管理!$AK$3:$AK$98,K$1,工数管理!$Y$3:$Y$98,"&lt;="&amp;$H229,工数管理!$Z$3:$Z$98,"&gt;="&amp;$H229)+COUNTIFS(工数管理!$AK$3:$AK$98,K$1,工数管理!$AA$3:$AA$98,"&lt;="&amp;$H229,工数管理!$AB$3:$AB$98,"&gt;="&amp;$H229)+COUNTIFS(工数管理!$AK$3:$AK$98,K$1,工数管理!$AC$3:$AC$98,"&lt;="&amp;$H229,工数管理!$AD$3:$AD$98,"&gt;="&amp;$H229)+COUNTIFS(工数管理!$AK$3:$AK$98,K$1,工数管理!$AE$3:$AE$98,"&lt;="&amp;$H229,工数管理!$AF$3:$AF$98,"&gt;="&amp;$H229)+COUNTIFS(工数管理!$AK$3:$AK$98,K$1,工数管理!$AG$3:$AG$98,"&lt;="&amp;$H229,工数管理!$AH$3:$AH$98,"&gt;="&amp;$H229)+(COUNTIFS(工数管理!$AK$3:$AK$98,K$1,工数管理!$K$3:$K$98,"&lt;="&amp;$H229,工数管理!$L$3:$L$98,"")+COUNTIFS(工数管理!$AK$3:$AK$98,K$1,工数管理!$M$3:$M$98,"&lt;="&amp;$H229,工数管理!$N$3:$N$98,"")+COUNTIFS(工数管理!$AK$3:$AK$98,K$1,工数管理!$O$3:$O$98,"&lt;="&amp;$H229,工数管理!$P$3:$P$98,"")+COUNTIFS(工数管理!$AK$3:$AK$98,K$1,工数管理!$Q$3:$Q$98,"&lt;="&amp;$H229,工数管理!$R$3:$R$98,"")+COUNTIFS(工数管理!$AK$3:$AK$98,K$1,工数管理!$S$3:$S$98,"&lt;="&amp;$H229,工数管理!$T$3:$T$98,"")+COUNTIFS(工数管理!$AK$3:$AK$98,K$1,工数管理!$U$3:$U$98,"&lt;="&amp;$H229,工数管理!$V$3:$V$98,"")+COUNTIFS(工数管理!$AK$3:$AK$98,K$1,工数管理!$W$3:$W$98,"&lt;="&amp;$H229,工数管理!$X$3:$X$98,"")+COUNTIFS(工数管理!$AK$3:$AK$98,K$1,工数管理!$Y$3:$Y$98,"&lt;="&amp;$H229,工数管理!$Z$3:$Z$98,"")+COUNTIFS(工数管理!$AK$3:$AK$98,K$1,工数管理!$AA$3:$AA$98,"&lt;="&amp;$H229,工数管理!$AB$3:$AB$98,"")+COUNTIFS(工数管理!$AK$3:$AK$98,K$1,工数管理!$AC$3:$AC$98,"&lt;="&amp;$H229,工数管理!$AD$3:$AD$98,"")+COUNTIFS(工数管理!$AK$3:$AK$98,K$1,工数管理!$AE$3:$AE$98,"&lt;="&amp;$H229,工数管理!$AF$3:$AF$98,"")+COUNTIFS(工数管理!$AK$3:$AK$98,K$1,工数管理!$AG$3:$AG$98,"&lt;="&amp;$H229,工数管理!$AH$3:$AH$98,""))*($H229&lt;=工数管理!$AI$1))</f>
        <v>0</v>
      </c>
      <c r="L229" s="42">
        <f ca="1">IF(L$1="",0,COUNTIFS(工数管理!$AK$3:$AK$98,L$1,工数管理!$K$3:$K$98,"&lt;="&amp;$H229,工数管理!$L$3:$L$98,"&gt;="&amp;$H229)+COUNTIFS(工数管理!$AK$3:$AK$98,L$1,工数管理!$M$3:$M$98,"&lt;="&amp;$H229,工数管理!$N$3:$N$98,"&gt;="&amp;$H229)+COUNTIFS(工数管理!$AK$3:$AK$98,L$1,工数管理!$O$3:$O$98,"&lt;="&amp;$H229,工数管理!$P$3:$P$98,"&gt;="&amp;$H229)+COUNTIFS(工数管理!$AK$3:$AK$98,L$1,工数管理!$Q$3:$Q$98,"&lt;="&amp;$H229,工数管理!$R$3:$R$98,"&gt;="&amp;$H229)+COUNTIFS(工数管理!$AK$3:$AK$98,L$1,工数管理!$S$3:$S$98,"&lt;="&amp;$H229,工数管理!$T$3:$T$98,"&gt;="&amp;$H229)+COUNTIFS(工数管理!$AK$3:$AK$98,L$1,工数管理!$U$3:$U$98,"&lt;="&amp;$H229,工数管理!$V$3:$V$98,"&gt;="&amp;$H229)+COUNTIFS(工数管理!$AK$3:$AK$98,L$1,工数管理!$W$3:$W$98,"&lt;="&amp;$H229,工数管理!$X$3:$X$98,"&gt;="&amp;$H229)+COUNTIFS(工数管理!$AK$3:$AK$98,L$1,工数管理!$Y$3:$Y$98,"&lt;="&amp;$H229,工数管理!$Z$3:$Z$98,"&gt;="&amp;$H229)+COUNTIFS(工数管理!$AK$3:$AK$98,L$1,工数管理!$AA$3:$AA$98,"&lt;="&amp;$H229,工数管理!$AB$3:$AB$98,"&gt;="&amp;$H229)+COUNTIFS(工数管理!$AK$3:$AK$98,L$1,工数管理!$AC$3:$AC$98,"&lt;="&amp;$H229,工数管理!$AD$3:$AD$98,"&gt;="&amp;$H229)+COUNTIFS(工数管理!$AK$3:$AK$98,L$1,工数管理!$AE$3:$AE$98,"&lt;="&amp;$H229,工数管理!$AF$3:$AF$98,"&gt;="&amp;$H229)+COUNTIFS(工数管理!$AK$3:$AK$98,L$1,工数管理!$AG$3:$AG$98,"&lt;="&amp;$H229,工数管理!$AH$3:$AH$98,"&gt;="&amp;$H229)+(COUNTIFS(工数管理!$AK$3:$AK$98,L$1,工数管理!$K$3:$K$98,"&lt;="&amp;$H229,工数管理!$L$3:$L$98,"")+COUNTIFS(工数管理!$AK$3:$AK$98,L$1,工数管理!$M$3:$M$98,"&lt;="&amp;$H229,工数管理!$N$3:$N$98,"")+COUNTIFS(工数管理!$AK$3:$AK$98,L$1,工数管理!$O$3:$O$98,"&lt;="&amp;$H229,工数管理!$P$3:$P$98,"")+COUNTIFS(工数管理!$AK$3:$AK$98,L$1,工数管理!$Q$3:$Q$98,"&lt;="&amp;$H229,工数管理!$R$3:$R$98,"")+COUNTIFS(工数管理!$AK$3:$AK$98,L$1,工数管理!$S$3:$S$98,"&lt;="&amp;$H229,工数管理!$T$3:$T$98,"")+COUNTIFS(工数管理!$AK$3:$AK$98,L$1,工数管理!$U$3:$U$98,"&lt;="&amp;$H229,工数管理!$V$3:$V$98,"")+COUNTIFS(工数管理!$AK$3:$AK$98,L$1,工数管理!$W$3:$W$98,"&lt;="&amp;$H229,工数管理!$X$3:$X$98,"")+COUNTIFS(工数管理!$AK$3:$AK$98,L$1,工数管理!$Y$3:$Y$98,"&lt;="&amp;$H229,工数管理!$Z$3:$Z$98,"")+COUNTIFS(工数管理!$AK$3:$AK$98,L$1,工数管理!$AA$3:$AA$98,"&lt;="&amp;$H229,工数管理!$AB$3:$AB$98,"")+COUNTIFS(工数管理!$AK$3:$AK$98,L$1,工数管理!$AC$3:$AC$98,"&lt;="&amp;$H229,工数管理!$AD$3:$AD$98,"")+COUNTIFS(工数管理!$AK$3:$AK$98,L$1,工数管理!$AE$3:$AE$98,"&lt;="&amp;$H229,工数管理!$AF$3:$AF$98,"")+COUNTIFS(工数管理!$AK$3:$AK$98,L$1,工数管理!$AG$3:$AG$98,"&lt;="&amp;$H229,工数管理!$AH$3:$AH$98,""))*($H229&lt;=工数管理!$AI$1))</f>
        <v>0</v>
      </c>
    </row>
    <row r="230" spans="8:12" x14ac:dyDescent="0.15">
      <c r="H230" s="41">
        <f t="shared" si="7"/>
        <v>46398</v>
      </c>
      <c r="I230" s="42">
        <f t="shared" si="6"/>
        <v>0</v>
      </c>
      <c r="J230" s="42">
        <f ca="1">IF(J$1="",0,COUNTIFS(工数管理!$AK$3:$AK$98,J$1,工数管理!$K$3:$K$98,"&lt;="&amp;$H230,工数管理!$L$3:$L$98,"&gt;="&amp;$H230)+COUNTIFS(工数管理!$AK$3:$AK$98,J$1,工数管理!$M$3:$M$98,"&lt;="&amp;$H230,工数管理!$N$3:$N$98,"&gt;="&amp;$H230)+COUNTIFS(工数管理!$AK$3:$AK$98,J$1,工数管理!$O$3:$O$98,"&lt;="&amp;$H230,工数管理!$P$3:$P$98,"&gt;="&amp;$H230)+COUNTIFS(工数管理!$AK$3:$AK$98,J$1,工数管理!$Q$3:$Q$98,"&lt;="&amp;$H230,工数管理!$R$3:$R$98,"&gt;="&amp;$H230)+COUNTIFS(工数管理!$AK$3:$AK$98,J$1,工数管理!$S$3:$S$98,"&lt;="&amp;$H230,工数管理!$T$3:$T$98,"&gt;="&amp;$H230)+COUNTIFS(工数管理!$AK$3:$AK$98,J$1,工数管理!$U$3:$U$98,"&lt;="&amp;$H230,工数管理!$V$3:$V$98,"&gt;="&amp;$H230)+COUNTIFS(工数管理!$AK$3:$AK$98,J$1,工数管理!$W$3:$W$98,"&lt;="&amp;$H230,工数管理!$X$3:$X$98,"&gt;="&amp;$H230)+COUNTIFS(工数管理!$AK$3:$AK$98,J$1,工数管理!$Y$3:$Y$98,"&lt;="&amp;$H230,工数管理!$Z$3:$Z$98,"&gt;="&amp;$H230)+COUNTIFS(工数管理!$AK$3:$AK$98,J$1,工数管理!$AA$3:$AA$98,"&lt;="&amp;$H230,工数管理!$AB$3:$AB$98,"&gt;="&amp;$H230)+COUNTIFS(工数管理!$AK$3:$AK$98,J$1,工数管理!$AC$3:$AC$98,"&lt;="&amp;$H230,工数管理!$AD$3:$AD$98,"&gt;="&amp;$H230)+COUNTIFS(工数管理!$AK$3:$AK$98,J$1,工数管理!$AE$3:$AE$98,"&lt;="&amp;$H230,工数管理!$AF$3:$AF$98,"&gt;="&amp;$H230)+COUNTIFS(工数管理!$AK$3:$AK$98,J$1,工数管理!$AG$3:$AG$98,"&lt;="&amp;$H230,工数管理!$AH$3:$AH$98,"&gt;="&amp;$H230)+(COUNTIFS(工数管理!$AK$3:$AK$98,J$1,工数管理!$K$3:$K$98,"&lt;="&amp;$H230,工数管理!$L$3:$L$98,"")+COUNTIFS(工数管理!$AK$3:$AK$98,J$1,工数管理!$M$3:$M$98,"&lt;="&amp;$H230,工数管理!$N$3:$N$98,"")+COUNTIFS(工数管理!$AK$3:$AK$98,J$1,工数管理!$O$3:$O$98,"&lt;="&amp;$H230,工数管理!$P$3:$P$98,"")+COUNTIFS(工数管理!$AK$3:$AK$98,J$1,工数管理!$Q$3:$Q$98,"&lt;="&amp;$H230,工数管理!$R$3:$R$98,"")+COUNTIFS(工数管理!$AK$3:$AK$98,J$1,工数管理!$S$3:$S$98,"&lt;="&amp;$H230,工数管理!$T$3:$T$98,"")+COUNTIFS(工数管理!$AK$3:$AK$98,J$1,工数管理!$U$3:$U$98,"&lt;="&amp;$H230,工数管理!$V$3:$V$98,"")+COUNTIFS(工数管理!$AK$3:$AK$98,J$1,工数管理!$W$3:$W$98,"&lt;="&amp;$H230,工数管理!$X$3:$X$98,"")+COUNTIFS(工数管理!$AK$3:$AK$98,J$1,工数管理!$Y$3:$Y$98,"&lt;="&amp;$H230,工数管理!$Z$3:$Z$98,"")+COUNTIFS(工数管理!$AK$3:$AK$98,J$1,工数管理!$AA$3:$AA$98,"&lt;="&amp;$H230,工数管理!$AB$3:$AB$98,"")+COUNTIFS(工数管理!$AK$3:$AK$98,J$1,工数管理!$AC$3:$AC$98,"&lt;="&amp;$H230,工数管理!$AD$3:$AD$98,"")+COUNTIFS(工数管理!$AK$3:$AK$98,J$1,工数管理!$AE$3:$AE$98,"&lt;="&amp;$H230,工数管理!$AF$3:$AF$98,"")+COUNTIFS(工数管理!$AK$3:$AK$98,J$1,工数管理!$AG$3:$AG$98,"&lt;="&amp;$H230,工数管理!$AH$3:$AH$98,""))*($H230&lt;=工数管理!$AI$1))</f>
        <v>0</v>
      </c>
      <c r="K230" s="42">
        <f ca="1">IF(K$1="",0,COUNTIFS(工数管理!$AK$3:$AK$98,K$1,工数管理!$K$3:$K$98,"&lt;="&amp;$H230,工数管理!$L$3:$L$98,"&gt;="&amp;$H230)+COUNTIFS(工数管理!$AK$3:$AK$98,K$1,工数管理!$M$3:$M$98,"&lt;="&amp;$H230,工数管理!$N$3:$N$98,"&gt;="&amp;$H230)+COUNTIFS(工数管理!$AK$3:$AK$98,K$1,工数管理!$O$3:$O$98,"&lt;="&amp;$H230,工数管理!$P$3:$P$98,"&gt;="&amp;$H230)+COUNTIFS(工数管理!$AK$3:$AK$98,K$1,工数管理!$Q$3:$Q$98,"&lt;="&amp;$H230,工数管理!$R$3:$R$98,"&gt;="&amp;$H230)+COUNTIFS(工数管理!$AK$3:$AK$98,K$1,工数管理!$S$3:$S$98,"&lt;="&amp;$H230,工数管理!$T$3:$T$98,"&gt;="&amp;$H230)+COUNTIFS(工数管理!$AK$3:$AK$98,K$1,工数管理!$U$3:$U$98,"&lt;="&amp;$H230,工数管理!$V$3:$V$98,"&gt;="&amp;$H230)+COUNTIFS(工数管理!$AK$3:$AK$98,K$1,工数管理!$W$3:$W$98,"&lt;="&amp;$H230,工数管理!$X$3:$X$98,"&gt;="&amp;$H230)+COUNTIFS(工数管理!$AK$3:$AK$98,K$1,工数管理!$Y$3:$Y$98,"&lt;="&amp;$H230,工数管理!$Z$3:$Z$98,"&gt;="&amp;$H230)+COUNTIFS(工数管理!$AK$3:$AK$98,K$1,工数管理!$AA$3:$AA$98,"&lt;="&amp;$H230,工数管理!$AB$3:$AB$98,"&gt;="&amp;$H230)+COUNTIFS(工数管理!$AK$3:$AK$98,K$1,工数管理!$AC$3:$AC$98,"&lt;="&amp;$H230,工数管理!$AD$3:$AD$98,"&gt;="&amp;$H230)+COUNTIFS(工数管理!$AK$3:$AK$98,K$1,工数管理!$AE$3:$AE$98,"&lt;="&amp;$H230,工数管理!$AF$3:$AF$98,"&gt;="&amp;$H230)+COUNTIFS(工数管理!$AK$3:$AK$98,K$1,工数管理!$AG$3:$AG$98,"&lt;="&amp;$H230,工数管理!$AH$3:$AH$98,"&gt;="&amp;$H230)+(COUNTIFS(工数管理!$AK$3:$AK$98,K$1,工数管理!$K$3:$K$98,"&lt;="&amp;$H230,工数管理!$L$3:$L$98,"")+COUNTIFS(工数管理!$AK$3:$AK$98,K$1,工数管理!$M$3:$M$98,"&lt;="&amp;$H230,工数管理!$N$3:$N$98,"")+COUNTIFS(工数管理!$AK$3:$AK$98,K$1,工数管理!$O$3:$O$98,"&lt;="&amp;$H230,工数管理!$P$3:$P$98,"")+COUNTIFS(工数管理!$AK$3:$AK$98,K$1,工数管理!$Q$3:$Q$98,"&lt;="&amp;$H230,工数管理!$R$3:$R$98,"")+COUNTIFS(工数管理!$AK$3:$AK$98,K$1,工数管理!$S$3:$S$98,"&lt;="&amp;$H230,工数管理!$T$3:$T$98,"")+COUNTIFS(工数管理!$AK$3:$AK$98,K$1,工数管理!$U$3:$U$98,"&lt;="&amp;$H230,工数管理!$V$3:$V$98,"")+COUNTIFS(工数管理!$AK$3:$AK$98,K$1,工数管理!$W$3:$W$98,"&lt;="&amp;$H230,工数管理!$X$3:$X$98,"")+COUNTIFS(工数管理!$AK$3:$AK$98,K$1,工数管理!$Y$3:$Y$98,"&lt;="&amp;$H230,工数管理!$Z$3:$Z$98,"")+COUNTIFS(工数管理!$AK$3:$AK$98,K$1,工数管理!$AA$3:$AA$98,"&lt;="&amp;$H230,工数管理!$AB$3:$AB$98,"")+COUNTIFS(工数管理!$AK$3:$AK$98,K$1,工数管理!$AC$3:$AC$98,"&lt;="&amp;$H230,工数管理!$AD$3:$AD$98,"")+COUNTIFS(工数管理!$AK$3:$AK$98,K$1,工数管理!$AE$3:$AE$98,"&lt;="&amp;$H230,工数管理!$AF$3:$AF$98,"")+COUNTIFS(工数管理!$AK$3:$AK$98,K$1,工数管理!$AG$3:$AG$98,"&lt;="&amp;$H230,工数管理!$AH$3:$AH$98,""))*($H230&lt;=工数管理!$AI$1))</f>
        <v>0</v>
      </c>
      <c r="L230" s="42">
        <f ca="1">IF(L$1="",0,COUNTIFS(工数管理!$AK$3:$AK$98,L$1,工数管理!$K$3:$K$98,"&lt;="&amp;$H230,工数管理!$L$3:$L$98,"&gt;="&amp;$H230)+COUNTIFS(工数管理!$AK$3:$AK$98,L$1,工数管理!$M$3:$M$98,"&lt;="&amp;$H230,工数管理!$N$3:$N$98,"&gt;="&amp;$H230)+COUNTIFS(工数管理!$AK$3:$AK$98,L$1,工数管理!$O$3:$O$98,"&lt;="&amp;$H230,工数管理!$P$3:$P$98,"&gt;="&amp;$H230)+COUNTIFS(工数管理!$AK$3:$AK$98,L$1,工数管理!$Q$3:$Q$98,"&lt;="&amp;$H230,工数管理!$R$3:$R$98,"&gt;="&amp;$H230)+COUNTIFS(工数管理!$AK$3:$AK$98,L$1,工数管理!$S$3:$S$98,"&lt;="&amp;$H230,工数管理!$T$3:$T$98,"&gt;="&amp;$H230)+COUNTIFS(工数管理!$AK$3:$AK$98,L$1,工数管理!$U$3:$U$98,"&lt;="&amp;$H230,工数管理!$V$3:$V$98,"&gt;="&amp;$H230)+COUNTIFS(工数管理!$AK$3:$AK$98,L$1,工数管理!$W$3:$W$98,"&lt;="&amp;$H230,工数管理!$X$3:$X$98,"&gt;="&amp;$H230)+COUNTIFS(工数管理!$AK$3:$AK$98,L$1,工数管理!$Y$3:$Y$98,"&lt;="&amp;$H230,工数管理!$Z$3:$Z$98,"&gt;="&amp;$H230)+COUNTIFS(工数管理!$AK$3:$AK$98,L$1,工数管理!$AA$3:$AA$98,"&lt;="&amp;$H230,工数管理!$AB$3:$AB$98,"&gt;="&amp;$H230)+COUNTIFS(工数管理!$AK$3:$AK$98,L$1,工数管理!$AC$3:$AC$98,"&lt;="&amp;$H230,工数管理!$AD$3:$AD$98,"&gt;="&amp;$H230)+COUNTIFS(工数管理!$AK$3:$AK$98,L$1,工数管理!$AE$3:$AE$98,"&lt;="&amp;$H230,工数管理!$AF$3:$AF$98,"&gt;="&amp;$H230)+COUNTIFS(工数管理!$AK$3:$AK$98,L$1,工数管理!$AG$3:$AG$98,"&lt;="&amp;$H230,工数管理!$AH$3:$AH$98,"&gt;="&amp;$H230)+(COUNTIFS(工数管理!$AK$3:$AK$98,L$1,工数管理!$K$3:$K$98,"&lt;="&amp;$H230,工数管理!$L$3:$L$98,"")+COUNTIFS(工数管理!$AK$3:$AK$98,L$1,工数管理!$M$3:$M$98,"&lt;="&amp;$H230,工数管理!$N$3:$N$98,"")+COUNTIFS(工数管理!$AK$3:$AK$98,L$1,工数管理!$O$3:$O$98,"&lt;="&amp;$H230,工数管理!$P$3:$P$98,"")+COUNTIFS(工数管理!$AK$3:$AK$98,L$1,工数管理!$Q$3:$Q$98,"&lt;="&amp;$H230,工数管理!$R$3:$R$98,"")+COUNTIFS(工数管理!$AK$3:$AK$98,L$1,工数管理!$S$3:$S$98,"&lt;="&amp;$H230,工数管理!$T$3:$T$98,"")+COUNTIFS(工数管理!$AK$3:$AK$98,L$1,工数管理!$U$3:$U$98,"&lt;="&amp;$H230,工数管理!$V$3:$V$98,"")+COUNTIFS(工数管理!$AK$3:$AK$98,L$1,工数管理!$W$3:$W$98,"&lt;="&amp;$H230,工数管理!$X$3:$X$98,"")+COUNTIFS(工数管理!$AK$3:$AK$98,L$1,工数管理!$Y$3:$Y$98,"&lt;="&amp;$H230,工数管理!$Z$3:$Z$98,"")+COUNTIFS(工数管理!$AK$3:$AK$98,L$1,工数管理!$AA$3:$AA$98,"&lt;="&amp;$H230,工数管理!$AB$3:$AB$98,"")+COUNTIFS(工数管理!$AK$3:$AK$98,L$1,工数管理!$AC$3:$AC$98,"&lt;="&amp;$H230,工数管理!$AD$3:$AD$98,"")+COUNTIFS(工数管理!$AK$3:$AK$98,L$1,工数管理!$AE$3:$AE$98,"&lt;="&amp;$H230,工数管理!$AF$3:$AF$98,"")+COUNTIFS(工数管理!$AK$3:$AK$98,L$1,工数管理!$AG$3:$AG$98,"&lt;="&amp;$H230,工数管理!$AH$3:$AH$98,""))*($H230&lt;=工数管理!$AI$1))</f>
        <v>0</v>
      </c>
    </row>
    <row r="231" spans="8:12" x14ac:dyDescent="0.15">
      <c r="H231" s="41">
        <f t="shared" si="7"/>
        <v>46399</v>
      </c>
      <c r="I231" s="42">
        <f t="shared" si="6"/>
        <v>1</v>
      </c>
      <c r="J231" s="42">
        <f ca="1">IF(J$1="",0,COUNTIFS(工数管理!$AK$3:$AK$98,J$1,工数管理!$K$3:$K$98,"&lt;="&amp;$H231,工数管理!$L$3:$L$98,"&gt;="&amp;$H231)+COUNTIFS(工数管理!$AK$3:$AK$98,J$1,工数管理!$M$3:$M$98,"&lt;="&amp;$H231,工数管理!$N$3:$N$98,"&gt;="&amp;$H231)+COUNTIFS(工数管理!$AK$3:$AK$98,J$1,工数管理!$O$3:$O$98,"&lt;="&amp;$H231,工数管理!$P$3:$P$98,"&gt;="&amp;$H231)+COUNTIFS(工数管理!$AK$3:$AK$98,J$1,工数管理!$Q$3:$Q$98,"&lt;="&amp;$H231,工数管理!$R$3:$R$98,"&gt;="&amp;$H231)+COUNTIFS(工数管理!$AK$3:$AK$98,J$1,工数管理!$S$3:$S$98,"&lt;="&amp;$H231,工数管理!$T$3:$T$98,"&gt;="&amp;$H231)+COUNTIFS(工数管理!$AK$3:$AK$98,J$1,工数管理!$U$3:$U$98,"&lt;="&amp;$H231,工数管理!$V$3:$V$98,"&gt;="&amp;$H231)+COUNTIFS(工数管理!$AK$3:$AK$98,J$1,工数管理!$W$3:$W$98,"&lt;="&amp;$H231,工数管理!$X$3:$X$98,"&gt;="&amp;$H231)+COUNTIFS(工数管理!$AK$3:$AK$98,J$1,工数管理!$Y$3:$Y$98,"&lt;="&amp;$H231,工数管理!$Z$3:$Z$98,"&gt;="&amp;$H231)+COUNTIFS(工数管理!$AK$3:$AK$98,J$1,工数管理!$AA$3:$AA$98,"&lt;="&amp;$H231,工数管理!$AB$3:$AB$98,"&gt;="&amp;$H231)+COUNTIFS(工数管理!$AK$3:$AK$98,J$1,工数管理!$AC$3:$AC$98,"&lt;="&amp;$H231,工数管理!$AD$3:$AD$98,"&gt;="&amp;$H231)+COUNTIFS(工数管理!$AK$3:$AK$98,J$1,工数管理!$AE$3:$AE$98,"&lt;="&amp;$H231,工数管理!$AF$3:$AF$98,"&gt;="&amp;$H231)+COUNTIFS(工数管理!$AK$3:$AK$98,J$1,工数管理!$AG$3:$AG$98,"&lt;="&amp;$H231,工数管理!$AH$3:$AH$98,"&gt;="&amp;$H231)+(COUNTIFS(工数管理!$AK$3:$AK$98,J$1,工数管理!$K$3:$K$98,"&lt;="&amp;$H231,工数管理!$L$3:$L$98,"")+COUNTIFS(工数管理!$AK$3:$AK$98,J$1,工数管理!$M$3:$M$98,"&lt;="&amp;$H231,工数管理!$N$3:$N$98,"")+COUNTIFS(工数管理!$AK$3:$AK$98,J$1,工数管理!$O$3:$O$98,"&lt;="&amp;$H231,工数管理!$P$3:$P$98,"")+COUNTIFS(工数管理!$AK$3:$AK$98,J$1,工数管理!$Q$3:$Q$98,"&lt;="&amp;$H231,工数管理!$R$3:$R$98,"")+COUNTIFS(工数管理!$AK$3:$AK$98,J$1,工数管理!$S$3:$S$98,"&lt;="&amp;$H231,工数管理!$T$3:$T$98,"")+COUNTIFS(工数管理!$AK$3:$AK$98,J$1,工数管理!$U$3:$U$98,"&lt;="&amp;$H231,工数管理!$V$3:$V$98,"")+COUNTIFS(工数管理!$AK$3:$AK$98,J$1,工数管理!$W$3:$W$98,"&lt;="&amp;$H231,工数管理!$X$3:$X$98,"")+COUNTIFS(工数管理!$AK$3:$AK$98,J$1,工数管理!$Y$3:$Y$98,"&lt;="&amp;$H231,工数管理!$Z$3:$Z$98,"")+COUNTIFS(工数管理!$AK$3:$AK$98,J$1,工数管理!$AA$3:$AA$98,"&lt;="&amp;$H231,工数管理!$AB$3:$AB$98,"")+COUNTIFS(工数管理!$AK$3:$AK$98,J$1,工数管理!$AC$3:$AC$98,"&lt;="&amp;$H231,工数管理!$AD$3:$AD$98,"")+COUNTIFS(工数管理!$AK$3:$AK$98,J$1,工数管理!$AE$3:$AE$98,"&lt;="&amp;$H231,工数管理!$AF$3:$AF$98,"")+COUNTIFS(工数管理!$AK$3:$AK$98,J$1,工数管理!$AG$3:$AG$98,"&lt;="&amp;$H231,工数管理!$AH$3:$AH$98,""))*($H231&lt;=工数管理!$AI$1))</f>
        <v>0</v>
      </c>
      <c r="K231" s="42">
        <f ca="1">IF(K$1="",0,COUNTIFS(工数管理!$AK$3:$AK$98,K$1,工数管理!$K$3:$K$98,"&lt;="&amp;$H231,工数管理!$L$3:$L$98,"&gt;="&amp;$H231)+COUNTIFS(工数管理!$AK$3:$AK$98,K$1,工数管理!$M$3:$M$98,"&lt;="&amp;$H231,工数管理!$N$3:$N$98,"&gt;="&amp;$H231)+COUNTIFS(工数管理!$AK$3:$AK$98,K$1,工数管理!$O$3:$O$98,"&lt;="&amp;$H231,工数管理!$P$3:$P$98,"&gt;="&amp;$H231)+COUNTIFS(工数管理!$AK$3:$AK$98,K$1,工数管理!$Q$3:$Q$98,"&lt;="&amp;$H231,工数管理!$R$3:$R$98,"&gt;="&amp;$H231)+COUNTIFS(工数管理!$AK$3:$AK$98,K$1,工数管理!$S$3:$S$98,"&lt;="&amp;$H231,工数管理!$T$3:$T$98,"&gt;="&amp;$H231)+COUNTIFS(工数管理!$AK$3:$AK$98,K$1,工数管理!$U$3:$U$98,"&lt;="&amp;$H231,工数管理!$V$3:$V$98,"&gt;="&amp;$H231)+COUNTIFS(工数管理!$AK$3:$AK$98,K$1,工数管理!$W$3:$W$98,"&lt;="&amp;$H231,工数管理!$X$3:$X$98,"&gt;="&amp;$H231)+COUNTIFS(工数管理!$AK$3:$AK$98,K$1,工数管理!$Y$3:$Y$98,"&lt;="&amp;$H231,工数管理!$Z$3:$Z$98,"&gt;="&amp;$H231)+COUNTIFS(工数管理!$AK$3:$AK$98,K$1,工数管理!$AA$3:$AA$98,"&lt;="&amp;$H231,工数管理!$AB$3:$AB$98,"&gt;="&amp;$H231)+COUNTIFS(工数管理!$AK$3:$AK$98,K$1,工数管理!$AC$3:$AC$98,"&lt;="&amp;$H231,工数管理!$AD$3:$AD$98,"&gt;="&amp;$H231)+COUNTIFS(工数管理!$AK$3:$AK$98,K$1,工数管理!$AE$3:$AE$98,"&lt;="&amp;$H231,工数管理!$AF$3:$AF$98,"&gt;="&amp;$H231)+COUNTIFS(工数管理!$AK$3:$AK$98,K$1,工数管理!$AG$3:$AG$98,"&lt;="&amp;$H231,工数管理!$AH$3:$AH$98,"&gt;="&amp;$H231)+(COUNTIFS(工数管理!$AK$3:$AK$98,K$1,工数管理!$K$3:$K$98,"&lt;="&amp;$H231,工数管理!$L$3:$L$98,"")+COUNTIFS(工数管理!$AK$3:$AK$98,K$1,工数管理!$M$3:$M$98,"&lt;="&amp;$H231,工数管理!$N$3:$N$98,"")+COUNTIFS(工数管理!$AK$3:$AK$98,K$1,工数管理!$O$3:$O$98,"&lt;="&amp;$H231,工数管理!$P$3:$P$98,"")+COUNTIFS(工数管理!$AK$3:$AK$98,K$1,工数管理!$Q$3:$Q$98,"&lt;="&amp;$H231,工数管理!$R$3:$R$98,"")+COUNTIFS(工数管理!$AK$3:$AK$98,K$1,工数管理!$S$3:$S$98,"&lt;="&amp;$H231,工数管理!$T$3:$T$98,"")+COUNTIFS(工数管理!$AK$3:$AK$98,K$1,工数管理!$U$3:$U$98,"&lt;="&amp;$H231,工数管理!$V$3:$V$98,"")+COUNTIFS(工数管理!$AK$3:$AK$98,K$1,工数管理!$W$3:$W$98,"&lt;="&amp;$H231,工数管理!$X$3:$X$98,"")+COUNTIFS(工数管理!$AK$3:$AK$98,K$1,工数管理!$Y$3:$Y$98,"&lt;="&amp;$H231,工数管理!$Z$3:$Z$98,"")+COUNTIFS(工数管理!$AK$3:$AK$98,K$1,工数管理!$AA$3:$AA$98,"&lt;="&amp;$H231,工数管理!$AB$3:$AB$98,"")+COUNTIFS(工数管理!$AK$3:$AK$98,K$1,工数管理!$AC$3:$AC$98,"&lt;="&amp;$H231,工数管理!$AD$3:$AD$98,"")+COUNTIFS(工数管理!$AK$3:$AK$98,K$1,工数管理!$AE$3:$AE$98,"&lt;="&amp;$H231,工数管理!$AF$3:$AF$98,"")+COUNTIFS(工数管理!$AK$3:$AK$98,K$1,工数管理!$AG$3:$AG$98,"&lt;="&amp;$H231,工数管理!$AH$3:$AH$98,""))*($H231&lt;=工数管理!$AI$1))</f>
        <v>0</v>
      </c>
      <c r="L231" s="42">
        <f ca="1">IF(L$1="",0,COUNTIFS(工数管理!$AK$3:$AK$98,L$1,工数管理!$K$3:$K$98,"&lt;="&amp;$H231,工数管理!$L$3:$L$98,"&gt;="&amp;$H231)+COUNTIFS(工数管理!$AK$3:$AK$98,L$1,工数管理!$M$3:$M$98,"&lt;="&amp;$H231,工数管理!$N$3:$N$98,"&gt;="&amp;$H231)+COUNTIFS(工数管理!$AK$3:$AK$98,L$1,工数管理!$O$3:$O$98,"&lt;="&amp;$H231,工数管理!$P$3:$P$98,"&gt;="&amp;$H231)+COUNTIFS(工数管理!$AK$3:$AK$98,L$1,工数管理!$Q$3:$Q$98,"&lt;="&amp;$H231,工数管理!$R$3:$R$98,"&gt;="&amp;$H231)+COUNTIFS(工数管理!$AK$3:$AK$98,L$1,工数管理!$S$3:$S$98,"&lt;="&amp;$H231,工数管理!$T$3:$T$98,"&gt;="&amp;$H231)+COUNTIFS(工数管理!$AK$3:$AK$98,L$1,工数管理!$U$3:$U$98,"&lt;="&amp;$H231,工数管理!$V$3:$V$98,"&gt;="&amp;$H231)+COUNTIFS(工数管理!$AK$3:$AK$98,L$1,工数管理!$W$3:$W$98,"&lt;="&amp;$H231,工数管理!$X$3:$X$98,"&gt;="&amp;$H231)+COUNTIFS(工数管理!$AK$3:$AK$98,L$1,工数管理!$Y$3:$Y$98,"&lt;="&amp;$H231,工数管理!$Z$3:$Z$98,"&gt;="&amp;$H231)+COUNTIFS(工数管理!$AK$3:$AK$98,L$1,工数管理!$AA$3:$AA$98,"&lt;="&amp;$H231,工数管理!$AB$3:$AB$98,"&gt;="&amp;$H231)+COUNTIFS(工数管理!$AK$3:$AK$98,L$1,工数管理!$AC$3:$AC$98,"&lt;="&amp;$H231,工数管理!$AD$3:$AD$98,"&gt;="&amp;$H231)+COUNTIFS(工数管理!$AK$3:$AK$98,L$1,工数管理!$AE$3:$AE$98,"&lt;="&amp;$H231,工数管理!$AF$3:$AF$98,"&gt;="&amp;$H231)+COUNTIFS(工数管理!$AK$3:$AK$98,L$1,工数管理!$AG$3:$AG$98,"&lt;="&amp;$H231,工数管理!$AH$3:$AH$98,"&gt;="&amp;$H231)+(COUNTIFS(工数管理!$AK$3:$AK$98,L$1,工数管理!$K$3:$K$98,"&lt;="&amp;$H231,工数管理!$L$3:$L$98,"")+COUNTIFS(工数管理!$AK$3:$AK$98,L$1,工数管理!$M$3:$M$98,"&lt;="&amp;$H231,工数管理!$N$3:$N$98,"")+COUNTIFS(工数管理!$AK$3:$AK$98,L$1,工数管理!$O$3:$O$98,"&lt;="&amp;$H231,工数管理!$P$3:$P$98,"")+COUNTIFS(工数管理!$AK$3:$AK$98,L$1,工数管理!$Q$3:$Q$98,"&lt;="&amp;$H231,工数管理!$R$3:$R$98,"")+COUNTIFS(工数管理!$AK$3:$AK$98,L$1,工数管理!$S$3:$S$98,"&lt;="&amp;$H231,工数管理!$T$3:$T$98,"")+COUNTIFS(工数管理!$AK$3:$AK$98,L$1,工数管理!$U$3:$U$98,"&lt;="&amp;$H231,工数管理!$V$3:$V$98,"")+COUNTIFS(工数管理!$AK$3:$AK$98,L$1,工数管理!$W$3:$W$98,"&lt;="&amp;$H231,工数管理!$X$3:$X$98,"")+COUNTIFS(工数管理!$AK$3:$AK$98,L$1,工数管理!$Y$3:$Y$98,"&lt;="&amp;$H231,工数管理!$Z$3:$Z$98,"")+COUNTIFS(工数管理!$AK$3:$AK$98,L$1,工数管理!$AA$3:$AA$98,"&lt;="&amp;$H231,工数管理!$AB$3:$AB$98,"")+COUNTIFS(工数管理!$AK$3:$AK$98,L$1,工数管理!$AC$3:$AC$98,"&lt;="&amp;$H231,工数管理!$AD$3:$AD$98,"")+COUNTIFS(工数管理!$AK$3:$AK$98,L$1,工数管理!$AE$3:$AE$98,"&lt;="&amp;$H231,工数管理!$AF$3:$AF$98,"")+COUNTIFS(工数管理!$AK$3:$AK$98,L$1,工数管理!$AG$3:$AG$98,"&lt;="&amp;$H231,工数管理!$AH$3:$AH$98,""))*($H231&lt;=工数管理!$AI$1))</f>
        <v>0</v>
      </c>
    </row>
    <row r="232" spans="8:12" x14ac:dyDescent="0.15">
      <c r="H232" s="41">
        <f t="shared" si="7"/>
        <v>46400</v>
      </c>
      <c r="I232" s="42">
        <f t="shared" si="6"/>
        <v>1</v>
      </c>
      <c r="J232" s="42">
        <f ca="1">IF(J$1="",0,COUNTIFS(工数管理!$AK$3:$AK$98,J$1,工数管理!$K$3:$K$98,"&lt;="&amp;$H232,工数管理!$L$3:$L$98,"&gt;="&amp;$H232)+COUNTIFS(工数管理!$AK$3:$AK$98,J$1,工数管理!$M$3:$M$98,"&lt;="&amp;$H232,工数管理!$N$3:$N$98,"&gt;="&amp;$H232)+COUNTIFS(工数管理!$AK$3:$AK$98,J$1,工数管理!$O$3:$O$98,"&lt;="&amp;$H232,工数管理!$P$3:$P$98,"&gt;="&amp;$H232)+COUNTIFS(工数管理!$AK$3:$AK$98,J$1,工数管理!$Q$3:$Q$98,"&lt;="&amp;$H232,工数管理!$R$3:$R$98,"&gt;="&amp;$H232)+COUNTIFS(工数管理!$AK$3:$AK$98,J$1,工数管理!$S$3:$S$98,"&lt;="&amp;$H232,工数管理!$T$3:$T$98,"&gt;="&amp;$H232)+COUNTIFS(工数管理!$AK$3:$AK$98,J$1,工数管理!$U$3:$U$98,"&lt;="&amp;$H232,工数管理!$V$3:$V$98,"&gt;="&amp;$H232)+COUNTIFS(工数管理!$AK$3:$AK$98,J$1,工数管理!$W$3:$W$98,"&lt;="&amp;$H232,工数管理!$X$3:$X$98,"&gt;="&amp;$H232)+COUNTIFS(工数管理!$AK$3:$AK$98,J$1,工数管理!$Y$3:$Y$98,"&lt;="&amp;$H232,工数管理!$Z$3:$Z$98,"&gt;="&amp;$H232)+COUNTIFS(工数管理!$AK$3:$AK$98,J$1,工数管理!$AA$3:$AA$98,"&lt;="&amp;$H232,工数管理!$AB$3:$AB$98,"&gt;="&amp;$H232)+COUNTIFS(工数管理!$AK$3:$AK$98,J$1,工数管理!$AC$3:$AC$98,"&lt;="&amp;$H232,工数管理!$AD$3:$AD$98,"&gt;="&amp;$H232)+COUNTIFS(工数管理!$AK$3:$AK$98,J$1,工数管理!$AE$3:$AE$98,"&lt;="&amp;$H232,工数管理!$AF$3:$AF$98,"&gt;="&amp;$H232)+COUNTIFS(工数管理!$AK$3:$AK$98,J$1,工数管理!$AG$3:$AG$98,"&lt;="&amp;$H232,工数管理!$AH$3:$AH$98,"&gt;="&amp;$H232)+(COUNTIFS(工数管理!$AK$3:$AK$98,J$1,工数管理!$K$3:$K$98,"&lt;="&amp;$H232,工数管理!$L$3:$L$98,"")+COUNTIFS(工数管理!$AK$3:$AK$98,J$1,工数管理!$M$3:$M$98,"&lt;="&amp;$H232,工数管理!$N$3:$N$98,"")+COUNTIFS(工数管理!$AK$3:$AK$98,J$1,工数管理!$O$3:$O$98,"&lt;="&amp;$H232,工数管理!$P$3:$P$98,"")+COUNTIFS(工数管理!$AK$3:$AK$98,J$1,工数管理!$Q$3:$Q$98,"&lt;="&amp;$H232,工数管理!$R$3:$R$98,"")+COUNTIFS(工数管理!$AK$3:$AK$98,J$1,工数管理!$S$3:$S$98,"&lt;="&amp;$H232,工数管理!$T$3:$T$98,"")+COUNTIFS(工数管理!$AK$3:$AK$98,J$1,工数管理!$U$3:$U$98,"&lt;="&amp;$H232,工数管理!$V$3:$V$98,"")+COUNTIFS(工数管理!$AK$3:$AK$98,J$1,工数管理!$W$3:$W$98,"&lt;="&amp;$H232,工数管理!$X$3:$X$98,"")+COUNTIFS(工数管理!$AK$3:$AK$98,J$1,工数管理!$Y$3:$Y$98,"&lt;="&amp;$H232,工数管理!$Z$3:$Z$98,"")+COUNTIFS(工数管理!$AK$3:$AK$98,J$1,工数管理!$AA$3:$AA$98,"&lt;="&amp;$H232,工数管理!$AB$3:$AB$98,"")+COUNTIFS(工数管理!$AK$3:$AK$98,J$1,工数管理!$AC$3:$AC$98,"&lt;="&amp;$H232,工数管理!$AD$3:$AD$98,"")+COUNTIFS(工数管理!$AK$3:$AK$98,J$1,工数管理!$AE$3:$AE$98,"&lt;="&amp;$H232,工数管理!$AF$3:$AF$98,"")+COUNTIFS(工数管理!$AK$3:$AK$98,J$1,工数管理!$AG$3:$AG$98,"&lt;="&amp;$H232,工数管理!$AH$3:$AH$98,""))*($H232&lt;=工数管理!$AI$1))</f>
        <v>0</v>
      </c>
      <c r="K232" s="42">
        <f ca="1">IF(K$1="",0,COUNTIFS(工数管理!$AK$3:$AK$98,K$1,工数管理!$K$3:$K$98,"&lt;="&amp;$H232,工数管理!$L$3:$L$98,"&gt;="&amp;$H232)+COUNTIFS(工数管理!$AK$3:$AK$98,K$1,工数管理!$M$3:$M$98,"&lt;="&amp;$H232,工数管理!$N$3:$N$98,"&gt;="&amp;$H232)+COUNTIFS(工数管理!$AK$3:$AK$98,K$1,工数管理!$O$3:$O$98,"&lt;="&amp;$H232,工数管理!$P$3:$P$98,"&gt;="&amp;$H232)+COUNTIFS(工数管理!$AK$3:$AK$98,K$1,工数管理!$Q$3:$Q$98,"&lt;="&amp;$H232,工数管理!$R$3:$R$98,"&gt;="&amp;$H232)+COUNTIFS(工数管理!$AK$3:$AK$98,K$1,工数管理!$S$3:$S$98,"&lt;="&amp;$H232,工数管理!$T$3:$T$98,"&gt;="&amp;$H232)+COUNTIFS(工数管理!$AK$3:$AK$98,K$1,工数管理!$U$3:$U$98,"&lt;="&amp;$H232,工数管理!$V$3:$V$98,"&gt;="&amp;$H232)+COUNTIFS(工数管理!$AK$3:$AK$98,K$1,工数管理!$W$3:$W$98,"&lt;="&amp;$H232,工数管理!$X$3:$X$98,"&gt;="&amp;$H232)+COUNTIFS(工数管理!$AK$3:$AK$98,K$1,工数管理!$Y$3:$Y$98,"&lt;="&amp;$H232,工数管理!$Z$3:$Z$98,"&gt;="&amp;$H232)+COUNTIFS(工数管理!$AK$3:$AK$98,K$1,工数管理!$AA$3:$AA$98,"&lt;="&amp;$H232,工数管理!$AB$3:$AB$98,"&gt;="&amp;$H232)+COUNTIFS(工数管理!$AK$3:$AK$98,K$1,工数管理!$AC$3:$AC$98,"&lt;="&amp;$H232,工数管理!$AD$3:$AD$98,"&gt;="&amp;$H232)+COUNTIFS(工数管理!$AK$3:$AK$98,K$1,工数管理!$AE$3:$AE$98,"&lt;="&amp;$H232,工数管理!$AF$3:$AF$98,"&gt;="&amp;$H232)+COUNTIFS(工数管理!$AK$3:$AK$98,K$1,工数管理!$AG$3:$AG$98,"&lt;="&amp;$H232,工数管理!$AH$3:$AH$98,"&gt;="&amp;$H232)+(COUNTIFS(工数管理!$AK$3:$AK$98,K$1,工数管理!$K$3:$K$98,"&lt;="&amp;$H232,工数管理!$L$3:$L$98,"")+COUNTIFS(工数管理!$AK$3:$AK$98,K$1,工数管理!$M$3:$M$98,"&lt;="&amp;$H232,工数管理!$N$3:$N$98,"")+COUNTIFS(工数管理!$AK$3:$AK$98,K$1,工数管理!$O$3:$O$98,"&lt;="&amp;$H232,工数管理!$P$3:$P$98,"")+COUNTIFS(工数管理!$AK$3:$AK$98,K$1,工数管理!$Q$3:$Q$98,"&lt;="&amp;$H232,工数管理!$R$3:$R$98,"")+COUNTIFS(工数管理!$AK$3:$AK$98,K$1,工数管理!$S$3:$S$98,"&lt;="&amp;$H232,工数管理!$T$3:$T$98,"")+COUNTIFS(工数管理!$AK$3:$AK$98,K$1,工数管理!$U$3:$U$98,"&lt;="&amp;$H232,工数管理!$V$3:$V$98,"")+COUNTIFS(工数管理!$AK$3:$AK$98,K$1,工数管理!$W$3:$W$98,"&lt;="&amp;$H232,工数管理!$X$3:$X$98,"")+COUNTIFS(工数管理!$AK$3:$AK$98,K$1,工数管理!$Y$3:$Y$98,"&lt;="&amp;$H232,工数管理!$Z$3:$Z$98,"")+COUNTIFS(工数管理!$AK$3:$AK$98,K$1,工数管理!$AA$3:$AA$98,"&lt;="&amp;$H232,工数管理!$AB$3:$AB$98,"")+COUNTIFS(工数管理!$AK$3:$AK$98,K$1,工数管理!$AC$3:$AC$98,"&lt;="&amp;$H232,工数管理!$AD$3:$AD$98,"")+COUNTIFS(工数管理!$AK$3:$AK$98,K$1,工数管理!$AE$3:$AE$98,"&lt;="&amp;$H232,工数管理!$AF$3:$AF$98,"")+COUNTIFS(工数管理!$AK$3:$AK$98,K$1,工数管理!$AG$3:$AG$98,"&lt;="&amp;$H232,工数管理!$AH$3:$AH$98,""))*($H232&lt;=工数管理!$AI$1))</f>
        <v>0</v>
      </c>
      <c r="L232" s="42">
        <f ca="1">IF(L$1="",0,COUNTIFS(工数管理!$AK$3:$AK$98,L$1,工数管理!$K$3:$K$98,"&lt;="&amp;$H232,工数管理!$L$3:$L$98,"&gt;="&amp;$H232)+COUNTIFS(工数管理!$AK$3:$AK$98,L$1,工数管理!$M$3:$M$98,"&lt;="&amp;$H232,工数管理!$N$3:$N$98,"&gt;="&amp;$H232)+COUNTIFS(工数管理!$AK$3:$AK$98,L$1,工数管理!$O$3:$O$98,"&lt;="&amp;$H232,工数管理!$P$3:$P$98,"&gt;="&amp;$H232)+COUNTIFS(工数管理!$AK$3:$AK$98,L$1,工数管理!$Q$3:$Q$98,"&lt;="&amp;$H232,工数管理!$R$3:$R$98,"&gt;="&amp;$H232)+COUNTIFS(工数管理!$AK$3:$AK$98,L$1,工数管理!$S$3:$S$98,"&lt;="&amp;$H232,工数管理!$T$3:$T$98,"&gt;="&amp;$H232)+COUNTIFS(工数管理!$AK$3:$AK$98,L$1,工数管理!$U$3:$U$98,"&lt;="&amp;$H232,工数管理!$V$3:$V$98,"&gt;="&amp;$H232)+COUNTIFS(工数管理!$AK$3:$AK$98,L$1,工数管理!$W$3:$W$98,"&lt;="&amp;$H232,工数管理!$X$3:$X$98,"&gt;="&amp;$H232)+COUNTIFS(工数管理!$AK$3:$AK$98,L$1,工数管理!$Y$3:$Y$98,"&lt;="&amp;$H232,工数管理!$Z$3:$Z$98,"&gt;="&amp;$H232)+COUNTIFS(工数管理!$AK$3:$AK$98,L$1,工数管理!$AA$3:$AA$98,"&lt;="&amp;$H232,工数管理!$AB$3:$AB$98,"&gt;="&amp;$H232)+COUNTIFS(工数管理!$AK$3:$AK$98,L$1,工数管理!$AC$3:$AC$98,"&lt;="&amp;$H232,工数管理!$AD$3:$AD$98,"&gt;="&amp;$H232)+COUNTIFS(工数管理!$AK$3:$AK$98,L$1,工数管理!$AE$3:$AE$98,"&lt;="&amp;$H232,工数管理!$AF$3:$AF$98,"&gt;="&amp;$H232)+COUNTIFS(工数管理!$AK$3:$AK$98,L$1,工数管理!$AG$3:$AG$98,"&lt;="&amp;$H232,工数管理!$AH$3:$AH$98,"&gt;="&amp;$H232)+(COUNTIFS(工数管理!$AK$3:$AK$98,L$1,工数管理!$K$3:$K$98,"&lt;="&amp;$H232,工数管理!$L$3:$L$98,"")+COUNTIFS(工数管理!$AK$3:$AK$98,L$1,工数管理!$M$3:$M$98,"&lt;="&amp;$H232,工数管理!$N$3:$N$98,"")+COUNTIFS(工数管理!$AK$3:$AK$98,L$1,工数管理!$O$3:$O$98,"&lt;="&amp;$H232,工数管理!$P$3:$P$98,"")+COUNTIFS(工数管理!$AK$3:$AK$98,L$1,工数管理!$Q$3:$Q$98,"&lt;="&amp;$H232,工数管理!$R$3:$R$98,"")+COUNTIFS(工数管理!$AK$3:$AK$98,L$1,工数管理!$S$3:$S$98,"&lt;="&amp;$H232,工数管理!$T$3:$T$98,"")+COUNTIFS(工数管理!$AK$3:$AK$98,L$1,工数管理!$U$3:$U$98,"&lt;="&amp;$H232,工数管理!$V$3:$V$98,"")+COUNTIFS(工数管理!$AK$3:$AK$98,L$1,工数管理!$W$3:$W$98,"&lt;="&amp;$H232,工数管理!$X$3:$X$98,"")+COUNTIFS(工数管理!$AK$3:$AK$98,L$1,工数管理!$Y$3:$Y$98,"&lt;="&amp;$H232,工数管理!$Z$3:$Z$98,"")+COUNTIFS(工数管理!$AK$3:$AK$98,L$1,工数管理!$AA$3:$AA$98,"&lt;="&amp;$H232,工数管理!$AB$3:$AB$98,"")+COUNTIFS(工数管理!$AK$3:$AK$98,L$1,工数管理!$AC$3:$AC$98,"&lt;="&amp;$H232,工数管理!$AD$3:$AD$98,"")+COUNTIFS(工数管理!$AK$3:$AK$98,L$1,工数管理!$AE$3:$AE$98,"&lt;="&amp;$H232,工数管理!$AF$3:$AF$98,"")+COUNTIFS(工数管理!$AK$3:$AK$98,L$1,工数管理!$AG$3:$AG$98,"&lt;="&amp;$H232,工数管理!$AH$3:$AH$98,""))*($H232&lt;=工数管理!$AI$1))</f>
        <v>0</v>
      </c>
    </row>
    <row r="233" spans="8:12" x14ac:dyDescent="0.15">
      <c r="H233" s="41">
        <f t="shared" si="7"/>
        <v>46401</v>
      </c>
      <c r="I233" s="42">
        <f t="shared" si="6"/>
        <v>1</v>
      </c>
      <c r="J233" s="42">
        <f ca="1">IF(J$1="",0,COUNTIFS(工数管理!$AK$3:$AK$98,J$1,工数管理!$K$3:$K$98,"&lt;="&amp;$H233,工数管理!$L$3:$L$98,"&gt;="&amp;$H233)+COUNTIFS(工数管理!$AK$3:$AK$98,J$1,工数管理!$M$3:$M$98,"&lt;="&amp;$H233,工数管理!$N$3:$N$98,"&gt;="&amp;$H233)+COUNTIFS(工数管理!$AK$3:$AK$98,J$1,工数管理!$O$3:$O$98,"&lt;="&amp;$H233,工数管理!$P$3:$P$98,"&gt;="&amp;$H233)+COUNTIFS(工数管理!$AK$3:$AK$98,J$1,工数管理!$Q$3:$Q$98,"&lt;="&amp;$H233,工数管理!$R$3:$R$98,"&gt;="&amp;$H233)+COUNTIFS(工数管理!$AK$3:$AK$98,J$1,工数管理!$S$3:$S$98,"&lt;="&amp;$H233,工数管理!$T$3:$T$98,"&gt;="&amp;$H233)+COUNTIFS(工数管理!$AK$3:$AK$98,J$1,工数管理!$U$3:$U$98,"&lt;="&amp;$H233,工数管理!$V$3:$V$98,"&gt;="&amp;$H233)+COUNTIFS(工数管理!$AK$3:$AK$98,J$1,工数管理!$W$3:$W$98,"&lt;="&amp;$H233,工数管理!$X$3:$X$98,"&gt;="&amp;$H233)+COUNTIFS(工数管理!$AK$3:$AK$98,J$1,工数管理!$Y$3:$Y$98,"&lt;="&amp;$H233,工数管理!$Z$3:$Z$98,"&gt;="&amp;$H233)+COUNTIFS(工数管理!$AK$3:$AK$98,J$1,工数管理!$AA$3:$AA$98,"&lt;="&amp;$H233,工数管理!$AB$3:$AB$98,"&gt;="&amp;$H233)+COUNTIFS(工数管理!$AK$3:$AK$98,J$1,工数管理!$AC$3:$AC$98,"&lt;="&amp;$H233,工数管理!$AD$3:$AD$98,"&gt;="&amp;$H233)+COUNTIFS(工数管理!$AK$3:$AK$98,J$1,工数管理!$AE$3:$AE$98,"&lt;="&amp;$H233,工数管理!$AF$3:$AF$98,"&gt;="&amp;$H233)+COUNTIFS(工数管理!$AK$3:$AK$98,J$1,工数管理!$AG$3:$AG$98,"&lt;="&amp;$H233,工数管理!$AH$3:$AH$98,"&gt;="&amp;$H233)+(COUNTIFS(工数管理!$AK$3:$AK$98,J$1,工数管理!$K$3:$K$98,"&lt;="&amp;$H233,工数管理!$L$3:$L$98,"")+COUNTIFS(工数管理!$AK$3:$AK$98,J$1,工数管理!$M$3:$M$98,"&lt;="&amp;$H233,工数管理!$N$3:$N$98,"")+COUNTIFS(工数管理!$AK$3:$AK$98,J$1,工数管理!$O$3:$O$98,"&lt;="&amp;$H233,工数管理!$P$3:$P$98,"")+COUNTIFS(工数管理!$AK$3:$AK$98,J$1,工数管理!$Q$3:$Q$98,"&lt;="&amp;$H233,工数管理!$R$3:$R$98,"")+COUNTIFS(工数管理!$AK$3:$AK$98,J$1,工数管理!$S$3:$S$98,"&lt;="&amp;$H233,工数管理!$T$3:$T$98,"")+COUNTIFS(工数管理!$AK$3:$AK$98,J$1,工数管理!$U$3:$U$98,"&lt;="&amp;$H233,工数管理!$V$3:$V$98,"")+COUNTIFS(工数管理!$AK$3:$AK$98,J$1,工数管理!$W$3:$W$98,"&lt;="&amp;$H233,工数管理!$X$3:$X$98,"")+COUNTIFS(工数管理!$AK$3:$AK$98,J$1,工数管理!$Y$3:$Y$98,"&lt;="&amp;$H233,工数管理!$Z$3:$Z$98,"")+COUNTIFS(工数管理!$AK$3:$AK$98,J$1,工数管理!$AA$3:$AA$98,"&lt;="&amp;$H233,工数管理!$AB$3:$AB$98,"")+COUNTIFS(工数管理!$AK$3:$AK$98,J$1,工数管理!$AC$3:$AC$98,"&lt;="&amp;$H233,工数管理!$AD$3:$AD$98,"")+COUNTIFS(工数管理!$AK$3:$AK$98,J$1,工数管理!$AE$3:$AE$98,"&lt;="&amp;$H233,工数管理!$AF$3:$AF$98,"")+COUNTIFS(工数管理!$AK$3:$AK$98,J$1,工数管理!$AG$3:$AG$98,"&lt;="&amp;$H233,工数管理!$AH$3:$AH$98,""))*($H233&lt;=工数管理!$AI$1))</f>
        <v>0</v>
      </c>
      <c r="K233" s="42">
        <f ca="1">IF(K$1="",0,COUNTIFS(工数管理!$AK$3:$AK$98,K$1,工数管理!$K$3:$K$98,"&lt;="&amp;$H233,工数管理!$L$3:$L$98,"&gt;="&amp;$H233)+COUNTIFS(工数管理!$AK$3:$AK$98,K$1,工数管理!$M$3:$M$98,"&lt;="&amp;$H233,工数管理!$N$3:$N$98,"&gt;="&amp;$H233)+COUNTIFS(工数管理!$AK$3:$AK$98,K$1,工数管理!$O$3:$O$98,"&lt;="&amp;$H233,工数管理!$P$3:$P$98,"&gt;="&amp;$H233)+COUNTIFS(工数管理!$AK$3:$AK$98,K$1,工数管理!$Q$3:$Q$98,"&lt;="&amp;$H233,工数管理!$R$3:$R$98,"&gt;="&amp;$H233)+COUNTIFS(工数管理!$AK$3:$AK$98,K$1,工数管理!$S$3:$S$98,"&lt;="&amp;$H233,工数管理!$T$3:$T$98,"&gt;="&amp;$H233)+COUNTIFS(工数管理!$AK$3:$AK$98,K$1,工数管理!$U$3:$U$98,"&lt;="&amp;$H233,工数管理!$V$3:$V$98,"&gt;="&amp;$H233)+COUNTIFS(工数管理!$AK$3:$AK$98,K$1,工数管理!$W$3:$W$98,"&lt;="&amp;$H233,工数管理!$X$3:$X$98,"&gt;="&amp;$H233)+COUNTIFS(工数管理!$AK$3:$AK$98,K$1,工数管理!$Y$3:$Y$98,"&lt;="&amp;$H233,工数管理!$Z$3:$Z$98,"&gt;="&amp;$H233)+COUNTIFS(工数管理!$AK$3:$AK$98,K$1,工数管理!$AA$3:$AA$98,"&lt;="&amp;$H233,工数管理!$AB$3:$AB$98,"&gt;="&amp;$H233)+COUNTIFS(工数管理!$AK$3:$AK$98,K$1,工数管理!$AC$3:$AC$98,"&lt;="&amp;$H233,工数管理!$AD$3:$AD$98,"&gt;="&amp;$H233)+COUNTIFS(工数管理!$AK$3:$AK$98,K$1,工数管理!$AE$3:$AE$98,"&lt;="&amp;$H233,工数管理!$AF$3:$AF$98,"&gt;="&amp;$H233)+COUNTIFS(工数管理!$AK$3:$AK$98,K$1,工数管理!$AG$3:$AG$98,"&lt;="&amp;$H233,工数管理!$AH$3:$AH$98,"&gt;="&amp;$H233)+(COUNTIFS(工数管理!$AK$3:$AK$98,K$1,工数管理!$K$3:$K$98,"&lt;="&amp;$H233,工数管理!$L$3:$L$98,"")+COUNTIFS(工数管理!$AK$3:$AK$98,K$1,工数管理!$M$3:$M$98,"&lt;="&amp;$H233,工数管理!$N$3:$N$98,"")+COUNTIFS(工数管理!$AK$3:$AK$98,K$1,工数管理!$O$3:$O$98,"&lt;="&amp;$H233,工数管理!$P$3:$P$98,"")+COUNTIFS(工数管理!$AK$3:$AK$98,K$1,工数管理!$Q$3:$Q$98,"&lt;="&amp;$H233,工数管理!$R$3:$R$98,"")+COUNTIFS(工数管理!$AK$3:$AK$98,K$1,工数管理!$S$3:$S$98,"&lt;="&amp;$H233,工数管理!$T$3:$T$98,"")+COUNTIFS(工数管理!$AK$3:$AK$98,K$1,工数管理!$U$3:$U$98,"&lt;="&amp;$H233,工数管理!$V$3:$V$98,"")+COUNTIFS(工数管理!$AK$3:$AK$98,K$1,工数管理!$W$3:$W$98,"&lt;="&amp;$H233,工数管理!$X$3:$X$98,"")+COUNTIFS(工数管理!$AK$3:$AK$98,K$1,工数管理!$Y$3:$Y$98,"&lt;="&amp;$H233,工数管理!$Z$3:$Z$98,"")+COUNTIFS(工数管理!$AK$3:$AK$98,K$1,工数管理!$AA$3:$AA$98,"&lt;="&amp;$H233,工数管理!$AB$3:$AB$98,"")+COUNTIFS(工数管理!$AK$3:$AK$98,K$1,工数管理!$AC$3:$AC$98,"&lt;="&amp;$H233,工数管理!$AD$3:$AD$98,"")+COUNTIFS(工数管理!$AK$3:$AK$98,K$1,工数管理!$AE$3:$AE$98,"&lt;="&amp;$H233,工数管理!$AF$3:$AF$98,"")+COUNTIFS(工数管理!$AK$3:$AK$98,K$1,工数管理!$AG$3:$AG$98,"&lt;="&amp;$H233,工数管理!$AH$3:$AH$98,""))*($H233&lt;=工数管理!$AI$1))</f>
        <v>0</v>
      </c>
      <c r="L233" s="42">
        <f ca="1">IF(L$1="",0,COUNTIFS(工数管理!$AK$3:$AK$98,L$1,工数管理!$K$3:$K$98,"&lt;="&amp;$H233,工数管理!$L$3:$L$98,"&gt;="&amp;$H233)+COUNTIFS(工数管理!$AK$3:$AK$98,L$1,工数管理!$M$3:$M$98,"&lt;="&amp;$H233,工数管理!$N$3:$N$98,"&gt;="&amp;$H233)+COUNTIFS(工数管理!$AK$3:$AK$98,L$1,工数管理!$O$3:$O$98,"&lt;="&amp;$H233,工数管理!$P$3:$P$98,"&gt;="&amp;$H233)+COUNTIFS(工数管理!$AK$3:$AK$98,L$1,工数管理!$Q$3:$Q$98,"&lt;="&amp;$H233,工数管理!$R$3:$R$98,"&gt;="&amp;$H233)+COUNTIFS(工数管理!$AK$3:$AK$98,L$1,工数管理!$S$3:$S$98,"&lt;="&amp;$H233,工数管理!$T$3:$T$98,"&gt;="&amp;$H233)+COUNTIFS(工数管理!$AK$3:$AK$98,L$1,工数管理!$U$3:$U$98,"&lt;="&amp;$H233,工数管理!$V$3:$V$98,"&gt;="&amp;$H233)+COUNTIFS(工数管理!$AK$3:$AK$98,L$1,工数管理!$W$3:$W$98,"&lt;="&amp;$H233,工数管理!$X$3:$X$98,"&gt;="&amp;$H233)+COUNTIFS(工数管理!$AK$3:$AK$98,L$1,工数管理!$Y$3:$Y$98,"&lt;="&amp;$H233,工数管理!$Z$3:$Z$98,"&gt;="&amp;$H233)+COUNTIFS(工数管理!$AK$3:$AK$98,L$1,工数管理!$AA$3:$AA$98,"&lt;="&amp;$H233,工数管理!$AB$3:$AB$98,"&gt;="&amp;$H233)+COUNTIFS(工数管理!$AK$3:$AK$98,L$1,工数管理!$AC$3:$AC$98,"&lt;="&amp;$H233,工数管理!$AD$3:$AD$98,"&gt;="&amp;$H233)+COUNTIFS(工数管理!$AK$3:$AK$98,L$1,工数管理!$AE$3:$AE$98,"&lt;="&amp;$H233,工数管理!$AF$3:$AF$98,"&gt;="&amp;$H233)+COUNTIFS(工数管理!$AK$3:$AK$98,L$1,工数管理!$AG$3:$AG$98,"&lt;="&amp;$H233,工数管理!$AH$3:$AH$98,"&gt;="&amp;$H233)+(COUNTIFS(工数管理!$AK$3:$AK$98,L$1,工数管理!$K$3:$K$98,"&lt;="&amp;$H233,工数管理!$L$3:$L$98,"")+COUNTIFS(工数管理!$AK$3:$AK$98,L$1,工数管理!$M$3:$M$98,"&lt;="&amp;$H233,工数管理!$N$3:$N$98,"")+COUNTIFS(工数管理!$AK$3:$AK$98,L$1,工数管理!$O$3:$O$98,"&lt;="&amp;$H233,工数管理!$P$3:$P$98,"")+COUNTIFS(工数管理!$AK$3:$AK$98,L$1,工数管理!$Q$3:$Q$98,"&lt;="&amp;$H233,工数管理!$R$3:$R$98,"")+COUNTIFS(工数管理!$AK$3:$AK$98,L$1,工数管理!$S$3:$S$98,"&lt;="&amp;$H233,工数管理!$T$3:$T$98,"")+COUNTIFS(工数管理!$AK$3:$AK$98,L$1,工数管理!$U$3:$U$98,"&lt;="&amp;$H233,工数管理!$V$3:$V$98,"")+COUNTIFS(工数管理!$AK$3:$AK$98,L$1,工数管理!$W$3:$W$98,"&lt;="&amp;$H233,工数管理!$X$3:$X$98,"")+COUNTIFS(工数管理!$AK$3:$AK$98,L$1,工数管理!$Y$3:$Y$98,"&lt;="&amp;$H233,工数管理!$Z$3:$Z$98,"")+COUNTIFS(工数管理!$AK$3:$AK$98,L$1,工数管理!$AA$3:$AA$98,"&lt;="&amp;$H233,工数管理!$AB$3:$AB$98,"")+COUNTIFS(工数管理!$AK$3:$AK$98,L$1,工数管理!$AC$3:$AC$98,"&lt;="&amp;$H233,工数管理!$AD$3:$AD$98,"")+COUNTIFS(工数管理!$AK$3:$AK$98,L$1,工数管理!$AE$3:$AE$98,"&lt;="&amp;$H233,工数管理!$AF$3:$AF$98,"")+COUNTIFS(工数管理!$AK$3:$AK$98,L$1,工数管理!$AG$3:$AG$98,"&lt;="&amp;$H233,工数管理!$AH$3:$AH$98,""))*($H233&lt;=工数管理!$AI$1))</f>
        <v>0</v>
      </c>
    </row>
    <row r="234" spans="8:12" x14ac:dyDescent="0.15">
      <c r="H234" s="41">
        <f t="shared" si="7"/>
        <v>46402</v>
      </c>
      <c r="I234" s="42">
        <f t="shared" si="6"/>
        <v>1</v>
      </c>
      <c r="J234" s="42">
        <f ca="1">IF(J$1="",0,COUNTIFS(工数管理!$AK$3:$AK$98,J$1,工数管理!$K$3:$K$98,"&lt;="&amp;$H234,工数管理!$L$3:$L$98,"&gt;="&amp;$H234)+COUNTIFS(工数管理!$AK$3:$AK$98,J$1,工数管理!$M$3:$M$98,"&lt;="&amp;$H234,工数管理!$N$3:$N$98,"&gt;="&amp;$H234)+COUNTIFS(工数管理!$AK$3:$AK$98,J$1,工数管理!$O$3:$O$98,"&lt;="&amp;$H234,工数管理!$P$3:$P$98,"&gt;="&amp;$H234)+COUNTIFS(工数管理!$AK$3:$AK$98,J$1,工数管理!$Q$3:$Q$98,"&lt;="&amp;$H234,工数管理!$R$3:$R$98,"&gt;="&amp;$H234)+COUNTIFS(工数管理!$AK$3:$AK$98,J$1,工数管理!$S$3:$S$98,"&lt;="&amp;$H234,工数管理!$T$3:$T$98,"&gt;="&amp;$H234)+COUNTIFS(工数管理!$AK$3:$AK$98,J$1,工数管理!$U$3:$U$98,"&lt;="&amp;$H234,工数管理!$V$3:$V$98,"&gt;="&amp;$H234)+COUNTIFS(工数管理!$AK$3:$AK$98,J$1,工数管理!$W$3:$W$98,"&lt;="&amp;$H234,工数管理!$X$3:$X$98,"&gt;="&amp;$H234)+COUNTIFS(工数管理!$AK$3:$AK$98,J$1,工数管理!$Y$3:$Y$98,"&lt;="&amp;$H234,工数管理!$Z$3:$Z$98,"&gt;="&amp;$H234)+COUNTIFS(工数管理!$AK$3:$AK$98,J$1,工数管理!$AA$3:$AA$98,"&lt;="&amp;$H234,工数管理!$AB$3:$AB$98,"&gt;="&amp;$H234)+COUNTIFS(工数管理!$AK$3:$AK$98,J$1,工数管理!$AC$3:$AC$98,"&lt;="&amp;$H234,工数管理!$AD$3:$AD$98,"&gt;="&amp;$H234)+COUNTIFS(工数管理!$AK$3:$AK$98,J$1,工数管理!$AE$3:$AE$98,"&lt;="&amp;$H234,工数管理!$AF$3:$AF$98,"&gt;="&amp;$H234)+COUNTIFS(工数管理!$AK$3:$AK$98,J$1,工数管理!$AG$3:$AG$98,"&lt;="&amp;$H234,工数管理!$AH$3:$AH$98,"&gt;="&amp;$H234)+(COUNTIFS(工数管理!$AK$3:$AK$98,J$1,工数管理!$K$3:$K$98,"&lt;="&amp;$H234,工数管理!$L$3:$L$98,"")+COUNTIFS(工数管理!$AK$3:$AK$98,J$1,工数管理!$M$3:$M$98,"&lt;="&amp;$H234,工数管理!$N$3:$N$98,"")+COUNTIFS(工数管理!$AK$3:$AK$98,J$1,工数管理!$O$3:$O$98,"&lt;="&amp;$H234,工数管理!$P$3:$P$98,"")+COUNTIFS(工数管理!$AK$3:$AK$98,J$1,工数管理!$Q$3:$Q$98,"&lt;="&amp;$H234,工数管理!$R$3:$R$98,"")+COUNTIFS(工数管理!$AK$3:$AK$98,J$1,工数管理!$S$3:$S$98,"&lt;="&amp;$H234,工数管理!$T$3:$T$98,"")+COUNTIFS(工数管理!$AK$3:$AK$98,J$1,工数管理!$U$3:$U$98,"&lt;="&amp;$H234,工数管理!$V$3:$V$98,"")+COUNTIFS(工数管理!$AK$3:$AK$98,J$1,工数管理!$W$3:$W$98,"&lt;="&amp;$H234,工数管理!$X$3:$X$98,"")+COUNTIFS(工数管理!$AK$3:$AK$98,J$1,工数管理!$Y$3:$Y$98,"&lt;="&amp;$H234,工数管理!$Z$3:$Z$98,"")+COUNTIFS(工数管理!$AK$3:$AK$98,J$1,工数管理!$AA$3:$AA$98,"&lt;="&amp;$H234,工数管理!$AB$3:$AB$98,"")+COUNTIFS(工数管理!$AK$3:$AK$98,J$1,工数管理!$AC$3:$AC$98,"&lt;="&amp;$H234,工数管理!$AD$3:$AD$98,"")+COUNTIFS(工数管理!$AK$3:$AK$98,J$1,工数管理!$AE$3:$AE$98,"&lt;="&amp;$H234,工数管理!$AF$3:$AF$98,"")+COUNTIFS(工数管理!$AK$3:$AK$98,J$1,工数管理!$AG$3:$AG$98,"&lt;="&amp;$H234,工数管理!$AH$3:$AH$98,""))*($H234&lt;=工数管理!$AI$1))</f>
        <v>0</v>
      </c>
      <c r="K234" s="42">
        <f ca="1">IF(K$1="",0,COUNTIFS(工数管理!$AK$3:$AK$98,K$1,工数管理!$K$3:$K$98,"&lt;="&amp;$H234,工数管理!$L$3:$L$98,"&gt;="&amp;$H234)+COUNTIFS(工数管理!$AK$3:$AK$98,K$1,工数管理!$M$3:$M$98,"&lt;="&amp;$H234,工数管理!$N$3:$N$98,"&gt;="&amp;$H234)+COUNTIFS(工数管理!$AK$3:$AK$98,K$1,工数管理!$O$3:$O$98,"&lt;="&amp;$H234,工数管理!$P$3:$P$98,"&gt;="&amp;$H234)+COUNTIFS(工数管理!$AK$3:$AK$98,K$1,工数管理!$Q$3:$Q$98,"&lt;="&amp;$H234,工数管理!$R$3:$R$98,"&gt;="&amp;$H234)+COUNTIFS(工数管理!$AK$3:$AK$98,K$1,工数管理!$S$3:$S$98,"&lt;="&amp;$H234,工数管理!$T$3:$T$98,"&gt;="&amp;$H234)+COUNTIFS(工数管理!$AK$3:$AK$98,K$1,工数管理!$U$3:$U$98,"&lt;="&amp;$H234,工数管理!$V$3:$V$98,"&gt;="&amp;$H234)+COUNTIFS(工数管理!$AK$3:$AK$98,K$1,工数管理!$W$3:$W$98,"&lt;="&amp;$H234,工数管理!$X$3:$X$98,"&gt;="&amp;$H234)+COUNTIFS(工数管理!$AK$3:$AK$98,K$1,工数管理!$Y$3:$Y$98,"&lt;="&amp;$H234,工数管理!$Z$3:$Z$98,"&gt;="&amp;$H234)+COUNTIFS(工数管理!$AK$3:$AK$98,K$1,工数管理!$AA$3:$AA$98,"&lt;="&amp;$H234,工数管理!$AB$3:$AB$98,"&gt;="&amp;$H234)+COUNTIFS(工数管理!$AK$3:$AK$98,K$1,工数管理!$AC$3:$AC$98,"&lt;="&amp;$H234,工数管理!$AD$3:$AD$98,"&gt;="&amp;$H234)+COUNTIFS(工数管理!$AK$3:$AK$98,K$1,工数管理!$AE$3:$AE$98,"&lt;="&amp;$H234,工数管理!$AF$3:$AF$98,"&gt;="&amp;$H234)+COUNTIFS(工数管理!$AK$3:$AK$98,K$1,工数管理!$AG$3:$AG$98,"&lt;="&amp;$H234,工数管理!$AH$3:$AH$98,"&gt;="&amp;$H234)+(COUNTIFS(工数管理!$AK$3:$AK$98,K$1,工数管理!$K$3:$K$98,"&lt;="&amp;$H234,工数管理!$L$3:$L$98,"")+COUNTIFS(工数管理!$AK$3:$AK$98,K$1,工数管理!$M$3:$M$98,"&lt;="&amp;$H234,工数管理!$N$3:$N$98,"")+COUNTIFS(工数管理!$AK$3:$AK$98,K$1,工数管理!$O$3:$O$98,"&lt;="&amp;$H234,工数管理!$P$3:$P$98,"")+COUNTIFS(工数管理!$AK$3:$AK$98,K$1,工数管理!$Q$3:$Q$98,"&lt;="&amp;$H234,工数管理!$R$3:$R$98,"")+COUNTIFS(工数管理!$AK$3:$AK$98,K$1,工数管理!$S$3:$S$98,"&lt;="&amp;$H234,工数管理!$T$3:$T$98,"")+COUNTIFS(工数管理!$AK$3:$AK$98,K$1,工数管理!$U$3:$U$98,"&lt;="&amp;$H234,工数管理!$V$3:$V$98,"")+COUNTIFS(工数管理!$AK$3:$AK$98,K$1,工数管理!$W$3:$W$98,"&lt;="&amp;$H234,工数管理!$X$3:$X$98,"")+COUNTIFS(工数管理!$AK$3:$AK$98,K$1,工数管理!$Y$3:$Y$98,"&lt;="&amp;$H234,工数管理!$Z$3:$Z$98,"")+COUNTIFS(工数管理!$AK$3:$AK$98,K$1,工数管理!$AA$3:$AA$98,"&lt;="&amp;$H234,工数管理!$AB$3:$AB$98,"")+COUNTIFS(工数管理!$AK$3:$AK$98,K$1,工数管理!$AC$3:$AC$98,"&lt;="&amp;$H234,工数管理!$AD$3:$AD$98,"")+COUNTIFS(工数管理!$AK$3:$AK$98,K$1,工数管理!$AE$3:$AE$98,"&lt;="&amp;$H234,工数管理!$AF$3:$AF$98,"")+COUNTIFS(工数管理!$AK$3:$AK$98,K$1,工数管理!$AG$3:$AG$98,"&lt;="&amp;$H234,工数管理!$AH$3:$AH$98,""))*($H234&lt;=工数管理!$AI$1))</f>
        <v>0</v>
      </c>
      <c r="L234" s="42">
        <f ca="1">IF(L$1="",0,COUNTIFS(工数管理!$AK$3:$AK$98,L$1,工数管理!$K$3:$K$98,"&lt;="&amp;$H234,工数管理!$L$3:$L$98,"&gt;="&amp;$H234)+COUNTIFS(工数管理!$AK$3:$AK$98,L$1,工数管理!$M$3:$M$98,"&lt;="&amp;$H234,工数管理!$N$3:$N$98,"&gt;="&amp;$H234)+COUNTIFS(工数管理!$AK$3:$AK$98,L$1,工数管理!$O$3:$O$98,"&lt;="&amp;$H234,工数管理!$P$3:$P$98,"&gt;="&amp;$H234)+COUNTIFS(工数管理!$AK$3:$AK$98,L$1,工数管理!$Q$3:$Q$98,"&lt;="&amp;$H234,工数管理!$R$3:$R$98,"&gt;="&amp;$H234)+COUNTIFS(工数管理!$AK$3:$AK$98,L$1,工数管理!$S$3:$S$98,"&lt;="&amp;$H234,工数管理!$T$3:$T$98,"&gt;="&amp;$H234)+COUNTIFS(工数管理!$AK$3:$AK$98,L$1,工数管理!$U$3:$U$98,"&lt;="&amp;$H234,工数管理!$V$3:$V$98,"&gt;="&amp;$H234)+COUNTIFS(工数管理!$AK$3:$AK$98,L$1,工数管理!$W$3:$W$98,"&lt;="&amp;$H234,工数管理!$X$3:$X$98,"&gt;="&amp;$H234)+COUNTIFS(工数管理!$AK$3:$AK$98,L$1,工数管理!$Y$3:$Y$98,"&lt;="&amp;$H234,工数管理!$Z$3:$Z$98,"&gt;="&amp;$H234)+COUNTIFS(工数管理!$AK$3:$AK$98,L$1,工数管理!$AA$3:$AA$98,"&lt;="&amp;$H234,工数管理!$AB$3:$AB$98,"&gt;="&amp;$H234)+COUNTIFS(工数管理!$AK$3:$AK$98,L$1,工数管理!$AC$3:$AC$98,"&lt;="&amp;$H234,工数管理!$AD$3:$AD$98,"&gt;="&amp;$H234)+COUNTIFS(工数管理!$AK$3:$AK$98,L$1,工数管理!$AE$3:$AE$98,"&lt;="&amp;$H234,工数管理!$AF$3:$AF$98,"&gt;="&amp;$H234)+COUNTIFS(工数管理!$AK$3:$AK$98,L$1,工数管理!$AG$3:$AG$98,"&lt;="&amp;$H234,工数管理!$AH$3:$AH$98,"&gt;="&amp;$H234)+(COUNTIFS(工数管理!$AK$3:$AK$98,L$1,工数管理!$K$3:$K$98,"&lt;="&amp;$H234,工数管理!$L$3:$L$98,"")+COUNTIFS(工数管理!$AK$3:$AK$98,L$1,工数管理!$M$3:$M$98,"&lt;="&amp;$H234,工数管理!$N$3:$N$98,"")+COUNTIFS(工数管理!$AK$3:$AK$98,L$1,工数管理!$O$3:$O$98,"&lt;="&amp;$H234,工数管理!$P$3:$P$98,"")+COUNTIFS(工数管理!$AK$3:$AK$98,L$1,工数管理!$Q$3:$Q$98,"&lt;="&amp;$H234,工数管理!$R$3:$R$98,"")+COUNTIFS(工数管理!$AK$3:$AK$98,L$1,工数管理!$S$3:$S$98,"&lt;="&amp;$H234,工数管理!$T$3:$T$98,"")+COUNTIFS(工数管理!$AK$3:$AK$98,L$1,工数管理!$U$3:$U$98,"&lt;="&amp;$H234,工数管理!$V$3:$V$98,"")+COUNTIFS(工数管理!$AK$3:$AK$98,L$1,工数管理!$W$3:$W$98,"&lt;="&amp;$H234,工数管理!$X$3:$X$98,"")+COUNTIFS(工数管理!$AK$3:$AK$98,L$1,工数管理!$Y$3:$Y$98,"&lt;="&amp;$H234,工数管理!$Z$3:$Z$98,"")+COUNTIFS(工数管理!$AK$3:$AK$98,L$1,工数管理!$AA$3:$AA$98,"&lt;="&amp;$H234,工数管理!$AB$3:$AB$98,"")+COUNTIFS(工数管理!$AK$3:$AK$98,L$1,工数管理!$AC$3:$AC$98,"&lt;="&amp;$H234,工数管理!$AD$3:$AD$98,"")+COUNTIFS(工数管理!$AK$3:$AK$98,L$1,工数管理!$AE$3:$AE$98,"&lt;="&amp;$H234,工数管理!$AF$3:$AF$98,"")+COUNTIFS(工数管理!$AK$3:$AK$98,L$1,工数管理!$AG$3:$AG$98,"&lt;="&amp;$H234,工数管理!$AH$3:$AH$98,""))*($H234&lt;=工数管理!$AI$1))</f>
        <v>0</v>
      </c>
    </row>
    <row r="235" spans="8:12" x14ac:dyDescent="0.15">
      <c r="H235" s="41">
        <f t="shared" si="7"/>
        <v>46403</v>
      </c>
      <c r="I235" s="42">
        <f t="shared" si="6"/>
        <v>0</v>
      </c>
      <c r="J235" s="42">
        <f ca="1">IF(J$1="",0,COUNTIFS(工数管理!$AK$3:$AK$98,J$1,工数管理!$K$3:$K$98,"&lt;="&amp;$H235,工数管理!$L$3:$L$98,"&gt;="&amp;$H235)+COUNTIFS(工数管理!$AK$3:$AK$98,J$1,工数管理!$M$3:$M$98,"&lt;="&amp;$H235,工数管理!$N$3:$N$98,"&gt;="&amp;$H235)+COUNTIFS(工数管理!$AK$3:$AK$98,J$1,工数管理!$O$3:$O$98,"&lt;="&amp;$H235,工数管理!$P$3:$P$98,"&gt;="&amp;$H235)+COUNTIFS(工数管理!$AK$3:$AK$98,J$1,工数管理!$Q$3:$Q$98,"&lt;="&amp;$H235,工数管理!$R$3:$R$98,"&gt;="&amp;$H235)+COUNTIFS(工数管理!$AK$3:$AK$98,J$1,工数管理!$S$3:$S$98,"&lt;="&amp;$H235,工数管理!$T$3:$T$98,"&gt;="&amp;$H235)+COUNTIFS(工数管理!$AK$3:$AK$98,J$1,工数管理!$U$3:$U$98,"&lt;="&amp;$H235,工数管理!$V$3:$V$98,"&gt;="&amp;$H235)+COUNTIFS(工数管理!$AK$3:$AK$98,J$1,工数管理!$W$3:$W$98,"&lt;="&amp;$H235,工数管理!$X$3:$X$98,"&gt;="&amp;$H235)+COUNTIFS(工数管理!$AK$3:$AK$98,J$1,工数管理!$Y$3:$Y$98,"&lt;="&amp;$H235,工数管理!$Z$3:$Z$98,"&gt;="&amp;$H235)+COUNTIFS(工数管理!$AK$3:$AK$98,J$1,工数管理!$AA$3:$AA$98,"&lt;="&amp;$H235,工数管理!$AB$3:$AB$98,"&gt;="&amp;$H235)+COUNTIFS(工数管理!$AK$3:$AK$98,J$1,工数管理!$AC$3:$AC$98,"&lt;="&amp;$H235,工数管理!$AD$3:$AD$98,"&gt;="&amp;$H235)+COUNTIFS(工数管理!$AK$3:$AK$98,J$1,工数管理!$AE$3:$AE$98,"&lt;="&amp;$H235,工数管理!$AF$3:$AF$98,"&gt;="&amp;$H235)+COUNTIFS(工数管理!$AK$3:$AK$98,J$1,工数管理!$AG$3:$AG$98,"&lt;="&amp;$H235,工数管理!$AH$3:$AH$98,"&gt;="&amp;$H235)+(COUNTIFS(工数管理!$AK$3:$AK$98,J$1,工数管理!$K$3:$K$98,"&lt;="&amp;$H235,工数管理!$L$3:$L$98,"")+COUNTIFS(工数管理!$AK$3:$AK$98,J$1,工数管理!$M$3:$M$98,"&lt;="&amp;$H235,工数管理!$N$3:$N$98,"")+COUNTIFS(工数管理!$AK$3:$AK$98,J$1,工数管理!$O$3:$O$98,"&lt;="&amp;$H235,工数管理!$P$3:$P$98,"")+COUNTIFS(工数管理!$AK$3:$AK$98,J$1,工数管理!$Q$3:$Q$98,"&lt;="&amp;$H235,工数管理!$R$3:$R$98,"")+COUNTIFS(工数管理!$AK$3:$AK$98,J$1,工数管理!$S$3:$S$98,"&lt;="&amp;$H235,工数管理!$T$3:$T$98,"")+COUNTIFS(工数管理!$AK$3:$AK$98,J$1,工数管理!$U$3:$U$98,"&lt;="&amp;$H235,工数管理!$V$3:$V$98,"")+COUNTIFS(工数管理!$AK$3:$AK$98,J$1,工数管理!$W$3:$W$98,"&lt;="&amp;$H235,工数管理!$X$3:$X$98,"")+COUNTIFS(工数管理!$AK$3:$AK$98,J$1,工数管理!$Y$3:$Y$98,"&lt;="&amp;$H235,工数管理!$Z$3:$Z$98,"")+COUNTIFS(工数管理!$AK$3:$AK$98,J$1,工数管理!$AA$3:$AA$98,"&lt;="&amp;$H235,工数管理!$AB$3:$AB$98,"")+COUNTIFS(工数管理!$AK$3:$AK$98,J$1,工数管理!$AC$3:$AC$98,"&lt;="&amp;$H235,工数管理!$AD$3:$AD$98,"")+COUNTIFS(工数管理!$AK$3:$AK$98,J$1,工数管理!$AE$3:$AE$98,"&lt;="&amp;$H235,工数管理!$AF$3:$AF$98,"")+COUNTIFS(工数管理!$AK$3:$AK$98,J$1,工数管理!$AG$3:$AG$98,"&lt;="&amp;$H235,工数管理!$AH$3:$AH$98,""))*($H235&lt;=工数管理!$AI$1))</f>
        <v>0</v>
      </c>
      <c r="K235" s="42">
        <f ca="1">IF(K$1="",0,COUNTIFS(工数管理!$AK$3:$AK$98,K$1,工数管理!$K$3:$K$98,"&lt;="&amp;$H235,工数管理!$L$3:$L$98,"&gt;="&amp;$H235)+COUNTIFS(工数管理!$AK$3:$AK$98,K$1,工数管理!$M$3:$M$98,"&lt;="&amp;$H235,工数管理!$N$3:$N$98,"&gt;="&amp;$H235)+COUNTIFS(工数管理!$AK$3:$AK$98,K$1,工数管理!$O$3:$O$98,"&lt;="&amp;$H235,工数管理!$P$3:$P$98,"&gt;="&amp;$H235)+COUNTIFS(工数管理!$AK$3:$AK$98,K$1,工数管理!$Q$3:$Q$98,"&lt;="&amp;$H235,工数管理!$R$3:$R$98,"&gt;="&amp;$H235)+COUNTIFS(工数管理!$AK$3:$AK$98,K$1,工数管理!$S$3:$S$98,"&lt;="&amp;$H235,工数管理!$T$3:$T$98,"&gt;="&amp;$H235)+COUNTIFS(工数管理!$AK$3:$AK$98,K$1,工数管理!$U$3:$U$98,"&lt;="&amp;$H235,工数管理!$V$3:$V$98,"&gt;="&amp;$H235)+COUNTIFS(工数管理!$AK$3:$AK$98,K$1,工数管理!$W$3:$W$98,"&lt;="&amp;$H235,工数管理!$X$3:$X$98,"&gt;="&amp;$H235)+COUNTIFS(工数管理!$AK$3:$AK$98,K$1,工数管理!$Y$3:$Y$98,"&lt;="&amp;$H235,工数管理!$Z$3:$Z$98,"&gt;="&amp;$H235)+COUNTIFS(工数管理!$AK$3:$AK$98,K$1,工数管理!$AA$3:$AA$98,"&lt;="&amp;$H235,工数管理!$AB$3:$AB$98,"&gt;="&amp;$H235)+COUNTIFS(工数管理!$AK$3:$AK$98,K$1,工数管理!$AC$3:$AC$98,"&lt;="&amp;$H235,工数管理!$AD$3:$AD$98,"&gt;="&amp;$H235)+COUNTIFS(工数管理!$AK$3:$AK$98,K$1,工数管理!$AE$3:$AE$98,"&lt;="&amp;$H235,工数管理!$AF$3:$AF$98,"&gt;="&amp;$H235)+COUNTIFS(工数管理!$AK$3:$AK$98,K$1,工数管理!$AG$3:$AG$98,"&lt;="&amp;$H235,工数管理!$AH$3:$AH$98,"&gt;="&amp;$H235)+(COUNTIFS(工数管理!$AK$3:$AK$98,K$1,工数管理!$K$3:$K$98,"&lt;="&amp;$H235,工数管理!$L$3:$L$98,"")+COUNTIFS(工数管理!$AK$3:$AK$98,K$1,工数管理!$M$3:$M$98,"&lt;="&amp;$H235,工数管理!$N$3:$N$98,"")+COUNTIFS(工数管理!$AK$3:$AK$98,K$1,工数管理!$O$3:$O$98,"&lt;="&amp;$H235,工数管理!$P$3:$P$98,"")+COUNTIFS(工数管理!$AK$3:$AK$98,K$1,工数管理!$Q$3:$Q$98,"&lt;="&amp;$H235,工数管理!$R$3:$R$98,"")+COUNTIFS(工数管理!$AK$3:$AK$98,K$1,工数管理!$S$3:$S$98,"&lt;="&amp;$H235,工数管理!$T$3:$T$98,"")+COUNTIFS(工数管理!$AK$3:$AK$98,K$1,工数管理!$U$3:$U$98,"&lt;="&amp;$H235,工数管理!$V$3:$V$98,"")+COUNTIFS(工数管理!$AK$3:$AK$98,K$1,工数管理!$W$3:$W$98,"&lt;="&amp;$H235,工数管理!$X$3:$X$98,"")+COUNTIFS(工数管理!$AK$3:$AK$98,K$1,工数管理!$Y$3:$Y$98,"&lt;="&amp;$H235,工数管理!$Z$3:$Z$98,"")+COUNTIFS(工数管理!$AK$3:$AK$98,K$1,工数管理!$AA$3:$AA$98,"&lt;="&amp;$H235,工数管理!$AB$3:$AB$98,"")+COUNTIFS(工数管理!$AK$3:$AK$98,K$1,工数管理!$AC$3:$AC$98,"&lt;="&amp;$H235,工数管理!$AD$3:$AD$98,"")+COUNTIFS(工数管理!$AK$3:$AK$98,K$1,工数管理!$AE$3:$AE$98,"&lt;="&amp;$H235,工数管理!$AF$3:$AF$98,"")+COUNTIFS(工数管理!$AK$3:$AK$98,K$1,工数管理!$AG$3:$AG$98,"&lt;="&amp;$H235,工数管理!$AH$3:$AH$98,""))*($H235&lt;=工数管理!$AI$1))</f>
        <v>0</v>
      </c>
      <c r="L235" s="42">
        <f ca="1">IF(L$1="",0,COUNTIFS(工数管理!$AK$3:$AK$98,L$1,工数管理!$K$3:$K$98,"&lt;="&amp;$H235,工数管理!$L$3:$L$98,"&gt;="&amp;$H235)+COUNTIFS(工数管理!$AK$3:$AK$98,L$1,工数管理!$M$3:$M$98,"&lt;="&amp;$H235,工数管理!$N$3:$N$98,"&gt;="&amp;$H235)+COUNTIFS(工数管理!$AK$3:$AK$98,L$1,工数管理!$O$3:$O$98,"&lt;="&amp;$H235,工数管理!$P$3:$P$98,"&gt;="&amp;$H235)+COUNTIFS(工数管理!$AK$3:$AK$98,L$1,工数管理!$Q$3:$Q$98,"&lt;="&amp;$H235,工数管理!$R$3:$R$98,"&gt;="&amp;$H235)+COUNTIFS(工数管理!$AK$3:$AK$98,L$1,工数管理!$S$3:$S$98,"&lt;="&amp;$H235,工数管理!$T$3:$T$98,"&gt;="&amp;$H235)+COUNTIFS(工数管理!$AK$3:$AK$98,L$1,工数管理!$U$3:$U$98,"&lt;="&amp;$H235,工数管理!$V$3:$V$98,"&gt;="&amp;$H235)+COUNTIFS(工数管理!$AK$3:$AK$98,L$1,工数管理!$W$3:$W$98,"&lt;="&amp;$H235,工数管理!$X$3:$X$98,"&gt;="&amp;$H235)+COUNTIFS(工数管理!$AK$3:$AK$98,L$1,工数管理!$Y$3:$Y$98,"&lt;="&amp;$H235,工数管理!$Z$3:$Z$98,"&gt;="&amp;$H235)+COUNTIFS(工数管理!$AK$3:$AK$98,L$1,工数管理!$AA$3:$AA$98,"&lt;="&amp;$H235,工数管理!$AB$3:$AB$98,"&gt;="&amp;$H235)+COUNTIFS(工数管理!$AK$3:$AK$98,L$1,工数管理!$AC$3:$AC$98,"&lt;="&amp;$H235,工数管理!$AD$3:$AD$98,"&gt;="&amp;$H235)+COUNTIFS(工数管理!$AK$3:$AK$98,L$1,工数管理!$AE$3:$AE$98,"&lt;="&amp;$H235,工数管理!$AF$3:$AF$98,"&gt;="&amp;$H235)+COUNTIFS(工数管理!$AK$3:$AK$98,L$1,工数管理!$AG$3:$AG$98,"&lt;="&amp;$H235,工数管理!$AH$3:$AH$98,"&gt;="&amp;$H235)+(COUNTIFS(工数管理!$AK$3:$AK$98,L$1,工数管理!$K$3:$K$98,"&lt;="&amp;$H235,工数管理!$L$3:$L$98,"")+COUNTIFS(工数管理!$AK$3:$AK$98,L$1,工数管理!$M$3:$M$98,"&lt;="&amp;$H235,工数管理!$N$3:$N$98,"")+COUNTIFS(工数管理!$AK$3:$AK$98,L$1,工数管理!$O$3:$O$98,"&lt;="&amp;$H235,工数管理!$P$3:$P$98,"")+COUNTIFS(工数管理!$AK$3:$AK$98,L$1,工数管理!$Q$3:$Q$98,"&lt;="&amp;$H235,工数管理!$R$3:$R$98,"")+COUNTIFS(工数管理!$AK$3:$AK$98,L$1,工数管理!$S$3:$S$98,"&lt;="&amp;$H235,工数管理!$T$3:$T$98,"")+COUNTIFS(工数管理!$AK$3:$AK$98,L$1,工数管理!$U$3:$U$98,"&lt;="&amp;$H235,工数管理!$V$3:$V$98,"")+COUNTIFS(工数管理!$AK$3:$AK$98,L$1,工数管理!$W$3:$W$98,"&lt;="&amp;$H235,工数管理!$X$3:$X$98,"")+COUNTIFS(工数管理!$AK$3:$AK$98,L$1,工数管理!$Y$3:$Y$98,"&lt;="&amp;$H235,工数管理!$Z$3:$Z$98,"")+COUNTIFS(工数管理!$AK$3:$AK$98,L$1,工数管理!$AA$3:$AA$98,"&lt;="&amp;$H235,工数管理!$AB$3:$AB$98,"")+COUNTIFS(工数管理!$AK$3:$AK$98,L$1,工数管理!$AC$3:$AC$98,"&lt;="&amp;$H235,工数管理!$AD$3:$AD$98,"")+COUNTIFS(工数管理!$AK$3:$AK$98,L$1,工数管理!$AE$3:$AE$98,"&lt;="&amp;$H235,工数管理!$AF$3:$AF$98,"")+COUNTIFS(工数管理!$AK$3:$AK$98,L$1,工数管理!$AG$3:$AG$98,"&lt;="&amp;$H235,工数管理!$AH$3:$AH$98,""))*($H235&lt;=工数管理!$AI$1))</f>
        <v>0</v>
      </c>
    </row>
    <row r="236" spans="8:12" x14ac:dyDescent="0.15">
      <c r="H236" s="41">
        <f t="shared" si="7"/>
        <v>46404</v>
      </c>
      <c r="I236" s="42">
        <f t="shared" si="6"/>
        <v>0</v>
      </c>
      <c r="J236" s="42">
        <f ca="1">IF(J$1="",0,COUNTIFS(工数管理!$AK$3:$AK$98,J$1,工数管理!$K$3:$K$98,"&lt;="&amp;$H236,工数管理!$L$3:$L$98,"&gt;="&amp;$H236)+COUNTIFS(工数管理!$AK$3:$AK$98,J$1,工数管理!$M$3:$M$98,"&lt;="&amp;$H236,工数管理!$N$3:$N$98,"&gt;="&amp;$H236)+COUNTIFS(工数管理!$AK$3:$AK$98,J$1,工数管理!$O$3:$O$98,"&lt;="&amp;$H236,工数管理!$P$3:$P$98,"&gt;="&amp;$H236)+COUNTIFS(工数管理!$AK$3:$AK$98,J$1,工数管理!$Q$3:$Q$98,"&lt;="&amp;$H236,工数管理!$R$3:$R$98,"&gt;="&amp;$H236)+COUNTIFS(工数管理!$AK$3:$AK$98,J$1,工数管理!$S$3:$S$98,"&lt;="&amp;$H236,工数管理!$T$3:$T$98,"&gt;="&amp;$H236)+COUNTIFS(工数管理!$AK$3:$AK$98,J$1,工数管理!$U$3:$U$98,"&lt;="&amp;$H236,工数管理!$V$3:$V$98,"&gt;="&amp;$H236)+COUNTIFS(工数管理!$AK$3:$AK$98,J$1,工数管理!$W$3:$W$98,"&lt;="&amp;$H236,工数管理!$X$3:$X$98,"&gt;="&amp;$H236)+COUNTIFS(工数管理!$AK$3:$AK$98,J$1,工数管理!$Y$3:$Y$98,"&lt;="&amp;$H236,工数管理!$Z$3:$Z$98,"&gt;="&amp;$H236)+COUNTIFS(工数管理!$AK$3:$AK$98,J$1,工数管理!$AA$3:$AA$98,"&lt;="&amp;$H236,工数管理!$AB$3:$AB$98,"&gt;="&amp;$H236)+COUNTIFS(工数管理!$AK$3:$AK$98,J$1,工数管理!$AC$3:$AC$98,"&lt;="&amp;$H236,工数管理!$AD$3:$AD$98,"&gt;="&amp;$H236)+COUNTIFS(工数管理!$AK$3:$AK$98,J$1,工数管理!$AE$3:$AE$98,"&lt;="&amp;$H236,工数管理!$AF$3:$AF$98,"&gt;="&amp;$H236)+COUNTIFS(工数管理!$AK$3:$AK$98,J$1,工数管理!$AG$3:$AG$98,"&lt;="&amp;$H236,工数管理!$AH$3:$AH$98,"&gt;="&amp;$H236)+(COUNTIFS(工数管理!$AK$3:$AK$98,J$1,工数管理!$K$3:$K$98,"&lt;="&amp;$H236,工数管理!$L$3:$L$98,"")+COUNTIFS(工数管理!$AK$3:$AK$98,J$1,工数管理!$M$3:$M$98,"&lt;="&amp;$H236,工数管理!$N$3:$N$98,"")+COUNTIFS(工数管理!$AK$3:$AK$98,J$1,工数管理!$O$3:$O$98,"&lt;="&amp;$H236,工数管理!$P$3:$P$98,"")+COUNTIFS(工数管理!$AK$3:$AK$98,J$1,工数管理!$Q$3:$Q$98,"&lt;="&amp;$H236,工数管理!$R$3:$R$98,"")+COUNTIFS(工数管理!$AK$3:$AK$98,J$1,工数管理!$S$3:$S$98,"&lt;="&amp;$H236,工数管理!$T$3:$T$98,"")+COUNTIFS(工数管理!$AK$3:$AK$98,J$1,工数管理!$U$3:$U$98,"&lt;="&amp;$H236,工数管理!$V$3:$V$98,"")+COUNTIFS(工数管理!$AK$3:$AK$98,J$1,工数管理!$W$3:$W$98,"&lt;="&amp;$H236,工数管理!$X$3:$X$98,"")+COUNTIFS(工数管理!$AK$3:$AK$98,J$1,工数管理!$Y$3:$Y$98,"&lt;="&amp;$H236,工数管理!$Z$3:$Z$98,"")+COUNTIFS(工数管理!$AK$3:$AK$98,J$1,工数管理!$AA$3:$AA$98,"&lt;="&amp;$H236,工数管理!$AB$3:$AB$98,"")+COUNTIFS(工数管理!$AK$3:$AK$98,J$1,工数管理!$AC$3:$AC$98,"&lt;="&amp;$H236,工数管理!$AD$3:$AD$98,"")+COUNTIFS(工数管理!$AK$3:$AK$98,J$1,工数管理!$AE$3:$AE$98,"&lt;="&amp;$H236,工数管理!$AF$3:$AF$98,"")+COUNTIFS(工数管理!$AK$3:$AK$98,J$1,工数管理!$AG$3:$AG$98,"&lt;="&amp;$H236,工数管理!$AH$3:$AH$98,""))*($H236&lt;=工数管理!$AI$1))</f>
        <v>0</v>
      </c>
      <c r="K236" s="42">
        <f ca="1">IF(K$1="",0,COUNTIFS(工数管理!$AK$3:$AK$98,K$1,工数管理!$K$3:$K$98,"&lt;="&amp;$H236,工数管理!$L$3:$L$98,"&gt;="&amp;$H236)+COUNTIFS(工数管理!$AK$3:$AK$98,K$1,工数管理!$M$3:$M$98,"&lt;="&amp;$H236,工数管理!$N$3:$N$98,"&gt;="&amp;$H236)+COUNTIFS(工数管理!$AK$3:$AK$98,K$1,工数管理!$O$3:$O$98,"&lt;="&amp;$H236,工数管理!$P$3:$P$98,"&gt;="&amp;$H236)+COUNTIFS(工数管理!$AK$3:$AK$98,K$1,工数管理!$Q$3:$Q$98,"&lt;="&amp;$H236,工数管理!$R$3:$R$98,"&gt;="&amp;$H236)+COUNTIFS(工数管理!$AK$3:$AK$98,K$1,工数管理!$S$3:$S$98,"&lt;="&amp;$H236,工数管理!$T$3:$T$98,"&gt;="&amp;$H236)+COUNTIFS(工数管理!$AK$3:$AK$98,K$1,工数管理!$U$3:$U$98,"&lt;="&amp;$H236,工数管理!$V$3:$V$98,"&gt;="&amp;$H236)+COUNTIFS(工数管理!$AK$3:$AK$98,K$1,工数管理!$W$3:$W$98,"&lt;="&amp;$H236,工数管理!$X$3:$X$98,"&gt;="&amp;$H236)+COUNTIFS(工数管理!$AK$3:$AK$98,K$1,工数管理!$Y$3:$Y$98,"&lt;="&amp;$H236,工数管理!$Z$3:$Z$98,"&gt;="&amp;$H236)+COUNTIFS(工数管理!$AK$3:$AK$98,K$1,工数管理!$AA$3:$AA$98,"&lt;="&amp;$H236,工数管理!$AB$3:$AB$98,"&gt;="&amp;$H236)+COUNTIFS(工数管理!$AK$3:$AK$98,K$1,工数管理!$AC$3:$AC$98,"&lt;="&amp;$H236,工数管理!$AD$3:$AD$98,"&gt;="&amp;$H236)+COUNTIFS(工数管理!$AK$3:$AK$98,K$1,工数管理!$AE$3:$AE$98,"&lt;="&amp;$H236,工数管理!$AF$3:$AF$98,"&gt;="&amp;$H236)+COUNTIFS(工数管理!$AK$3:$AK$98,K$1,工数管理!$AG$3:$AG$98,"&lt;="&amp;$H236,工数管理!$AH$3:$AH$98,"&gt;="&amp;$H236)+(COUNTIFS(工数管理!$AK$3:$AK$98,K$1,工数管理!$K$3:$K$98,"&lt;="&amp;$H236,工数管理!$L$3:$L$98,"")+COUNTIFS(工数管理!$AK$3:$AK$98,K$1,工数管理!$M$3:$M$98,"&lt;="&amp;$H236,工数管理!$N$3:$N$98,"")+COUNTIFS(工数管理!$AK$3:$AK$98,K$1,工数管理!$O$3:$O$98,"&lt;="&amp;$H236,工数管理!$P$3:$P$98,"")+COUNTIFS(工数管理!$AK$3:$AK$98,K$1,工数管理!$Q$3:$Q$98,"&lt;="&amp;$H236,工数管理!$R$3:$R$98,"")+COUNTIFS(工数管理!$AK$3:$AK$98,K$1,工数管理!$S$3:$S$98,"&lt;="&amp;$H236,工数管理!$T$3:$T$98,"")+COUNTIFS(工数管理!$AK$3:$AK$98,K$1,工数管理!$U$3:$U$98,"&lt;="&amp;$H236,工数管理!$V$3:$V$98,"")+COUNTIFS(工数管理!$AK$3:$AK$98,K$1,工数管理!$W$3:$W$98,"&lt;="&amp;$H236,工数管理!$X$3:$X$98,"")+COUNTIFS(工数管理!$AK$3:$AK$98,K$1,工数管理!$Y$3:$Y$98,"&lt;="&amp;$H236,工数管理!$Z$3:$Z$98,"")+COUNTIFS(工数管理!$AK$3:$AK$98,K$1,工数管理!$AA$3:$AA$98,"&lt;="&amp;$H236,工数管理!$AB$3:$AB$98,"")+COUNTIFS(工数管理!$AK$3:$AK$98,K$1,工数管理!$AC$3:$AC$98,"&lt;="&amp;$H236,工数管理!$AD$3:$AD$98,"")+COUNTIFS(工数管理!$AK$3:$AK$98,K$1,工数管理!$AE$3:$AE$98,"&lt;="&amp;$H236,工数管理!$AF$3:$AF$98,"")+COUNTIFS(工数管理!$AK$3:$AK$98,K$1,工数管理!$AG$3:$AG$98,"&lt;="&amp;$H236,工数管理!$AH$3:$AH$98,""))*($H236&lt;=工数管理!$AI$1))</f>
        <v>0</v>
      </c>
      <c r="L236" s="42">
        <f ca="1">IF(L$1="",0,COUNTIFS(工数管理!$AK$3:$AK$98,L$1,工数管理!$K$3:$K$98,"&lt;="&amp;$H236,工数管理!$L$3:$L$98,"&gt;="&amp;$H236)+COUNTIFS(工数管理!$AK$3:$AK$98,L$1,工数管理!$M$3:$M$98,"&lt;="&amp;$H236,工数管理!$N$3:$N$98,"&gt;="&amp;$H236)+COUNTIFS(工数管理!$AK$3:$AK$98,L$1,工数管理!$O$3:$O$98,"&lt;="&amp;$H236,工数管理!$P$3:$P$98,"&gt;="&amp;$H236)+COUNTIFS(工数管理!$AK$3:$AK$98,L$1,工数管理!$Q$3:$Q$98,"&lt;="&amp;$H236,工数管理!$R$3:$R$98,"&gt;="&amp;$H236)+COUNTIFS(工数管理!$AK$3:$AK$98,L$1,工数管理!$S$3:$S$98,"&lt;="&amp;$H236,工数管理!$T$3:$T$98,"&gt;="&amp;$H236)+COUNTIFS(工数管理!$AK$3:$AK$98,L$1,工数管理!$U$3:$U$98,"&lt;="&amp;$H236,工数管理!$V$3:$V$98,"&gt;="&amp;$H236)+COUNTIFS(工数管理!$AK$3:$AK$98,L$1,工数管理!$W$3:$W$98,"&lt;="&amp;$H236,工数管理!$X$3:$X$98,"&gt;="&amp;$H236)+COUNTIFS(工数管理!$AK$3:$AK$98,L$1,工数管理!$Y$3:$Y$98,"&lt;="&amp;$H236,工数管理!$Z$3:$Z$98,"&gt;="&amp;$H236)+COUNTIFS(工数管理!$AK$3:$AK$98,L$1,工数管理!$AA$3:$AA$98,"&lt;="&amp;$H236,工数管理!$AB$3:$AB$98,"&gt;="&amp;$H236)+COUNTIFS(工数管理!$AK$3:$AK$98,L$1,工数管理!$AC$3:$AC$98,"&lt;="&amp;$H236,工数管理!$AD$3:$AD$98,"&gt;="&amp;$H236)+COUNTIFS(工数管理!$AK$3:$AK$98,L$1,工数管理!$AE$3:$AE$98,"&lt;="&amp;$H236,工数管理!$AF$3:$AF$98,"&gt;="&amp;$H236)+COUNTIFS(工数管理!$AK$3:$AK$98,L$1,工数管理!$AG$3:$AG$98,"&lt;="&amp;$H236,工数管理!$AH$3:$AH$98,"&gt;="&amp;$H236)+(COUNTIFS(工数管理!$AK$3:$AK$98,L$1,工数管理!$K$3:$K$98,"&lt;="&amp;$H236,工数管理!$L$3:$L$98,"")+COUNTIFS(工数管理!$AK$3:$AK$98,L$1,工数管理!$M$3:$M$98,"&lt;="&amp;$H236,工数管理!$N$3:$N$98,"")+COUNTIFS(工数管理!$AK$3:$AK$98,L$1,工数管理!$O$3:$O$98,"&lt;="&amp;$H236,工数管理!$P$3:$P$98,"")+COUNTIFS(工数管理!$AK$3:$AK$98,L$1,工数管理!$Q$3:$Q$98,"&lt;="&amp;$H236,工数管理!$R$3:$R$98,"")+COUNTIFS(工数管理!$AK$3:$AK$98,L$1,工数管理!$S$3:$S$98,"&lt;="&amp;$H236,工数管理!$T$3:$T$98,"")+COUNTIFS(工数管理!$AK$3:$AK$98,L$1,工数管理!$U$3:$U$98,"&lt;="&amp;$H236,工数管理!$V$3:$V$98,"")+COUNTIFS(工数管理!$AK$3:$AK$98,L$1,工数管理!$W$3:$W$98,"&lt;="&amp;$H236,工数管理!$X$3:$X$98,"")+COUNTIFS(工数管理!$AK$3:$AK$98,L$1,工数管理!$Y$3:$Y$98,"&lt;="&amp;$H236,工数管理!$Z$3:$Z$98,"")+COUNTIFS(工数管理!$AK$3:$AK$98,L$1,工数管理!$AA$3:$AA$98,"&lt;="&amp;$H236,工数管理!$AB$3:$AB$98,"")+COUNTIFS(工数管理!$AK$3:$AK$98,L$1,工数管理!$AC$3:$AC$98,"&lt;="&amp;$H236,工数管理!$AD$3:$AD$98,"")+COUNTIFS(工数管理!$AK$3:$AK$98,L$1,工数管理!$AE$3:$AE$98,"&lt;="&amp;$H236,工数管理!$AF$3:$AF$98,"")+COUNTIFS(工数管理!$AK$3:$AK$98,L$1,工数管理!$AG$3:$AG$98,"&lt;="&amp;$H236,工数管理!$AH$3:$AH$98,""))*($H236&lt;=工数管理!$AI$1))</f>
        <v>0</v>
      </c>
    </row>
    <row r="237" spans="8:12" x14ac:dyDescent="0.15">
      <c r="H237" s="41">
        <f t="shared" si="7"/>
        <v>46405</v>
      </c>
      <c r="I237" s="42">
        <f t="shared" si="6"/>
        <v>1</v>
      </c>
      <c r="J237" s="42">
        <f ca="1">IF(J$1="",0,COUNTIFS(工数管理!$AK$3:$AK$98,J$1,工数管理!$K$3:$K$98,"&lt;="&amp;$H237,工数管理!$L$3:$L$98,"&gt;="&amp;$H237)+COUNTIFS(工数管理!$AK$3:$AK$98,J$1,工数管理!$M$3:$M$98,"&lt;="&amp;$H237,工数管理!$N$3:$N$98,"&gt;="&amp;$H237)+COUNTIFS(工数管理!$AK$3:$AK$98,J$1,工数管理!$O$3:$O$98,"&lt;="&amp;$H237,工数管理!$P$3:$P$98,"&gt;="&amp;$H237)+COUNTIFS(工数管理!$AK$3:$AK$98,J$1,工数管理!$Q$3:$Q$98,"&lt;="&amp;$H237,工数管理!$R$3:$R$98,"&gt;="&amp;$H237)+COUNTIFS(工数管理!$AK$3:$AK$98,J$1,工数管理!$S$3:$S$98,"&lt;="&amp;$H237,工数管理!$T$3:$T$98,"&gt;="&amp;$H237)+COUNTIFS(工数管理!$AK$3:$AK$98,J$1,工数管理!$U$3:$U$98,"&lt;="&amp;$H237,工数管理!$V$3:$V$98,"&gt;="&amp;$H237)+COUNTIFS(工数管理!$AK$3:$AK$98,J$1,工数管理!$W$3:$W$98,"&lt;="&amp;$H237,工数管理!$X$3:$X$98,"&gt;="&amp;$H237)+COUNTIFS(工数管理!$AK$3:$AK$98,J$1,工数管理!$Y$3:$Y$98,"&lt;="&amp;$H237,工数管理!$Z$3:$Z$98,"&gt;="&amp;$H237)+COUNTIFS(工数管理!$AK$3:$AK$98,J$1,工数管理!$AA$3:$AA$98,"&lt;="&amp;$H237,工数管理!$AB$3:$AB$98,"&gt;="&amp;$H237)+COUNTIFS(工数管理!$AK$3:$AK$98,J$1,工数管理!$AC$3:$AC$98,"&lt;="&amp;$H237,工数管理!$AD$3:$AD$98,"&gt;="&amp;$H237)+COUNTIFS(工数管理!$AK$3:$AK$98,J$1,工数管理!$AE$3:$AE$98,"&lt;="&amp;$H237,工数管理!$AF$3:$AF$98,"&gt;="&amp;$H237)+COUNTIFS(工数管理!$AK$3:$AK$98,J$1,工数管理!$AG$3:$AG$98,"&lt;="&amp;$H237,工数管理!$AH$3:$AH$98,"&gt;="&amp;$H237)+(COUNTIFS(工数管理!$AK$3:$AK$98,J$1,工数管理!$K$3:$K$98,"&lt;="&amp;$H237,工数管理!$L$3:$L$98,"")+COUNTIFS(工数管理!$AK$3:$AK$98,J$1,工数管理!$M$3:$M$98,"&lt;="&amp;$H237,工数管理!$N$3:$N$98,"")+COUNTIFS(工数管理!$AK$3:$AK$98,J$1,工数管理!$O$3:$O$98,"&lt;="&amp;$H237,工数管理!$P$3:$P$98,"")+COUNTIFS(工数管理!$AK$3:$AK$98,J$1,工数管理!$Q$3:$Q$98,"&lt;="&amp;$H237,工数管理!$R$3:$R$98,"")+COUNTIFS(工数管理!$AK$3:$AK$98,J$1,工数管理!$S$3:$S$98,"&lt;="&amp;$H237,工数管理!$T$3:$T$98,"")+COUNTIFS(工数管理!$AK$3:$AK$98,J$1,工数管理!$U$3:$U$98,"&lt;="&amp;$H237,工数管理!$V$3:$V$98,"")+COUNTIFS(工数管理!$AK$3:$AK$98,J$1,工数管理!$W$3:$W$98,"&lt;="&amp;$H237,工数管理!$X$3:$X$98,"")+COUNTIFS(工数管理!$AK$3:$AK$98,J$1,工数管理!$Y$3:$Y$98,"&lt;="&amp;$H237,工数管理!$Z$3:$Z$98,"")+COUNTIFS(工数管理!$AK$3:$AK$98,J$1,工数管理!$AA$3:$AA$98,"&lt;="&amp;$H237,工数管理!$AB$3:$AB$98,"")+COUNTIFS(工数管理!$AK$3:$AK$98,J$1,工数管理!$AC$3:$AC$98,"&lt;="&amp;$H237,工数管理!$AD$3:$AD$98,"")+COUNTIFS(工数管理!$AK$3:$AK$98,J$1,工数管理!$AE$3:$AE$98,"&lt;="&amp;$H237,工数管理!$AF$3:$AF$98,"")+COUNTIFS(工数管理!$AK$3:$AK$98,J$1,工数管理!$AG$3:$AG$98,"&lt;="&amp;$H237,工数管理!$AH$3:$AH$98,""))*($H237&lt;=工数管理!$AI$1))</f>
        <v>0</v>
      </c>
      <c r="K237" s="42">
        <f ca="1">IF(K$1="",0,COUNTIFS(工数管理!$AK$3:$AK$98,K$1,工数管理!$K$3:$K$98,"&lt;="&amp;$H237,工数管理!$L$3:$L$98,"&gt;="&amp;$H237)+COUNTIFS(工数管理!$AK$3:$AK$98,K$1,工数管理!$M$3:$M$98,"&lt;="&amp;$H237,工数管理!$N$3:$N$98,"&gt;="&amp;$H237)+COUNTIFS(工数管理!$AK$3:$AK$98,K$1,工数管理!$O$3:$O$98,"&lt;="&amp;$H237,工数管理!$P$3:$P$98,"&gt;="&amp;$H237)+COUNTIFS(工数管理!$AK$3:$AK$98,K$1,工数管理!$Q$3:$Q$98,"&lt;="&amp;$H237,工数管理!$R$3:$R$98,"&gt;="&amp;$H237)+COUNTIFS(工数管理!$AK$3:$AK$98,K$1,工数管理!$S$3:$S$98,"&lt;="&amp;$H237,工数管理!$T$3:$T$98,"&gt;="&amp;$H237)+COUNTIFS(工数管理!$AK$3:$AK$98,K$1,工数管理!$U$3:$U$98,"&lt;="&amp;$H237,工数管理!$V$3:$V$98,"&gt;="&amp;$H237)+COUNTIFS(工数管理!$AK$3:$AK$98,K$1,工数管理!$W$3:$W$98,"&lt;="&amp;$H237,工数管理!$X$3:$X$98,"&gt;="&amp;$H237)+COUNTIFS(工数管理!$AK$3:$AK$98,K$1,工数管理!$Y$3:$Y$98,"&lt;="&amp;$H237,工数管理!$Z$3:$Z$98,"&gt;="&amp;$H237)+COUNTIFS(工数管理!$AK$3:$AK$98,K$1,工数管理!$AA$3:$AA$98,"&lt;="&amp;$H237,工数管理!$AB$3:$AB$98,"&gt;="&amp;$H237)+COUNTIFS(工数管理!$AK$3:$AK$98,K$1,工数管理!$AC$3:$AC$98,"&lt;="&amp;$H237,工数管理!$AD$3:$AD$98,"&gt;="&amp;$H237)+COUNTIFS(工数管理!$AK$3:$AK$98,K$1,工数管理!$AE$3:$AE$98,"&lt;="&amp;$H237,工数管理!$AF$3:$AF$98,"&gt;="&amp;$H237)+COUNTIFS(工数管理!$AK$3:$AK$98,K$1,工数管理!$AG$3:$AG$98,"&lt;="&amp;$H237,工数管理!$AH$3:$AH$98,"&gt;="&amp;$H237)+(COUNTIFS(工数管理!$AK$3:$AK$98,K$1,工数管理!$K$3:$K$98,"&lt;="&amp;$H237,工数管理!$L$3:$L$98,"")+COUNTIFS(工数管理!$AK$3:$AK$98,K$1,工数管理!$M$3:$M$98,"&lt;="&amp;$H237,工数管理!$N$3:$N$98,"")+COUNTIFS(工数管理!$AK$3:$AK$98,K$1,工数管理!$O$3:$O$98,"&lt;="&amp;$H237,工数管理!$P$3:$P$98,"")+COUNTIFS(工数管理!$AK$3:$AK$98,K$1,工数管理!$Q$3:$Q$98,"&lt;="&amp;$H237,工数管理!$R$3:$R$98,"")+COUNTIFS(工数管理!$AK$3:$AK$98,K$1,工数管理!$S$3:$S$98,"&lt;="&amp;$H237,工数管理!$T$3:$T$98,"")+COUNTIFS(工数管理!$AK$3:$AK$98,K$1,工数管理!$U$3:$U$98,"&lt;="&amp;$H237,工数管理!$V$3:$V$98,"")+COUNTIFS(工数管理!$AK$3:$AK$98,K$1,工数管理!$W$3:$W$98,"&lt;="&amp;$H237,工数管理!$X$3:$X$98,"")+COUNTIFS(工数管理!$AK$3:$AK$98,K$1,工数管理!$Y$3:$Y$98,"&lt;="&amp;$H237,工数管理!$Z$3:$Z$98,"")+COUNTIFS(工数管理!$AK$3:$AK$98,K$1,工数管理!$AA$3:$AA$98,"&lt;="&amp;$H237,工数管理!$AB$3:$AB$98,"")+COUNTIFS(工数管理!$AK$3:$AK$98,K$1,工数管理!$AC$3:$AC$98,"&lt;="&amp;$H237,工数管理!$AD$3:$AD$98,"")+COUNTIFS(工数管理!$AK$3:$AK$98,K$1,工数管理!$AE$3:$AE$98,"&lt;="&amp;$H237,工数管理!$AF$3:$AF$98,"")+COUNTIFS(工数管理!$AK$3:$AK$98,K$1,工数管理!$AG$3:$AG$98,"&lt;="&amp;$H237,工数管理!$AH$3:$AH$98,""))*($H237&lt;=工数管理!$AI$1))</f>
        <v>0</v>
      </c>
      <c r="L237" s="42">
        <f ca="1">IF(L$1="",0,COUNTIFS(工数管理!$AK$3:$AK$98,L$1,工数管理!$K$3:$K$98,"&lt;="&amp;$H237,工数管理!$L$3:$L$98,"&gt;="&amp;$H237)+COUNTIFS(工数管理!$AK$3:$AK$98,L$1,工数管理!$M$3:$M$98,"&lt;="&amp;$H237,工数管理!$N$3:$N$98,"&gt;="&amp;$H237)+COUNTIFS(工数管理!$AK$3:$AK$98,L$1,工数管理!$O$3:$O$98,"&lt;="&amp;$H237,工数管理!$P$3:$P$98,"&gt;="&amp;$H237)+COUNTIFS(工数管理!$AK$3:$AK$98,L$1,工数管理!$Q$3:$Q$98,"&lt;="&amp;$H237,工数管理!$R$3:$R$98,"&gt;="&amp;$H237)+COUNTIFS(工数管理!$AK$3:$AK$98,L$1,工数管理!$S$3:$S$98,"&lt;="&amp;$H237,工数管理!$T$3:$T$98,"&gt;="&amp;$H237)+COUNTIFS(工数管理!$AK$3:$AK$98,L$1,工数管理!$U$3:$U$98,"&lt;="&amp;$H237,工数管理!$V$3:$V$98,"&gt;="&amp;$H237)+COUNTIFS(工数管理!$AK$3:$AK$98,L$1,工数管理!$W$3:$W$98,"&lt;="&amp;$H237,工数管理!$X$3:$X$98,"&gt;="&amp;$H237)+COUNTIFS(工数管理!$AK$3:$AK$98,L$1,工数管理!$Y$3:$Y$98,"&lt;="&amp;$H237,工数管理!$Z$3:$Z$98,"&gt;="&amp;$H237)+COUNTIFS(工数管理!$AK$3:$AK$98,L$1,工数管理!$AA$3:$AA$98,"&lt;="&amp;$H237,工数管理!$AB$3:$AB$98,"&gt;="&amp;$H237)+COUNTIFS(工数管理!$AK$3:$AK$98,L$1,工数管理!$AC$3:$AC$98,"&lt;="&amp;$H237,工数管理!$AD$3:$AD$98,"&gt;="&amp;$H237)+COUNTIFS(工数管理!$AK$3:$AK$98,L$1,工数管理!$AE$3:$AE$98,"&lt;="&amp;$H237,工数管理!$AF$3:$AF$98,"&gt;="&amp;$H237)+COUNTIFS(工数管理!$AK$3:$AK$98,L$1,工数管理!$AG$3:$AG$98,"&lt;="&amp;$H237,工数管理!$AH$3:$AH$98,"&gt;="&amp;$H237)+(COUNTIFS(工数管理!$AK$3:$AK$98,L$1,工数管理!$K$3:$K$98,"&lt;="&amp;$H237,工数管理!$L$3:$L$98,"")+COUNTIFS(工数管理!$AK$3:$AK$98,L$1,工数管理!$M$3:$M$98,"&lt;="&amp;$H237,工数管理!$N$3:$N$98,"")+COUNTIFS(工数管理!$AK$3:$AK$98,L$1,工数管理!$O$3:$O$98,"&lt;="&amp;$H237,工数管理!$P$3:$P$98,"")+COUNTIFS(工数管理!$AK$3:$AK$98,L$1,工数管理!$Q$3:$Q$98,"&lt;="&amp;$H237,工数管理!$R$3:$R$98,"")+COUNTIFS(工数管理!$AK$3:$AK$98,L$1,工数管理!$S$3:$S$98,"&lt;="&amp;$H237,工数管理!$T$3:$T$98,"")+COUNTIFS(工数管理!$AK$3:$AK$98,L$1,工数管理!$U$3:$U$98,"&lt;="&amp;$H237,工数管理!$V$3:$V$98,"")+COUNTIFS(工数管理!$AK$3:$AK$98,L$1,工数管理!$W$3:$W$98,"&lt;="&amp;$H237,工数管理!$X$3:$X$98,"")+COUNTIFS(工数管理!$AK$3:$AK$98,L$1,工数管理!$Y$3:$Y$98,"&lt;="&amp;$H237,工数管理!$Z$3:$Z$98,"")+COUNTIFS(工数管理!$AK$3:$AK$98,L$1,工数管理!$AA$3:$AA$98,"&lt;="&amp;$H237,工数管理!$AB$3:$AB$98,"")+COUNTIFS(工数管理!$AK$3:$AK$98,L$1,工数管理!$AC$3:$AC$98,"&lt;="&amp;$H237,工数管理!$AD$3:$AD$98,"")+COUNTIFS(工数管理!$AK$3:$AK$98,L$1,工数管理!$AE$3:$AE$98,"&lt;="&amp;$H237,工数管理!$AF$3:$AF$98,"")+COUNTIFS(工数管理!$AK$3:$AK$98,L$1,工数管理!$AG$3:$AG$98,"&lt;="&amp;$H237,工数管理!$AH$3:$AH$98,""))*($H237&lt;=工数管理!$AI$1))</f>
        <v>0</v>
      </c>
    </row>
    <row r="238" spans="8:12" x14ac:dyDescent="0.15">
      <c r="H238" s="41">
        <f t="shared" si="7"/>
        <v>46406</v>
      </c>
      <c r="I238" s="42">
        <f t="shared" si="6"/>
        <v>1</v>
      </c>
      <c r="J238" s="42">
        <f ca="1">IF(J$1="",0,COUNTIFS(工数管理!$AK$3:$AK$98,J$1,工数管理!$K$3:$K$98,"&lt;="&amp;$H238,工数管理!$L$3:$L$98,"&gt;="&amp;$H238)+COUNTIFS(工数管理!$AK$3:$AK$98,J$1,工数管理!$M$3:$M$98,"&lt;="&amp;$H238,工数管理!$N$3:$N$98,"&gt;="&amp;$H238)+COUNTIFS(工数管理!$AK$3:$AK$98,J$1,工数管理!$O$3:$O$98,"&lt;="&amp;$H238,工数管理!$P$3:$P$98,"&gt;="&amp;$H238)+COUNTIFS(工数管理!$AK$3:$AK$98,J$1,工数管理!$Q$3:$Q$98,"&lt;="&amp;$H238,工数管理!$R$3:$R$98,"&gt;="&amp;$H238)+COUNTIFS(工数管理!$AK$3:$AK$98,J$1,工数管理!$S$3:$S$98,"&lt;="&amp;$H238,工数管理!$T$3:$T$98,"&gt;="&amp;$H238)+COUNTIFS(工数管理!$AK$3:$AK$98,J$1,工数管理!$U$3:$U$98,"&lt;="&amp;$H238,工数管理!$V$3:$V$98,"&gt;="&amp;$H238)+COUNTIFS(工数管理!$AK$3:$AK$98,J$1,工数管理!$W$3:$W$98,"&lt;="&amp;$H238,工数管理!$X$3:$X$98,"&gt;="&amp;$H238)+COUNTIFS(工数管理!$AK$3:$AK$98,J$1,工数管理!$Y$3:$Y$98,"&lt;="&amp;$H238,工数管理!$Z$3:$Z$98,"&gt;="&amp;$H238)+COUNTIFS(工数管理!$AK$3:$AK$98,J$1,工数管理!$AA$3:$AA$98,"&lt;="&amp;$H238,工数管理!$AB$3:$AB$98,"&gt;="&amp;$H238)+COUNTIFS(工数管理!$AK$3:$AK$98,J$1,工数管理!$AC$3:$AC$98,"&lt;="&amp;$H238,工数管理!$AD$3:$AD$98,"&gt;="&amp;$H238)+COUNTIFS(工数管理!$AK$3:$AK$98,J$1,工数管理!$AE$3:$AE$98,"&lt;="&amp;$H238,工数管理!$AF$3:$AF$98,"&gt;="&amp;$H238)+COUNTIFS(工数管理!$AK$3:$AK$98,J$1,工数管理!$AG$3:$AG$98,"&lt;="&amp;$H238,工数管理!$AH$3:$AH$98,"&gt;="&amp;$H238)+(COUNTIFS(工数管理!$AK$3:$AK$98,J$1,工数管理!$K$3:$K$98,"&lt;="&amp;$H238,工数管理!$L$3:$L$98,"")+COUNTIFS(工数管理!$AK$3:$AK$98,J$1,工数管理!$M$3:$M$98,"&lt;="&amp;$H238,工数管理!$N$3:$N$98,"")+COUNTIFS(工数管理!$AK$3:$AK$98,J$1,工数管理!$O$3:$O$98,"&lt;="&amp;$H238,工数管理!$P$3:$P$98,"")+COUNTIFS(工数管理!$AK$3:$AK$98,J$1,工数管理!$Q$3:$Q$98,"&lt;="&amp;$H238,工数管理!$R$3:$R$98,"")+COUNTIFS(工数管理!$AK$3:$AK$98,J$1,工数管理!$S$3:$S$98,"&lt;="&amp;$H238,工数管理!$T$3:$T$98,"")+COUNTIFS(工数管理!$AK$3:$AK$98,J$1,工数管理!$U$3:$U$98,"&lt;="&amp;$H238,工数管理!$V$3:$V$98,"")+COUNTIFS(工数管理!$AK$3:$AK$98,J$1,工数管理!$W$3:$W$98,"&lt;="&amp;$H238,工数管理!$X$3:$X$98,"")+COUNTIFS(工数管理!$AK$3:$AK$98,J$1,工数管理!$Y$3:$Y$98,"&lt;="&amp;$H238,工数管理!$Z$3:$Z$98,"")+COUNTIFS(工数管理!$AK$3:$AK$98,J$1,工数管理!$AA$3:$AA$98,"&lt;="&amp;$H238,工数管理!$AB$3:$AB$98,"")+COUNTIFS(工数管理!$AK$3:$AK$98,J$1,工数管理!$AC$3:$AC$98,"&lt;="&amp;$H238,工数管理!$AD$3:$AD$98,"")+COUNTIFS(工数管理!$AK$3:$AK$98,J$1,工数管理!$AE$3:$AE$98,"&lt;="&amp;$H238,工数管理!$AF$3:$AF$98,"")+COUNTIFS(工数管理!$AK$3:$AK$98,J$1,工数管理!$AG$3:$AG$98,"&lt;="&amp;$H238,工数管理!$AH$3:$AH$98,""))*($H238&lt;=工数管理!$AI$1))</f>
        <v>0</v>
      </c>
      <c r="K238" s="42">
        <f ca="1">IF(K$1="",0,COUNTIFS(工数管理!$AK$3:$AK$98,K$1,工数管理!$K$3:$K$98,"&lt;="&amp;$H238,工数管理!$L$3:$L$98,"&gt;="&amp;$H238)+COUNTIFS(工数管理!$AK$3:$AK$98,K$1,工数管理!$M$3:$M$98,"&lt;="&amp;$H238,工数管理!$N$3:$N$98,"&gt;="&amp;$H238)+COUNTIFS(工数管理!$AK$3:$AK$98,K$1,工数管理!$O$3:$O$98,"&lt;="&amp;$H238,工数管理!$P$3:$P$98,"&gt;="&amp;$H238)+COUNTIFS(工数管理!$AK$3:$AK$98,K$1,工数管理!$Q$3:$Q$98,"&lt;="&amp;$H238,工数管理!$R$3:$R$98,"&gt;="&amp;$H238)+COUNTIFS(工数管理!$AK$3:$AK$98,K$1,工数管理!$S$3:$S$98,"&lt;="&amp;$H238,工数管理!$T$3:$T$98,"&gt;="&amp;$H238)+COUNTIFS(工数管理!$AK$3:$AK$98,K$1,工数管理!$U$3:$U$98,"&lt;="&amp;$H238,工数管理!$V$3:$V$98,"&gt;="&amp;$H238)+COUNTIFS(工数管理!$AK$3:$AK$98,K$1,工数管理!$W$3:$W$98,"&lt;="&amp;$H238,工数管理!$X$3:$X$98,"&gt;="&amp;$H238)+COUNTIFS(工数管理!$AK$3:$AK$98,K$1,工数管理!$Y$3:$Y$98,"&lt;="&amp;$H238,工数管理!$Z$3:$Z$98,"&gt;="&amp;$H238)+COUNTIFS(工数管理!$AK$3:$AK$98,K$1,工数管理!$AA$3:$AA$98,"&lt;="&amp;$H238,工数管理!$AB$3:$AB$98,"&gt;="&amp;$H238)+COUNTIFS(工数管理!$AK$3:$AK$98,K$1,工数管理!$AC$3:$AC$98,"&lt;="&amp;$H238,工数管理!$AD$3:$AD$98,"&gt;="&amp;$H238)+COUNTIFS(工数管理!$AK$3:$AK$98,K$1,工数管理!$AE$3:$AE$98,"&lt;="&amp;$H238,工数管理!$AF$3:$AF$98,"&gt;="&amp;$H238)+COUNTIFS(工数管理!$AK$3:$AK$98,K$1,工数管理!$AG$3:$AG$98,"&lt;="&amp;$H238,工数管理!$AH$3:$AH$98,"&gt;="&amp;$H238)+(COUNTIFS(工数管理!$AK$3:$AK$98,K$1,工数管理!$K$3:$K$98,"&lt;="&amp;$H238,工数管理!$L$3:$L$98,"")+COUNTIFS(工数管理!$AK$3:$AK$98,K$1,工数管理!$M$3:$M$98,"&lt;="&amp;$H238,工数管理!$N$3:$N$98,"")+COUNTIFS(工数管理!$AK$3:$AK$98,K$1,工数管理!$O$3:$O$98,"&lt;="&amp;$H238,工数管理!$P$3:$P$98,"")+COUNTIFS(工数管理!$AK$3:$AK$98,K$1,工数管理!$Q$3:$Q$98,"&lt;="&amp;$H238,工数管理!$R$3:$R$98,"")+COUNTIFS(工数管理!$AK$3:$AK$98,K$1,工数管理!$S$3:$S$98,"&lt;="&amp;$H238,工数管理!$T$3:$T$98,"")+COUNTIFS(工数管理!$AK$3:$AK$98,K$1,工数管理!$U$3:$U$98,"&lt;="&amp;$H238,工数管理!$V$3:$V$98,"")+COUNTIFS(工数管理!$AK$3:$AK$98,K$1,工数管理!$W$3:$W$98,"&lt;="&amp;$H238,工数管理!$X$3:$X$98,"")+COUNTIFS(工数管理!$AK$3:$AK$98,K$1,工数管理!$Y$3:$Y$98,"&lt;="&amp;$H238,工数管理!$Z$3:$Z$98,"")+COUNTIFS(工数管理!$AK$3:$AK$98,K$1,工数管理!$AA$3:$AA$98,"&lt;="&amp;$H238,工数管理!$AB$3:$AB$98,"")+COUNTIFS(工数管理!$AK$3:$AK$98,K$1,工数管理!$AC$3:$AC$98,"&lt;="&amp;$H238,工数管理!$AD$3:$AD$98,"")+COUNTIFS(工数管理!$AK$3:$AK$98,K$1,工数管理!$AE$3:$AE$98,"&lt;="&amp;$H238,工数管理!$AF$3:$AF$98,"")+COUNTIFS(工数管理!$AK$3:$AK$98,K$1,工数管理!$AG$3:$AG$98,"&lt;="&amp;$H238,工数管理!$AH$3:$AH$98,""))*($H238&lt;=工数管理!$AI$1))</f>
        <v>0</v>
      </c>
      <c r="L238" s="42">
        <f ca="1">IF(L$1="",0,COUNTIFS(工数管理!$AK$3:$AK$98,L$1,工数管理!$K$3:$K$98,"&lt;="&amp;$H238,工数管理!$L$3:$L$98,"&gt;="&amp;$H238)+COUNTIFS(工数管理!$AK$3:$AK$98,L$1,工数管理!$M$3:$M$98,"&lt;="&amp;$H238,工数管理!$N$3:$N$98,"&gt;="&amp;$H238)+COUNTIFS(工数管理!$AK$3:$AK$98,L$1,工数管理!$O$3:$O$98,"&lt;="&amp;$H238,工数管理!$P$3:$P$98,"&gt;="&amp;$H238)+COUNTIFS(工数管理!$AK$3:$AK$98,L$1,工数管理!$Q$3:$Q$98,"&lt;="&amp;$H238,工数管理!$R$3:$R$98,"&gt;="&amp;$H238)+COUNTIFS(工数管理!$AK$3:$AK$98,L$1,工数管理!$S$3:$S$98,"&lt;="&amp;$H238,工数管理!$T$3:$T$98,"&gt;="&amp;$H238)+COUNTIFS(工数管理!$AK$3:$AK$98,L$1,工数管理!$U$3:$U$98,"&lt;="&amp;$H238,工数管理!$V$3:$V$98,"&gt;="&amp;$H238)+COUNTIFS(工数管理!$AK$3:$AK$98,L$1,工数管理!$W$3:$W$98,"&lt;="&amp;$H238,工数管理!$X$3:$X$98,"&gt;="&amp;$H238)+COUNTIFS(工数管理!$AK$3:$AK$98,L$1,工数管理!$Y$3:$Y$98,"&lt;="&amp;$H238,工数管理!$Z$3:$Z$98,"&gt;="&amp;$H238)+COUNTIFS(工数管理!$AK$3:$AK$98,L$1,工数管理!$AA$3:$AA$98,"&lt;="&amp;$H238,工数管理!$AB$3:$AB$98,"&gt;="&amp;$H238)+COUNTIFS(工数管理!$AK$3:$AK$98,L$1,工数管理!$AC$3:$AC$98,"&lt;="&amp;$H238,工数管理!$AD$3:$AD$98,"&gt;="&amp;$H238)+COUNTIFS(工数管理!$AK$3:$AK$98,L$1,工数管理!$AE$3:$AE$98,"&lt;="&amp;$H238,工数管理!$AF$3:$AF$98,"&gt;="&amp;$H238)+COUNTIFS(工数管理!$AK$3:$AK$98,L$1,工数管理!$AG$3:$AG$98,"&lt;="&amp;$H238,工数管理!$AH$3:$AH$98,"&gt;="&amp;$H238)+(COUNTIFS(工数管理!$AK$3:$AK$98,L$1,工数管理!$K$3:$K$98,"&lt;="&amp;$H238,工数管理!$L$3:$L$98,"")+COUNTIFS(工数管理!$AK$3:$AK$98,L$1,工数管理!$M$3:$M$98,"&lt;="&amp;$H238,工数管理!$N$3:$N$98,"")+COUNTIFS(工数管理!$AK$3:$AK$98,L$1,工数管理!$O$3:$O$98,"&lt;="&amp;$H238,工数管理!$P$3:$P$98,"")+COUNTIFS(工数管理!$AK$3:$AK$98,L$1,工数管理!$Q$3:$Q$98,"&lt;="&amp;$H238,工数管理!$R$3:$R$98,"")+COUNTIFS(工数管理!$AK$3:$AK$98,L$1,工数管理!$S$3:$S$98,"&lt;="&amp;$H238,工数管理!$T$3:$T$98,"")+COUNTIFS(工数管理!$AK$3:$AK$98,L$1,工数管理!$U$3:$U$98,"&lt;="&amp;$H238,工数管理!$V$3:$V$98,"")+COUNTIFS(工数管理!$AK$3:$AK$98,L$1,工数管理!$W$3:$W$98,"&lt;="&amp;$H238,工数管理!$X$3:$X$98,"")+COUNTIFS(工数管理!$AK$3:$AK$98,L$1,工数管理!$Y$3:$Y$98,"&lt;="&amp;$H238,工数管理!$Z$3:$Z$98,"")+COUNTIFS(工数管理!$AK$3:$AK$98,L$1,工数管理!$AA$3:$AA$98,"&lt;="&amp;$H238,工数管理!$AB$3:$AB$98,"")+COUNTIFS(工数管理!$AK$3:$AK$98,L$1,工数管理!$AC$3:$AC$98,"&lt;="&amp;$H238,工数管理!$AD$3:$AD$98,"")+COUNTIFS(工数管理!$AK$3:$AK$98,L$1,工数管理!$AE$3:$AE$98,"&lt;="&amp;$H238,工数管理!$AF$3:$AF$98,"")+COUNTIFS(工数管理!$AK$3:$AK$98,L$1,工数管理!$AG$3:$AG$98,"&lt;="&amp;$H238,工数管理!$AH$3:$AH$98,""))*($H238&lt;=工数管理!$AI$1))</f>
        <v>0</v>
      </c>
    </row>
    <row r="239" spans="8:12" x14ac:dyDescent="0.15">
      <c r="H239" s="41">
        <f t="shared" si="7"/>
        <v>46407</v>
      </c>
      <c r="I239" s="42">
        <f t="shared" si="6"/>
        <v>1</v>
      </c>
      <c r="J239" s="42">
        <f ca="1">IF(J$1="",0,COUNTIFS(工数管理!$AK$3:$AK$98,J$1,工数管理!$K$3:$K$98,"&lt;="&amp;$H239,工数管理!$L$3:$L$98,"&gt;="&amp;$H239)+COUNTIFS(工数管理!$AK$3:$AK$98,J$1,工数管理!$M$3:$M$98,"&lt;="&amp;$H239,工数管理!$N$3:$N$98,"&gt;="&amp;$H239)+COUNTIFS(工数管理!$AK$3:$AK$98,J$1,工数管理!$O$3:$O$98,"&lt;="&amp;$H239,工数管理!$P$3:$P$98,"&gt;="&amp;$H239)+COUNTIFS(工数管理!$AK$3:$AK$98,J$1,工数管理!$Q$3:$Q$98,"&lt;="&amp;$H239,工数管理!$R$3:$R$98,"&gt;="&amp;$H239)+COUNTIFS(工数管理!$AK$3:$AK$98,J$1,工数管理!$S$3:$S$98,"&lt;="&amp;$H239,工数管理!$T$3:$T$98,"&gt;="&amp;$H239)+COUNTIFS(工数管理!$AK$3:$AK$98,J$1,工数管理!$U$3:$U$98,"&lt;="&amp;$H239,工数管理!$V$3:$V$98,"&gt;="&amp;$H239)+COUNTIFS(工数管理!$AK$3:$AK$98,J$1,工数管理!$W$3:$W$98,"&lt;="&amp;$H239,工数管理!$X$3:$X$98,"&gt;="&amp;$H239)+COUNTIFS(工数管理!$AK$3:$AK$98,J$1,工数管理!$Y$3:$Y$98,"&lt;="&amp;$H239,工数管理!$Z$3:$Z$98,"&gt;="&amp;$H239)+COUNTIFS(工数管理!$AK$3:$AK$98,J$1,工数管理!$AA$3:$AA$98,"&lt;="&amp;$H239,工数管理!$AB$3:$AB$98,"&gt;="&amp;$H239)+COUNTIFS(工数管理!$AK$3:$AK$98,J$1,工数管理!$AC$3:$AC$98,"&lt;="&amp;$H239,工数管理!$AD$3:$AD$98,"&gt;="&amp;$H239)+COUNTIFS(工数管理!$AK$3:$AK$98,J$1,工数管理!$AE$3:$AE$98,"&lt;="&amp;$H239,工数管理!$AF$3:$AF$98,"&gt;="&amp;$H239)+COUNTIFS(工数管理!$AK$3:$AK$98,J$1,工数管理!$AG$3:$AG$98,"&lt;="&amp;$H239,工数管理!$AH$3:$AH$98,"&gt;="&amp;$H239)+(COUNTIFS(工数管理!$AK$3:$AK$98,J$1,工数管理!$K$3:$K$98,"&lt;="&amp;$H239,工数管理!$L$3:$L$98,"")+COUNTIFS(工数管理!$AK$3:$AK$98,J$1,工数管理!$M$3:$M$98,"&lt;="&amp;$H239,工数管理!$N$3:$N$98,"")+COUNTIFS(工数管理!$AK$3:$AK$98,J$1,工数管理!$O$3:$O$98,"&lt;="&amp;$H239,工数管理!$P$3:$P$98,"")+COUNTIFS(工数管理!$AK$3:$AK$98,J$1,工数管理!$Q$3:$Q$98,"&lt;="&amp;$H239,工数管理!$R$3:$R$98,"")+COUNTIFS(工数管理!$AK$3:$AK$98,J$1,工数管理!$S$3:$S$98,"&lt;="&amp;$H239,工数管理!$T$3:$T$98,"")+COUNTIFS(工数管理!$AK$3:$AK$98,J$1,工数管理!$U$3:$U$98,"&lt;="&amp;$H239,工数管理!$V$3:$V$98,"")+COUNTIFS(工数管理!$AK$3:$AK$98,J$1,工数管理!$W$3:$W$98,"&lt;="&amp;$H239,工数管理!$X$3:$X$98,"")+COUNTIFS(工数管理!$AK$3:$AK$98,J$1,工数管理!$Y$3:$Y$98,"&lt;="&amp;$H239,工数管理!$Z$3:$Z$98,"")+COUNTIFS(工数管理!$AK$3:$AK$98,J$1,工数管理!$AA$3:$AA$98,"&lt;="&amp;$H239,工数管理!$AB$3:$AB$98,"")+COUNTIFS(工数管理!$AK$3:$AK$98,J$1,工数管理!$AC$3:$AC$98,"&lt;="&amp;$H239,工数管理!$AD$3:$AD$98,"")+COUNTIFS(工数管理!$AK$3:$AK$98,J$1,工数管理!$AE$3:$AE$98,"&lt;="&amp;$H239,工数管理!$AF$3:$AF$98,"")+COUNTIFS(工数管理!$AK$3:$AK$98,J$1,工数管理!$AG$3:$AG$98,"&lt;="&amp;$H239,工数管理!$AH$3:$AH$98,""))*($H239&lt;=工数管理!$AI$1))</f>
        <v>0</v>
      </c>
      <c r="K239" s="42">
        <f ca="1">IF(K$1="",0,COUNTIFS(工数管理!$AK$3:$AK$98,K$1,工数管理!$K$3:$K$98,"&lt;="&amp;$H239,工数管理!$L$3:$L$98,"&gt;="&amp;$H239)+COUNTIFS(工数管理!$AK$3:$AK$98,K$1,工数管理!$M$3:$M$98,"&lt;="&amp;$H239,工数管理!$N$3:$N$98,"&gt;="&amp;$H239)+COUNTIFS(工数管理!$AK$3:$AK$98,K$1,工数管理!$O$3:$O$98,"&lt;="&amp;$H239,工数管理!$P$3:$P$98,"&gt;="&amp;$H239)+COUNTIFS(工数管理!$AK$3:$AK$98,K$1,工数管理!$Q$3:$Q$98,"&lt;="&amp;$H239,工数管理!$R$3:$R$98,"&gt;="&amp;$H239)+COUNTIFS(工数管理!$AK$3:$AK$98,K$1,工数管理!$S$3:$S$98,"&lt;="&amp;$H239,工数管理!$T$3:$T$98,"&gt;="&amp;$H239)+COUNTIFS(工数管理!$AK$3:$AK$98,K$1,工数管理!$U$3:$U$98,"&lt;="&amp;$H239,工数管理!$V$3:$V$98,"&gt;="&amp;$H239)+COUNTIFS(工数管理!$AK$3:$AK$98,K$1,工数管理!$W$3:$W$98,"&lt;="&amp;$H239,工数管理!$X$3:$X$98,"&gt;="&amp;$H239)+COUNTIFS(工数管理!$AK$3:$AK$98,K$1,工数管理!$Y$3:$Y$98,"&lt;="&amp;$H239,工数管理!$Z$3:$Z$98,"&gt;="&amp;$H239)+COUNTIFS(工数管理!$AK$3:$AK$98,K$1,工数管理!$AA$3:$AA$98,"&lt;="&amp;$H239,工数管理!$AB$3:$AB$98,"&gt;="&amp;$H239)+COUNTIFS(工数管理!$AK$3:$AK$98,K$1,工数管理!$AC$3:$AC$98,"&lt;="&amp;$H239,工数管理!$AD$3:$AD$98,"&gt;="&amp;$H239)+COUNTIFS(工数管理!$AK$3:$AK$98,K$1,工数管理!$AE$3:$AE$98,"&lt;="&amp;$H239,工数管理!$AF$3:$AF$98,"&gt;="&amp;$H239)+COUNTIFS(工数管理!$AK$3:$AK$98,K$1,工数管理!$AG$3:$AG$98,"&lt;="&amp;$H239,工数管理!$AH$3:$AH$98,"&gt;="&amp;$H239)+(COUNTIFS(工数管理!$AK$3:$AK$98,K$1,工数管理!$K$3:$K$98,"&lt;="&amp;$H239,工数管理!$L$3:$L$98,"")+COUNTIFS(工数管理!$AK$3:$AK$98,K$1,工数管理!$M$3:$M$98,"&lt;="&amp;$H239,工数管理!$N$3:$N$98,"")+COUNTIFS(工数管理!$AK$3:$AK$98,K$1,工数管理!$O$3:$O$98,"&lt;="&amp;$H239,工数管理!$P$3:$P$98,"")+COUNTIFS(工数管理!$AK$3:$AK$98,K$1,工数管理!$Q$3:$Q$98,"&lt;="&amp;$H239,工数管理!$R$3:$R$98,"")+COUNTIFS(工数管理!$AK$3:$AK$98,K$1,工数管理!$S$3:$S$98,"&lt;="&amp;$H239,工数管理!$T$3:$T$98,"")+COUNTIFS(工数管理!$AK$3:$AK$98,K$1,工数管理!$U$3:$U$98,"&lt;="&amp;$H239,工数管理!$V$3:$V$98,"")+COUNTIFS(工数管理!$AK$3:$AK$98,K$1,工数管理!$W$3:$W$98,"&lt;="&amp;$H239,工数管理!$X$3:$X$98,"")+COUNTIFS(工数管理!$AK$3:$AK$98,K$1,工数管理!$Y$3:$Y$98,"&lt;="&amp;$H239,工数管理!$Z$3:$Z$98,"")+COUNTIFS(工数管理!$AK$3:$AK$98,K$1,工数管理!$AA$3:$AA$98,"&lt;="&amp;$H239,工数管理!$AB$3:$AB$98,"")+COUNTIFS(工数管理!$AK$3:$AK$98,K$1,工数管理!$AC$3:$AC$98,"&lt;="&amp;$H239,工数管理!$AD$3:$AD$98,"")+COUNTIFS(工数管理!$AK$3:$AK$98,K$1,工数管理!$AE$3:$AE$98,"&lt;="&amp;$H239,工数管理!$AF$3:$AF$98,"")+COUNTIFS(工数管理!$AK$3:$AK$98,K$1,工数管理!$AG$3:$AG$98,"&lt;="&amp;$H239,工数管理!$AH$3:$AH$98,""))*($H239&lt;=工数管理!$AI$1))</f>
        <v>0</v>
      </c>
      <c r="L239" s="42">
        <f ca="1">IF(L$1="",0,COUNTIFS(工数管理!$AK$3:$AK$98,L$1,工数管理!$K$3:$K$98,"&lt;="&amp;$H239,工数管理!$L$3:$L$98,"&gt;="&amp;$H239)+COUNTIFS(工数管理!$AK$3:$AK$98,L$1,工数管理!$M$3:$M$98,"&lt;="&amp;$H239,工数管理!$N$3:$N$98,"&gt;="&amp;$H239)+COUNTIFS(工数管理!$AK$3:$AK$98,L$1,工数管理!$O$3:$O$98,"&lt;="&amp;$H239,工数管理!$P$3:$P$98,"&gt;="&amp;$H239)+COUNTIFS(工数管理!$AK$3:$AK$98,L$1,工数管理!$Q$3:$Q$98,"&lt;="&amp;$H239,工数管理!$R$3:$R$98,"&gt;="&amp;$H239)+COUNTIFS(工数管理!$AK$3:$AK$98,L$1,工数管理!$S$3:$S$98,"&lt;="&amp;$H239,工数管理!$T$3:$T$98,"&gt;="&amp;$H239)+COUNTIFS(工数管理!$AK$3:$AK$98,L$1,工数管理!$U$3:$U$98,"&lt;="&amp;$H239,工数管理!$V$3:$V$98,"&gt;="&amp;$H239)+COUNTIFS(工数管理!$AK$3:$AK$98,L$1,工数管理!$W$3:$W$98,"&lt;="&amp;$H239,工数管理!$X$3:$X$98,"&gt;="&amp;$H239)+COUNTIFS(工数管理!$AK$3:$AK$98,L$1,工数管理!$Y$3:$Y$98,"&lt;="&amp;$H239,工数管理!$Z$3:$Z$98,"&gt;="&amp;$H239)+COUNTIFS(工数管理!$AK$3:$AK$98,L$1,工数管理!$AA$3:$AA$98,"&lt;="&amp;$H239,工数管理!$AB$3:$AB$98,"&gt;="&amp;$H239)+COUNTIFS(工数管理!$AK$3:$AK$98,L$1,工数管理!$AC$3:$AC$98,"&lt;="&amp;$H239,工数管理!$AD$3:$AD$98,"&gt;="&amp;$H239)+COUNTIFS(工数管理!$AK$3:$AK$98,L$1,工数管理!$AE$3:$AE$98,"&lt;="&amp;$H239,工数管理!$AF$3:$AF$98,"&gt;="&amp;$H239)+COUNTIFS(工数管理!$AK$3:$AK$98,L$1,工数管理!$AG$3:$AG$98,"&lt;="&amp;$H239,工数管理!$AH$3:$AH$98,"&gt;="&amp;$H239)+(COUNTIFS(工数管理!$AK$3:$AK$98,L$1,工数管理!$K$3:$K$98,"&lt;="&amp;$H239,工数管理!$L$3:$L$98,"")+COUNTIFS(工数管理!$AK$3:$AK$98,L$1,工数管理!$M$3:$M$98,"&lt;="&amp;$H239,工数管理!$N$3:$N$98,"")+COUNTIFS(工数管理!$AK$3:$AK$98,L$1,工数管理!$O$3:$O$98,"&lt;="&amp;$H239,工数管理!$P$3:$P$98,"")+COUNTIFS(工数管理!$AK$3:$AK$98,L$1,工数管理!$Q$3:$Q$98,"&lt;="&amp;$H239,工数管理!$R$3:$R$98,"")+COUNTIFS(工数管理!$AK$3:$AK$98,L$1,工数管理!$S$3:$S$98,"&lt;="&amp;$H239,工数管理!$T$3:$T$98,"")+COUNTIFS(工数管理!$AK$3:$AK$98,L$1,工数管理!$U$3:$U$98,"&lt;="&amp;$H239,工数管理!$V$3:$V$98,"")+COUNTIFS(工数管理!$AK$3:$AK$98,L$1,工数管理!$W$3:$W$98,"&lt;="&amp;$H239,工数管理!$X$3:$X$98,"")+COUNTIFS(工数管理!$AK$3:$AK$98,L$1,工数管理!$Y$3:$Y$98,"&lt;="&amp;$H239,工数管理!$Z$3:$Z$98,"")+COUNTIFS(工数管理!$AK$3:$AK$98,L$1,工数管理!$AA$3:$AA$98,"&lt;="&amp;$H239,工数管理!$AB$3:$AB$98,"")+COUNTIFS(工数管理!$AK$3:$AK$98,L$1,工数管理!$AC$3:$AC$98,"&lt;="&amp;$H239,工数管理!$AD$3:$AD$98,"")+COUNTIFS(工数管理!$AK$3:$AK$98,L$1,工数管理!$AE$3:$AE$98,"&lt;="&amp;$H239,工数管理!$AF$3:$AF$98,"")+COUNTIFS(工数管理!$AK$3:$AK$98,L$1,工数管理!$AG$3:$AG$98,"&lt;="&amp;$H239,工数管理!$AH$3:$AH$98,""))*($H239&lt;=工数管理!$AI$1))</f>
        <v>0</v>
      </c>
    </row>
    <row r="240" spans="8:12" x14ac:dyDescent="0.15">
      <c r="H240" s="41">
        <f t="shared" si="7"/>
        <v>46408</v>
      </c>
      <c r="I240" s="42">
        <f t="shared" si="6"/>
        <v>1</v>
      </c>
      <c r="J240" s="42">
        <f ca="1">IF(J$1="",0,COUNTIFS(工数管理!$AK$3:$AK$98,J$1,工数管理!$K$3:$K$98,"&lt;="&amp;$H240,工数管理!$L$3:$L$98,"&gt;="&amp;$H240)+COUNTIFS(工数管理!$AK$3:$AK$98,J$1,工数管理!$M$3:$M$98,"&lt;="&amp;$H240,工数管理!$N$3:$N$98,"&gt;="&amp;$H240)+COUNTIFS(工数管理!$AK$3:$AK$98,J$1,工数管理!$O$3:$O$98,"&lt;="&amp;$H240,工数管理!$P$3:$P$98,"&gt;="&amp;$H240)+COUNTIFS(工数管理!$AK$3:$AK$98,J$1,工数管理!$Q$3:$Q$98,"&lt;="&amp;$H240,工数管理!$R$3:$R$98,"&gt;="&amp;$H240)+COUNTIFS(工数管理!$AK$3:$AK$98,J$1,工数管理!$S$3:$S$98,"&lt;="&amp;$H240,工数管理!$T$3:$T$98,"&gt;="&amp;$H240)+COUNTIFS(工数管理!$AK$3:$AK$98,J$1,工数管理!$U$3:$U$98,"&lt;="&amp;$H240,工数管理!$V$3:$V$98,"&gt;="&amp;$H240)+COUNTIFS(工数管理!$AK$3:$AK$98,J$1,工数管理!$W$3:$W$98,"&lt;="&amp;$H240,工数管理!$X$3:$X$98,"&gt;="&amp;$H240)+COUNTIFS(工数管理!$AK$3:$AK$98,J$1,工数管理!$Y$3:$Y$98,"&lt;="&amp;$H240,工数管理!$Z$3:$Z$98,"&gt;="&amp;$H240)+COUNTIFS(工数管理!$AK$3:$AK$98,J$1,工数管理!$AA$3:$AA$98,"&lt;="&amp;$H240,工数管理!$AB$3:$AB$98,"&gt;="&amp;$H240)+COUNTIFS(工数管理!$AK$3:$AK$98,J$1,工数管理!$AC$3:$AC$98,"&lt;="&amp;$H240,工数管理!$AD$3:$AD$98,"&gt;="&amp;$H240)+COUNTIFS(工数管理!$AK$3:$AK$98,J$1,工数管理!$AE$3:$AE$98,"&lt;="&amp;$H240,工数管理!$AF$3:$AF$98,"&gt;="&amp;$H240)+COUNTIFS(工数管理!$AK$3:$AK$98,J$1,工数管理!$AG$3:$AG$98,"&lt;="&amp;$H240,工数管理!$AH$3:$AH$98,"&gt;="&amp;$H240)+(COUNTIFS(工数管理!$AK$3:$AK$98,J$1,工数管理!$K$3:$K$98,"&lt;="&amp;$H240,工数管理!$L$3:$L$98,"")+COUNTIFS(工数管理!$AK$3:$AK$98,J$1,工数管理!$M$3:$M$98,"&lt;="&amp;$H240,工数管理!$N$3:$N$98,"")+COUNTIFS(工数管理!$AK$3:$AK$98,J$1,工数管理!$O$3:$O$98,"&lt;="&amp;$H240,工数管理!$P$3:$P$98,"")+COUNTIFS(工数管理!$AK$3:$AK$98,J$1,工数管理!$Q$3:$Q$98,"&lt;="&amp;$H240,工数管理!$R$3:$R$98,"")+COUNTIFS(工数管理!$AK$3:$AK$98,J$1,工数管理!$S$3:$S$98,"&lt;="&amp;$H240,工数管理!$T$3:$T$98,"")+COUNTIFS(工数管理!$AK$3:$AK$98,J$1,工数管理!$U$3:$U$98,"&lt;="&amp;$H240,工数管理!$V$3:$V$98,"")+COUNTIFS(工数管理!$AK$3:$AK$98,J$1,工数管理!$W$3:$W$98,"&lt;="&amp;$H240,工数管理!$X$3:$X$98,"")+COUNTIFS(工数管理!$AK$3:$AK$98,J$1,工数管理!$Y$3:$Y$98,"&lt;="&amp;$H240,工数管理!$Z$3:$Z$98,"")+COUNTIFS(工数管理!$AK$3:$AK$98,J$1,工数管理!$AA$3:$AA$98,"&lt;="&amp;$H240,工数管理!$AB$3:$AB$98,"")+COUNTIFS(工数管理!$AK$3:$AK$98,J$1,工数管理!$AC$3:$AC$98,"&lt;="&amp;$H240,工数管理!$AD$3:$AD$98,"")+COUNTIFS(工数管理!$AK$3:$AK$98,J$1,工数管理!$AE$3:$AE$98,"&lt;="&amp;$H240,工数管理!$AF$3:$AF$98,"")+COUNTIFS(工数管理!$AK$3:$AK$98,J$1,工数管理!$AG$3:$AG$98,"&lt;="&amp;$H240,工数管理!$AH$3:$AH$98,""))*($H240&lt;=工数管理!$AI$1))</f>
        <v>0</v>
      </c>
      <c r="K240" s="42">
        <f ca="1">IF(K$1="",0,COUNTIFS(工数管理!$AK$3:$AK$98,K$1,工数管理!$K$3:$K$98,"&lt;="&amp;$H240,工数管理!$L$3:$L$98,"&gt;="&amp;$H240)+COUNTIFS(工数管理!$AK$3:$AK$98,K$1,工数管理!$M$3:$M$98,"&lt;="&amp;$H240,工数管理!$N$3:$N$98,"&gt;="&amp;$H240)+COUNTIFS(工数管理!$AK$3:$AK$98,K$1,工数管理!$O$3:$O$98,"&lt;="&amp;$H240,工数管理!$P$3:$P$98,"&gt;="&amp;$H240)+COUNTIFS(工数管理!$AK$3:$AK$98,K$1,工数管理!$Q$3:$Q$98,"&lt;="&amp;$H240,工数管理!$R$3:$R$98,"&gt;="&amp;$H240)+COUNTIFS(工数管理!$AK$3:$AK$98,K$1,工数管理!$S$3:$S$98,"&lt;="&amp;$H240,工数管理!$T$3:$T$98,"&gt;="&amp;$H240)+COUNTIFS(工数管理!$AK$3:$AK$98,K$1,工数管理!$U$3:$U$98,"&lt;="&amp;$H240,工数管理!$V$3:$V$98,"&gt;="&amp;$H240)+COUNTIFS(工数管理!$AK$3:$AK$98,K$1,工数管理!$W$3:$W$98,"&lt;="&amp;$H240,工数管理!$X$3:$X$98,"&gt;="&amp;$H240)+COUNTIFS(工数管理!$AK$3:$AK$98,K$1,工数管理!$Y$3:$Y$98,"&lt;="&amp;$H240,工数管理!$Z$3:$Z$98,"&gt;="&amp;$H240)+COUNTIFS(工数管理!$AK$3:$AK$98,K$1,工数管理!$AA$3:$AA$98,"&lt;="&amp;$H240,工数管理!$AB$3:$AB$98,"&gt;="&amp;$H240)+COUNTIFS(工数管理!$AK$3:$AK$98,K$1,工数管理!$AC$3:$AC$98,"&lt;="&amp;$H240,工数管理!$AD$3:$AD$98,"&gt;="&amp;$H240)+COUNTIFS(工数管理!$AK$3:$AK$98,K$1,工数管理!$AE$3:$AE$98,"&lt;="&amp;$H240,工数管理!$AF$3:$AF$98,"&gt;="&amp;$H240)+COUNTIFS(工数管理!$AK$3:$AK$98,K$1,工数管理!$AG$3:$AG$98,"&lt;="&amp;$H240,工数管理!$AH$3:$AH$98,"&gt;="&amp;$H240)+(COUNTIFS(工数管理!$AK$3:$AK$98,K$1,工数管理!$K$3:$K$98,"&lt;="&amp;$H240,工数管理!$L$3:$L$98,"")+COUNTIFS(工数管理!$AK$3:$AK$98,K$1,工数管理!$M$3:$M$98,"&lt;="&amp;$H240,工数管理!$N$3:$N$98,"")+COUNTIFS(工数管理!$AK$3:$AK$98,K$1,工数管理!$O$3:$O$98,"&lt;="&amp;$H240,工数管理!$P$3:$P$98,"")+COUNTIFS(工数管理!$AK$3:$AK$98,K$1,工数管理!$Q$3:$Q$98,"&lt;="&amp;$H240,工数管理!$R$3:$R$98,"")+COUNTIFS(工数管理!$AK$3:$AK$98,K$1,工数管理!$S$3:$S$98,"&lt;="&amp;$H240,工数管理!$T$3:$T$98,"")+COUNTIFS(工数管理!$AK$3:$AK$98,K$1,工数管理!$U$3:$U$98,"&lt;="&amp;$H240,工数管理!$V$3:$V$98,"")+COUNTIFS(工数管理!$AK$3:$AK$98,K$1,工数管理!$W$3:$W$98,"&lt;="&amp;$H240,工数管理!$X$3:$X$98,"")+COUNTIFS(工数管理!$AK$3:$AK$98,K$1,工数管理!$Y$3:$Y$98,"&lt;="&amp;$H240,工数管理!$Z$3:$Z$98,"")+COUNTIFS(工数管理!$AK$3:$AK$98,K$1,工数管理!$AA$3:$AA$98,"&lt;="&amp;$H240,工数管理!$AB$3:$AB$98,"")+COUNTIFS(工数管理!$AK$3:$AK$98,K$1,工数管理!$AC$3:$AC$98,"&lt;="&amp;$H240,工数管理!$AD$3:$AD$98,"")+COUNTIFS(工数管理!$AK$3:$AK$98,K$1,工数管理!$AE$3:$AE$98,"&lt;="&amp;$H240,工数管理!$AF$3:$AF$98,"")+COUNTIFS(工数管理!$AK$3:$AK$98,K$1,工数管理!$AG$3:$AG$98,"&lt;="&amp;$H240,工数管理!$AH$3:$AH$98,""))*($H240&lt;=工数管理!$AI$1))</f>
        <v>0</v>
      </c>
      <c r="L240" s="42">
        <f ca="1">IF(L$1="",0,COUNTIFS(工数管理!$AK$3:$AK$98,L$1,工数管理!$K$3:$K$98,"&lt;="&amp;$H240,工数管理!$L$3:$L$98,"&gt;="&amp;$H240)+COUNTIFS(工数管理!$AK$3:$AK$98,L$1,工数管理!$M$3:$M$98,"&lt;="&amp;$H240,工数管理!$N$3:$N$98,"&gt;="&amp;$H240)+COUNTIFS(工数管理!$AK$3:$AK$98,L$1,工数管理!$O$3:$O$98,"&lt;="&amp;$H240,工数管理!$P$3:$P$98,"&gt;="&amp;$H240)+COUNTIFS(工数管理!$AK$3:$AK$98,L$1,工数管理!$Q$3:$Q$98,"&lt;="&amp;$H240,工数管理!$R$3:$R$98,"&gt;="&amp;$H240)+COUNTIFS(工数管理!$AK$3:$AK$98,L$1,工数管理!$S$3:$S$98,"&lt;="&amp;$H240,工数管理!$T$3:$T$98,"&gt;="&amp;$H240)+COUNTIFS(工数管理!$AK$3:$AK$98,L$1,工数管理!$U$3:$U$98,"&lt;="&amp;$H240,工数管理!$V$3:$V$98,"&gt;="&amp;$H240)+COUNTIFS(工数管理!$AK$3:$AK$98,L$1,工数管理!$W$3:$W$98,"&lt;="&amp;$H240,工数管理!$X$3:$X$98,"&gt;="&amp;$H240)+COUNTIFS(工数管理!$AK$3:$AK$98,L$1,工数管理!$Y$3:$Y$98,"&lt;="&amp;$H240,工数管理!$Z$3:$Z$98,"&gt;="&amp;$H240)+COUNTIFS(工数管理!$AK$3:$AK$98,L$1,工数管理!$AA$3:$AA$98,"&lt;="&amp;$H240,工数管理!$AB$3:$AB$98,"&gt;="&amp;$H240)+COUNTIFS(工数管理!$AK$3:$AK$98,L$1,工数管理!$AC$3:$AC$98,"&lt;="&amp;$H240,工数管理!$AD$3:$AD$98,"&gt;="&amp;$H240)+COUNTIFS(工数管理!$AK$3:$AK$98,L$1,工数管理!$AE$3:$AE$98,"&lt;="&amp;$H240,工数管理!$AF$3:$AF$98,"&gt;="&amp;$H240)+COUNTIFS(工数管理!$AK$3:$AK$98,L$1,工数管理!$AG$3:$AG$98,"&lt;="&amp;$H240,工数管理!$AH$3:$AH$98,"&gt;="&amp;$H240)+(COUNTIFS(工数管理!$AK$3:$AK$98,L$1,工数管理!$K$3:$K$98,"&lt;="&amp;$H240,工数管理!$L$3:$L$98,"")+COUNTIFS(工数管理!$AK$3:$AK$98,L$1,工数管理!$M$3:$M$98,"&lt;="&amp;$H240,工数管理!$N$3:$N$98,"")+COUNTIFS(工数管理!$AK$3:$AK$98,L$1,工数管理!$O$3:$O$98,"&lt;="&amp;$H240,工数管理!$P$3:$P$98,"")+COUNTIFS(工数管理!$AK$3:$AK$98,L$1,工数管理!$Q$3:$Q$98,"&lt;="&amp;$H240,工数管理!$R$3:$R$98,"")+COUNTIFS(工数管理!$AK$3:$AK$98,L$1,工数管理!$S$3:$S$98,"&lt;="&amp;$H240,工数管理!$T$3:$T$98,"")+COUNTIFS(工数管理!$AK$3:$AK$98,L$1,工数管理!$U$3:$U$98,"&lt;="&amp;$H240,工数管理!$V$3:$V$98,"")+COUNTIFS(工数管理!$AK$3:$AK$98,L$1,工数管理!$W$3:$W$98,"&lt;="&amp;$H240,工数管理!$X$3:$X$98,"")+COUNTIFS(工数管理!$AK$3:$AK$98,L$1,工数管理!$Y$3:$Y$98,"&lt;="&amp;$H240,工数管理!$Z$3:$Z$98,"")+COUNTIFS(工数管理!$AK$3:$AK$98,L$1,工数管理!$AA$3:$AA$98,"&lt;="&amp;$H240,工数管理!$AB$3:$AB$98,"")+COUNTIFS(工数管理!$AK$3:$AK$98,L$1,工数管理!$AC$3:$AC$98,"&lt;="&amp;$H240,工数管理!$AD$3:$AD$98,"")+COUNTIFS(工数管理!$AK$3:$AK$98,L$1,工数管理!$AE$3:$AE$98,"&lt;="&amp;$H240,工数管理!$AF$3:$AF$98,"")+COUNTIFS(工数管理!$AK$3:$AK$98,L$1,工数管理!$AG$3:$AG$98,"&lt;="&amp;$H240,工数管理!$AH$3:$AH$98,""))*($H240&lt;=工数管理!$AI$1))</f>
        <v>0</v>
      </c>
    </row>
    <row r="241" spans="8:12" x14ac:dyDescent="0.15">
      <c r="H241" s="41">
        <f t="shared" si="7"/>
        <v>46409</v>
      </c>
      <c r="I241" s="42">
        <f t="shared" si="6"/>
        <v>1</v>
      </c>
      <c r="J241" s="42">
        <f ca="1">IF(J$1="",0,COUNTIFS(工数管理!$AK$3:$AK$98,J$1,工数管理!$K$3:$K$98,"&lt;="&amp;$H241,工数管理!$L$3:$L$98,"&gt;="&amp;$H241)+COUNTIFS(工数管理!$AK$3:$AK$98,J$1,工数管理!$M$3:$M$98,"&lt;="&amp;$H241,工数管理!$N$3:$N$98,"&gt;="&amp;$H241)+COUNTIFS(工数管理!$AK$3:$AK$98,J$1,工数管理!$O$3:$O$98,"&lt;="&amp;$H241,工数管理!$P$3:$P$98,"&gt;="&amp;$H241)+COUNTIFS(工数管理!$AK$3:$AK$98,J$1,工数管理!$Q$3:$Q$98,"&lt;="&amp;$H241,工数管理!$R$3:$R$98,"&gt;="&amp;$H241)+COUNTIFS(工数管理!$AK$3:$AK$98,J$1,工数管理!$S$3:$S$98,"&lt;="&amp;$H241,工数管理!$T$3:$T$98,"&gt;="&amp;$H241)+COUNTIFS(工数管理!$AK$3:$AK$98,J$1,工数管理!$U$3:$U$98,"&lt;="&amp;$H241,工数管理!$V$3:$V$98,"&gt;="&amp;$H241)+COUNTIFS(工数管理!$AK$3:$AK$98,J$1,工数管理!$W$3:$W$98,"&lt;="&amp;$H241,工数管理!$X$3:$X$98,"&gt;="&amp;$H241)+COUNTIFS(工数管理!$AK$3:$AK$98,J$1,工数管理!$Y$3:$Y$98,"&lt;="&amp;$H241,工数管理!$Z$3:$Z$98,"&gt;="&amp;$H241)+COUNTIFS(工数管理!$AK$3:$AK$98,J$1,工数管理!$AA$3:$AA$98,"&lt;="&amp;$H241,工数管理!$AB$3:$AB$98,"&gt;="&amp;$H241)+COUNTIFS(工数管理!$AK$3:$AK$98,J$1,工数管理!$AC$3:$AC$98,"&lt;="&amp;$H241,工数管理!$AD$3:$AD$98,"&gt;="&amp;$H241)+COUNTIFS(工数管理!$AK$3:$AK$98,J$1,工数管理!$AE$3:$AE$98,"&lt;="&amp;$H241,工数管理!$AF$3:$AF$98,"&gt;="&amp;$H241)+COUNTIFS(工数管理!$AK$3:$AK$98,J$1,工数管理!$AG$3:$AG$98,"&lt;="&amp;$H241,工数管理!$AH$3:$AH$98,"&gt;="&amp;$H241)+(COUNTIFS(工数管理!$AK$3:$AK$98,J$1,工数管理!$K$3:$K$98,"&lt;="&amp;$H241,工数管理!$L$3:$L$98,"")+COUNTIFS(工数管理!$AK$3:$AK$98,J$1,工数管理!$M$3:$M$98,"&lt;="&amp;$H241,工数管理!$N$3:$N$98,"")+COUNTIFS(工数管理!$AK$3:$AK$98,J$1,工数管理!$O$3:$O$98,"&lt;="&amp;$H241,工数管理!$P$3:$P$98,"")+COUNTIFS(工数管理!$AK$3:$AK$98,J$1,工数管理!$Q$3:$Q$98,"&lt;="&amp;$H241,工数管理!$R$3:$R$98,"")+COUNTIFS(工数管理!$AK$3:$AK$98,J$1,工数管理!$S$3:$S$98,"&lt;="&amp;$H241,工数管理!$T$3:$T$98,"")+COUNTIFS(工数管理!$AK$3:$AK$98,J$1,工数管理!$U$3:$U$98,"&lt;="&amp;$H241,工数管理!$V$3:$V$98,"")+COUNTIFS(工数管理!$AK$3:$AK$98,J$1,工数管理!$W$3:$W$98,"&lt;="&amp;$H241,工数管理!$X$3:$X$98,"")+COUNTIFS(工数管理!$AK$3:$AK$98,J$1,工数管理!$Y$3:$Y$98,"&lt;="&amp;$H241,工数管理!$Z$3:$Z$98,"")+COUNTIFS(工数管理!$AK$3:$AK$98,J$1,工数管理!$AA$3:$AA$98,"&lt;="&amp;$H241,工数管理!$AB$3:$AB$98,"")+COUNTIFS(工数管理!$AK$3:$AK$98,J$1,工数管理!$AC$3:$AC$98,"&lt;="&amp;$H241,工数管理!$AD$3:$AD$98,"")+COUNTIFS(工数管理!$AK$3:$AK$98,J$1,工数管理!$AE$3:$AE$98,"&lt;="&amp;$H241,工数管理!$AF$3:$AF$98,"")+COUNTIFS(工数管理!$AK$3:$AK$98,J$1,工数管理!$AG$3:$AG$98,"&lt;="&amp;$H241,工数管理!$AH$3:$AH$98,""))*($H241&lt;=工数管理!$AI$1))</f>
        <v>0</v>
      </c>
      <c r="K241" s="42">
        <f ca="1">IF(K$1="",0,COUNTIFS(工数管理!$AK$3:$AK$98,K$1,工数管理!$K$3:$K$98,"&lt;="&amp;$H241,工数管理!$L$3:$L$98,"&gt;="&amp;$H241)+COUNTIFS(工数管理!$AK$3:$AK$98,K$1,工数管理!$M$3:$M$98,"&lt;="&amp;$H241,工数管理!$N$3:$N$98,"&gt;="&amp;$H241)+COUNTIFS(工数管理!$AK$3:$AK$98,K$1,工数管理!$O$3:$O$98,"&lt;="&amp;$H241,工数管理!$P$3:$P$98,"&gt;="&amp;$H241)+COUNTIFS(工数管理!$AK$3:$AK$98,K$1,工数管理!$Q$3:$Q$98,"&lt;="&amp;$H241,工数管理!$R$3:$R$98,"&gt;="&amp;$H241)+COUNTIFS(工数管理!$AK$3:$AK$98,K$1,工数管理!$S$3:$S$98,"&lt;="&amp;$H241,工数管理!$T$3:$T$98,"&gt;="&amp;$H241)+COUNTIFS(工数管理!$AK$3:$AK$98,K$1,工数管理!$U$3:$U$98,"&lt;="&amp;$H241,工数管理!$V$3:$V$98,"&gt;="&amp;$H241)+COUNTIFS(工数管理!$AK$3:$AK$98,K$1,工数管理!$W$3:$W$98,"&lt;="&amp;$H241,工数管理!$X$3:$X$98,"&gt;="&amp;$H241)+COUNTIFS(工数管理!$AK$3:$AK$98,K$1,工数管理!$Y$3:$Y$98,"&lt;="&amp;$H241,工数管理!$Z$3:$Z$98,"&gt;="&amp;$H241)+COUNTIFS(工数管理!$AK$3:$AK$98,K$1,工数管理!$AA$3:$AA$98,"&lt;="&amp;$H241,工数管理!$AB$3:$AB$98,"&gt;="&amp;$H241)+COUNTIFS(工数管理!$AK$3:$AK$98,K$1,工数管理!$AC$3:$AC$98,"&lt;="&amp;$H241,工数管理!$AD$3:$AD$98,"&gt;="&amp;$H241)+COUNTIFS(工数管理!$AK$3:$AK$98,K$1,工数管理!$AE$3:$AE$98,"&lt;="&amp;$H241,工数管理!$AF$3:$AF$98,"&gt;="&amp;$H241)+COUNTIFS(工数管理!$AK$3:$AK$98,K$1,工数管理!$AG$3:$AG$98,"&lt;="&amp;$H241,工数管理!$AH$3:$AH$98,"&gt;="&amp;$H241)+(COUNTIFS(工数管理!$AK$3:$AK$98,K$1,工数管理!$K$3:$K$98,"&lt;="&amp;$H241,工数管理!$L$3:$L$98,"")+COUNTIFS(工数管理!$AK$3:$AK$98,K$1,工数管理!$M$3:$M$98,"&lt;="&amp;$H241,工数管理!$N$3:$N$98,"")+COUNTIFS(工数管理!$AK$3:$AK$98,K$1,工数管理!$O$3:$O$98,"&lt;="&amp;$H241,工数管理!$P$3:$P$98,"")+COUNTIFS(工数管理!$AK$3:$AK$98,K$1,工数管理!$Q$3:$Q$98,"&lt;="&amp;$H241,工数管理!$R$3:$R$98,"")+COUNTIFS(工数管理!$AK$3:$AK$98,K$1,工数管理!$S$3:$S$98,"&lt;="&amp;$H241,工数管理!$T$3:$T$98,"")+COUNTIFS(工数管理!$AK$3:$AK$98,K$1,工数管理!$U$3:$U$98,"&lt;="&amp;$H241,工数管理!$V$3:$V$98,"")+COUNTIFS(工数管理!$AK$3:$AK$98,K$1,工数管理!$W$3:$W$98,"&lt;="&amp;$H241,工数管理!$X$3:$X$98,"")+COUNTIFS(工数管理!$AK$3:$AK$98,K$1,工数管理!$Y$3:$Y$98,"&lt;="&amp;$H241,工数管理!$Z$3:$Z$98,"")+COUNTIFS(工数管理!$AK$3:$AK$98,K$1,工数管理!$AA$3:$AA$98,"&lt;="&amp;$H241,工数管理!$AB$3:$AB$98,"")+COUNTIFS(工数管理!$AK$3:$AK$98,K$1,工数管理!$AC$3:$AC$98,"&lt;="&amp;$H241,工数管理!$AD$3:$AD$98,"")+COUNTIFS(工数管理!$AK$3:$AK$98,K$1,工数管理!$AE$3:$AE$98,"&lt;="&amp;$H241,工数管理!$AF$3:$AF$98,"")+COUNTIFS(工数管理!$AK$3:$AK$98,K$1,工数管理!$AG$3:$AG$98,"&lt;="&amp;$H241,工数管理!$AH$3:$AH$98,""))*($H241&lt;=工数管理!$AI$1))</f>
        <v>0</v>
      </c>
      <c r="L241" s="42">
        <f ca="1">IF(L$1="",0,COUNTIFS(工数管理!$AK$3:$AK$98,L$1,工数管理!$K$3:$K$98,"&lt;="&amp;$H241,工数管理!$L$3:$L$98,"&gt;="&amp;$H241)+COUNTIFS(工数管理!$AK$3:$AK$98,L$1,工数管理!$M$3:$M$98,"&lt;="&amp;$H241,工数管理!$N$3:$N$98,"&gt;="&amp;$H241)+COUNTIFS(工数管理!$AK$3:$AK$98,L$1,工数管理!$O$3:$O$98,"&lt;="&amp;$H241,工数管理!$P$3:$P$98,"&gt;="&amp;$H241)+COUNTIFS(工数管理!$AK$3:$AK$98,L$1,工数管理!$Q$3:$Q$98,"&lt;="&amp;$H241,工数管理!$R$3:$R$98,"&gt;="&amp;$H241)+COUNTIFS(工数管理!$AK$3:$AK$98,L$1,工数管理!$S$3:$S$98,"&lt;="&amp;$H241,工数管理!$T$3:$T$98,"&gt;="&amp;$H241)+COUNTIFS(工数管理!$AK$3:$AK$98,L$1,工数管理!$U$3:$U$98,"&lt;="&amp;$H241,工数管理!$V$3:$V$98,"&gt;="&amp;$H241)+COUNTIFS(工数管理!$AK$3:$AK$98,L$1,工数管理!$W$3:$W$98,"&lt;="&amp;$H241,工数管理!$X$3:$X$98,"&gt;="&amp;$H241)+COUNTIFS(工数管理!$AK$3:$AK$98,L$1,工数管理!$Y$3:$Y$98,"&lt;="&amp;$H241,工数管理!$Z$3:$Z$98,"&gt;="&amp;$H241)+COUNTIFS(工数管理!$AK$3:$AK$98,L$1,工数管理!$AA$3:$AA$98,"&lt;="&amp;$H241,工数管理!$AB$3:$AB$98,"&gt;="&amp;$H241)+COUNTIFS(工数管理!$AK$3:$AK$98,L$1,工数管理!$AC$3:$AC$98,"&lt;="&amp;$H241,工数管理!$AD$3:$AD$98,"&gt;="&amp;$H241)+COUNTIFS(工数管理!$AK$3:$AK$98,L$1,工数管理!$AE$3:$AE$98,"&lt;="&amp;$H241,工数管理!$AF$3:$AF$98,"&gt;="&amp;$H241)+COUNTIFS(工数管理!$AK$3:$AK$98,L$1,工数管理!$AG$3:$AG$98,"&lt;="&amp;$H241,工数管理!$AH$3:$AH$98,"&gt;="&amp;$H241)+(COUNTIFS(工数管理!$AK$3:$AK$98,L$1,工数管理!$K$3:$K$98,"&lt;="&amp;$H241,工数管理!$L$3:$L$98,"")+COUNTIFS(工数管理!$AK$3:$AK$98,L$1,工数管理!$M$3:$M$98,"&lt;="&amp;$H241,工数管理!$N$3:$N$98,"")+COUNTIFS(工数管理!$AK$3:$AK$98,L$1,工数管理!$O$3:$O$98,"&lt;="&amp;$H241,工数管理!$P$3:$P$98,"")+COUNTIFS(工数管理!$AK$3:$AK$98,L$1,工数管理!$Q$3:$Q$98,"&lt;="&amp;$H241,工数管理!$R$3:$R$98,"")+COUNTIFS(工数管理!$AK$3:$AK$98,L$1,工数管理!$S$3:$S$98,"&lt;="&amp;$H241,工数管理!$T$3:$T$98,"")+COUNTIFS(工数管理!$AK$3:$AK$98,L$1,工数管理!$U$3:$U$98,"&lt;="&amp;$H241,工数管理!$V$3:$V$98,"")+COUNTIFS(工数管理!$AK$3:$AK$98,L$1,工数管理!$W$3:$W$98,"&lt;="&amp;$H241,工数管理!$X$3:$X$98,"")+COUNTIFS(工数管理!$AK$3:$AK$98,L$1,工数管理!$Y$3:$Y$98,"&lt;="&amp;$H241,工数管理!$Z$3:$Z$98,"")+COUNTIFS(工数管理!$AK$3:$AK$98,L$1,工数管理!$AA$3:$AA$98,"&lt;="&amp;$H241,工数管理!$AB$3:$AB$98,"")+COUNTIFS(工数管理!$AK$3:$AK$98,L$1,工数管理!$AC$3:$AC$98,"&lt;="&amp;$H241,工数管理!$AD$3:$AD$98,"")+COUNTIFS(工数管理!$AK$3:$AK$98,L$1,工数管理!$AE$3:$AE$98,"&lt;="&amp;$H241,工数管理!$AF$3:$AF$98,"")+COUNTIFS(工数管理!$AK$3:$AK$98,L$1,工数管理!$AG$3:$AG$98,"&lt;="&amp;$H241,工数管理!$AH$3:$AH$98,""))*($H241&lt;=工数管理!$AI$1))</f>
        <v>0</v>
      </c>
    </row>
    <row r="242" spans="8:12" x14ac:dyDescent="0.15">
      <c r="H242" s="41">
        <f t="shared" si="7"/>
        <v>46410</v>
      </c>
      <c r="I242" s="42">
        <f t="shared" si="6"/>
        <v>0</v>
      </c>
      <c r="J242" s="42">
        <f ca="1">IF(J$1="",0,COUNTIFS(工数管理!$AK$3:$AK$98,J$1,工数管理!$K$3:$K$98,"&lt;="&amp;$H242,工数管理!$L$3:$L$98,"&gt;="&amp;$H242)+COUNTIFS(工数管理!$AK$3:$AK$98,J$1,工数管理!$M$3:$M$98,"&lt;="&amp;$H242,工数管理!$N$3:$N$98,"&gt;="&amp;$H242)+COUNTIFS(工数管理!$AK$3:$AK$98,J$1,工数管理!$O$3:$O$98,"&lt;="&amp;$H242,工数管理!$P$3:$P$98,"&gt;="&amp;$H242)+COUNTIFS(工数管理!$AK$3:$AK$98,J$1,工数管理!$Q$3:$Q$98,"&lt;="&amp;$H242,工数管理!$R$3:$R$98,"&gt;="&amp;$H242)+COUNTIFS(工数管理!$AK$3:$AK$98,J$1,工数管理!$S$3:$S$98,"&lt;="&amp;$H242,工数管理!$T$3:$T$98,"&gt;="&amp;$H242)+COUNTIFS(工数管理!$AK$3:$AK$98,J$1,工数管理!$U$3:$U$98,"&lt;="&amp;$H242,工数管理!$V$3:$V$98,"&gt;="&amp;$H242)+COUNTIFS(工数管理!$AK$3:$AK$98,J$1,工数管理!$W$3:$W$98,"&lt;="&amp;$H242,工数管理!$X$3:$X$98,"&gt;="&amp;$H242)+COUNTIFS(工数管理!$AK$3:$AK$98,J$1,工数管理!$Y$3:$Y$98,"&lt;="&amp;$H242,工数管理!$Z$3:$Z$98,"&gt;="&amp;$H242)+COUNTIFS(工数管理!$AK$3:$AK$98,J$1,工数管理!$AA$3:$AA$98,"&lt;="&amp;$H242,工数管理!$AB$3:$AB$98,"&gt;="&amp;$H242)+COUNTIFS(工数管理!$AK$3:$AK$98,J$1,工数管理!$AC$3:$AC$98,"&lt;="&amp;$H242,工数管理!$AD$3:$AD$98,"&gt;="&amp;$H242)+COUNTIFS(工数管理!$AK$3:$AK$98,J$1,工数管理!$AE$3:$AE$98,"&lt;="&amp;$H242,工数管理!$AF$3:$AF$98,"&gt;="&amp;$H242)+COUNTIFS(工数管理!$AK$3:$AK$98,J$1,工数管理!$AG$3:$AG$98,"&lt;="&amp;$H242,工数管理!$AH$3:$AH$98,"&gt;="&amp;$H242)+(COUNTIFS(工数管理!$AK$3:$AK$98,J$1,工数管理!$K$3:$K$98,"&lt;="&amp;$H242,工数管理!$L$3:$L$98,"")+COUNTIFS(工数管理!$AK$3:$AK$98,J$1,工数管理!$M$3:$M$98,"&lt;="&amp;$H242,工数管理!$N$3:$N$98,"")+COUNTIFS(工数管理!$AK$3:$AK$98,J$1,工数管理!$O$3:$O$98,"&lt;="&amp;$H242,工数管理!$P$3:$P$98,"")+COUNTIFS(工数管理!$AK$3:$AK$98,J$1,工数管理!$Q$3:$Q$98,"&lt;="&amp;$H242,工数管理!$R$3:$R$98,"")+COUNTIFS(工数管理!$AK$3:$AK$98,J$1,工数管理!$S$3:$S$98,"&lt;="&amp;$H242,工数管理!$T$3:$T$98,"")+COUNTIFS(工数管理!$AK$3:$AK$98,J$1,工数管理!$U$3:$U$98,"&lt;="&amp;$H242,工数管理!$V$3:$V$98,"")+COUNTIFS(工数管理!$AK$3:$AK$98,J$1,工数管理!$W$3:$W$98,"&lt;="&amp;$H242,工数管理!$X$3:$X$98,"")+COUNTIFS(工数管理!$AK$3:$AK$98,J$1,工数管理!$Y$3:$Y$98,"&lt;="&amp;$H242,工数管理!$Z$3:$Z$98,"")+COUNTIFS(工数管理!$AK$3:$AK$98,J$1,工数管理!$AA$3:$AA$98,"&lt;="&amp;$H242,工数管理!$AB$3:$AB$98,"")+COUNTIFS(工数管理!$AK$3:$AK$98,J$1,工数管理!$AC$3:$AC$98,"&lt;="&amp;$H242,工数管理!$AD$3:$AD$98,"")+COUNTIFS(工数管理!$AK$3:$AK$98,J$1,工数管理!$AE$3:$AE$98,"&lt;="&amp;$H242,工数管理!$AF$3:$AF$98,"")+COUNTIFS(工数管理!$AK$3:$AK$98,J$1,工数管理!$AG$3:$AG$98,"&lt;="&amp;$H242,工数管理!$AH$3:$AH$98,""))*($H242&lt;=工数管理!$AI$1))</f>
        <v>0</v>
      </c>
      <c r="K242" s="42">
        <f ca="1">IF(K$1="",0,COUNTIFS(工数管理!$AK$3:$AK$98,K$1,工数管理!$K$3:$K$98,"&lt;="&amp;$H242,工数管理!$L$3:$L$98,"&gt;="&amp;$H242)+COUNTIFS(工数管理!$AK$3:$AK$98,K$1,工数管理!$M$3:$M$98,"&lt;="&amp;$H242,工数管理!$N$3:$N$98,"&gt;="&amp;$H242)+COUNTIFS(工数管理!$AK$3:$AK$98,K$1,工数管理!$O$3:$O$98,"&lt;="&amp;$H242,工数管理!$P$3:$P$98,"&gt;="&amp;$H242)+COUNTIFS(工数管理!$AK$3:$AK$98,K$1,工数管理!$Q$3:$Q$98,"&lt;="&amp;$H242,工数管理!$R$3:$R$98,"&gt;="&amp;$H242)+COUNTIFS(工数管理!$AK$3:$AK$98,K$1,工数管理!$S$3:$S$98,"&lt;="&amp;$H242,工数管理!$T$3:$T$98,"&gt;="&amp;$H242)+COUNTIFS(工数管理!$AK$3:$AK$98,K$1,工数管理!$U$3:$U$98,"&lt;="&amp;$H242,工数管理!$V$3:$V$98,"&gt;="&amp;$H242)+COUNTIFS(工数管理!$AK$3:$AK$98,K$1,工数管理!$W$3:$W$98,"&lt;="&amp;$H242,工数管理!$X$3:$X$98,"&gt;="&amp;$H242)+COUNTIFS(工数管理!$AK$3:$AK$98,K$1,工数管理!$Y$3:$Y$98,"&lt;="&amp;$H242,工数管理!$Z$3:$Z$98,"&gt;="&amp;$H242)+COUNTIFS(工数管理!$AK$3:$AK$98,K$1,工数管理!$AA$3:$AA$98,"&lt;="&amp;$H242,工数管理!$AB$3:$AB$98,"&gt;="&amp;$H242)+COUNTIFS(工数管理!$AK$3:$AK$98,K$1,工数管理!$AC$3:$AC$98,"&lt;="&amp;$H242,工数管理!$AD$3:$AD$98,"&gt;="&amp;$H242)+COUNTIFS(工数管理!$AK$3:$AK$98,K$1,工数管理!$AE$3:$AE$98,"&lt;="&amp;$H242,工数管理!$AF$3:$AF$98,"&gt;="&amp;$H242)+COUNTIFS(工数管理!$AK$3:$AK$98,K$1,工数管理!$AG$3:$AG$98,"&lt;="&amp;$H242,工数管理!$AH$3:$AH$98,"&gt;="&amp;$H242)+(COUNTIFS(工数管理!$AK$3:$AK$98,K$1,工数管理!$K$3:$K$98,"&lt;="&amp;$H242,工数管理!$L$3:$L$98,"")+COUNTIFS(工数管理!$AK$3:$AK$98,K$1,工数管理!$M$3:$M$98,"&lt;="&amp;$H242,工数管理!$N$3:$N$98,"")+COUNTIFS(工数管理!$AK$3:$AK$98,K$1,工数管理!$O$3:$O$98,"&lt;="&amp;$H242,工数管理!$P$3:$P$98,"")+COUNTIFS(工数管理!$AK$3:$AK$98,K$1,工数管理!$Q$3:$Q$98,"&lt;="&amp;$H242,工数管理!$R$3:$R$98,"")+COUNTIFS(工数管理!$AK$3:$AK$98,K$1,工数管理!$S$3:$S$98,"&lt;="&amp;$H242,工数管理!$T$3:$T$98,"")+COUNTIFS(工数管理!$AK$3:$AK$98,K$1,工数管理!$U$3:$U$98,"&lt;="&amp;$H242,工数管理!$V$3:$V$98,"")+COUNTIFS(工数管理!$AK$3:$AK$98,K$1,工数管理!$W$3:$W$98,"&lt;="&amp;$H242,工数管理!$X$3:$X$98,"")+COUNTIFS(工数管理!$AK$3:$AK$98,K$1,工数管理!$Y$3:$Y$98,"&lt;="&amp;$H242,工数管理!$Z$3:$Z$98,"")+COUNTIFS(工数管理!$AK$3:$AK$98,K$1,工数管理!$AA$3:$AA$98,"&lt;="&amp;$H242,工数管理!$AB$3:$AB$98,"")+COUNTIFS(工数管理!$AK$3:$AK$98,K$1,工数管理!$AC$3:$AC$98,"&lt;="&amp;$H242,工数管理!$AD$3:$AD$98,"")+COUNTIFS(工数管理!$AK$3:$AK$98,K$1,工数管理!$AE$3:$AE$98,"&lt;="&amp;$H242,工数管理!$AF$3:$AF$98,"")+COUNTIFS(工数管理!$AK$3:$AK$98,K$1,工数管理!$AG$3:$AG$98,"&lt;="&amp;$H242,工数管理!$AH$3:$AH$98,""))*($H242&lt;=工数管理!$AI$1))</f>
        <v>0</v>
      </c>
      <c r="L242" s="42">
        <f ca="1">IF(L$1="",0,COUNTIFS(工数管理!$AK$3:$AK$98,L$1,工数管理!$K$3:$K$98,"&lt;="&amp;$H242,工数管理!$L$3:$L$98,"&gt;="&amp;$H242)+COUNTIFS(工数管理!$AK$3:$AK$98,L$1,工数管理!$M$3:$M$98,"&lt;="&amp;$H242,工数管理!$N$3:$N$98,"&gt;="&amp;$H242)+COUNTIFS(工数管理!$AK$3:$AK$98,L$1,工数管理!$O$3:$O$98,"&lt;="&amp;$H242,工数管理!$P$3:$P$98,"&gt;="&amp;$H242)+COUNTIFS(工数管理!$AK$3:$AK$98,L$1,工数管理!$Q$3:$Q$98,"&lt;="&amp;$H242,工数管理!$R$3:$R$98,"&gt;="&amp;$H242)+COUNTIFS(工数管理!$AK$3:$AK$98,L$1,工数管理!$S$3:$S$98,"&lt;="&amp;$H242,工数管理!$T$3:$T$98,"&gt;="&amp;$H242)+COUNTIFS(工数管理!$AK$3:$AK$98,L$1,工数管理!$U$3:$U$98,"&lt;="&amp;$H242,工数管理!$V$3:$V$98,"&gt;="&amp;$H242)+COUNTIFS(工数管理!$AK$3:$AK$98,L$1,工数管理!$W$3:$W$98,"&lt;="&amp;$H242,工数管理!$X$3:$X$98,"&gt;="&amp;$H242)+COUNTIFS(工数管理!$AK$3:$AK$98,L$1,工数管理!$Y$3:$Y$98,"&lt;="&amp;$H242,工数管理!$Z$3:$Z$98,"&gt;="&amp;$H242)+COUNTIFS(工数管理!$AK$3:$AK$98,L$1,工数管理!$AA$3:$AA$98,"&lt;="&amp;$H242,工数管理!$AB$3:$AB$98,"&gt;="&amp;$H242)+COUNTIFS(工数管理!$AK$3:$AK$98,L$1,工数管理!$AC$3:$AC$98,"&lt;="&amp;$H242,工数管理!$AD$3:$AD$98,"&gt;="&amp;$H242)+COUNTIFS(工数管理!$AK$3:$AK$98,L$1,工数管理!$AE$3:$AE$98,"&lt;="&amp;$H242,工数管理!$AF$3:$AF$98,"&gt;="&amp;$H242)+COUNTIFS(工数管理!$AK$3:$AK$98,L$1,工数管理!$AG$3:$AG$98,"&lt;="&amp;$H242,工数管理!$AH$3:$AH$98,"&gt;="&amp;$H242)+(COUNTIFS(工数管理!$AK$3:$AK$98,L$1,工数管理!$K$3:$K$98,"&lt;="&amp;$H242,工数管理!$L$3:$L$98,"")+COUNTIFS(工数管理!$AK$3:$AK$98,L$1,工数管理!$M$3:$M$98,"&lt;="&amp;$H242,工数管理!$N$3:$N$98,"")+COUNTIFS(工数管理!$AK$3:$AK$98,L$1,工数管理!$O$3:$O$98,"&lt;="&amp;$H242,工数管理!$P$3:$P$98,"")+COUNTIFS(工数管理!$AK$3:$AK$98,L$1,工数管理!$Q$3:$Q$98,"&lt;="&amp;$H242,工数管理!$R$3:$R$98,"")+COUNTIFS(工数管理!$AK$3:$AK$98,L$1,工数管理!$S$3:$S$98,"&lt;="&amp;$H242,工数管理!$T$3:$T$98,"")+COUNTIFS(工数管理!$AK$3:$AK$98,L$1,工数管理!$U$3:$U$98,"&lt;="&amp;$H242,工数管理!$V$3:$V$98,"")+COUNTIFS(工数管理!$AK$3:$AK$98,L$1,工数管理!$W$3:$W$98,"&lt;="&amp;$H242,工数管理!$X$3:$X$98,"")+COUNTIFS(工数管理!$AK$3:$AK$98,L$1,工数管理!$Y$3:$Y$98,"&lt;="&amp;$H242,工数管理!$Z$3:$Z$98,"")+COUNTIFS(工数管理!$AK$3:$AK$98,L$1,工数管理!$AA$3:$AA$98,"&lt;="&amp;$H242,工数管理!$AB$3:$AB$98,"")+COUNTIFS(工数管理!$AK$3:$AK$98,L$1,工数管理!$AC$3:$AC$98,"&lt;="&amp;$H242,工数管理!$AD$3:$AD$98,"")+COUNTIFS(工数管理!$AK$3:$AK$98,L$1,工数管理!$AE$3:$AE$98,"&lt;="&amp;$H242,工数管理!$AF$3:$AF$98,"")+COUNTIFS(工数管理!$AK$3:$AK$98,L$1,工数管理!$AG$3:$AG$98,"&lt;="&amp;$H242,工数管理!$AH$3:$AH$98,""))*($H242&lt;=工数管理!$AI$1))</f>
        <v>0</v>
      </c>
    </row>
    <row r="243" spans="8:12" x14ac:dyDescent="0.15">
      <c r="H243" s="41">
        <f t="shared" si="7"/>
        <v>46411</v>
      </c>
      <c r="I243" s="42">
        <f t="shared" si="6"/>
        <v>0</v>
      </c>
      <c r="J243" s="42">
        <f ca="1">IF(J$1="",0,COUNTIFS(工数管理!$AK$3:$AK$98,J$1,工数管理!$K$3:$K$98,"&lt;="&amp;$H243,工数管理!$L$3:$L$98,"&gt;="&amp;$H243)+COUNTIFS(工数管理!$AK$3:$AK$98,J$1,工数管理!$M$3:$M$98,"&lt;="&amp;$H243,工数管理!$N$3:$N$98,"&gt;="&amp;$H243)+COUNTIFS(工数管理!$AK$3:$AK$98,J$1,工数管理!$O$3:$O$98,"&lt;="&amp;$H243,工数管理!$P$3:$P$98,"&gt;="&amp;$H243)+COUNTIFS(工数管理!$AK$3:$AK$98,J$1,工数管理!$Q$3:$Q$98,"&lt;="&amp;$H243,工数管理!$R$3:$R$98,"&gt;="&amp;$H243)+COUNTIFS(工数管理!$AK$3:$AK$98,J$1,工数管理!$S$3:$S$98,"&lt;="&amp;$H243,工数管理!$T$3:$T$98,"&gt;="&amp;$H243)+COUNTIFS(工数管理!$AK$3:$AK$98,J$1,工数管理!$U$3:$U$98,"&lt;="&amp;$H243,工数管理!$V$3:$V$98,"&gt;="&amp;$H243)+COUNTIFS(工数管理!$AK$3:$AK$98,J$1,工数管理!$W$3:$W$98,"&lt;="&amp;$H243,工数管理!$X$3:$X$98,"&gt;="&amp;$H243)+COUNTIFS(工数管理!$AK$3:$AK$98,J$1,工数管理!$Y$3:$Y$98,"&lt;="&amp;$H243,工数管理!$Z$3:$Z$98,"&gt;="&amp;$H243)+COUNTIFS(工数管理!$AK$3:$AK$98,J$1,工数管理!$AA$3:$AA$98,"&lt;="&amp;$H243,工数管理!$AB$3:$AB$98,"&gt;="&amp;$H243)+COUNTIFS(工数管理!$AK$3:$AK$98,J$1,工数管理!$AC$3:$AC$98,"&lt;="&amp;$H243,工数管理!$AD$3:$AD$98,"&gt;="&amp;$H243)+COUNTIFS(工数管理!$AK$3:$AK$98,J$1,工数管理!$AE$3:$AE$98,"&lt;="&amp;$H243,工数管理!$AF$3:$AF$98,"&gt;="&amp;$H243)+COUNTIFS(工数管理!$AK$3:$AK$98,J$1,工数管理!$AG$3:$AG$98,"&lt;="&amp;$H243,工数管理!$AH$3:$AH$98,"&gt;="&amp;$H243)+(COUNTIFS(工数管理!$AK$3:$AK$98,J$1,工数管理!$K$3:$K$98,"&lt;="&amp;$H243,工数管理!$L$3:$L$98,"")+COUNTIFS(工数管理!$AK$3:$AK$98,J$1,工数管理!$M$3:$M$98,"&lt;="&amp;$H243,工数管理!$N$3:$N$98,"")+COUNTIFS(工数管理!$AK$3:$AK$98,J$1,工数管理!$O$3:$O$98,"&lt;="&amp;$H243,工数管理!$P$3:$P$98,"")+COUNTIFS(工数管理!$AK$3:$AK$98,J$1,工数管理!$Q$3:$Q$98,"&lt;="&amp;$H243,工数管理!$R$3:$R$98,"")+COUNTIFS(工数管理!$AK$3:$AK$98,J$1,工数管理!$S$3:$S$98,"&lt;="&amp;$H243,工数管理!$T$3:$T$98,"")+COUNTIFS(工数管理!$AK$3:$AK$98,J$1,工数管理!$U$3:$U$98,"&lt;="&amp;$H243,工数管理!$V$3:$V$98,"")+COUNTIFS(工数管理!$AK$3:$AK$98,J$1,工数管理!$W$3:$W$98,"&lt;="&amp;$H243,工数管理!$X$3:$X$98,"")+COUNTIFS(工数管理!$AK$3:$AK$98,J$1,工数管理!$Y$3:$Y$98,"&lt;="&amp;$H243,工数管理!$Z$3:$Z$98,"")+COUNTIFS(工数管理!$AK$3:$AK$98,J$1,工数管理!$AA$3:$AA$98,"&lt;="&amp;$H243,工数管理!$AB$3:$AB$98,"")+COUNTIFS(工数管理!$AK$3:$AK$98,J$1,工数管理!$AC$3:$AC$98,"&lt;="&amp;$H243,工数管理!$AD$3:$AD$98,"")+COUNTIFS(工数管理!$AK$3:$AK$98,J$1,工数管理!$AE$3:$AE$98,"&lt;="&amp;$H243,工数管理!$AF$3:$AF$98,"")+COUNTIFS(工数管理!$AK$3:$AK$98,J$1,工数管理!$AG$3:$AG$98,"&lt;="&amp;$H243,工数管理!$AH$3:$AH$98,""))*($H243&lt;=工数管理!$AI$1))</f>
        <v>0</v>
      </c>
      <c r="K243" s="42">
        <f ca="1">IF(K$1="",0,COUNTIFS(工数管理!$AK$3:$AK$98,K$1,工数管理!$K$3:$K$98,"&lt;="&amp;$H243,工数管理!$L$3:$L$98,"&gt;="&amp;$H243)+COUNTIFS(工数管理!$AK$3:$AK$98,K$1,工数管理!$M$3:$M$98,"&lt;="&amp;$H243,工数管理!$N$3:$N$98,"&gt;="&amp;$H243)+COUNTIFS(工数管理!$AK$3:$AK$98,K$1,工数管理!$O$3:$O$98,"&lt;="&amp;$H243,工数管理!$P$3:$P$98,"&gt;="&amp;$H243)+COUNTIFS(工数管理!$AK$3:$AK$98,K$1,工数管理!$Q$3:$Q$98,"&lt;="&amp;$H243,工数管理!$R$3:$R$98,"&gt;="&amp;$H243)+COUNTIFS(工数管理!$AK$3:$AK$98,K$1,工数管理!$S$3:$S$98,"&lt;="&amp;$H243,工数管理!$T$3:$T$98,"&gt;="&amp;$H243)+COUNTIFS(工数管理!$AK$3:$AK$98,K$1,工数管理!$U$3:$U$98,"&lt;="&amp;$H243,工数管理!$V$3:$V$98,"&gt;="&amp;$H243)+COUNTIFS(工数管理!$AK$3:$AK$98,K$1,工数管理!$W$3:$W$98,"&lt;="&amp;$H243,工数管理!$X$3:$X$98,"&gt;="&amp;$H243)+COUNTIFS(工数管理!$AK$3:$AK$98,K$1,工数管理!$Y$3:$Y$98,"&lt;="&amp;$H243,工数管理!$Z$3:$Z$98,"&gt;="&amp;$H243)+COUNTIFS(工数管理!$AK$3:$AK$98,K$1,工数管理!$AA$3:$AA$98,"&lt;="&amp;$H243,工数管理!$AB$3:$AB$98,"&gt;="&amp;$H243)+COUNTIFS(工数管理!$AK$3:$AK$98,K$1,工数管理!$AC$3:$AC$98,"&lt;="&amp;$H243,工数管理!$AD$3:$AD$98,"&gt;="&amp;$H243)+COUNTIFS(工数管理!$AK$3:$AK$98,K$1,工数管理!$AE$3:$AE$98,"&lt;="&amp;$H243,工数管理!$AF$3:$AF$98,"&gt;="&amp;$H243)+COUNTIFS(工数管理!$AK$3:$AK$98,K$1,工数管理!$AG$3:$AG$98,"&lt;="&amp;$H243,工数管理!$AH$3:$AH$98,"&gt;="&amp;$H243)+(COUNTIFS(工数管理!$AK$3:$AK$98,K$1,工数管理!$K$3:$K$98,"&lt;="&amp;$H243,工数管理!$L$3:$L$98,"")+COUNTIFS(工数管理!$AK$3:$AK$98,K$1,工数管理!$M$3:$M$98,"&lt;="&amp;$H243,工数管理!$N$3:$N$98,"")+COUNTIFS(工数管理!$AK$3:$AK$98,K$1,工数管理!$O$3:$O$98,"&lt;="&amp;$H243,工数管理!$P$3:$P$98,"")+COUNTIFS(工数管理!$AK$3:$AK$98,K$1,工数管理!$Q$3:$Q$98,"&lt;="&amp;$H243,工数管理!$R$3:$R$98,"")+COUNTIFS(工数管理!$AK$3:$AK$98,K$1,工数管理!$S$3:$S$98,"&lt;="&amp;$H243,工数管理!$T$3:$T$98,"")+COUNTIFS(工数管理!$AK$3:$AK$98,K$1,工数管理!$U$3:$U$98,"&lt;="&amp;$H243,工数管理!$V$3:$V$98,"")+COUNTIFS(工数管理!$AK$3:$AK$98,K$1,工数管理!$W$3:$W$98,"&lt;="&amp;$H243,工数管理!$X$3:$X$98,"")+COUNTIFS(工数管理!$AK$3:$AK$98,K$1,工数管理!$Y$3:$Y$98,"&lt;="&amp;$H243,工数管理!$Z$3:$Z$98,"")+COUNTIFS(工数管理!$AK$3:$AK$98,K$1,工数管理!$AA$3:$AA$98,"&lt;="&amp;$H243,工数管理!$AB$3:$AB$98,"")+COUNTIFS(工数管理!$AK$3:$AK$98,K$1,工数管理!$AC$3:$AC$98,"&lt;="&amp;$H243,工数管理!$AD$3:$AD$98,"")+COUNTIFS(工数管理!$AK$3:$AK$98,K$1,工数管理!$AE$3:$AE$98,"&lt;="&amp;$H243,工数管理!$AF$3:$AF$98,"")+COUNTIFS(工数管理!$AK$3:$AK$98,K$1,工数管理!$AG$3:$AG$98,"&lt;="&amp;$H243,工数管理!$AH$3:$AH$98,""))*($H243&lt;=工数管理!$AI$1))</f>
        <v>0</v>
      </c>
      <c r="L243" s="42">
        <f ca="1">IF(L$1="",0,COUNTIFS(工数管理!$AK$3:$AK$98,L$1,工数管理!$K$3:$K$98,"&lt;="&amp;$H243,工数管理!$L$3:$L$98,"&gt;="&amp;$H243)+COUNTIFS(工数管理!$AK$3:$AK$98,L$1,工数管理!$M$3:$M$98,"&lt;="&amp;$H243,工数管理!$N$3:$N$98,"&gt;="&amp;$H243)+COUNTIFS(工数管理!$AK$3:$AK$98,L$1,工数管理!$O$3:$O$98,"&lt;="&amp;$H243,工数管理!$P$3:$P$98,"&gt;="&amp;$H243)+COUNTIFS(工数管理!$AK$3:$AK$98,L$1,工数管理!$Q$3:$Q$98,"&lt;="&amp;$H243,工数管理!$R$3:$R$98,"&gt;="&amp;$H243)+COUNTIFS(工数管理!$AK$3:$AK$98,L$1,工数管理!$S$3:$S$98,"&lt;="&amp;$H243,工数管理!$T$3:$T$98,"&gt;="&amp;$H243)+COUNTIFS(工数管理!$AK$3:$AK$98,L$1,工数管理!$U$3:$U$98,"&lt;="&amp;$H243,工数管理!$V$3:$V$98,"&gt;="&amp;$H243)+COUNTIFS(工数管理!$AK$3:$AK$98,L$1,工数管理!$W$3:$W$98,"&lt;="&amp;$H243,工数管理!$X$3:$X$98,"&gt;="&amp;$H243)+COUNTIFS(工数管理!$AK$3:$AK$98,L$1,工数管理!$Y$3:$Y$98,"&lt;="&amp;$H243,工数管理!$Z$3:$Z$98,"&gt;="&amp;$H243)+COUNTIFS(工数管理!$AK$3:$AK$98,L$1,工数管理!$AA$3:$AA$98,"&lt;="&amp;$H243,工数管理!$AB$3:$AB$98,"&gt;="&amp;$H243)+COUNTIFS(工数管理!$AK$3:$AK$98,L$1,工数管理!$AC$3:$AC$98,"&lt;="&amp;$H243,工数管理!$AD$3:$AD$98,"&gt;="&amp;$H243)+COUNTIFS(工数管理!$AK$3:$AK$98,L$1,工数管理!$AE$3:$AE$98,"&lt;="&amp;$H243,工数管理!$AF$3:$AF$98,"&gt;="&amp;$H243)+COUNTIFS(工数管理!$AK$3:$AK$98,L$1,工数管理!$AG$3:$AG$98,"&lt;="&amp;$H243,工数管理!$AH$3:$AH$98,"&gt;="&amp;$H243)+(COUNTIFS(工数管理!$AK$3:$AK$98,L$1,工数管理!$K$3:$K$98,"&lt;="&amp;$H243,工数管理!$L$3:$L$98,"")+COUNTIFS(工数管理!$AK$3:$AK$98,L$1,工数管理!$M$3:$M$98,"&lt;="&amp;$H243,工数管理!$N$3:$N$98,"")+COUNTIFS(工数管理!$AK$3:$AK$98,L$1,工数管理!$O$3:$O$98,"&lt;="&amp;$H243,工数管理!$P$3:$P$98,"")+COUNTIFS(工数管理!$AK$3:$AK$98,L$1,工数管理!$Q$3:$Q$98,"&lt;="&amp;$H243,工数管理!$R$3:$R$98,"")+COUNTIFS(工数管理!$AK$3:$AK$98,L$1,工数管理!$S$3:$S$98,"&lt;="&amp;$H243,工数管理!$T$3:$T$98,"")+COUNTIFS(工数管理!$AK$3:$AK$98,L$1,工数管理!$U$3:$U$98,"&lt;="&amp;$H243,工数管理!$V$3:$V$98,"")+COUNTIFS(工数管理!$AK$3:$AK$98,L$1,工数管理!$W$3:$W$98,"&lt;="&amp;$H243,工数管理!$X$3:$X$98,"")+COUNTIFS(工数管理!$AK$3:$AK$98,L$1,工数管理!$Y$3:$Y$98,"&lt;="&amp;$H243,工数管理!$Z$3:$Z$98,"")+COUNTIFS(工数管理!$AK$3:$AK$98,L$1,工数管理!$AA$3:$AA$98,"&lt;="&amp;$H243,工数管理!$AB$3:$AB$98,"")+COUNTIFS(工数管理!$AK$3:$AK$98,L$1,工数管理!$AC$3:$AC$98,"&lt;="&amp;$H243,工数管理!$AD$3:$AD$98,"")+COUNTIFS(工数管理!$AK$3:$AK$98,L$1,工数管理!$AE$3:$AE$98,"&lt;="&amp;$H243,工数管理!$AF$3:$AF$98,"")+COUNTIFS(工数管理!$AK$3:$AK$98,L$1,工数管理!$AG$3:$AG$98,"&lt;="&amp;$H243,工数管理!$AH$3:$AH$98,""))*($H243&lt;=工数管理!$AI$1))</f>
        <v>0</v>
      </c>
    </row>
    <row r="244" spans="8:12" x14ac:dyDescent="0.15">
      <c r="H244" s="41">
        <f t="shared" si="7"/>
        <v>46412</v>
      </c>
      <c r="I244" s="42">
        <f t="shared" si="6"/>
        <v>1</v>
      </c>
      <c r="J244" s="42">
        <f ca="1">IF(J$1="",0,COUNTIFS(工数管理!$AK$3:$AK$98,J$1,工数管理!$K$3:$K$98,"&lt;="&amp;$H244,工数管理!$L$3:$L$98,"&gt;="&amp;$H244)+COUNTIFS(工数管理!$AK$3:$AK$98,J$1,工数管理!$M$3:$M$98,"&lt;="&amp;$H244,工数管理!$N$3:$N$98,"&gt;="&amp;$H244)+COUNTIFS(工数管理!$AK$3:$AK$98,J$1,工数管理!$O$3:$O$98,"&lt;="&amp;$H244,工数管理!$P$3:$P$98,"&gt;="&amp;$H244)+COUNTIFS(工数管理!$AK$3:$AK$98,J$1,工数管理!$Q$3:$Q$98,"&lt;="&amp;$H244,工数管理!$R$3:$R$98,"&gt;="&amp;$H244)+COUNTIFS(工数管理!$AK$3:$AK$98,J$1,工数管理!$S$3:$S$98,"&lt;="&amp;$H244,工数管理!$T$3:$T$98,"&gt;="&amp;$H244)+COUNTIFS(工数管理!$AK$3:$AK$98,J$1,工数管理!$U$3:$U$98,"&lt;="&amp;$H244,工数管理!$V$3:$V$98,"&gt;="&amp;$H244)+COUNTIFS(工数管理!$AK$3:$AK$98,J$1,工数管理!$W$3:$W$98,"&lt;="&amp;$H244,工数管理!$X$3:$X$98,"&gt;="&amp;$H244)+COUNTIFS(工数管理!$AK$3:$AK$98,J$1,工数管理!$Y$3:$Y$98,"&lt;="&amp;$H244,工数管理!$Z$3:$Z$98,"&gt;="&amp;$H244)+COUNTIFS(工数管理!$AK$3:$AK$98,J$1,工数管理!$AA$3:$AA$98,"&lt;="&amp;$H244,工数管理!$AB$3:$AB$98,"&gt;="&amp;$H244)+COUNTIFS(工数管理!$AK$3:$AK$98,J$1,工数管理!$AC$3:$AC$98,"&lt;="&amp;$H244,工数管理!$AD$3:$AD$98,"&gt;="&amp;$H244)+COUNTIFS(工数管理!$AK$3:$AK$98,J$1,工数管理!$AE$3:$AE$98,"&lt;="&amp;$H244,工数管理!$AF$3:$AF$98,"&gt;="&amp;$H244)+COUNTIFS(工数管理!$AK$3:$AK$98,J$1,工数管理!$AG$3:$AG$98,"&lt;="&amp;$H244,工数管理!$AH$3:$AH$98,"&gt;="&amp;$H244)+(COUNTIFS(工数管理!$AK$3:$AK$98,J$1,工数管理!$K$3:$K$98,"&lt;="&amp;$H244,工数管理!$L$3:$L$98,"")+COUNTIFS(工数管理!$AK$3:$AK$98,J$1,工数管理!$M$3:$M$98,"&lt;="&amp;$H244,工数管理!$N$3:$N$98,"")+COUNTIFS(工数管理!$AK$3:$AK$98,J$1,工数管理!$O$3:$O$98,"&lt;="&amp;$H244,工数管理!$P$3:$P$98,"")+COUNTIFS(工数管理!$AK$3:$AK$98,J$1,工数管理!$Q$3:$Q$98,"&lt;="&amp;$H244,工数管理!$R$3:$R$98,"")+COUNTIFS(工数管理!$AK$3:$AK$98,J$1,工数管理!$S$3:$S$98,"&lt;="&amp;$H244,工数管理!$T$3:$T$98,"")+COUNTIFS(工数管理!$AK$3:$AK$98,J$1,工数管理!$U$3:$U$98,"&lt;="&amp;$H244,工数管理!$V$3:$V$98,"")+COUNTIFS(工数管理!$AK$3:$AK$98,J$1,工数管理!$W$3:$W$98,"&lt;="&amp;$H244,工数管理!$X$3:$X$98,"")+COUNTIFS(工数管理!$AK$3:$AK$98,J$1,工数管理!$Y$3:$Y$98,"&lt;="&amp;$H244,工数管理!$Z$3:$Z$98,"")+COUNTIFS(工数管理!$AK$3:$AK$98,J$1,工数管理!$AA$3:$AA$98,"&lt;="&amp;$H244,工数管理!$AB$3:$AB$98,"")+COUNTIFS(工数管理!$AK$3:$AK$98,J$1,工数管理!$AC$3:$AC$98,"&lt;="&amp;$H244,工数管理!$AD$3:$AD$98,"")+COUNTIFS(工数管理!$AK$3:$AK$98,J$1,工数管理!$AE$3:$AE$98,"&lt;="&amp;$H244,工数管理!$AF$3:$AF$98,"")+COUNTIFS(工数管理!$AK$3:$AK$98,J$1,工数管理!$AG$3:$AG$98,"&lt;="&amp;$H244,工数管理!$AH$3:$AH$98,""))*($H244&lt;=工数管理!$AI$1))</f>
        <v>0</v>
      </c>
      <c r="K244" s="42">
        <f ca="1">IF(K$1="",0,COUNTIFS(工数管理!$AK$3:$AK$98,K$1,工数管理!$K$3:$K$98,"&lt;="&amp;$H244,工数管理!$L$3:$L$98,"&gt;="&amp;$H244)+COUNTIFS(工数管理!$AK$3:$AK$98,K$1,工数管理!$M$3:$M$98,"&lt;="&amp;$H244,工数管理!$N$3:$N$98,"&gt;="&amp;$H244)+COUNTIFS(工数管理!$AK$3:$AK$98,K$1,工数管理!$O$3:$O$98,"&lt;="&amp;$H244,工数管理!$P$3:$P$98,"&gt;="&amp;$H244)+COUNTIFS(工数管理!$AK$3:$AK$98,K$1,工数管理!$Q$3:$Q$98,"&lt;="&amp;$H244,工数管理!$R$3:$R$98,"&gt;="&amp;$H244)+COUNTIFS(工数管理!$AK$3:$AK$98,K$1,工数管理!$S$3:$S$98,"&lt;="&amp;$H244,工数管理!$T$3:$T$98,"&gt;="&amp;$H244)+COUNTIFS(工数管理!$AK$3:$AK$98,K$1,工数管理!$U$3:$U$98,"&lt;="&amp;$H244,工数管理!$V$3:$V$98,"&gt;="&amp;$H244)+COUNTIFS(工数管理!$AK$3:$AK$98,K$1,工数管理!$W$3:$W$98,"&lt;="&amp;$H244,工数管理!$X$3:$X$98,"&gt;="&amp;$H244)+COUNTIFS(工数管理!$AK$3:$AK$98,K$1,工数管理!$Y$3:$Y$98,"&lt;="&amp;$H244,工数管理!$Z$3:$Z$98,"&gt;="&amp;$H244)+COUNTIFS(工数管理!$AK$3:$AK$98,K$1,工数管理!$AA$3:$AA$98,"&lt;="&amp;$H244,工数管理!$AB$3:$AB$98,"&gt;="&amp;$H244)+COUNTIFS(工数管理!$AK$3:$AK$98,K$1,工数管理!$AC$3:$AC$98,"&lt;="&amp;$H244,工数管理!$AD$3:$AD$98,"&gt;="&amp;$H244)+COUNTIFS(工数管理!$AK$3:$AK$98,K$1,工数管理!$AE$3:$AE$98,"&lt;="&amp;$H244,工数管理!$AF$3:$AF$98,"&gt;="&amp;$H244)+COUNTIFS(工数管理!$AK$3:$AK$98,K$1,工数管理!$AG$3:$AG$98,"&lt;="&amp;$H244,工数管理!$AH$3:$AH$98,"&gt;="&amp;$H244)+(COUNTIFS(工数管理!$AK$3:$AK$98,K$1,工数管理!$K$3:$K$98,"&lt;="&amp;$H244,工数管理!$L$3:$L$98,"")+COUNTIFS(工数管理!$AK$3:$AK$98,K$1,工数管理!$M$3:$M$98,"&lt;="&amp;$H244,工数管理!$N$3:$N$98,"")+COUNTIFS(工数管理!$AK$3:$AK$98,K$1,工数管理!$O$3:$O$98,"&lt;="&amp;$H244,工数管理!$P$3:$P$98,"")+COUNTIFS(工数管理!$AK$3:$AK$98,K$1,工数管理!$Q$3:$Q$98,"&lt;="&amp;$H244,工数管理!$R$3:$R$98,"")+COUNTIFS(工数管理!$AK$3:$AK$98,K$1,工数管理!$S$3:$S$98,"&lt;="&amp;$H244,工数管理!$T$3:$T$98,"")+COUNTIFS(工数管理!$AK$3:$AK$98,K$1,工数管理!$U$3:$U$98,"&lt;="&amp;$H244,工数管理!$V$3:$V$98,"")+COUNTIFS(工数管理!$AK$3:$AK$98,K$1,工数管理!$W$3:$W$98,"&lt;="&amp;$H244,工数管理!$X$3:$X$98,"")+COUNTIFS(工数管理!$AK$3:$AK$98,K$1,工数管理!$Y$3:$Y$98,"&lt;="&amp;$H244,工数管理!$Z$3:$Z$98,"")+COUNTIFS(工数管理!$AK$3:$AK$98,K$1,工数管理!$AA$3:$AA$98,"&lt;="&amp;$H244,工数管理!$AB$3:$AB$98,"")+COUNTIFS(工数管理!$AK$3:$AK$98,K$1,工数管理!$AC$3:$AC$98,"&lt;="&amp;$H244,工数管理!$AD$3:$AD$98,"")+COUNTIFS(工数管理!$AK$3:$AK$98,K$1,工数管理!$AE$3:$AE$98,"&lt;="&amp;$H244,工数管理!$AF$3:$AF$98,"")+COUNTIFS(工数管理!$AK$3:$AK$98,K$1,工数管理!$AG$3:$AG$98,"&lt;="&amp;$H244,工数管理!$AH$3:$AH$98,""))*($H244&lt;=工数管理!$AI$1))</f>
        <v>0</v>
      </c>
      <c r="L244" s="42">
        <f ca="1">IF(L$1="",0,COUNTIFS(工数管理!$AK$3:$AK$98,L$1,工数管理!$K$3:$K$98,"&lt;="&amp;$H244,工数管理!$L$3:$L$98,"&gt;="&amp;$H244)+COUNTIFS(工数管理!$AK$3:$AK$98,L$1,工数管理!$M$3:$M$98,"&lt;="&amp;$H244,工数管理!$N$3:$N$98,"&gt;="&amp;$H244)+COUNTIFS(工数管理!$AK$3:$AK$98,L$1,工数管理!$O$3:$O$98,"&lt;="&amp;$H244,工数管理!$P$3:$P$98,"&gt;="&amp;$H244)+COUNTIFS(工数管理!$AK$3:$AK$98,L$1,工数管理!$Q$3:$Q$98,"&lt;="&amp;$H244,工数管理!$R$3:$R$98,"&gt;="&amp;$H244)+COUNTIFS(工数管理!$AK$3:$AK$98,L$1,工数管理!$S$3:$S$98,"&lt;="&amp;$H244,工数管理!$T$3:$T$98,"&gt;="&amp;$H244)+COUNTIFS(工数管理!$AK$3:$AK$98,L$1,工数管理!$U$3:$U$98,"&lt;="&amp;$H244,工数管理!$V$3:$V$98,"&gt;="&amp;$H244)+COUNTIFS(工数管理!$AK$3:$AK$98,L$1,工数管理!$W$3:$W$98,"&lt;="&amp;$H244,工数管理!$X$3:$X$98,"&gt;="&amp;$H244)+COUNTIFS(工数管理!$AK$3:$AK$98,L$1,工数管理!$Y$3:$Y$98,"&lt;="&amp;$H244,工数管理!$Z$3:$Z$98,"&gt;="&amp;$H244)+COUNTIFS(工数管理!$AK$3:$AK$98,L$1,工数管理!$AA$3:$AA$98,"&lt;="&amp;$H244,工数管理!$AB$3:$AB$98,"&gt;="&amp;$H244)+COUNTIFS(工数管理!$AK$3:$AK$98,L$1,工数管理!$AC$3:$AC$98,"&lt;="&amp;$H244,工数管理!$AD$3:$AD$98,"&gt;="&amp;$H244)+COUNTIFS(工数管理!$AK$3:$AK$98,L$1,工数管理!$AE$3:$AE$98,"&lt;="&amp;$H244,工数管理!$AF$3:$AF$98,"&gt;="&amp;$H244)+COUNTIFS(工数管理!$AK$3:$AK$98,L$1,工数管理!$AG$3:$AG$98,"&lt;="&amp;$H244,工数管理!$AH$3:$AH$98,"&gt;="&amp;$H244)+(COUNTIFS(工数管理!$AK$3:$AK$98,L$1,工数管理!$K$3:$K$98,"&lt;="&amp;$H244,工数管理!$L$3:$L$98,"")+COUNTIFS(工数管理!$AK$3:$AK$98,L$1,工数管理!$M$3:$M$98,"&lt;="&amp;$H244,工数管理!$N$3:$N$98,"")+COUNTIFS(工数管理!$AK$3:$AK$98,L$1,工数管理!$O$3:$O$98,"&lt;="&amp;$H244,工数管理!$P$3:$P$98,"")+COUNTIFS(工数管理!$AK$3:$AK$98,L$1,工数管理!$Q$3:$Q$98,"&lt;="&amp;$H244,工数管理!$R$3:$R$98,"")+COUNTIFS(工数管理!$AK$3:$AK$98,L$1,工数管理!$S$3:$S$98,"&lt;="&amp;$H244,工数管理!$T$3:$T$98,"")+COUNTIFS(工数管理!$AK$3:$AK$98,L$1,工数管理!$U$3:$U$98,"&lt;="&amp;$H244,工数管理!$V$3:$V$98,"")+COUNTIFS(工数管理!$AK$3:$AK$98,L$1,工数管理!$W$3:$W$98,"&lt;="&amp;$H244,工数管理!$X$3:$X$98,"")+COUNTIFS(工数管理!$AK$3:$AK$98,L$1,工数管理!$Y$3:$Y$98,"&lt;="&amp;$H244,工数管理!$Z$3:$Z$98,"")+COUNTIFS(工数管理!$AK$3:$AK$98,L$1,工数管理!$AA$3:$AA$98,"&lt;="&amp;$H244,工数管理!$AB$3:$AB$98,"")+COUNTIFS(工数管理!$AK$3:$AK$98,L$1,工数管理!$AC$3:$AC$98,"&lt;="&amp;$H244,工数管理!$AD$3:$AD$98,"")+COUNTIFS(工数管理!$AK$3:$AK$98,L$1,工数管理!$AE$3:$AE$98,"&lt;="&amp;$H244,工数管理!$AF$3:$AF$98,"")+COUNTIFS(工数管理!$AK$3:$AK$98,L$1,工数管理!$AG$3:$AG$98,"&lt;="&amp;$H244,工数管理!$AH$3:$AH$98,""))*($H244&lt;=工数管理!$AI$1))</f>
        <v>0</v>
      </c>
    </row>
    <row r="245" spans="8:12" x14ac:dyDescent="0.15">
      <c r="H245" s="41">
        <f t="shared" si="7"/>
        <v>46413</v>
      </c>
      <c r="I245" s="42">
        <f t="shared" si="6"/>
        <v>1</v>
      </c>
      <c r="J245" s="42">
        <f ca="1">IF(J$1="",0,COUNTIFS(工数管理!$AK$3:$AK$98,J$1,工数管理!$K$3:$K$98,"&lt;="&amp;$H245,工数管理!$L$3:$L$98,"&gt;="&amp;$H245)+COUNTIFS(工数管理!$AK$3:$AK$98,J$1,工数管理!$M$3:$M$98,"&lt;="&amp;$H245,工数管理!$N$3:$N$98,"&gt;="&amp;$H245)+COUNTIFS(工数管理!$AK$3:$AK$98,J$1,工数管理!$O$3:$O$98,"&lt;="&amp;$H245,工数管理!$P$3:$P$98,"&gt;="&amp;$H245)+COUNTIFS(工数管理!$AK$3:$AK$98,J$1,工数管理!$Q$3:$Q$98,"&lt;="&amp;$H245,工数管理!$R$3:$R$98,"&gt;="&amp;$H245)+COUNTIFS(工数管理!$AK$3:$AK$98,J$1,工数管理!$S$3:$S$98,"&lt;="&amp;$H245,工数管理!$T$3:$T$98,"&gt;="&amp;$H245)+COUNTIFS(工数管理!$AK$3:$AK$98,J$1,工数管理!$U$3:$U$98,"&lt;="&amp;$H245,工数管理!$V$3:$V$98,"&gt;="&amp;$H245)+COUNTIFS(工数管理!$AK$3:$AK$98,J$1,工数管理!$W$3:$W$98,"&lt;="&amp;$H245,工数管理!$X$3:$X$98,"&gt;="&amp;$H245)+COUNTIFS(工数管理!$AK$3:$AK$98,J$1,工数管理!$Y$3:$Y$98,"&lt;="&amp;$H245,工数管理!$Z$3:$Z$98,"&gt;="&amp;$H245)+COUNTIFS(工数管理!$AK$3:$AK$98,J$1,工数管理!$AA$3:$AA$98,"&lt;="&amp;$H245,工数管理!$AB$3:$AB$98,"&gt;="&amp;$H245)+COUNTIFS(工数管理!$AK$3:$AK$98,J$1,工数管理!$AC$3:$AC$98,"&lt;="&amp;$H245,工数管理!$AD$3:$AD$98,"&gt;="&amp;$H245)+COUNTIFS(工数管理!$AK$3:$AK$98,J$1,工数管理!$AE$3:$AE$98,"&lt;="&amp;$H245,工数管理!$AF$3:$AF$98,"&gt;="&amp;$H245)+COUNTIFS(工数管理!$AK$3:$AK$98,J$1,工数管理!$AG$3:$AG$98,"&lt;="&amp;$H245,工数管理!$AH$3:$AH$98,"&gt;="&amp;$H245)+(COUNTIFS(工数管理!$AK$3:$AK$98,J$1,工数管理!$K$3:$K$98,"&lt;="&amp;$H245,工数管理!$L$3:$L$98,"")+COUNTIFS(工数管理!$AK$3:$AK$98,J$1,工数管理!$M$3:$M$98,"&lt;="&amp;$H245,工数管理!$N$3:$N$98,"")+COUNTIFS(工数管理!$AK$3:$AK$98,J$1,工数管理!$O$3:$O$98,"&lt;="&amp;$H245,工数管理!$P$3:$P$98,"")+COUNTIFS(工数管理!$AK$3:$AK$98,J$1,工数管理!$Q$3:$Q$98,"&lt;="&amp;$H245,工数管理!$R$3:$R$98,"")+COUNTIFS(工数管理!$AK$3:$AK$98,J$1,工数管理!$S$3:$S$98,"&lt;="&amp;$H245,工数管理!$T$3:$T$98,"")+COUNTIFS(工数管理!$AK$3:$AK$98,J$1,工数管理!$U$3:$U$98,"&lt;="&amp;$H245,工数管理!$V$3:$V$98,"")+COUNTIFS(工数管理!$AK$3:$AK$98,J$1,工数管理!$W$3:$W$98,"&lt;="&amp;$H245,工数管理!$X$3:$X$98,"")+COUNTIFS(工数管理!$AK$3:$AK$98,J$1,工数管理!$Y$3:$Y$98,"&lt;="&amp;$H245,工数管理!$Z$3:$Z$98,"")+COUNTIFS(工数管理!$AK$3:$AK$98,J$1,工数管理!$AA$3:$AA$98,"&lt;="&amp;$H245,工数管理!$AB$3:$AB$98,"")+COUNTIFS(工数管理!$AK$3:$AK$98,J$1,工数管理!$AC$3:$AC$98,"&lt;="&amp;$H245,工数管理!$AD$3:$AD$98,"")+COUNTIFS(工数管理!$AK$3:$AK$98,J$1,工数管理!$AE$3:$AE$98,"&lt;="&amp;$H245,工数管理!$AF$3:$AF$98,"")+COUNTIFS(工数管理!$AK$3:$AK$98,J$1,工数管理!$AG$3:$AG$98,"&lt;="&amp;$H245,工数管理!$AH$3:$AH$98,""))*($H245&lt;=工数管理!$AI$1))</f>
        <v>0</v>
      </c>
      <c r="K245" s="42">
        <f ca="1">IF(K$1="",0,COUNTIFS(工数管理!$AK$3:$AK$98,K$1,工数管理!$K$3:$K$98,"&lt;="&amp;$H245,工数管理!$L$3:$L$98,"&gt;="&amp;$H245)+COUNTIFS(工数管理!$AK$3:$AK$98,K$1,工数管理!$M$3:$M$98,"&lt;="&amp;$H245,工数管理!$N$3:$N$98,"&gt;="&amp;$H245)+COUNTIFS(工数管理!$AK$3:$AK$98,K$1,工数管理!$O$3:$O$98,"&lt;="&amp;$H245,工数管理!$P$3:$P$98,"&gt;="&amp;$H245)+COUNTIFS(工数管理!$AK$3:$AK$98,K$1,工数管理!$Q$3:$Q$98,"&lt;="&amp;$H245,工数管理!$R$3:$R$98,"&gt;="&amp;$H245)+COUNTIFS(工数管理!$AK$3:$AK$98,K$1,工数管理!$S$3:$S$98,"&lt;="&amp;$H245,工数管理!$T$3:$T$98,"&gt;="&amp;$H245)+COUNTIFS(工数管理!$AK$3:$AK$98,K$1,工数管理!$U$3:$U$98,"&lt;="&amp;$H245,工数管理!$V$3:$V$98,"&gt;="&amp;$H245)+COUNTIFS(工数管理!$AK$3:$AK$98,K$1,工数管理!$W$3:$W$98,"&lt;="&amp;$H245,工数管理!$X$3:$X$98,"&gt;="&amp;$H245)+COUNTIFS(工数管理!$AK$3:$AK$98,K$1,工数管理!$Y$3:$Y$98,"&lt;="&amp;$H245,工数管理!$Z$3:$Z$98,"&gt;="&amp;$H245)+COUNTIFS(工数管理!$AK$3:$AK$98,K$1,工数管理!$AA$3:$AA$98,"&lt;="&amp;$H245,工数管理!$AB$3:$AB$98,"&gt;="&amp;$H245)+COUNTIFS(工数管理!$AK$3:$AK$98,K$1,工数管理!$AC$3:$AC$98,"&lt;="&amp;$H245,工数管理!$AD$3:$AD$98,"&gt;="&amp;$H245)+COUNTIFS(工数管理!$AK$3:$AK$98,K$1,工数管理!$AE$3:$AE$98,"&lt;="&amp;$H245,工数管理!$AF$3:$AF$98,"&gt;="&amp;$H245)+COUNTIFS(工数管理!$AK$3:$AK$98,K$1,工数管理!$AG$3:$AG$98,"&lt;="&amp;$H245,工数管理!$AH$3:$AH$98,"&gt;="&amp;$H245)+(COUNTIFS(工数管理!$AK$3:$AK$98,K$1,工数管理!$K$3:$K$98,"&lt;="&amp;$H245,工数管理!$L$3:$L$98,"")+COUNTIFS(工数管理!$AK$3:$AK$98,K$1,工数管理!$M$3:$M$98,"&lt;="&amp;$H245,工数管理!$N$3:$N$98,"")+COUNTIFS(工数管理!$AK$3:$AK$98,K$1,工数管理!$O$3:$O$98,"&lt;="&amp;$H245,工数管理!$P$3:$P$98,"")+COUNTIFS(工数管理!$AK$3:$AK$98,K$1,工数管理!$Q$3:$Q$98,"&lt;="&amp;$H245,工数管理!$R$3:$R$98,"")+COUNTIFS(工数管理!$AK$3:$AK$98,K$1,工数管理!$S$3:$S$98,"&lt;="&amp;$H245,工数管理!$T$3:$T$98,"")+COUNTIFS(工数管理!$AK$3:$AK$98,K$1,工数管理!$U$3:$U$98,"&lt;="&amp;$H245,工数管理!$V$3:$V$98,"")+COUNTIFS(工数管理!$AK$3:$AK$98,K$1,工数管理!$W$3:$W$98,"&lt;="&amp;$H245,工数管理!$X$3:$X$98,"")+COUNTIFS(工数管理!$AK$3:$AK$98,K$1,工数管理!$Y$3:$Y$98,"&lt;="&amp;$H245,工数管理!$Z$3:$Z$98,"")+COUNTIFS(工数管理!$AK$3:$AK$98,K$1,工数管理!$AA$3:$AA$98,"&lt;="&amp;$H245,工数管理!$AB$3:$AB$98,"")+COUNTIFS(工数管理!$AK$3:$AK$98,K$1,工数管理!$AC$3:$AC$98,"&lt;="&amp;$H245,工数管理!$AD$3:$AD$98,"")+COUNTIFS(工数管理!$AK$3:$AK$98,K$1,工数管理!$AE$3:$AE$98,"&lt;="&amp;$H245,工数管理!$AF$3:$AF$98,"")+COUNTIFS(工数管理!$AK$3:$AK$98,K$1,工数管理!$AG$3:$AG$98,"&lt;="&amp;$H245,工数管理!$AH$3:$AH$98,""))*($H245&lt;=工数管理!$AI$1))</f>
        <v>0</v>
      </c>
      <c r="L245" s="42">
        <f ca="1">IF(L$1="",0,COUNTIFS(工数管理!$AK$3:$AK$98,L$1,工数管理!$K$3:$K$98,"&lt;="&amp;$H245,工数管理!$L$3:$L$98,"&gt;="&amp;$H245)+COUNTIFS(工数管理!$AK$3:$AK$98,L$1,工数管理!$M$3:$M$98,"&lt;="&amp;$H245,工数管理!$N$3:$N$98,"&gt;="&amp;$H245)+COUNTIFS(工数管理!$AK$3:$AK$98,L$1,工数管理!$O$3:$O$98,"&lt;="&amp;$H245,工数管理!$P$3:$P$98,"&gt;="&amp;$H245)+COUNTIFS(工数管理!$AK$3:$AK$98,L$1,工数管理!$Q$3:$Q$98,"&lt;="&amp;$H245,工数管理!$R$3:$R$98,"&gt;="&amp;$H245)+COUNTIFS(工数管理!$AK$3:$AK$98,L$1,工数管理!$S$3:$S$98,"&lt;="&amp;$H245,工数管理!$T$3:$T$98,"&gt;="&amp;$H245)+COUNTIFS(工数管理!$AK$3:$AK$98,L$1,工数管理!$U$3:$U$98,"&lt;="&amp;$H245,工数管理!$V$3:$V$98,"&gt;="&amp;$H245)+COUNTIFS(工数管理!$AK$3:$AK$98,L$1,工数管理!$W$3:$W$98,"&lt;="&amp;$H245,工数管理!$X$3:$X$98,"&gt;="&amp;$H245)+COUNTIFS(工数管理!$AK$3:$AK$98,L$1,工数管理!$Y$3:$Y$98,"&lt;="&amp;$H245,工数管理!$Z$3:$Z$98,"&gt;="&amp;$H245)+COUNTIFS(工数管理!$AK$3:$AK$98,L$1,工数管理!$AA$3:$AA$98,"&lt;="&amp;$H245,工数管理!$AB$3:$AB$98,"&gt;="&amp;$H245)+COUNTIFS(工数管理!$AK$3:$AK$98,L$1,工数管理!$AC$3:$AC$98,"&lt;="&amp;$H245,工数管理!$AD$3:$AD$98,"&gt;="&amp;$H245)+COUNTIFS(工数管理!$AK$3:$AK$98,L$1,工数管理!$AE$3:$AE$98,"&lt;="&amp;$H245,工数管理!$AF$3:$AF$98,"&gt;="&amp;$H245)+COUNTIFS(工数管理!$AK$3:$AK$98,L$1,工数管理!$AG$3:$AG$98,"&lt;="&amp;$H245,工数管理!$AH$3:$AH$98,"&gt;="&amp;$H245)+(COUNTIFS(工数管理!$AK$3:$AK$98,L$1,工数管理!$K$3:$K$98,"&lt;="&amp;$H245,工数管理!$L$3:$L$98,"")+COUNTIFS(工数管理!$AK$3:$AK$98,L$1,工数管理!$M$3:$M$98,"&lt;="&amp;$H245,工数管理!$N$3:$N$98,"")+COUNTIFS(工数管理!$AK$3:$AK$98,L$1,工数管理!$O$3:$O$98,"&lt;="&amp;$H245,工数管理!$P$3:$P$98,"")+COUNTIFS(工数管理!$AK$3:$AK$98,L$1,工数管理!$Q$3:$Q$98,"&lt;="&amp;$H245,工数管理!$R$3:$R$98,"")+COUNTIFS(工数管理!$AK$3:$AK$98,L$1,工数管理!$S$3:$S$98,"&lt;="&amp;$H245,工数管理!$T$3:$T$98,"")+COUNTIFS(工数管理!$AK$3:$AK$98,L$1,工数管理!$U$3:$U$98,"&lt;="&amp;$H245,工数管理!$V$3:$V$98,"")+COUNTIFS(工数管理!$AK$3:$AK$98,L$1,工数管理!$W$3:$W$98,"&lt;="&amp;$H245,工数管理!$X$3:$X$98,"")+COUNTIFS(工数管理!$AK$3:$AK$98,L$1,工数管理!$Y$3:$Y$98,"&lt;="&amp;$H245,工数管理!$Z$3:$Z$98,"")+COUNTIFS(工数管理!$AK$3:$AK$98,L$1,工数管理!$AA$3:$AA$98,"&lt;="&amp;$H245,工数管理!$AB$3:$AB$98,"")+COUNTIFS(工数管理!$AK$3:$AK$98,L$1,工数管理!$AC$3:$AC$98,"&lt;="&amp;$H245,工数管理!$AD$3:$AD$98,"")+COUNTIFS(工数管理!$AK$3:$AK$98,L$1,工数管理!$AE$3:$AE$98,"&lt;="&amp;$H245,工数管理!$AF$3:$AF$98,"")+COUNTIFS(工数管理!$AK$3:$AK$98,L$1,工数管理!$AG$3:$AG$98,"&lt;="&amp;$H245,工数管理!$AH$3:$AH$98,""))*($H245&lt;=工数管理!$AI$1))</f>
        <v>0</v>
      </c>
    </row>
    <row r="246" spans="8:12" x14ac:dyDescent="0.15">
      <c r="H246" s="41">
        <f t="shared" si="7"/>
        <v>46414</v>
      </c>
      <c r="I246" s="42">
        <f t="shared" si="6"/>
        <v>1</v>
      </c>
      <c r="J246" s="42">
        <f ca="1">IF(J$1="",0,COUNTIFS(工数管理!$AK$3:$AK$98,J$1,工数管理!$K$3:$K$98,"&lt;="&amp;$H246,工数管理!$L$3:$L$98,"&gt;="&amp;$H246)+COUNTIFS(工数管理!$AK$3:$AK$98,J$1,工数管理!$M$3:$M$98,"&lt;="&amp;$H246,工数管理!$N$3:$N$98,"&gt;="&amp;$H246)+COUNTIFS(工数管理!$AK$3:$AK$98,J$1,工数管理!$O$3:$O$98,"&lt;="&amp;$H246,工数管理!$P$3:$P$98,"&gt;="&amp;$H246)+COUNTIFS(工数管理!$AK$3:$AK$98,J$1,工数管理!$Q$3:$Q$98,"&lt;="&amp;$H246,工数管理!$R$3:$R$98,"&gt;="&amp;$H246)+COUNTIFS(工数管理!$AK$3:$AK$98,J$1,工数管理!$S$3:$S$98,"&lt;="&amp;$H246,工数管理!$T$3:$T$98,"&gt;="&amp;$H246)+COUNTIFS(工数管理!$AK$3:$AK$98,J$1,工数管理!$U$3:$U$98,"&lt;="&amp;$H246,工数管理!$V$3:$V$98,"&gt;="&amp;$H246)+COUNTIFS(工数管理!$AK$3:$AK$98,J$1,工数管理!$W$3:$W$98,"&lt;="&amp;$H246,工数管理!$X$3:$X$98,"&gt;="&amp;$H246)+COUNTIFS(工数管理!$AK$3:$AK$98,J$1,工数管理!$Y$3:$Y$98,"&lt;="&amp;$H246,工数管理!$Z$3:$Z$98,"&gt;="&amp;$H246)+COUNTIFS(工数管理!$AK$3:$AK$98,J$1,工数管理!$AA$3:$AA$98,"&lt;="&amp;$H246,工数管理!$AB$3:$AB$98,"&gt;="&amp;$H246)+COUNTIFS(工数管理!$AK$3:$AK$98,J$1,工数管理!$AC$3:$AC$98,"&lt;="&amp;$H246,工数管理!$AD$3:$AD$98,"&gt;="&amp;$H246)+COUNTIFS(工数管理!$AK$3:$AK$98,J$1,工数管理!$AE$3:$AE$98,"&lt;="&amp;$H246,工数管理!$AF$3:$AF$98,"&gt;="&amp;$H246)+COUNTIFS(工数管理!$AK$3:$AK$98,J$1,工数管理!$AG$3:$AG$98,"&lt;="&amp;$H246,工数管理!$AH$3:$AH$98,"&gt;="&amp;$H246)+(COUNTIFS(工数管理!$AK$3:$AK$98,J$1,工数管理!$K$3:$K$98,"&lt;="&amp;$H246,工数管理!$L$3:$L$98,"")+COUNTIFS(工数管理!$AK$3:$AK$98,J$1,工数管理!$M$3:$M$98,"&lt;="&amp;$H246,工数管理!$N$3:$N$98,"")+COUNTIFS(工数管理!$AK$3:$AK$98,J$1,工数管理!$O$3:$O$98,"&lt;="&amp;$H246,工数管理!$P$3:$P$98,"")+COUNTIFS(工数管理!$AK$3:$AK$98,J$1,工数管理!$Q$3:$Q$98,"&lt;="&amp;$H246,工数管理!$R$3:$R$98,"")+COUNTIFS(工数管理!$AK$3:$AK$98,J$1,工数管理!$S$3:$S$98,"&lt;="&amp;$H246,工数管理!$T$3:$T$98,"")+COUNTIFS(工数管理!$AK$3:$AK$98,J$1,工数管理!$U$3:$U$98,"&lt;="&amp;$H246,工数管理!$V$3:$V$98,"")+COUNTIFS(工数管理!$AK$3:$AK$98,J$1,工数管理!$W$3:$W$98,"&lt;="&amp;$H246,工数管理!$X$3:$X$98,"")+COUNTIFS(工数管理!$AK$3:$AK$98,J$1,工数管理!$Y$3:$Y$98,"&lt;="&amp;$H246,工数管理!$Z$3:$Z$98,"")+COUNTIFS(工数管理!$AK$3:$AK$98,J$1,工数管理!$AA$3:$AA$98,"&lt;="&amp;$H246,工数管理!$AB$3:$AB$98,"")+COUNTIFS(工数管理!$AK$3:$AK$98,J$1,工数管理!$AC$3:$AC$98,"&lt;="&amp;$H246,工数管理!$AD$3:$AD$98,"")+COUNTIFS(工数管理!$AK$3:$AK$98,J$1,工数管理!$AE$3:$AE$98,"&lt;="&amp;$H246,工数管理!$AF$3:$AF$98,"")+COUNTIFS(工数管理!$AK$3:$AK$98,J$1,工数管理!$AG$3:$AG$98,"&lt;="&amp;$H246,工数管理!$AH$3:$AH$98,""))*($H246&lt;=工数管理!$AI$1))</f>
        <v>0</v>
      </c>
      <c r="K246" s="42">
        <f ca="1">IF(K$1="",0,COUNTIFS(工数管理!$AK$3:$AK$98,K$1,工数管理!$K$3:$K$98,"&lt;="&amp;$H246,工数管理!$L$3:$L$98,"&gt;="&amp;$H246)+COUNTIFS(工数管理!$AK$3:$AK$98,K$1,工数管理!$M$3:$M$98,"&lt;="&amp;$H246,工数管理!$N$3:$N$98,"&gt;="&amp;$H246)+COUNTIFS(工数管理!$AK$3:$AK$98,K$1,工数管理!$O$3:$O$98,"&lt;="&amp;$H246,工数管理!$P$3:$P$98,"&gt;="&amp;$H246)+COUNTIFS(工数管理!$AK$3:$AK$98,K$1,工数管理!$Q$3:$Q$98,"&lt;="&amp;$H246,工数管理!$R$3:$R$98,"&gt;="&amp;$H246)+COUNTIFS(工数管理!$AK$3:$AK$98,K$1,工数管理!$S$3:$S$98,"&lt;="&amp;$H246,工数管理!$T$3:$T$98,"&gt;="&amp;$H246)+COUNTIFS(工数管理!$AK$3:$AK$98,K$1,工数管理!$U$3:$U$98,"&lt;="&amp;$H246,工数管理!$V$3:$V$98,"&gt;="&amp;$H246)+COUNTIFS(工数管理!$AK$3:$AK$98,K$1,工数管理!$W$3:$W$98,"&lt;="&amp;$H246,工数管理!$X$3:$X$98,"&gt;="&amp;$H246)+COUNTIFS(工数管理!$AK$3:$AK$98,K$1,工数管理!$Y$3:$Y$98,"&lt;="&amp;$H246,工数管理!$Z$3:$Z$98,"&gt;="&amp;$H246)+COUNTIFS(工数管理!$AK$3:$AK$98,K$1,工数管理!$AA$3:$AA$98,"&lt;="&amp;$H246,工数管理!$AB$3:$AB$98,"&gt;="&amp;$H246)+COUNTIFS(工数管理!$AK$3:$AK$98,K$1,工数管理!$AC$3:$AC$98,"&lt;="&amp;$H246,工数管理!$AD$3:$AD$98,"&gt;="&amp;$H246)+COUNTIFS(工数管理!$AK$3:$AK$98,K$1,工数管理!$AE$3:$AE$98,"&lt;="&amp;$H246,工数管理!$AF$3:$AF$98,"&gt;="&amp;$H246)+COUNTIFS(工数管理!$AK$3:$AK$98,K$1,工数管理!$AG$3:$AG$98,"&lt;="&amp;$H246,工数管理!$AH$3:$AH$98,"&gt;="&amp;$H246)+(COUNTIFS(工数管理!$AK$3:$AK$98,K$1,工数管理!$K$3:$K$98,"&lt;="&amp;$H246,工数管理!$L$3:$L$98,"")+COUNTIFS(工数管理!$AK$3:$AK$98,K$1,工数管理!$M$3:$M$98,"&lt;="&amp;$H246,工数管理!$N$3:$N$98,"")+COUNTIFS(工数管理!$AK$3:$AK$98,K$1,工数管理!$O$3:$O$98,"&lt;="&amp;$H246,工数管理!$P$3:$P$98,"")+COUNTIFS(工数管理!$AK$3:$AK$98,K$1,工数管理!$Q$3:$Q$98,"&lt;="&amp;$H246,工数管理!$R$3:$R$98,"")+COUNTIFS(工数管理!$AK$3:$AK$98,K$1,工数管理!$S$3:$S$98,"&lt;="&amp;$H246,工数管理!$T$3:$T$98,"")+COUNTIFS(工数管理!$AK$3:$AK$98,K$1,工数管理!$U$3:$U$98,"&lt;="&amp;$H246,工数管理!$V$3:$V$98,"")+COUNTIFS(工数管理!$AK$3:$AK$98,K$1,工数管理!$W$3:$W$98,"&lt;="&amp;$H246,工数管理!$X$3:$X$98,"")+COUNTIFS(工数管理!$AK$3:$AK$98,K$1,工数管理!$Y$3:$Y$98,"&lt;="&amp;$H246,工数管理!$Z$3:$Z$98,"")+COUNTIFS(工数管理!$AK$3:$AK$98,K$1,工数管理!$AA$3:$AA$98,"&lt;="&amp;$H246,工数管理!$AB$3:$AB$98,"")+COUNTIFS(工数管理!$AK$3:$AK$98,K$1,工数管理!$AC$3:$AC$98,"&lt;="&amp;$H246,工数管理!$AD$3:$AD$98,"")+COUNTIFS(工数管理!$AK$3:$AK$98,K$1,工数管理!$AE$3:$AE$98,"&lt;="&amp;$H246,工数管理!$AF$3:$AF$98,"")+COUNTIFS(工数管理!$AK$3:$AK$98,K$1,工数管理!$AG$3:$AG$98,"&lt;="&amp;$H246,工数管理!$AH$3:$AH$98,""))*($H246&lt;=工数管理!$AI$1))</f>
        <v>0</v>
      </c>
      <c r="L246" s="42">
        <f ca="1">IF(L$1="",0,COUNTIFS(工数管理!$AK$3:$AK$98,L$1,工数管理!$K$3:$K$98,"&lt;="&amp;$H246,工数管理!$L$3:$L$98,"&gt;="&amp;$H246)+COUNTIFS(工数管理!$AK$3:$AK$98,L$1,工数管理!$M$3:$M$98,"&lt;="&amp;$H246,工数管理!$N$3:$N$98,"&gt;="&amp;$H246)+COUNTIFS(工数管理!$AK$3:$AK$98,L$1,工数管理!$O$3:$O$98,"&lt;="&amp;$H246,工数管理!$P$3:$P$98,"&gt;="&amp;$H246)+COUNTIFS(工数管理!$AK$3:$AK$98,L$1,工数管理!$Q$3:$Q$98,"&lt;="&amp;$H246,工数管理!$R$3:$R$98,"&gt;="&amp;$H246)+COUNTIFS(工数管理!$AK$3:$AK$98,L$1,工数管理!$S$3:$S$98,"&lt;="&amp;$H246,工数管理!$T$3:$T$98,"&gt;="&amp;$H246)+COUNTIFS(工数管理!$AK$3:$AK$98,L$1,工数管理!$U$3:$U$98,"&lt;="&amp;$H246,工数管理!$V$3:$V$98,"&gt;="&amp;$H246)+COUNTIFS(工数管理!$AK$3:$AK$98,L$1,工数管理!$W$3:$W$98,"&lt;="&amp;$H246,工数管理!$X$3:$X$98,"&gt;="&amp;$H246)+COUNTIFS(工数管理!$AK$3:$AK$98,L$1,工数管理!$Y$3:$Y$98,"&lt;="&amp;$H246,工数管理!$Z$3:$Z$98,"&gt;="&amp;$H246)+COUNTIFS(工数管理!$AK$3:$AK$98,L$1,工数管理!$AA$3:$AA$98,"&lt;="&amp;$H246,工数管理!$AB$3:$AB$98,"&gt;="&amp;$H246)+COUNTIFS(工数管理!$AK$3:$AK$98,L$1,工数管理!$AC$3:$AC$98,"&lt;="&amp;$H246,工数管理!$AD$3:$AD$98,"&gt;="&amp;$H246)+COUNTIFS(工数管理!$AK$3:$AK$98,L$1,工数管理!$AE$3:$AE$98,"&lt;="&amp;$H246,工数管理!$AF$3:$AF$98,"&gt;="&amp;$H246)+COUNTIFS(工数管理!$AK$3:$AK$98,L$1,工数管理!$AG$3:$AG$98,"&lt;="&amp;$H246,工数管理!$AH$3:$AH$98,"&gt;="&amp;$H246)+(COUNTIFS(工数管理!$AK$3:$AK$98,L$1,工数管理!$K$3:$K$98,"&lt;="&amp;$H246,工数管理!$L$3:$L$98,"")+COUNTIFS(工数管理!$AK$3:$AK$98,L$1,工数管理!$M$3:$M$98,"&lt;="&amp;$H246,工数管理!$N$3:$N$98,"")+COUNTIFS(工数管理!$AK$3:$AK$98,L$1,工数管理!$O$3:$O$98,"&lt;="&amp;$H246,工数管理!$P$3:$P$98,"")+COUNTIFS(工数管理!$AK$3:$AK$98,L$1,工数管理!$Q$3:$Q$98,"&lt;="&amp;$H246,工数管理!$R$3:$R$98,"")+COUNTIFS(工数管理!$AK$3:$AK$98,L$1,工数管理!$S$3:$S$98,"&lt;="&amp;$H246,工数管理!$T$3:$T$98,"")+COUNTIFS(工数管理!$AK$3:$AK$98,L$1,工数管理!$U$3:$U$98,"&lt;="&amp;$H246,工数管理!$V$3:$V$98,"")+COUNTIFS(工数管理!$AK$3:$AK$98,L$1,工数管理!$W$3:$W$98,"&lt;="&amp;$H246,工数管理!$X$3:$X$98,"")+COUNTIFS(工数管理!$AK$3:$AK$98,L$1,工数管理!$Y$3:$Y$98,"&lt;="&amp;$H246,工数管理!$Z$3:$Z$98,"")+COUNTIFS(工数管理!$AK$3:$AK$98,L$1,工数管理!$AA$3:$AA$98,"&lt;="&amp;$H246,工数管理!$AB$3:$AB$98,"")+COUNTIFS(工数管理!$AK$3:$AK$98,L$1,工数管理!$AC$3:$AC$98,"&lt;="&amp;$H246,工数管理!$AD$3:$AD$98,"")+COUNTIFS(工数管理!$AK$3:$AK$98,L$1,工数管理!$AE$3:$AE$98,"&lt;="&amp;$H246,工数管理!$AF$3:$AF$98,"")+COUNTIFS(工数管理!$AK$3:$AK$98,L$1,工数管理!$AG$3:$AG$98,"&lt;="&amp;$H246,工数管理!$AH$3:$AH$98,""))*($H246&lt;=工数管理!$AI$1))</f>
        <v>0</v>
      </c>
    </row>
    <row r="247" spans="8:12" x14ac:dyDescent="0.15">
      <c r="H247" s="41">
        <f t="shared" si="7"/>
        <v>46415</v>
      </c>
      <c r="I247" s="42">
        <f t="shared" si="6"/>
        <v>1</v>
      </c>
      <c r="J247" s="42">
        <f ca="1">IF(J$1="",0,COUNTIFS(工数管理!$AK$3:$AK$98,J$1,工数管理!$K$3:$K$98,"&lt;="&amp;$H247,工数管理!$L$3:$L$98,"&gt;="&amp;$H247)+COUNTIFS(工数管理!$AK$3:$AK$98,J$1,工数管理!$M$3:$M$98,"&lt;="&amp;$H247,工数管理!$N$3:$N$98,"&gt;="&amp;$H247)+COUNTIFS(工数管理!$AK$3:$AK$98,J$1,工数管理!$O$3:$O$98,"&lt;="&amp;$H247,工数管理!$P$3:$P$98,"&gt;="&amp;$H247)+COUNTIFS(工数管理!$AK$3:$AK$98,J$1,工数管理!$Q$3:$Q$98,"&lt;="&amp;$H247,工数管理!$R$3:$R$98,"&gt;="&amp;$H247)+COUNTIFS(工数管理!$AK$3:$AK$98,J$1,工数管理!$S$3:$S$98,"&lt;="&amp;$H247,工数管理!$T$3:$T$98,"&gt;="&amp;$H247)+COUNTIFS(工数管理!$AK$3:$AK$98,J$1,工数管理!$U$3:$U$98,"&lt;="&amp;$H247,工数管理!$V$3:$V$98,"&gt;="&amp;$H247)+COUNTIFS(工数管理!$AK$3:$AK$98,J$1,工数管理!$W$3:$W$98,"&lt;="&amp;$H247,工数管理!$X$3:$X$98,"&gt;="&amp;$H247)+COUNTIFS(工数管理!$AK$3:$AK$98,J$1,工数管理!$Y$3:$Y$98,"&lt;="&amp;$H247,工数管理!$Z$3:$Z$98,"&gt;="&amp;$H247)+COUNTIFS(工数管理!$AK$3:$AK$98,J$1,工数管理!$AA$3:$AA$98,"&lt;="&amp;$H247,工数管理!$AB$3:$AB$98,"&gt;="&amp;$H247)+COUNTIFS(工数管理!$AK$3:$AK$98,J$1,工数管理!$AC$3:$AC$98,"&lt;="&amp;$H247,工数管理!$AD$3:$AD$98,"&gt;="&amp;$H247)+COUNTIFS(工数管理!$AK$3:$AK$98,J$1,工数管理!$AE$3:$AE$98,"&lt;="&amp;$H247,工数管理!$AF$3:$AF$98,"&gt;="&amp;$H247)+COUNTIFS(工数管理!$AK$3:$AK$98,J$1,工数管理!$AG$3:$AG$98,"&lt;="&amp;$H247,工数管理!$AH$3:$AH$98,"&gt;="&amp;$H247)+(COUNTIFS(工数管理!$AK$3:$AK$98,J$1,工数管理!$K$3:$K$98,"&lt;="&amp;$H247,工数管理!$L$3:$L$98,"")+COUNTIFS(工数管理!$AK$3:$AK$98,J$1,工数管理!$M$3:$M$98,"&lt;="&amp;$H247,工数管理!$N$3:$N$98,"")+COUNTIFS(工数管理!$AK$3:$AK$98,J$1,工数管理!$O$3:$O$98,"&lt;="&amp;$H247,工数管理!$P$3:$P$98,"")+COUNTIFS(工数管理!$AK$3:$AK$98,J$1,工数管理!$Q$3:$Q$98,"&lt;="&amp;$H247,工数管理!$R$3:$R$98,"")+COUNTIFS(工数管理!$AK$3:$AK$98,J$1,工数管理!$S$3:$S$98,"&lt;="&amp;$H247,工数管理!$T$3:$T$98,"")+COUNTIFS(工数管理!$AK$3:$AK$98,J$1,工数管理!$U$3:$U$98,"&lt;="&amp;$H247,工数管理!$V$3:$V$98,"")+COUNTIFS(工数管理!$AK$3:$AK$98,J$1,工数管理!$W$3:$W$98,"&lt;="&amp;$H247,工数管理!$X$3:$X$98,"")+COUNTIFS(工数管理!$AK$3:$AK$98,J$1,工数管理!$Y$3:$Y$98,"&lt;="&amp;$H247,工数管理!$Z$3:$Z$98,"")+COUNTIFS(工数管理!$AK$3:$AK$98,J$1,工数管理!$AA$3:$AA$98,"&lt;="&amp;$H247,工数管理!$AB$3:$AB$98,"")+COUNTIFS(工数管理!$AK$3:$AK$98,J$1,工数管理!$AC$3:$AC$98,"&lt;="&amp;$H247,工数管理!$AD$3:$AD$98,"")+COUNTIFS(工数管理!$AK$3:$AK$98,J$1,工数管理!$AE$3:$AE$98,"&lt;="&amp;$H247,工数管理!$AF$3:$AF$98,"")+COUNTIFS(工数管理!$AK$3:$AK$98,J$1,工数管理!$AG$3:$AG$98,"&lt;="&amp;$H247,工数管理!$AH$3:$AH$98,""))*($H247&lt;=工数管理!$AI$1))</f>
        <v>0</v>
      </c>
      <c r="K247" s="42">
        <f ca="1">IF(K$1="",0,COUNTIFS(工数管理!$AK$3:$AK$98,K$1,工数管理!$K$3:$K$98,"&lt;="&amp;$H247,工数管理!$L$3:$L$98,"&gt;="&amp;$H247)+COUNTIFS(工数管理!$AK$3:$AK$98,K$1,工数管理!$M$3:$M$98,"&lt;="&amp;$H247,工数管理!$N$3:$N$98,"&gt;="&amp;$H247)+COUNTIFS(工数管理!$AK$3:$AK$98,K$1,工数管理!$O$3:$O$98,"&lt;="&amp;$H247,工数管理!$P$3:$P$98,"&gt;="&amp;$H247)+COUNTIFS(工数管理!$AK$3:$AK$98,K$1,工数管理!$Q$3:$Q$98,"&lt;="&amp;$H247,工数管理!$R$3:$R$98,"&gt;="&amp;$H247)+COUNTIFS(工数管理!$AK$3:$AK$98,K$1,工数管理!$S$3:$S$98,"&lt;="&amp;$H247,工数管理!$T$3:$T$98,"&gt;="&amp;$H247)+COUNTIFS(工数管理!$AK$3:$AK$98,K$1,工数管理!$U$3:$U$98,"&lt;="&amp;$H247,工数管理!$V$3:$V$98,"&gt;="&amp;$H247)+COUNTIFS(工数管理!$AK$3:$AK$98,K$1,工数管理!$W$3:$W$98,"&lt;="&amp;$H247,工数管理!$X$3:$X$98,"&gt;="&amp;$H247)+COUNTIFS(工数管理!$AK$3:$AK$98,K$1,工数管理!$Y$3:$Y$98,"&lt;="&amp;$H247,工数管理!$Z$3:$Z$98,"&gt;="&amp;$H247)+COUNTIFS(工数管理!$AK$3:$AK$98,K$1,工数管理!$AA$3:$AA$98,"&lt;="&amp;$H247,工数管理!$AB$3:$AB$98,"&gt;="&amp;$H247)+COUNTIFS(工数管理!$AK$3:$AK$98,K$1,工数管理!$AC$3:$AC$98,"&lt;="&amp;$H247,工数管理!$AD$3:$AD$98,"&gt;="&amp;$H247)+COUNTIFS(工数管理!$AK$3:$AK$98,K$1,工数管理!$AE$3:$AE$98,"&lt;="&amp;$H247,工数管理!$AF$3:$AF$98,"&gt;="&amp;$H247)+COUNTIFS(工数管理!$AK$3:$AK$98,K$1,工数管理!$AG$3:$AG$98,"&lt;="&amp;$H247,工数管理!$AH$3:$AH$98,"&gt;="&amp;$H247)+(COUNTIFS(工数管理!$AK$3:$AK$98,K$1,工数管理!$K$3:$K$98,"&lt;="&amp;$H247,工数管理!$L$3:$L$98,"")+COUNTIFS(工数管理!$AK$3:$AK$98,K$1,工数管理!$M$3:$M$98,"&lt;="&amp;$H247,工数管理!$N$3:$N$98,"")+COUNTIFS(工数管理!$AK$3:$AK$98,K$1,工数管理!$O$3:$O$98,"&lt;="&amp;$H247,工数管理!$P$3:$P$98,"")+COUNTIFS(工数管理!$AK$3:$AK$98,K$1,工数管理!$Q$3:$Q$98,"&lt;="&amp;$H247,工数管理!$R$3:$R$98,"")+COUNTIFS(工数管理!$AK$3:$AK$98,K$1,工数管理!$S$3:$S$98,"&lt;="&amp;$H247,工数管理!$T$3:$T$98,"")+COUNTIFS(工数管理!$AK$3:$AK$98,K$1,工数管理!$U$3:$U$98,"&lt;="&amp;$H247,工数管理!$V$3:$V$98,"")+COUNTIFS(工数管理!$AK$3:$AK$98,K$1,工数管理!$W$3:$W$98,"&lt;="&amp;$H247,工数管理!$X$3:$X$98,"")+COUNTIFS(工数管理!$AK$3:$AK$98,K$1,工数管理!$Y$3:$Y$98,"&lt;="&amp;$H247,工数管理!$Z$3:$Z$98,"")+COUNTIFS(工数管理!$AK$3:$AK$98,K$1,工数管理!$AA$3:$AA$98,"&lt;="&amp;$H247,工数管理!$AB$3:$AB$98,"")+COUNTIFS(工数管理!$AK$3:$AK$98,K$1,工数管理!$AC$3:$AC$98,"&lt;="&amp;$H247,工数管理!$AD$3:$AD$98,"")+COUNTIFS(工数管理!$AK$3:$AK$98,K$1,工数管理!$AE$3:$AE$98,"&lt;="&amp;$H247,工数管理!$AF$3:$AF$98,"")+COUNTIFS(工数管理!$AK$3:$AK$98,K$1,工数管理!$AG$3:$AG$98,"&lt;="&amp;$H247,工数管理!$AH$3:$AH$98,""))*($H247&lt;=工数管理!$AI$1))</f>
        <v>0</v>
      </c>
      <c r="L247" s="42">
        <f ca="1">IF(L$1="",0,COUNTIFS(工数管理!$AK$3:$AK$98,L$1,工数管理!$K$3:$K$98,"&lt;="&amp;$H247,工数管理!$L$3:$L$98,"&gt;="&amp;$H247)+COUNTIFS(工数管理!$AK$3:$AK$98,L$1,工数管理!$M$3:$M$98,"&lt;="&amp;$H247,工数管理!$N$3:$N$98,"&gt;="&amp;$H247)+COUNTIFS(工数管理!$AK$3:$AK$98,L$1,工数管理!$O$3:$O$98,"&lt;="&amp;$H247,工数管理!$P$3:$P$98,"&gt;="&amp;$H247)+COUNTIFS(工数管理!$AK$3:$AK$98,L$1,工数管理!$Q$3:$Q$98,"&lt;="&amp;$H247,工数管理!$R$3:$R$98,"&gt;="&amp;$H247)+COUNTIFS(工数管理!$AK$3:$AK$98,L$1,工数管理!$S$3:$S$98,"&lt;="&amp;$H247,工数管理!$T$3:$T$98,"&gt;="&amp;$H247)+COUNTIFS(工数管理!$AK$3:$AK$98,L$1,工数管理!$U$3:$U$98,"&lt;="&amp;$H247,工数管理!$V$3:$V$98,"&gt;="&amp;$H247)+COUNTIFS(工数管理!$AK$3:$AK$98,L$1,工数管理!$W$3:$W$98,"&lt;="&amp;$H247,工数管理!$X$3:$X$98,"&gt;="&amp;$H247)+COUNTIFS(工数管理!$AK$3:$AK$98,L$1,工数管理!$Y$3:$Y$98,"&lt;="&amp;$H247,工数管理!$Z$3:$Z$98,"&gt;="&amp;$H247)+COUNTIFS(工数管理!$AK$3:$AK$98,L$1,工数管理!$AA$3:$AA$98,"&lt;="&amp;$H247,工数管理!$AB$3:$AB$98,"&gt;="&amp;$H247)+COUNTIFS(工数管理!$AK$3:$AK$98,L$1,工数管理!$AC$3:$AC$98,"&lt;="&amp;$H247,工数管理!$AD$3:$AD$98,"&gt;="&amp;$H247)+COUNTIFS(工数管理!$AK$3:$AK$98,L$1,工数管理!$AE$3:$AE$98,"&lt;="&amp;$H247,工数管理!$AF$3:$AF$98,"&gt;="&amp;$H247)+COUNTIFS(工数管理!$AK$3:$AK$98,L$1,工数管理!$AG$3:$AG$98,"&lt;="&amp;$H247,工数管理!$AH$3:$AH$98,"&gt;="&amp;$H247)+(COUNTIFS(工数管理!$AK$3:$AK$98,L$1,工数管理!$K$3:$K$98,"&lt;="&amp;$H247,工数管理!$L$3:$L$98,"")+COUNTIFS(工数管理!$AK$3:$AK$98,L$1,工数管理!$M$3:$M$98,"&lt;="&amp;$H247,工数管理!$N$3:$N$98,"")+COUNTIFS(工数管理!$AK$3:$AK$98,L$1,工数管理!$O$3:$O$98,"&lt;="&amp;$H247,工数管理!$P$3:$P$98,"")+COUNTIFS(工数管理!$AK$3:$AK$98,L$1,工数管理!$Q$3:$Q$98,"&lt;="&amp;$H247,工数管理!$R$3:$R$98,"")+COUNTIFS(工数管理!$AK$3:$AK$98,L$1,工数管理!$S$3:$S$98,"&lt;="&amp;$H247,工数管理!$T$3:$T$98,"")+COUNTIFS(工数管理!$AK$3:$AK$98,L$1,工数管理!$U$3:$U$98,"&lt;="&amp;$H247,工数管理!$V$3:$V$98,"")+COUNTIFS(工数管理!$AK$3:$AK$98,L$1,工数管理!$W$3:$W$98,"&lt;="&amp;$H247,工数管理!$X$3:$X$98,"")+COUNTIFS(工数管理!$AK$3:$AK$98,L$1,工数管理!$Y$3:$Y$98,"&lt;="&amp;$H247,工数管理!$Z$3:$Z$98,"")+COUNTIFS(工数管理!$AK$3:$AK$98,L$1,工数管理!$AA$3:$AA$98,"&lt;="&amp;$H247,工数管理!$AB$3:$AB$98,"")+COUNTIFS(工数管理!$AK$3:$AK$98,L$1,工数管理!$AC$3:$AC$98,"&lt;="&amp;$H247,工数管理!$AD$3:$AD$98,"")+COUNTIFS(工数管理!$AK$3:$AK$98,L$1,工数管理!$AE$3:$AE$98,"&lt;="&amp;$H247,工数管理!$AF$3:$AF$98,"")+COUNTIFS(工数管理!$AK$3:$AK$98,L$1,工数管理!$AG$3:$AG$98,"&lt;="&amp;$H247,工数管理!$AH$3:$AH$98,""))*($H247&lt;=工数管理!$AI$1))</f>
        <v>0</v>
      </c>
    </row>
    <row r="248" spans="8:12" x14ac:dyDescent="0.15">
      <c r="H248" s="41">
        <f t="shared" si="7"/>
        <v>46416</v>
      </c>
      <c r="I248" s="42">
        <f t="shared" si="6"/>
        <v>1</v>
      </c>
      <c r="J248" s="42">
        <f ca="1">IF(J$1="",0,COUNTIFS(工数管理!$AK$3:$AK$98,J$1,工数管理!$K$3:$K$98,"&lt;="&amp;$H248,工数管理!$L$3:$L$98,"&gt;="&amp;$H248)+COUNTIFS(工数管理!$AK$3:$AK$98,J$1,工数管理!$M$3:$M$98,"&lt;="&amp;$H248,工数管理!$N$3:$N$98,"&gt;="&amp;$H248)+COUNTIFS(工数管理!$AK$3:$AK$98,J$1,工数管理!$O$3:$O$98,"&lt;="&amp;$H248,工数管理!$P$3:$P$98,"&gt;="&amp;$H248)+COUNTIFS(工数管理!$AK$3:$AK$98,J$1,工数管理!$Q$3:$Q$98,"&lt;="&amp;$H248,工数管理!$R$3:$R$98,"&gt;="&amp;$H248)+COUNTIFS(工数管理!$AK$3:$AK$98,J$1,工数管理!$S$3:$S$98,"&lt;="&amp;$H248,工数管理!$T$3:$T$98,"&gt;="&amp;$H248)+COUNTIFS(工数管理!$AK$3:$AK$98,J$1,工数管理!$U$3:$U$98,"&lt;="&amp;$H248,工数管理!$V$3:$V$98,"&gt;="&amp;$H248)+COUNTIFS(工数管理!$AK$3:$AK$98,J$1,工数管理!$W$3:$W$98,"&lt;="&amp;$H248,工数管理!$X$3:$X$98,"&gt;="&amp;$H248)+COUNTIFS(工数管理!$AK$3:$AK$98,J$1,工数管理!$Y$3:$Y$98,"&lt;="&amp;$H248,工数管理!$Z$3:$Z$98,"&gt;="&amp;$H248)+COUNTIFS(工数管理!$AK$3:$AK$98,J$1,工数管理!$AA$3:$AA$98,"&lt;="&amp;$H248,工数管理!$AB$3:$AB$98,"&gt;="&amp;$H248)+COUNTIFS(工数管理!$AK$3:$AK$98,J$1,工数管理!$AC$3:$AC$98,"&lt;="&amp;$H248,工数管理!$AD$3:$AD$98,"&gt;="&amp;$H248)+COUNTIFS(工数管理!$AK$3:$AK$98,J$1,工数管理!$AE$3:$AE$98,"&lt;="&amp;$H248,工数管理!$AF$3:$AF$98,"&gt;="&amp;$H248)+COUNTIFS(工数管理!$AK$3:$AK$98,J$1,工数管理!$AG$3:$AG$98,"&lt;="&amp;$H248,工数管理!$AH$3:$AH$98,"&gt;="&amp;$H248)+(COUNTIFS(工数管理!$AK$3:$AK$98,J$1,工数管理!$K$3:$K$98,"&lt;="&amp;$H248,工数管理!$L$3:$L$98,"")+COUNTIFS(工数管理!$AK$3:$AK$98,J$1,工数管理!$M$3:$M$98,"&lt;="&amp;$H248,工数管理!$N$3:$N$98,"")+COUNTIFS(工数管理!$AK$3:$AK$98,J$1,工数管理!$O$3:$O$98,"&lt;="&amp;$H248,工数管理!$P$3:$P$98,"")+COUNTIFS(工数管理!$AK$3:$AK$98,J$1,工数管理!$Q$3:$Q$98,"&lt;="&amp;$H248,工数管理!$R$3:$R$98,"")+COUNTIFS(工数管理!$AK$3:$AK$98,J$1,工数管理!$S$3:$S$98,"&lt;="&amp;$H248,工数管理!$T$3:$T$98,"")+COUNTIFS(工数管理!$AK$3:$AK$98,J$1,工数管理!$U$3:$U$98,"&lt;="&amp;$H248,工数管理!$V$3:$V$98,"")+COUNTIFS(工数管理!$AK$3:$AK$98,J$1,工数管理!$W$3:$W$98,"&lt;="&amp;$H248,工数管理!$X$3:$X$98,"")+COUNTIFS(工数管理!$AK$3:$AK$98,J$1,工数管理!$Y$3:$Y$98,"&lt;="&amp;$H248,工数管理!$Z$3:$Z$98,"")+COUNTIFS(工数管理!$AK$3:$AK$98,J$1,工数管理!$AA$3:$AA$98,"&lt;="&amp;$H248,工数管理!$AB$3:$AB$98,"")+COUNTIFS(工数管理!$AK$3:$AK$98,J$1,工数管理!$AC$3:$AC$98,"&lt;="&amp;$H248,工数管理!$AD$3:$AD$98,"")+COUNTIFS(工数管理!$AK$3:$AK$98,J$1,工数管理!$AE$3:$AE$98,"&lt;="&amp;$H248,工数管理!$AF$3:$AF$98,"")+COUNTIFS(工数管理!$AK$3:$AK$98,J$1,工数管理!$AG$3:$AG$98,"&lt;="&amp;$H248,工数管理!$AH$3:$AH$98,""))*($H248&lt;=工数管理!$AI$1))</f>
        <v>0</v>
      </c>
      <c r="K248" s="42">
        <f ca="1">IF(K$1="",0,COUNTIFS(工数管理!$AK$3:$AK$98,K$1,工数管理!$K$3:$K$98,"&lt;="&amp;$H248,工数管理!$L$3:$L$98,"&gt;="&amp;$H248)+COUNTIFS(工数管理!$AK$3:$AK$98,K$1,工数管理!$M$3:$M$98,"&lt;="&amp;$H248,工数管理!$N$3:$N$98,"&gt;="&amp;$H248)+COUNTIFS(工数管理!$AK$3:$AK$98,K$1,工数管理!$O$3:$O$98,"&lt;="&amp;$H248,工数管理!$P$3:$P$98,"&gt;="&amp;$H248)+COUNTIFS(工数管理!$AK$3:$AK$98,K$1,工数管理!$Q$3:$Q$98,"&lt;="&amp;$H248,工数管理!$R$3:$R$98,"&gt;="&amp;$H248)+COUNTIFS(工数管理!$AK$3:$AK$98,K$1,工数管理!$S$3:$S$98,"&lt;="&amp;$H248,工数管理!$T$3:$T$98,"&gt;="&amp;$H248)+COUNTIFS(工数管理!$AK$3:$AK$98,K$1,工数管理!$U$3:$U$98,"&lt;="&amp;$H248,工数管理!$V$3:$V$98,"&gt;="&amp;$H248)+COUNTIFS(工数管理!$AK$3:$AK$98,K$1,工数管理!$W$3:$W$98,"&lt;="&amp;$H248,工数管理!$X$3:$X$98,"&gt;="&amp;$H248)+COUNTIFS(工数管理!$AK$3:$AK$98,K$1,工数管理!$Y$3:$Y$98,"&lt;="&amp;$H248,工数管理!$Z$3:$Z$98,"&gt;="&amp;$H248)+COUNTIFS(工数管理!$AK$3:$AK$98,K$1,工数管理!$AA$3:$AA$98,"&lt;="&amp;$H248,工数管理!$AB$3:$AB$98,"&gt;="&amp;$H248)+COUNTIFS(工数管理!$AK$3:$AK$98,K$1,工数管理!$AC$3:$AC$98,"&lt;="&amp;$H248,工数管理!$AD$3:$AD$98,"&gt;="&amp;$H248)+COUNTIFS(工数管理!$AK$3:$AK$98,K$1,工数管理!$AE$3:$AE$98,"&lt;="&amp;$H248,工数管理!$AF$3:$AF$98,"&gt;="&amp;$H248)+COUNTIFS(工数管理!$AK$3:$AK$98,K$1,工数管理!$AG$3:$AG$98,"&lt;="&amp;$H248,工数管理!$AH$3:$AH$98,"&gt;="&amp;$H248)+(COUNTIFS(工数管理!$AK$3:$AK$98,K$1,工数管理!$K$3:$K$98,"&lt;="&amp;$H248,工数管理!$L$3:$L$98,"")+COUNTIFS(工数管理!$AK$3:$AK$98,K$1,工数管理!$M$3:$M$98,"&lt;="&amp;$H248,工数管理!$N$3:$N$98,"")+COUNTIFS(工数管理!$AK$3:$AK$98,K$1,工数管理!$O$3:$O$98,"&lt;="&amp;$H248,工数管理!$P$3:$P$98,"")+COUNTIFS(工数管理!$AK$3:$AK$98,K$1,工数管理!$Q$3:$Q$98,"&lt;="&amp;$H248,工数管理!$R$3:$R$98,"")+COUNTIFS(工数管理!$AK$3:$AK$98,K$1,工数管理!$S$3:$S$98,"&lt;="&amp;$H248,工数管理!$T$3:$T$98,"")+COUNTIFS(工数管理!$AK$3:$AK$98,K$1,工数管理!$U$3:$U$98,"&lt;="&amp;$H248,工数管理!$V$3:$V$98,"")+COUNTIFS(工数管理!$AK$3:$AK$98,K$1,工数管理!$W$3:$W$98,"&lt;="&amp;$H248,工数管理!$X$3:$X$98,"")+COUNTIFS(工数管理!$AK$3:$AK$98,K$1,工数管理!$Y$3:$Y$98,"&lt;="&amp;$H248,工数管理!$Z$3:$Z$98,"")+COUNTIFS(工数管理!$AK$3:$AK$98,K$1,工数管理!$AA$3:$AA$98,"&lt;="&amp;$H248,工数管理!$AB$3:$AB$98,"")+COUNTIFS(工数管理!$AK$3:$AK$98,K$1,工数管理!$AC$3:$AC$98,"&lt;="&amp;$H248,工数管理!$AD$3:$AD$98,"")+COUNTIFS(工数管理!$AK$3:$AK$98,K$1,工数管理!$AE$3:$AE$98,"&lt;="&amp;$H248,工数管理!$AF$3:$AF$98,"")+COUNTIFS(工数管理!$AK$3:$AK$98,K$1,工数管理!$AG$3:$AG$98,"&lt;="&amp;$H248,工数管理!$AH$3:$AH$98,""))*($H248&lt;=工数管理!$AI$1))</f>
        <v>0</v>
      </c>
      <c r="L248" s="42">
        <f ca="1">IF(L$1="",0,COUNTIFS(工数管理!$AK$3:$AK$98,L$1,工数管理!$K$3:$K$98,"&lt;="&amp;$H248,工数管理!$L$3:$L$98,"&gt;="&amp;$H248)+COUNTIFS(工数管理!$AK$3:$AK$98,L$1,工数管理!$M$3:$M$98,"&lt;="&amp;$H248,工数管理!$N$3:$N$98,"&gt;="&amp;$H248)+COUNTIFS(工数管理!$AK$3:$AK$98,L$1,工数管理!$O$3:$O$98,"&lt;="&amp;$H248,工数管理!$P$3:$P$98,"&gt;="&amp;$H248)+COUNTIFS(工数管理!$AK$3:$AK$98,L$1,工数管理!$Q$3:$Q$98,"&lt;="&amp;$H248,工数管理!$R$3:$R$98,"&gt;="&amp;$H248)+COUNTIFS(工数管理!$AK$3:$AK$98,L$1,工数管理!$S$3:$S$98,"&lt;="&amp;$H248,工数管理!$T$3:$T$98,"&gt;="&amp;$H248)+COUNTIFS(工数管理!$AK$3:$AK$98,L$1,工数管理!$U$3:$U$98,"&lt;="&amp;$H248,工数管理!$V$3:$V$98,"&gt;="&amp;$H248)+COUNTIFS(工数管理!$AK$3:$AK$98,L$1,工数管理!$W$3:$W$98,"&lt;="&amp;$H248,工数管理!$X$3:$X$98,"&gt;="&amp;$H248)+COUNTIFS(工数管理!$AK$3:$AK$98,L$1,工数管理!$Y$3:$Y$98,"&lt;="&amp;$H248,工数管理!$Z$3:$Z$98,"&gt;="&amp;$H248)+COUNTIFS(工数管理!$AK$3:$AK$98,L$1,工数管理!$AA$3:$AA$98,"&lt;="&amp;$H248,工数管理!$AB$3:$AB$98,"&gt;="&amp;$H248)+COUNTIFS(工数管理!$AK$3:$AK$98,L$1,工数管理!$AC$3:$AC$98,"&lt;="&amp;$H248,工数管理!$AD$3:$AD$98,"&gt;="&amp;$H248)+COUNTIFS(工数管理!$AK$3:$AK$98,L$1,工数管理!$AE$3:$AE$98,"&lt;="&amp;$H248,工数管理!$AF$3:$AF$98,"&gt;="&amp;$H248)+COUNTIFS(工数管理!$AK$3:$AK$98,L$1,工数管理!$AG$3:$AG$98,"&lt;="&amp;$H248,工数管理!$AH$3:$AH$98,"&gt;="&amp;$H248)+(COUNTIFS(工数管理!$AK$3:$AK$98,L$1,工数管理!$K$3:$K$98,"&lt;="&amp;$H248,工数管理!$L$3:$L$98,"")+COUNTIFS(工数管理!$AK$3:$AK$98,L$1,工数管理!$M$3:$M$98,"&lt;="&amp;$H248,工数管理!$N$3:$N$98,"")+COUNTIFS(工数管理!$AK$3:$AK$98,L$1,工数管理!$O$3:$O$98,"&lt;="&amp;$H248,工数管理!$P$3:$P$98,"")+COUNTIFS(工数管理!$AK$3:$AK$98,L$1,工数管理!$Q$3:$Q$98,"&lt;="&amp;$H248,工数管理!$R$3:$R$98,"")+COUNTIFS(工数管理!$AK$3:$AK$98,L$1,工数管理!$S$3:$S$98,"&lt;="&amp;$H248,工数管理!$T$3:$T$98,"")+COUNTIFS(工数管理!$AK$3:$AK$98,L$1,工数管理!$U$3:$U$98,"&lt;="&amp;$H248,工数管理!$V$3:$V$98,"")+COUNTIFS(工数管理!$AK$3:$AK$98,L$1,工数管理!$W$3:$W$98,"&lt;="&amp;$H248,工数管理!$X$3:$X$98,"")+COUNTIFS(工数管理!$AK$3:$AK$98,L$1,工数管理!$Y$3:$Y$98,"&lt;="&amp;$H248,工数管理!$Z$3:$Z$98,"")+COUNTIFS(工数管理!$AK$3:$AK$98,L$1,工数管理!$AA$3:$AA$98,"&lt;="&amp;$H248,工数管理!$AB$3:$AB$98,"")+COUNTIFS(工数管理!$AK$3:$AK$98,L$1,工数管理!$AC$3:$AC$98,"&lt;="&amp;$H248,工数管理!$AD$3:$AD$98,"")+COUNTIFS(工数管理!$AK$3:$AK$98,L$1,工数管理!$AE$3:$AE$98,"&lt;="&amp;$H248,工数管理!$AF$3:$AF$98,"")+COUNTIFS(工数管理!$AK$3:$AK$98,L$1,工数管理!$AG$3:$AG$98,"&lt;="&amp;$H248,工数管理!$AH$3:$AH$98,""))*($H248&lt;=工数管理!$AI$1))</f>
        <v>0</v>
      </c>
    </row>
    <row r="249" spans="8:12" x14ac:dyDescent="0.15">
      <c r="H249" s="41">
        <f t="shared" si="7"/>
        <v>46417</v>
      </c>
      <c r="I249" s="42">
        <f t="shared" si="6"/>
        <v>0</v>
      </c>
      <c r="J249" s="42">
        <f ca="1">IF(J$1="",0,COUNTIFS(工数管理!$AK$3:$AK$98,J$1,工数管理!$K$3:$K$98,"&lt;="&amp;$H249,工数管理!$L$3:$L$98,"&gt;="&amp;$H249)+COUNTIFS(工数管理!$AK$3:$AK$98,J$1,工数管理!$M$3:$M$98,"&lt;="&amp;$H249,工数管理!$N$3:$N$98,"&gt;="&amp;$H249)+COUNTIFS(工数管理!$AK$3:$AK$98,J$1,工数管理!$O$3:$O$98,"&lt;="&amp;$H249,工数管理!$P$3:$P$98,"&gt;="&amp;$H249)+COUNTIFS(工数管理!$AK$3:$AK$98,J$1,工数管理!$Q$3:$Q$98,"&lt;="&amp;$H249,工数管理!$R$3:$R$98,"&gt;="&amp;$H249)+COUNTIFS(工数管理!$AK$3:$AK$98,J$1,工数管理!$S$3:$S$98,"&lt;="&amp;$H249,工数管理!$T$3:$T$98,"&gt;="&amp;$H249)+COUNTIFS(工数管理!$AK$3:$AK$98,J$1,工数管理!$U$3:$U$98,"&lt;="&amp;$H249,工数管理!$V$3:$V$98,"&gt;="&amp;$H249)+COUNTIFS(工数管理!$AK$3:$AK$98,J$1,工数管理!$W$3:$W$98,"&lt;="&amp;$H249,工数管理!$X$3:$X$98,"&gt;="&amp;$H249)+COUNTIFS(工数管理!$AK$3:$AK$98,J$1,工数管理!$Y$3:$Y$98,"&lt;="&amp;$H249,工数管理!$Z$3:$Z$98,"&gt;="&amp;$H249)+COUNTIFS(工数管理!$AK$3:$AK$98,J$1,工数管理!$AA$3:$AA$98,"&lt;="&amp;$H249,工数管理!$AB$3:$AB$98,"&gt;="&amp;$H249)+COUNTIFS(工数管理!$AK$3:$AK$98,J$1,工数管理!$AC$3:$AC$98,"&lt;="&amp;$H249,工数管理!$AD$3:$AD$98,"&gt;="&amp;$H249)+COUNTIFS(工数管理!$AK$3:$AK$98,J$1,工数管理!$AE$3:$AE$98,"&lt;="&amp;$H249,工数管理!$AF$3:$AF$98,"&gt;="&amp;$H249)+COUNTIFS(工数管理!$AK$3:$AK$98,J$1,工数管理!$AG$3:$AG$98,"&lt;="&amp;$H249,工数管理!$AH$3:$AH$98,"&gt;="&amp;$H249)+(COUNTIFS(工数管理!$AK$3:$AK$98,J$1,工数管理!$K$3:$K$98,"&lt;="&amp;$H249,工数管理!$L$3:$L$98,"")+COUNTIFS(工数管理!$AK$3:$AK$98,J$1,工数管理!$M$3:$M$98,"&lt;="&amp;$H249,工数管理!$N$3:$N$98,"")+COUNTIFS(工数管理!$AK$3:$AK$98,J$1,工数管理!$O$3:$O$98,"&lt;="&amp;$H249,工数管理!$P$3:$P$98,"")+COUNTIFS(工数管理!$AK$3:$AK$98,J$1,工数管理!$Q$3:$Q$98,"&lt;="&amp;$H249,工数管理!$R$3:$R$98,"")+COUNTIFS(工数管理!$AK$3:$AK$98,J$1,工数管理!$S$3:$S$98,"&lt;="&amp;$H249,工数管理!$T$3:$T$98,"")+COUNTIFS(工数管理!$AK$3:$AK$98,J$1,工数管理!$U$3:$U$98,"&lt;="&amp;$H249,工数管理!$V$3:$V$98,"")+COUNTIFS(工数管理!$AK$3:$AK$98,J$1,工数管理!$W$3:$W$98,"&lt;="&amp;$H249,工数管理!$X$3:$X$98,"")+COUNTIFS(工数管理!$AK$3:$AK$98,J$1,工数管理!$Y$3:$Y$98,"&lt;="&amp;$H249,工数管理!$Z$3:$Z$98,"")+COUNTIFS(工数管理!$AK$3:$AK$98,J$1,工数管理!$AA$3:$AA$98,"&lt;="&amp;$H249,工数管理!$AB$3:$AB$98,"")+COUNTIFS(工数管理!$AK$3:$AK$98,J$1,工数管理!$AC$3:$AC$98,"&lt;="&amp;$H249,工数管理!$AD$3:$AD$98,"")+COUNTIFS(工数管理!$AK$3:$AK$98,J$1,工数管理!$AE$3:$AE$98,"&lt;="&amp;$H249,工数管理!$AF$3:$AF$98,"")+COUNTIFS(工数管理!$AK$3:$AK$98,J$1,工数管理!$AG$3:$AG$98,"&lt;="&amp;$H249,工数管理!$AH$3:$AH$98,""))*($H249&lt;=工数管理!$AI$1))</f>
        <v>0</v>
      </c>
      <c r="K249" s="42">
        <f ca="1">IF(K$1="",0,COUNTIFS(工数管理!$AK$3:$AK$98,K$1,工数管理!$K$3:$K$98,"&lt;="&amp;$H249,工数管理!$L$3:$L$98,"&gt;="&amp;$H249)+COUNTIFS(工数管理!$AK$3:$AK$98,K$1,工数管理!$M$3:$M$98,"&lt;="&amp;$H249,工数管理!$N$3:$N$98,"&gt;="&amp;$H249)+COUNTIFS(工数管理!$AK$3:$AK$98,K$1,工数管理!$O$3:$O$98,"&lt;="&amp;$H249,工数管理!$P$3:$P$98,"&gt;="&amp;$H249)+COUNTIFS(工数管理!$AK$3:$AK$98,K$1,工数管理!$Q$3:$Q$98,"&lt;="&amp;$H249,工数管理!$R$3:$R$98,"&gt;="&amp;$H249)+COUNTIFS(工数管理!$AK$3:$AK$98,K$1,工数管理!$S$3:$S$98,"&lt;="&amp;$H249,工数管理!$T$3:$T$98,"&gt;="&amp;$H249)+COUNTIFS(工数管理!$AK$3:$AK$98,K$1,工数管理!$U$3:$U$98,"&lt;="&amp;$H249,工数管理!$V$3:$V$98,"&gt;="&amp;$H249)+COUNTIFS(工数管理!$AK$3:$AK$98,K$1,工数管理!$W$3:$W$98,"&lt;="&amp;$H249,工数管理!$X$3:$X$98,"&gt;="&amp;$H249)+COUNTIFS(工数管理!$AK$3:$AK$98,K$1,工数管理!$Y$3:$Y$98,"&lt;="&amp;$H249,工数管理!$Z$3:$Z$98,"&gt;="&amp;$H249)+COUNTIFS(工数管理!$AK$3:$AK$98,K$1,工数管理!$AA$3:$AA$98,"&lt;="&amp;$H249,工数管理!$AB$3:$AB$98,"&gt;="&amp;$H249)+COUNTIFS(工数管理!$AK$3:$AK$98,K$1,工数管理!$AC$3:$AC$98,"&lt;="&amp;$H249,工数管理!$AD$3:$AD$98,"&gt;="&amp;$H249)+COUNTIFS(工数管理!$AK$3:$AK$98,K$1,工数管理!$AE$3:$AE$98,"&lt;="&amp;$H249,工数管理!$AF$3:$AF$98,"&gt;="&amp;$H249)+COUNTIFS(工数管理!$AK$3:$AK$98,K$1,工数管理!$AG$3:$AG$98,"&lt;="&amp;$H249,工数管理!$AH$3:$AH$98,"&gt;="&amp;$H249)+(COUNTIFS(工数管理!$AK$3:$AK$98,K$1,工数管理!$K$3:$K$98,"&lt;="&amp;$H249,工数管理!$L$3:$L$98,"")+COUNTIFS(工数管理!$AK$3:$AK$98,K$1,工数管理!$M$3:$M$98,"&lt;="&amp;$H249,工数管理!$N$3:$N$98,"")+COUNTIFS(工数管理!$AK$3:$AK$98,K$1,工数管理!$O$3:$O$98,"&lt;="&amp;$H249,工数管理!$P$3:$P$98,"")+COUNTIFS(工数管理!$AK$3:$AK$98,K$1,工数管理!$Q$3:$Q$98,"&lt;="&amp;$H249,工数管理!$R$3:$R$98,"")+COUNTIFS(工数管理!$AK$3:$AK$98,K$1,工数管理!$S$3:$S$98,"&lt;="&amp;$H249,工数管理!$T$3:$T$98,"")+COUNTIFS(工数管理!$AK$3:$AK$98,K$1,工数管理!$U$3:$U$98,"&lt;="&amp;$H249,工数管理!$V$3:$V$98,"")+COUNTIFS(工数管理!$AK$3:$AK$98,K$1,工数管理!$W$3:$W$98,"&lt;="&amp;$H249,工数管理!$X$3:$X$98,"")+COUNTIFS(工数管理!$AK$3:$AK$98,K$1,工数管理!$Y$3:$Y$98,"&lt;="&amp;$H249,工数管理!$Z$3:$Z$98,"")+COUNTIFS(工数管理!$AK$3:$AK$98,K$1,工数管理!$AA$3:$AA$98,"&lt;="&amp;$H249,工数管理!$AB$3:$AB$98,"")+COUNTIFS(工数管理!$AK$3:$AK$98,K$1,工数管理!$AC$3:$AC$98,"&lt;="&amp;$H249,工数管理!$AD$3:$AD$98,"")+COUNTIFS(工数管理!$AK$3:$AK$98,K$1,工数管理!$AE$3:$AE$98,"&lt;="&amp;$H249,工数管理!$AF$3:$AF$98,"")+COUNTIFS(工数管理!$AK$3:$AK$98,K$1,工数管理!$AG$3:$AG$98,"&lt;="&amp;$H249,工数管理!$AH$3:$AH$98,""))*($H249&lt;=工数管理!$AI$1))</f>
        <v>0</v>
      </c>
      <c r="L249" s="42">
        <f ca="1">IF(L$1="",0,COUNTIFS(工数管理!$AK$3:$AK$98,L$1,工数管理!$K$3:$K$98,"&lt;="&amp;$H249,工数管理!$L$3:$L$98,"&gt;="&amp;$H249)+COUNTIFS(工数管理!$AK$3:$AK$98,L$1,工数管理!$M$3:$M$98,"&lt;="&amp;$H249,工数管理!$N$3:$N$98,"&gt;="&amp;$H249)+COUNTIFS(工数管理!$AK$3:$AK$98,L$1,工数管理!$O$3:$O$98,"&lt;="&amp;$H249,工数管理!$P$3:$P$98,"&gt;="&amp;$H249)+COUNTIFS(工数管理!$AK$3:$AK$98,L$1,工数管理!$Q$3:$Q$98,"&lt;="&amp;$H249,工数管理!$R$3:$R$98,"&gt;="&amp;$H249)+COUNTIFS(工数管理!$AK$3:$AK$98,L$1,工数管理!$S$3:$S$98,"&lt;="&amp;$H249,工数管理!$T$3:$T$98,"&gt;="&amp;$H249)+COUNTIFS(工数管理!$AK$3:$AK$98,L$1,工数管理!$U$3:$U$98,"&lt;="&amp;$H249,工数管理!$V$3:$V$98,"&gt;="&amp;$H249)+COUNTIFS(工数管理!$AK$3:$AK$98,L$1,工数管理!$W$3:$W$98,"&lt;="&amp;$H249,工数管理!$X$3:$X$98,"&gt;="&amp;$H249)+COUNTIFS(工数管理!$AK$3:$AK$98,L$1,工数管理!$Y$3:$Y$98,"&lt;="&amp;$H249,工数管理!$Z$3:$Z$98,"&gt;="&amp;$H249)+COUNTIFS(工数管理!$AK$3:$AK$98,L$1,工数管理!$AA$3:$AA$98,"&lt;="&amp;$H249,工数管理!$AB$3:$AB$98,"&gt;="&amp;$H249)+COUNTIFS(工数管理!$AK$3:$AK$98,L$1,工数管理!$AC$3:$AC$98,"&lt;="&amp;$H249,工数管理!$AD$3:$AD$98,"&gt;="&amp;$H249)+COUNTIFS(工数管理!$AK$3:$AK$98,L$1,工数管理!$AE$3:$AE$98,"&lt;="&amp;$H249,工数管理!$AF$3:$AF$98,"&gt;="&amp;$H249)+COUNTIFS(工数管理!$AK$3:$AK$98,L$1,工数管理!$AG$3:$AG$98,"&lt;="&amp;$H249,工数管理!$AH$3:$AH$98,"&gt;="&amp;$H249)+(COUNTIFS(工数管理!$AK$3:$AK$98,L$1,工数管理!$K$3:$K$98,"&lt;="&amp;$H249,工数管理!$L$3:$L$98,"")+COUNTIFS(工数管理!$AK$3:$AK$98,L$1,工数管理!$M$3:$M$98,"&lt;="&amp;$H249,工数管理!$N$3:$N$98,"")+COUNTIFS(工数管理!$AK$3:$AK$98,L$1,工数管理!$O$3:$O$98,"&lt;="&amp;$H249,工数管理!$P$3:$P$98,"")+COUNTIFS(工数管理!$AK$3:$AK$98,L$1,工数管理!$Q$3:$Q$98,"&lt;="&amp;$H249,工数管理!$R$3:$R$98,"")+COUNTIFS(工数管理!$AK$3:$AK$98,L$1,工数管理!$S$3:$S$98,"&lt;="&amp;$H249,工数管理!$T$3:$T$98,"")+COUNTIFS(工数管理!$AK$3:$AK$98,L$1,工数管理!$U$3:$U$98,"&lt;="&amp;$H249,工数管理!$V$3:$V$98,"")+COUNTIFS(工数管理!$AK$3:$AK$98,L$1,工数管理!$W$3:$W$98,"&lt;="&amp;$H249,工数管理!$X$3:$X$98,"")+COUNTIFS(工数管理!$AK$3:$AK$98,L$1,工数管理!$Y$3:$Y$98,"&lt;="&amp;$H249,工数管理!$Z$3:$Z$98,"")+COUNTIFS(工数管理!$AK$3:$AK$98,L$1,工数管理!$AA$3:$AA$98,"&lt;="&amp;$H249,工数管理!$AB$3:$AB$98,"")+COUNTIFS(工数管理!$AK$3:$AK$98,L$1,工数管理!$AC$3:$AC$98,"&lt;="&amp;$H249,工数管理!$AD$3:$AD$98,"")+COUNTIFS(工数管理!$AK$3:$AK$98,L$1,工数管理!$AE$3:$AE$98,"&lt;="&amp;$H249,工数管理!$AF$3:$AF$98,"")+COUNTIFS(工数管理!$AK$3:$AK$98,L$1,工数管理!$AG$3:$AG$98,"&lt;="&amp;$H249,工数管理!$AH$3:$AH$98,""))*($H249&lt;=工数管理!$AI$1))</f>
        <v>0</v>
      </c>
    </row>
    <row r="250" spans="8:12" x14ac:dyDescent="0.15">
      <c r="H250" s="41">
        <f t="shared" si="7"/>
        <v>46418</v>
      </c>
      <c r="I250" s="42">
        <f t="shared" si="6"/>
        <v>0</v>
      </c>
      <c r="J250" s="42">
        <f ca="1">IF(J$1="",0,COUNTIFS(工数管理!$AK$3:$AK$98,J$1,工数管理!$K$3:$K$98,"&lt;="&amp;$H250,工数管理!$L$3:$L$98,"&gt;="&amp;$H250)+COUNTIFS(工数管理!$AK$3:$AK$98,J$1,工数管理!$M$3:$M$98,"&lt;="&amp;$H250,工数管理!$N$3:$N$98,"&gt;="&amp;$H250)+COUNTIFS(工数管理!$AK$3:$AK$98,J$1,工数管理!$O$3:$O$98,"&lt;="&amp;$H250,工数管理!$P$3:$P$98,"&gt;="&amp;$H250)+COUNTIFS(工数管理!$AK$3:$AK$98,J$1,工数管理!$Q$3:$Q$98,"&lt;="&amp;$H250,工数管理!$R$3:$R$98,"&gt;="&amp;$H250)+COUNTIFS(工数管理!$AK$3:$AK$98,J$1,工数管理!$S$3:$S$98,"&lt;="&amp;$H250,工数管理!$T$3:$T$98,"&gt;="&amp;$H250)+COUNTIFS(工数管理!$AK$3:$AK$98,J$1,工数管理!$U$3:$U$98,"&lt;="&amp;$H250,工数管理!$V$3:$V$98,"&gt;="&amp;$H250)+COUNTIFS(工数管理!$AK$3:$AK$98,J$1,工数管理!$W$3:$W$98,"&lt;="&amp;$H250,工数管理!$X$3:$X$98,"&gt;="&amp;$H250)+COUNTIFS(工数管理!$AK$3:$AK$98,J$1,工数管理!$Y$3:$Y$98,"&lt;="&amp;$H250,工数管理!$Z$3:$Z$98,"&gt;="&amp;$H250)+COUNTIFS(工数管理!$AK$3:$AK$98,J$1,工数管理!$AA$3:$AA$98,"&lt;="&amp;$H250,工数管理!$AB$3:$AB$98,"&gt;="&amp;$H250)+COUNTIFS(工数管理!$AK$3:$AK$98,J$1,工数管理!$AC$3:$AC$98,"&lt;="&amp;$H250,工数管理!$AD$3:$AD$98,"&gt;="&amp;$H250)+COUNTIFS(工数管理!$AK$3:$AK$98,J$1,工数管理!$AE$3:$AE$98,"&lt;="&amp;$H250,工数管理!$AF$3:$AF$98,"&gt;="&amp;$H250)+COUNTIFS(工数管理!$AK$3:$AK$98,J$1,工数管理!$AG$3:$AG$98,"&lt;="&amp;$H250,工数管理!$AH$3:$AH$98,"&gt;="&amp;$H250)+(COUNTIFS(工数管理!$AK$3:$AK$98,J$1,工数管理!$K$3:$K$98,"&lt;="&amp;$H250,工数管理!$L$3:$L$98,"")+COUNTIFS(工数管理!$AK$3:$AK$98,J$1,工数管理!$M$3:$M$98,"&lt;="&amp;$H250,工数管理!$N$3:$N$98,"")+COUNTIFS(工数管理!$AK$3:$AK$98,J$1,工数管理!$O$3:$O$98,"&lt;="&amp;$H250,工数管理!$P$3:$P$98,"")+COUNTIFS(工数管理!$AK$3:$AK$98,J$1,工数管理!$Q$3:$Q$98,"&lt;="&amp;$H250,工数管理!$R$3:$R$98,"")+COUNTIFS(工数管理!$AK$3:$AK$98,J$1,工数管理!$S$3:$S$98,"&lt;="&amp;$H250,工数管理!$T$3:$T$98,"")+COUNTIFS(工数管理!$AK$3:$AK$98,J$1,工数管理!$U$3:$U$98,"&lt;="&amp;$H250,工数管理!$V$3:$V$98,"")+COUNTIFS(工数管理!$AK$3:$AK$98,J$1,工数管理!$W$3:$W$98,"&lt;="&amp;$H250,工数管理!$X$3:$X$98,"")+COUNTIFS(工数管理!$AK$3:$AK$98,J$1,工数管理!$Y$3:$Y$98,"&lt;="&amp;$H250,工数管理!$Z$3:$Z$98,"")+COUNTIFS(工数管理!$AK$3:$AK$98,J$1,工数管理!$AA$3:$AA$98,"&lt;="&amp;$H250,工数管理!$AB$3:$AB$98,"")+COUNTIFS(工数管理!$AK$3:$AK$98,J$1,工数管理!$AC$3:$AC$98,"&lt;="&amp;$H250,工数管理!$AD$3:$AD$98,"")+COUNTIFS(工数管理!$AK$3:$AK$98,J$1,工数管理!$AE$3:$AE$98,"&lt;="&amp;$H250,工数管理!$AF$3:$AF$98,"")+COUNTIFS(工数管理!$AK$3:$AK$98,J$1,工数管理!$AG$3:$AG$98,"&lt;="&amp;$H250,工数管理!$AH$3:$AH$98,""))*($H250&lt;=工数管理!$AI$1))</f>
        <v>0</v>
      </c>
      <c r="K250" s="42">
        <f ca="1">IF(K$1="",0,COUNTIFS(工数管理!$AK$3:$AK$98,K$1,工数管理!$K$3:$K$98,"&lt;="&amp;$H250,工数管理!$L$3:$L$98,"&gt;="&amp;$H250)+COUNTIFS(工数管理!$AK$3:$AK$98,K$1,工数管理!$M$3:$M$98,"&lt;="&amp;$H250,工数管理!$N$3:$N$98,"&gt;="&amp;$H250)+COUNTIFS(工数管理!$AK$3:$AK$98,K$1,工数管理!$O$3:$O$98,"&lt;="&amp;$H250,工数管理!$P$3:$P$98,"&gt;="&amp;$H250)+COUNTIFS(工数管理!$AK$3:$AK$98,K$1,工数管理!$Q$3:$Q$98,"&lt;="&amp;$H250,工数管理!$R$3:$R$98,"&gt;="&amp;$H250)+COUNTIFS(工数管理!$AK$3:$AK$98,K$1,工数管理!$S$3:$S$98,"&lt;="&amp;$H250,工数管理!$T$3:$T$98,"&gt;="&amp;$H250)+COUNTIFS(工数管理!$AK$3:$AK$98,K$1,工数管理!$U$3:$U$98,"&lt;="&amp;$H250,工数管理!$V$3:$V$98,"&gt;="&amp;$H250)+COUNTIFS(工数管理!$AK$3:$AK$98,K$1,工数管理!$W$3:$W$98,"&lt;="&amp;$H250,工数管理!$X$3:$X$98,"&gt;="&amp;$H250)+COUNTIFS(工数管理!$AK$3:$AK$98,K$1,工数管理!$Y$3:$Y$98,"&lt;="&amp;$H250,工数管理!$Z$3:$Z$98,"&gt;="&amp;$H250)+COUNTIFS(工数管理!$AK$3:$AK$98,K$1,工数管理!$AA$3:$AA$98,"&lt;="&amp;$H250,工数管理!$AB$3:$AB$98,"&gt;="&amp;$H250)+COUNTIFS(工数管理!$AK$3:$AK$98,K$1,工数管理!$AC$3:$AC$98,"&lt;="&amp;$H250,工数管理!$AD$3:$AD$98,"&gt;="&amp;$H250)+COUNTIFS(工数管理!$AK$3:$AK$98,K$1,工数管理!$AE$3:$AE$98,"&lt;="&amp;$H250,工数管理!$AF$3:$AF$98,"&gt;="&amp;$H250)+COUNTIFS(工数管理!$AK$3:$AK$98,K$1,工数管理!$AG$3:$AG$98,"&lt;="&amp;$H250,工数管理!$AH$3:$AH$98,"&gt;="&amp;$H250)+(COUNTIFS(工数管理!$AK$3:$AK$98,K$1,工数管理!$K$3:$K$98,"&lt;="&amp;$H250,工数管理!$L$3:$L$98,"")+COUNTIFS(工数管理!$AK$3:$AK$98,K$1,工数管理!$M$3:$M$98,"&lt;="&amp;$H250,工数管理!$N$3:$N$98,"")+COUNTIFS(工数管理!$AK$3:$AK$98,K$1,工数管理!$O$3:$O$98,"&lt;="&amp;$H250,工数管理!$P$3:$P$98,"")+COUNTIFS(工数管理!$AK$3:$AK$98,K$1,工数管理!$Q$3:$Q$98,"&lt;="&amp;$H250,工数管理!$R$3:$R$98,"")+COUNTIFS(工数管理!$AK$3:$AK$98,K$1,工数管理!$S$3:$S$98,"&lt;="&amp;$H250,工数管理!$T$3:$T$98,"")+COUNTIFS(工数管理!$AK$3:$AK$98,K$1,工数管理!$U$3:$U$98,"&lt;="&amp;$H250,工数管理!$V$3:$V$98,"")+COUNTIFS(工数管理!$AK$3:$AK$98,K$1,工数管理!$W$3:$W$98,"&lt;="&amp;$H250,工数管理!$X$3:$X$98,"")+COUNTIFS(工数管理!$AK$3:$AK$98,K$1,工数管理!$Y$3:$Y$98,"&lt;="&amp;$H250,工数管理!$Z$3:$Z$98,"")+COUNTIFS(工数管理!$AK$3:$AK$98,K$1,工数管理!$AA$3:$AA$98,"&lt;="&amp;$H250,工数管理!$AB$3:$AB$98,"")+COUNTIFS(工数管理!$AK$3:$AK$98,K$1,工数管理!$AC$3:$AC$98,"&lt;="&amp;$H250,工数管理!$AD$3:$AD$98,"")+COUNTIFS(工数管理!$AK$3:$AK$98,K$1,工数管理!$AE$3:$AE$98,"&lt;="&amp;$H250,工数管理!$AF$3:$AF$98,"")+COUNTIFS(工数管理!$AK$3:$AK$98,K$1,工数管理!$AG$3:$AG$98,"&lt;="&amp;$H250,工数管理!$AH$3:$AH$98,""))*($H250&lt;=工数管理!$AI$1))</f>
        <v>0</v>
      </c>
      <c r="L250" s="42">
        <f ca="1">IF(L$1="",0,COUNTIFS(工数管理!$AK$3:$AK$98,L$1,工数管理!$K$3:$K$98,"&lt;="&amp;$H250,工数管理!$L$3:$L$98,"&gt;="&amp;$H250)+COUNTIFS(工数管理!$AK$3:$AK$98,L$1,工数管理!$M$3:$M$98,"&lt;="&amp;$H250,工数管理!$N$3:$N$98,"&gt;="&amp;$H250)+COUNTIFS(工数管理!$AK$3:$AK$98,L$1,工数管理!$O$3:$O$98,"&lt;="&amp;$H250,工数管理!$P$3:$P$98,"&gt;="&amp;$H250)+COUNTIFS(工数管理!$AK$3:$AK$98,L$1,工数管理!$Q$3:$Q$98,"&lt;="&amp;$H250,工数管理!$R$3:$R$98,"&gt;="&amp;$H250)+COUNTIFS(工数管理!$AK$3:$AK$98,L$1,工数管理!$S$3:$S$98,"&lt;="&amp;$H250,工数管理!$T$3:$T$98,"&gt;="&amp;$H250)+COUNTIFS(工数管理!$AK$3:$AK$98,L$1,工数管理!$U$3:$U$98,"&lt;="&amp;$H250,工数管理!$V$3:$V$98,"&gt;="&amp;$H250)+COUNTIFS(工数管理!$AK$3:$AK$98,L$1,工数管理!$W$3:$W$98,"&lt;="&amp;$H250,工数管理!$X$3:$X$98,"&gt;="&amp;$H250)+COUNTIFS(工数管理!$AK$3:$AK$98,L$1,工数管理!$Y$3:$Y$98,"&lt;="&amp;$H250,工数管理!$Z$3:$Z$98,"&gt;="&amp;$H250)+COUNTIFS(工数管理!$AK$3:$AK$98,L$1,工数管理!$AA$3:$AA$98,"&lt;="&amp;$H250,工数管理!$AB$3:$AB$98,"&gt;="&amp;$H250)+COUNTIFS(工数管理!$AK$3:$AK$98,L$1,工数管理!$AC$3:$AC$98,"&lt;="&amp;$H250,工数管理!$AD$3:$AD$98,"&gt;="&amp;$H250)+COUNTIFS(工数管理!$AK$3:$AK$98,L$1,工数管理!$AE$3:$AE$98,"&lt;="&amp;$H250,工数管理!$AF$3:$AF$98,"&gt;="&amp;$H250)+COUNTIFS(工数管理!$AK$3:$AK$98,L$1,工数管理!$AG$3:$AG$98,"&lt;="&amp;$H250,工数管理!$AH$3:$AH$98,"&gt;="&amp;$H250)+(COUNTIFS(工数管理!$AK$3:$AK$98,L$1,工数管理!$K$3:$K$98,"&lt;="&amp;$H250,工数管理!$L$3:$L$98,"")+COUNTIFS(工数管理!$AK$3:$AK$98,L$1,工数管理!$M$3:$M$98,"&lt;="&amp;$H250,工数管理!$N$3:$N$98,"")+COUNTIFS(工数管理!$AK$3:$AK$98,L$1,工数管理!$O$3:$O$98,"&lt;="&amp;$H250,工数管理!$P$3:$P$98,"")+COUNTIFS(工数管理!$AK$3:$AK$98,L$1,工数管理!$Q$3:$Q$98,"&lt;="&amp;$H250,工数管理!$R$3:$R$98,"")+COUNTIFS(工数管理!$AK$3:$AK$98,L$1,工数管理!$S$3:$S$98,"&lt;="&amp;$H250,工数管理!$T$3:$T$98,"")+COUNTIFS(工数管理!$AK$3:$AK$98,L$1,工数管理!$U$3:$U$98,"&lt;="&amp;$H250,工数管理!$V$3:$V$98,"")+COUNTIFS(工数管理!$AK$3:$AK$98,L$1,工数管理!$W$3:$W$98,"&lt;="&amp;$H250,工数管理!$X$3:$X$98,"")+COUNTIFS(工数管理!$AK$3:$AK$98,L$1,工数管理!$Y$3:$Y$98,"&lt;="&amp;$H250,工数管理!$Z$3:$Z$98,"")+COUNTIFS(工数管理!$AK$3:$AK$98,L$1,工数管理!$AA$3:$AA$98,"&lt;="&amp;$H250,工数管理!$AB$3:$AB$98,"")+COUNTIFS(工数管理!$AK$3:$AK$98,L$1,工数管理!$AC$3:$AC$98,"&lt;="&amp;$H250,工数管理!$AD$3:$AD$98,"")+COUNTIFS(工数管理!$AK$3:$AK$98,L$1,工数管理!$AE$3:$AE$98,"&lt;="&amp;$H250,工数管理!$AF$3:$AF$98,"")+COUNTIFS(工数管理!$AK$3:$AK$98,L$1,工数管理!$AG$3:$AG$98,"&lt;="&amp;$H250,工数管理!$AH$3:$AH$98,""))*($H250&lt;=工数管理!$AI$1))</f>
        <v>0</v>
      </c>
    </row>
    <row r="251" spans="8:12" x14ac:dyDescent="0.15">
      <c r="H251" s="41">
        <f t="shared" si="7"/>
        <v>46419</v>
      </c>
      <c r="I251" s="42">
        <f t="shared" si="6"/>
        <v>1</v>
      </c>
      <c r="J251" s="42">
        <f ca="1">IF(J$1="",0,COUNTIFS(工数管理!$AK$3:$AK$98,J$1,工数管理!$K$3:$K$98,"&lt;="&amp;$H251,工数管理!$L$3:$L$98,"&gt;="&amp;$H251)+COUNTIFS(工数管理!$AK$3:$AK$98,J$1,工数管理!$M$3:$M$98,"&lt;="&amp;$H251,工数管理!$N$3:$N$98,"&gt;="&amp;$H251)+COUNTIFS(工数管理!$AK$3:$AK$98,J$1,工数管理!$O$3:$O$98,"&lt;="&amp;$H251,工数管理!$P$3:$P$98,"&gt;="&amp;$H251)+COUNTIFS(工数管理!$AK$3:$AK$98,J$1,工数管理!$Q$3:$Q$98,"&lt;="&amp;$H251,工数管理!$R$3:$R$98,"&gt;="&amp;$H251)+COUNTIFS(工数管理!$AK$3:$AK$98,J$1,工数管理!$S$3:$S$98,"&lt;="&amp;$H251,工数管理!$T$3:$T$98,"&gt;="&amp;$H251)+COUNTIFS(工数管理!$AK$3:$AK$98,J$1,工数管理!$U$3:$U$98,"&lt;="&amp;$H251,工数管理!$V$3:$V$98,"&gt;="&amp;$H251)+COUNTIFS(工数管理!$AK$3:$AK$98,J$1,工数管理!$W$3:$W$98,"&lt;="&amp;$H251,工数管理!$X$3:$X$98,"&gt;="&amp;$H251)+COUNTIFS(工数管理!$AK$3:$AK$98,J$1,工数管理!$Y$3:$Y$98,"&lt;="&amp;$H251,工数管理!$Z$3:$Z$98,"&gt;="&amp;$H251)+COUNTIFS(工数管理!$AK$3:$AK$98,J$1,工数管理!$AA$3:$AA$98,"&lt;="&amp;$H251,工数管理!$AB$3:$AB$98,"&gt;="&amp;$H251)+COUNTIFS(工数管理!$AK$3:$AK$98,J$1,工数管理!$AC$3:$AC$98,"&lt;="&amp;$H251,工数管理!$AD$3:$AD$98,"&gt;="&amp;$H251)+COUNTIFS(工数管理!$AK$3:$AK$98,J$1,工数管理!$AE$3:$AE$98,"&lt;="&amp;$H251,工数管理!$AF$3:$AF$98,"&gt;="&amp;$H251)+COUNTIFS(工数管理!$AK$3:$AK$98,J$1,工数管理!$AG$3:$AG$98,"&lt;="&amp;$H251,工数管理!$AH$3:$AH$98,"&gt;="&amp;$H251)+(COUNTIFS(工数管理!$AK$3:$AK$98,J$1,工数管理!$K$3:$K$98,"&lt;="&amp;$H251,工数管理!$L$3:$L$98,"")+COUNTIFS(工数管理!$AK$3:$AK$98,J$1,工数管理!$M$3:$M$98,"&lt;="&amp;$H251,工数管理!$N$3:$N$98,"")+COUNTIFS(工数管理!$AK$3:$AK$98,J$1,工数管理!$O$3:$O$98,"&lt;="&amp;$H251,工数管理!$P$3:$P$98,"")+COUNTIFS(工数管理!$AK$3:$AK$98,J$1,工数管理!$Q$3:$Q$98,"&lt;="&amp;$H251,工数管理!$R$3:$R$98,"")+COUNTIFS(工数管理!$AK$3:$AK$98,J$1,工数管理!$S$3:$S$98,"&lt;="&amp;$H251,工数管理!$T$3:$T$98,"")+COUNTIFS(工数管理!$AK$3:$AK$98,J$1,工数管理!$U$3:$U$98,"&lt;="&amp;$H251,工数管理!$V$3:$V$98,"")+COUNTIFS(工数管理!$AK$3:$AK$98,J$1,工数管理!$W$3:$W$98,"&lt;="&amp;$H251,工数管理!$X$3:$X$98,"")+COUNTIFS(工数管理!$AK$3:$AK$98,J$1,工数管理!$Y$3:$Y$98,"&lt;="&amp;$H251,工数管理!$Z$3:$Z$98,"")+COUNTIFS(工数管理!$AK$3:$AK$98,J$1,工数管理!$AA$3:$AA$98,"&lt;="&amp;$H251,工数管理!$AB$3:$AB$98,"")+COUNTIFS(工数管理!$AK$3:$AK$98,J$1,工数管理!$AC$3:$AC$98,"&lt;="&amp;$H251,工数管理!$AD$3:$AD$98,"")+COUNTIFS(工数管理!$AK$3:$AK$98,J$1,工数管理!$AE$3:$AE$98,"&lt;="&amp;$H251,工数管理!$AF$3:$AF$98,"")+COUNTIFS(工数管理!$AK$3:$AK$98,J$1,工数管理!$AG$3:$AG$98,"&lt;="&amp;$H251,工数管理!$AH$3:$AH$98,""))*($H251&lt;=工数管理!$AI$1))</f>
        <v>0</v>
      </c>
      <c r="K251" s="42">
        <f ca="1">IF(K$1="",0,COUNTIFS(工数管理!$AK$3:$AK$98,K$1,工数管理!$K$3:$K$98,"&lt;="&amp;$H251,工数管理!$L$3:$L$98,"&gt;="&amp;$H251)+COUNTIFS(工数管理!$AK$3:$AK$98,K$1,工数管理!$M$3:$M$98,"&lt;="&amp;$H251,工数管理!$N$3:$N$98,"&gt;="&amp;$H251)+COUNTIFS(工数管理!$AK$3:$AK$98,K$1,工数管理!$O$3:$O$98,"&lt;="&amp;$H251,工数管理!$P$3:$P$98,"&gt;="&amp;$H251)+COUNTIFS(工数管理!$AK$3:$AK$98,K$1,工数管理!$Q$3:$Q$98,"&lt;="&amp;$H251,工数管理!$R$3:$R$98,"&gt;="&amp;$H251)+COUNTIFS(工数管理!$AK$3:$AK$98,K$1,工数管理!$S$3:$S$98,"&lt;="&amp;$H251,工数管理!$T$3:$T$98,"&gt;="&amp;$H251)+COUNTIFS(工数管理!$AK$3:$AK$98,K$1,工数管理!$U$3:$U$98,"&lt;="&amp;$H251,工数管理!$V$3:$V$98,"&gt;="&amp;$H251)+COUNTIFS(工数管理!$AK$3:$AK$98,K$1,工数管理!$W$3:$W$98,"&lt;="&amp;$H251,工数管理!$X$3:$X$98,"&gt;="&amp;$H251)+COUNTIFS(工数管理!$AK$3:$AK$98,K$1,工数管理!$Y$3:$Y$98,"&lt;="&amp;$H251,工数管理!$Z$3:$Z$98,"&gt;="&amp;$H251)+COUNTIFS(工数管理!$AK$3:$AK$98,K$1,工数管理!$AA$3:$AA$98,"&lt;="&amp;$H251,工数管理!$AB$3:$AB$98,"&gt;="&amp;$H251)+COUNTIFS(工数管理!$AK$3:$AK$98,K$1,工数管理!$AC$3:$AC$98,"&lt;="&amp;$H251,工数管理!$AD$3:$AD$98,"&gt;="&amp;$H251)+COUNTIFS(工数管理!$AK$3:$AK$98,K$1,工数管理!$AE$3:$AE$98,"&lt;="&amp;$H251,工数管理!$AF$3:$AF$98,"&gt;="&amp;$H251)+COUNTIFS(工数管理!$AK$3:$AK$98,K$1,工数管理!$AG$3:$AG$98,"&lt;="&amp;$H251,工数管理!$AH$3:$AH$98,"&gt;="&amp;$H251)+(COUNTIFS(工数管理!$AK$3:$AK$98,K$1,工数管理!$K$3:$K$98,"&lt;="&amp;$H251,工数管理!$L$3:$L$98,"")+COUNTIFS(工数管理!$AK$3:$AK$98,K$1,工数管理!$M$3:$M$98,"&lt;="&amp;$H251,工数管理!$N$3:$N$98,"")+COUNTIFS(工数管理!$AK$3:$AK$98,K$1,工数管理!$O$3:$O$98,"&lt;="&amp;$H251,工数管理!$P$3:$P$98,"")+COUNTIFS(工数管理!$AK$3:$AK$98,K$1,工数管理!$Q$3:$Q$98,"&lt;="&amp;$H251,工数管理!$R$3:$R$98,"")+COUNTIFS(工数管理!$AK$3:$AK$98,K$1,工数管理!$S$3:$S$98,"&lt;="&amp;$H251,工数管理!$T$3:$T$98,"")+COUNTIFS(工数管理!$AK$3:$AK$98,K$1,工数管理!$U$3:$U$98,"&lt;="&amp;$H251,工数管理!$V$3:$V$98,"")+COUNTIFS(工数管理!$AK$3:$AK$98,K$1,工数管理!$W$3:$W$98,"&lt;="&amp;$H251,工数管理!$X$3:$X$98,"")+COUNTIFS(工数管理!$AK$3:$AK$98,K$1,工数管理!$Y$3:$Y$98,"&lt;="&amp;$H251,工数管理!$Z$3:$Z$98,"")+COUNTIFS(工数管理!$AK$3:$AK$98,K$1,工数管理!$AA$3:$AA$98,"&lt;="&amp;$H251,工数管理!$AB$3:$AB$98,"")+COUNTIFS(工数管理!$AK$3:$AK$98,K$1,工数管理!$AC$3:$AC$98,"&lt;="&amp;$H251,工数管理!$AD$3:$AD$98,"")+COUNTIFS(工数管理!$AK$3:$AK$98,K$1,工数管理!$AE$3:$AE$98,"&lt;="&amp;$H251,工数管理!$AF$3:$AF$98,"")+COUNTIFS(工数管理!$AK$3:$AK$98,K$1,工数管理!$AG$3:$AG$98,"&lt;="&amp;$H251,工数管理!$AH$3:$AH$98,""))*($H251&lt;=工数管理!$AI$1))</f>
        <v>0</v>
      </c>
      <c r="L251" s="42">
        <f ca="1">IF(L$1="",0,COUNTIFS(工数管理!$AK$3:$AK$98,L$1,工数管理!$K$3:$K$98,"&lt;="&amp;$H251,工数管理!$L$3:$L$98,"&gt;="&amp;$H251)+COUNTIFS(工数管理!$AK$3:$AK$98,L$1,工数管理!$M$3:$M$98,"&lt;="&amp;$H251,工数管理!$N$3:$N$98,"&gt;="&amp;$H251)+COUNTIFS(工数管理!$AK$3:$AK$98,L$1,工数管理!$O$3:$O$98,"&lt;="&amp;$H251,工数管理!$P$3:$P$98,"&gt;="&amp;$H251)+COUNTIFS(工数管理!$AK$3:$AK$98,L$1,工数管理!$Q$3:$Q$98,"&lt;="&amp;$H251,工数管理!$R$3:$R$98,"&gt;="&amp;$H251)+COUNTIFS(工数管理!$AK$3:$AK$98,L$1,工数管理!$S$3:$S$98,"&lt;="&amp;$H251,工数管理!$T$3:$T$98,"&gt;="&amp;$H251)+COUNTIFS(工数管理!$AK$3:$AK$98,L$1,工数管理!$U$3:$U$98,"&lt;="&amp;$H251,工数管理!$V$3:$V$98,"&gt;="&amp;$H251)+COUNTIFS(工数管理!$AK$3:$AK$98,L$1,工数管理!$W$3:$W$98,"&lt;="&amp;$H251,工数管理!$X$3:$X$98,"&gt;="&amp;$H251)+COUNTIFS(工数管理!$AK$3:$AK$98,L$1,工数管理!$Y$3:$Y$98,"&lt;="&amp;$H251,工数管理!$Z$3:$Z$98,"&gt;="&amp;$H251)+COUNTIFS(工数管理!$AK$3:$AK$98,L$1,工数管理!$AA$3:$AA$98,"&lt;="&amp;$H251,工数管理!$AB$3:$AB$98,"&gt;="&amp;$H251)+COUNTIFS(工数管理!$AK$3:$AK$98,L$1,工数管理!$AC$3:$AC$98,"&lt;="&amp;$H251,工数管理!$AD$3:$AD$98,"&gt;="&amp;$H251)+COUNTIFS(工数管理!$AK$3:$AK$98,L$1,工数管理!$AE$3:$AE$98,"&lt;="&amp;$H251,工数管理!$AF$3:$AF$98,"&gt;="&amp;$H251)+COUNTIFS(工数管理!$AK$3:$AK$98,L$1,工数管理!$AG$3:$AG$98,"&lt;="&amp;$H251,工数管理!$AH$3:$AH$98,"&gt;="&amp;$H251)+(COUNTIFS(工数管理!$AK$3:$AK$98,L$1,工数管理!$K$3:$K$98,"&lt;="&amp;$H251,工数管理!$L$3:$L$98,"")+COUNTIFS(工数管理!$AK$3:$AK$98,L$1,工数管理!$M$3:$M$98,"&lt;="&amp;$H251,工数管理!$N$3:$N$98,"")+COUNTIFS(工数管理!$AK$3:$AK$98,L$1,工数管理!$O$3:$O$98,"&lt;="&amp;$H251,工数管理!$P$3:$P$98,"")+COUNTIFS(工数管理!$AK$3:$AK$98,L$1,工数管理!$Q$3:$Q$98,"&lt;="&amp;$H251,工数管理!$R$3:$R$98,"")+COUNTIFS(工数管理!$AK$3:$AK$98,L$1,工数管理!$S$3:$S$98,"&lt;="&amp;$H251,工数管理!$T$3:$T$98,"")+COUNTIFS(工数管理!$AK$3:$AK$98,L$1,工数管理!$U$3:$U$98,"&lt;="&amp;$H251,工数管理!$V$3:$V$98,"")+COUNTIFS(工数管理!$AK$3:$AK$98,L$1,工数管理!$W$3:$W$98,"&lt;="&amp;$H251,工数管理!$X$3:$X$98,"")+COUNTIFS(工数管理!$AK$3:$AK$98,L$1,工数管理!$Y$3:$Y$98,"&lt;="&amp;$H251,工数管理!$Z$3:$Z$98,"")+COUNTIFS(工数管理!$AK$3:$AK$98,L$1,工数管理!$AA$3:$AA$98,"&lt;="&amp;$H251,工数管理!$AB$3:$AB$98,"")+COUNTIFS(工数管理!$AK$3:$AK$98,L$1,工数管理!$AC$3:$AC$98,"&lt;="&amp;$H251,工数管理!$AD$3:$AD$98,"")+COUNTIFS(工数管理!$AK$3:$AK$98,L$1,工数管理!$AE$3:$AE$98,"&lt;="&amp;$H251,工数管理!$AF$3:$AF$98,"")+COUNTIFS(工数管理!$AK$3:$AK$98,L$1,工数管理!$AG$3:$AG$98,"&lt;="&amp;$H251,工数管理!$AH$3:$AH$98,""))*($H251&lt;=工数管理!$AI$1))</f>
        <v>0</v>
      </c>
    </row>
    <row r="252" spans="8:12" x14ac:dyDescent="0.15">
      <c r="H252" s="41">
        <f t="shared" si="7"/>
        <v>46420</v>
      </c>
      <c r="I252" s="42">
        <f t="shared" si="6"/>
        <v>1</v>
      </c>
      <c r="J252" s="42">
        <f ca="1">IF(J$1="",0,COUNTIFS(工数管理!$AK$3:$AK$98,J$1,工数管理!$K$3:$K$98,"&lt;="&amp;$H252,工数管理!$L$3:$L$98,"&gt;="&amp;$H252)+COUNTIFS(工数管理!$AK$3:$AK$98,J$1,工数管理!$M$3:$M$98,"&lt;="&amp;$H252,工数管理!$N$3:$N$98,"&gt;="&amp;$H252)+COUNTIFS(工数管理!$AK$3:$AK$98,J$1,工数管理!$O$3:$O$98,"&lt;="&amp;$H252,工数管理!$P$3:$P$98,"&gt;="&amp;$H252)+COUNTIFS(工数管理!$AK$3:$AK$98,J$1,工数管理!$Q$3:$Q$98,"&lt;="&amp;$H252,工数管理!$R$3:$R$98,"&gt;="&amp;$H252)+COUNTIFS(工数管理!$AK$3:$AK$98,J$1,工数管理!$S$3:$S$98,"&lt;="&amp;$H252,工数管理!$T$3:$T$98,"&gt;="&amp;$H252)+COUNTIFS(工数管理!$AK$3:$AK$98,J$1,工数管理!$U$3:$U$98,"&lt;="&amp;$H252,工数管理!$V$3:$V$98,"&gt;="&amp;$H252)+COUNTIFS(工数管理!$AK$3:$AK$98,J$1,工数管理!$W$3:$W$98,"&lt;="&amp;$H252,工数管理!$X$3:$X$98,"&gt;="&amp;$H252)+COUNTIFS(工数管理!$AK$3:$AK$98,J$1,工数管理!$Y$3:$Y$98,"&lt;="&amp;$H252,工数管理!$Z$3:$Z$98,"&gt;="&amp;$H252)+COUNTIFS(工数管理!$AK$3:$AK$98,J$1,工数管理!$AA$3:$AA$98,"&lt;="&amp;$H252,工数管理!$AB$3:$AB$98,"&gt;="&amp;$H252)+COUNTIFS(工数管理!$AK$3:$AK$98,J$1,工数管理!$AC$3:$AC$98,"&lt;="&amp;$H252,工数管理!$AD$3:$AD$98,"&gt;="&amp;$H252)+COUNTIFS(工数管理!$AK$3:$AK$98,J$1,工数管理!$AE$3:$AE$98,"&lt;="&amp;$H252,工数管理!$AF$3:$AF$98,"&gt;="&amp;$H252)+COUNTIFS(工数管理!$AK$3:$AK$98,J$1,工数管理!$AG$3:$AG$98,"&lt;="&amp;$H252,工数管理!$AH$3:$AH$98,"&gt;="&amp;$H252)+(COUNTIFS(工数管理!$AK$3:$AK$98,J$1,工数管理!$K$3:$K$98,"&lt;="&amp;$H252,工数管理!$L$3:$L$98,"")+COUNTIFS(工数管理!$AK$3:$AK$98,J$1,工数管理!$M$3:$M$98,"&lt;="&amp;$H252,工数管理!$N$3:$N$98,"")+COUNTIFS(工数管理!$AK$3:$AK$98,J$1,工数管理!$O$3:$O$98,"&lt;="&amp;$H252,工数管理!$P$3:$P$98,"")+COUNTIFS(工数管理!$AK$3:$AK$98,J$1,工数管理!$Q$3:$Q$98,"&lt;="&amp;$H252,工数管理!$R$3:$R$98,"")+COUNTIFS(工数管理!$AK$3:$AK$98,J$1,工数管理!$S$3:$S$98,"&lt;="&amp;$H252,工数管理!$T$3:$T$98,"")+COUNTIFS(工数管理!$AK$3:$AK$98,J$1,工数管理!$U$3:$U$98,"&lt;="&amp;$H252,工数管理!$V$3:$V$98,"")+COUNTIFS(工数管理!$AK$3:$AK$98,J$1,工数管理!$W$3:$W$98,"&lt;="&amp;$H252,工数管理!$X$3:$X$98,"")+COUNTIFS(工数管理!$AK$3:$AK$98,J$1,工数管理!$Y$3:$Y$98,"&lt;="&amp;$H252,工数管理!$Z$3:$Z$98,"")+COUNTIFS(工数管理!$AK$3:$AK$98,J$1,工数管理!$AA$3:$AA$98,"&lt;="&amp;$H252,工数管理!$AB$3:$AB$98,"")+COUNTIFS(工数管理!$AK$3:$AK$98,J$1,工数管理!$AC$3:$AC$98,"&lt;="&amp;$H252,工数管理!$AD$3:$AD$98,"")+COUNTIFS(工数管理!$AK$3:$AK$98,J$1,工数管理!$AE$3:$AE$98,"&lt;="&amp;$H252,工数管理!$AF$3:$AF$98,"")+COUNTIFS(工数管理!$AK$3:$AK$98,J$1,工数管理!$AG$3:$AG$98,"&lt;="&amp;$H252,工数管理!$AH$3:$AH$98,""))*($H252&lt;=工数管理!$AI$1))</f>
        <v>0</v>
      </c>
      <c r="K252" s="42">
        <f ca="1">IF(K$1="",0,COUNTIFS(工数管理!$AK$3:$AK$98,K$1,工数管理!$K$3:$K$98,"&lt;="&amp;$H252,工数管理!$L$3:$L$98,"&gt;="&amp;$H252)+COUNTIFS(工数管理!$AK$3:$AK$98,K$1,工数管理!$M$3:$M$98,"&lt;="&amp;$H252,工数管理!$N$3:$N$98,"&gt;="&amp;$H252)+COUNTIFS(工数管理!$AK$3:$AK$98,K$1,工数管理!$O$3:$O$98,"&lt;="&amp;$H252,工数管理!$P$3:$P$98,"&gt;="&amp;$H252)+COUNTIFS(工数管理!$AK$3:$AK$98,K$1,工数管理!$Q$3:$Q$98,"&lt;="&amp;$H252,工数管理!$R$3:$R$98,"&gt;="&amp;$H252)+COUNTIFS(工数管理!$AK$3:$AK$98,K$1,工数管理!$S$3:$S$98,"&lt;="&amp;$H252,工数管理!$T$3:$T$98,"&gt;="&amp;$H252)+COUNTIFS(工数管理!$AK$3:$AK$98,K$1,工数管理!$U$3:$U$98,"&lt;="&amp;$H252,工数管理!$V$3:$V$98,"&gt;="&amp;$H252)+COUNTIFS(工数管理!$AK$3:$AK$98,K$1,工数管理!$W$3:$W$98,"&lt;="&amp;$H252,工数管理!$X$3:$X$98,"&gt;="&amp;$H252)+COUNTIFS(工数管理!$AK$3:$AK$98,K$1,工数管理!$Y$3:$Y$98,"&lt;="&amp;$H252,工数管理!$Z$3:$Z$98,"&gt;="&amp;$H252)+COUNTIFS(工数管理!$AK$3:$AK$98,K$1,工数管理!$AA$3:$AA$98,"&lt;="&amp;$H252,工数管理!$AB$3:$AB$98,"&gt;="&amp;$H252)+COUNTIFS(工数管理!$AK$3:$AK$98,K$1,工数管理!$AC$3:$AC$98,"&lt;="&amp;$H252,工数管理!$AD$3:$AD$98,"&gt;="&amp;$H252)+COUNTIFS(工数管理!$AK$3:$AK$98,K$1,工数管理!$AE$3:$AE$98,"&lt;="&amp;$H252,工数管理!$AF$3:$AF$98,"&gt;="&amp;$H252)+COUNTIFS(工数管理!$AK$3:$AK$98,K$1,工数管理!$AG$3:$AG$98,"&lt;="&amp;$H252,工数管理!$AH$3:$AH$98,"&gt;="&amp;$H252)+(COUNTIFS(工数管理!$AK$3:$AK$98,K$1,工数管理!$K$3:$K$98,"&lt;="&amp;$H252,工数管理!$L$3:$L$98,"")+COUNTIFS(工数管理!$AK$3:$AK$98,K$1,工数管理!$M$3:$M$98,"&lt;="&amp;$H252,工数管理!$N$3:$N$98,"")+COUNTIFS(工数管理!$AK$3:$AK$98,K$1,工数管理!$O$3:$O$98,"&lt;="&amp;$H252,工数管理!$P$3:$P$98,"")+COUNTIFS(工数管理!$AK$3:$AK$98,K$1,工数管理!$Q$3:$Q$98,"&lt;="&amp;$H252,工数管理!$R$3:$R$98,"")+COUNTIFS(工数管理!$AK$3:$AK$98,K$1,工数管理!$S$3:$S$98,"&lt;="&amp;$H252,工数管理!$T$3:$T$98,"")+COUNTIFS(工数管理!$AK$3:$AK$98,K$1,工数管理!$U$3:$U$98,"&lt;="&amp;$H252,工数管理!$V$3:$V$98,"")+COUNTIFS(工数管理!$AK$3:$AK$98,K$1,工数管理!$W$3:$W$98,"&lt;="&amp;$H252,工数管理!$X$3:$X$98,"")+COUNTIFS(工数管理!$AK$3:$AK$98,K$1,工数管理!$Y$3:$Y$98,"&lt;="&amp;$H252,工数管理!$Z$3:$Z$98,"")+COUNTIFS(工数管理!$AK$3:$AK$98,K$1,工数管理!$AA$3:$AA$98,"&lt;="&amp;$H252,工数管理!$AB$3:$AB$98,"")+COUNTIFS(工数管理!$AK$3:$AK$98,K$1,工数管理!$AC$3:$AC$98,"&lt;="&amp;$H252,工数管理!$AD$3:$AD$98,"")+COUNTIFS(工数管理!$AK$3:$AK$98,K$1,工数管理!$AE$3:$AE$98,"&lt;="&amp;$H252,工数管理!$AF$3:$AF$98,"")+COUNTIFS(工数管理!$AK$3:$AK$98,K$1,工数管理!$AG$3:$AG$98,"&lt;="&amp;$H252,工数管理!$AH$3:$AH$98,""))*($H252&lt;=工数管理!$AI$1))</f>
        <v>0</v>
      </c>
      <c r="L252" s="42">
        <f ca="1">IF(L$1="",0,COUNTIFS(工数管理!$AK$3:$AK$98,L$1,工数管理!$K$3:$K$98,"&lt;="&amp;$H252,工数管理!$L$3:$L$98,"&gt;="&amp;$H252)+COUNTIFS(工数管理!$AK$3:$AK$98,L$1,工数管理!$M$3:$M$98,"&lt;="&amp;$H252,工数管理!$N$3:$N$98,"&gt;="&amp;$H252)+COUNTIFS(工数管理!$AK$3:$AK$98,L$1,工数管理!$O$3:$O$98,"&lt;="&amp;$H252,工数管理!$P$3:$P$98,"&gt;="&amp;$H252)+COUNTIFS(工数管理!$AK$3:$AK$98,L$1,工数管理!$Q$3:$Q$98,"&lt;="&amp;$H252,工数管理!$R$3:$R$98,"&gt;="&amp;$H252)+COUNTIFS(工数管理!$AK$3:$AK$98,L$1,工数管理!$S$3:$S$98,"&lt;="&amp;$H252,工数管理!$T$3:$T$98,"&gt;="&amp;$H252)+COUNTIFS(工数管理!$AK$3:$AK$98,L$1,工数管理!$U$3:$U$98,"&lt;="&amp;$H252,工数管理!$V$3:$V$98,"&gt;="&amp;$H252)+COUNTIFS(工数管理!$AK$3:$AK$98,L$1,工数管理!$W$3:$W$98,"&lt;="&amp;$H252,工数管理!$X$3:$X$98,"&gt;="&amp;$H252)+COUNTIFS(工数管理!$AK$3:$AK$98,L$1,工数管理!$Y$3:$Y$98,"&lt;="&amp;$H252,工数管理!$Z$3:$Z$98,"&gt;="&amp;$H252)+COUNTIFS(工数管理!$AK$3:$AK$98,L$1,工数管理!$AA$3:$AA$98,"&lt;="&amp;$H252,工数管理!$AB$3:$AB$98,"&gt;="&amp;$H252)+COUNTIFS(工数管理!$AK$3:$AK$98,L$1,工数管理!$AC$3:$AC$98,"&lt;="&amp;$H252,工数管理!$AD$3:$AD$98,"&gt;="&amp;$H252)+COUNTIFS(工数管理!$AK$3:$AK$98,L$1,工数管理!$AE$3:$AE$98,"&lt;="&amp;$H252,工数管理!$AF$3:$AF$98,"&gt;="&amp;$H252)+COUNTIFS(工数管理!$AK$3:$AK$98,L$1,工数管理!$AG$3:$AG$98,"&lt;="&amp;$H252,工数管理!$AH$3:$AH$98,"&gt;="&amp;$H252)+(COUNTIFS(工数管理!$AK$3:$AK$98,L$1,工数管理!$K$3:$K$98,"&lt;="&amp;$H252,工数管理!$L$3:$L$98,"")+COUNTIFS(工数管理!$AK$3:$AK$98,L$1,工数管理!$M$3:$M$98,"&lt;="&amp;$H252,工数管理!$N$3:$N$98,"")+COUNTIFS(工数管理!$AK$3:$AK$98,L$1,工数管理!$O$3:$O$98,"&lt;="&amp;$H252,工数管理!$P$3:$P$98,"")+COUNTIFS(工数管理!$AK$3:$AK$98,L$1,工数管理!$Q$3:$Q$98,"&lt;="&amp;$H252,工数管理!$R$3:$R$98,"")+COUNTIFS(工数管理!$AK$3:$AK$98,L$1,工数管理!$S$3:$S$98,"&lt;="&amp;$H252,工数管理!$T$3:$T$98,"")+COUNTIFS(工数管理!$AK$3:$AK$98,L$1,工数管理!$U$3:$U$98,"&lt;="&amp;$H252,工数管理!$V$3:$V$98,"")+COUNTIFS(工数管理!$AK$3:$AK$98,L$1,工数管理!$W$3:$W$98,"&lt;="&amp;$H252,工数管理!$X$3:$X$98,"")+COUNTIFS(工数管理!$AK$3:$AK$98,L$1,工数管理!$Y$3:$Y$98,"&lt;="&amp;$H252,工数管理!$Z$3:$Z$98,"")+COUNTIFS(工数管理!$AK$3:$AK$98,L$1,工数管理!$AA$3:$AA$98,"&lt;="&amp;$H252,工数管理!$AB$3:$AB$98,"")+COUNTIFS(工数管理!$AK$3:$AK$98,L$1,工数管理!$AC$3:$AC$98,"&lt;="&amp;$H252,工数管理!$AD$3:$AD$98,"")+COUNTIFS(工数管理!$AK$3:$AK$98,L$1,工数管理!$AE$3:$AE$98,"&lt;="&amp;$H252,工数管理!$AF$3:$AF$98,"")+COUNTIFS(工数管理!$AK$3:$AK$98,L$1,工数管理!$AG$3:$AG$98,"&lt;="&amp;$H252,工数管理!$AH$3:$AH$98,""))*($H252&lt;=工数管理!$AI$1))</f>
        <v>0</v>
      </c>
    </row>
    <row r="253" spans="8:12" x14ac:dyDescent="0.15">
      <c r="H253" s="41">
        <f t="shared" si="7"/>
        <v>46421</v>
      </c>
      <c r="I253" s="42">
        <f t="shared" si="6"/>
        <v>1</v>
      </c>
      <c r="J253" s="42">
        <f ca="1">IF(J$1="",0,COUNTIFS(工数管理!$AK$3:$AK$98,J$1,工数管理!$K$3:$K$98,"&lt;="&amp;$H253,工数管理!$L$3:$L$98,"&gt;="&amp;$H253)+COUNTIFS(工数管理!$AK$3:$AK$98,J$1,工数管理!$M$3:$M$98,"&lt;="&amp;$H253,工数管理!$N$3:$N$98,"&gt;="&amp;$H253)+COUNTIFS(工数管理!$AK$3:$AK$98,J$1,工数管理!$O$3:$O$98,"&lt;="&amp;$H253,工数管理!$P$3:$P$98,"&gt;="&amp;$H253)+COUNTIFS(工数管理!$AK$3:$AK$98,J$1,工数管理!$Q$3:$Q$98,"&lt;="&amp;$H253,工数管理!$R$3:$R$98,"&gt;="&amp;$H253)+COUNTIFS(工数管理!$AK$3:$AK$98,J$1,工数管理!$S$3:$S$98,"&lt;="&amp;$H253,工数管理!$T$3:$T$98,"&gt;="&amp;$H253)+COUNTIFS(工数管理!$AK$3:$AK$98,J$1,工数管理!$U$3:$U$98,"&lt;="&amp;$H253,工数管理!$V$3:$V$98,"&gt;="&amp;$H253)+COUNTIFS(工数管理!$AK$3:$AK$98,J$1,工数管理!$W$3:$W$98,"&lt;="&amp;$H253,工数管理!$X$3:$X$98,"&gt;="&amp;$H253)+COUNTIFS(工数管理!$AK$3:$AK$98,J$1,工数管理!$Y$3:$Y$98,"&lt;="&amp;$H253,工数管理!$Z$3:$Z$98,"&gt;="&amp;$H253)+COUNTIFS(工数管理!$AK$3:$AK$98,J$1,工数管理!$AA$3:$AA$98,"&lt;="&amp;$H253,工数管理!$AB$3:$AB$98,"&gt;="&amp;$H253)+COUNTIFS(工数管理!$AK$3:$AK$98,J$1,工数管理!$AC$3:$AC$98,"&lt;="&amp;$H253,工数管理!$AD$3:$AD$98,"&gt;="&amp;$H253)+COUNTIFS(工数管理!$AK$3:$AK$98,J$1,工数管理!$AE$3:$AE$98,"&lt;="&amp;$H253,工数管理!$AF$3:$AF$98,"&gt;="&amp;$H253)+COUNTIFS(工数管理!$AK$3:$AK$98,J$1,工数管理!$AG$3:$AG$98,"&lt;="&amp;$H253,工数管理!$AH$3:$AH$98,"&gt;="&amp;$H253)+(COUNTIFS(工数管理!$AK$3:$AK$98,J$1,工数管理!$K$3:$K$98,"&lt;="&amp;$H253,工数管理!$L$3:$L$98,"")+COUNTIFS(工数管理!$AK$3:$AK$98,J$1,工数管理!$M$3:$M$98,"&lt;="&amp;$H253,工数管理!$N$3:$N$98,"")+COUNTIFS(工数管理!$AK$3:$AK$98,J$1,工数管理!$O$3:$O$98,"&lt;="&amp;$H253,工数管理!$P$3:$P$98,"")+COUNTIFS(工数管理!$AK$3:$AK$98,J$1,工数管理!$Q$3:$Q$98,"&lt;="&amp;$H253,工数管理!$R$3:$R$98,"")+COUNTIFS(工数管理!$AK$3:$AK$98,J$1,工数管理!$S$3:$S$98,"&lt;="&amp;$H253,工数管理!$T$3:$T$98,"")+COUNTIFS(工数管理!$AK$3:$AK$98,J$1,工数管理!$U$3:$U$98,"&lt;="&amp;$H253,工数管理!$V$3:$V$98,"")+COUNTIFS(工数管理!$AK$3:$AK$98,J$1,工数管理!$W$3:$W$98,"&lt;="&amp;$H253,工数管理!$X$3:$X$98,"")+COUNTIFS(工数管理!$AK$3:$AK$98,J$1,工数管理!$Y$3:$Y$98,"&lt;="&amp;$H253,工数管理!$Z$3:$Z$98,"")+COUNTIFS(工数管理!$AK$3:$AK$98,J$1,工数管理!$AA$3:$AA$98,"&lt;="&amp;$H253,工数管理!$AB$3:$AB$98,"")+COUNTIFS(工数管理!$AK$3:$AK$98,J$1,工数管理!$AC$3:$AC$98,"&lt;="&amp;$H253,工数管理!$AD$3:$AD$98,"")+COUNTIFS(工数管理!$AK$3:$AK$98,J$1,工数管理!$AE$3:$AE$98,"&lt;="&amp;$H253,工数管理!$AF$3:$AF$98,"")+COUNTIFS(工数管理!$AK$3:$AK$98,J$1,工数管理!$AG$3:$AG$98,"&lt;="&amp;$H253,工数管理!$AH$3:$AH$98,""))*($H253&lt;=工数管理!$AI$1))</f>
        <v>0</v>
      </c>
      <c r="K253" s="42">
        <f ca="1">IF(K$1="",0,COUNTIFS(工数管理!$AK$3:$AK$98,K$1,工数管理!$K$3:$K$98,"&lt;="&amp;$H253,工数管理!$L$3:$L$98,"&gt;="&amp;$H253)+COUNTIFS(工数管理!$AK$3:$AK$98,K$1,工数管理!$M$3:$M$98,"&lt;="&amp;$H253,工数管理!$N$3:$N$98,"&gt;="&amp;$H253)+COUNTIFS(工数管理!$AK$3:$AK$98,K$1,工数管理!$O$3:$O$98,"&lt;="&amp;$H253,工数管理!$P$3:$P$98,"&gt;="&amp;$H253)+COUNTIFS(工数管理!$AK$3:$AK$98,K$1,工数管理!$Q$3:$Q$98,"&lt;="&amp;$H253,工数管理!$R$3:$R$98,"&gt;="&amp;$H253)+COUNTIFS(工数管理!$AK$3:$AK$98,K$1,工数管理!$S$3:$S$98,"&lt;="&amp;$H253,工数管理!$T$3:$T$98,"&gt;="&amp;$H253)+COUNTIFS(工数管理!$AK$3:$AK$98,K$1,工数管理!$U$3:$U$98,"&lt;="&amp;$H253,工数管理!$V$3:$V$98,"&gt;="&amp;$H253)+COUNTIFS(工数管理!$AK$3:$AK$98,K$1,工数管理!$W$3:$W$98,"&lt;="&amp;$H253,工数管理!$X$3:$X$98,"&gt;="&amp;$H253)+COUNTIFS(工数管理!$AK$3:$AK$98,K$1,工数管理!$Y$3:$Y$98,"&lt;="&amp;$H253,工数管理!$Z$3:$Z$98,"&gt;="&amp;$H253)+COUNTIFS(工数管理!$AK$3:$AK$98,K$1,工数管理!$AA$3:$AA$98,"&lt;="&amp;$H253,工数管理!$AB$3:$AB$98,"&gt;="&amp;$H253)+COUNTIFS(工数管理!$AK$3:$AK$98,K$1,工数管理!$AC$3:$AC$98,"&lt;="&amp;$H253,工数管理!$AD$3:$AD$98,"&gt;="&amp;$H253)+COUNTIFS(工数管理!$AK$3:$AK$98,K$1,工数管理!$AE$3:$AE$98,"&lt;="&amp;$H253,工数管理!$AF$3:$AF$98,"&gt;="&amp;$H253)+COUNTIFS(工数管理!$AK$3:$AK$98,K$1,工数管理!$AG$3:$AG$98,"&lt;="&amp;$H253,工数管理!$AH$3:$AH$98,"&gt;="&amp;$H253)+(COUNTIFS(工数管理!$AK$3:$AK$98,K$1,工数管理!$K$3:$K$98,"&lt;="&amp;$H253,工数管理!$L$3:$L$98,"")+COUNTIFS(工数管理!$AK$3:$AK$98,K$1,工数管理!$M$3:$M$98,"&lt;="&amp;$H253,工数管理!$N$3:$N$98,"")+COUNTIFS(工数管理!$AK$3:$AK$98,K$1,工数管理!$O$3:$O$98,"&lt;="&amp;$H253,工数管理!$P$3:$P$98,"")+COUNTIFS(工数管理!$AK$3:$AK$98,K$1,工数管理!$Q$3:$Q$98,"&lt;="&amp;$H253,工数管理!$R$3:$R$98,"")+COUNTIFS(工数管理!$AK$3:$AK$98,K$1,工数管理!$S$3:$S$98,"&lt;="&amp;$H253,工数管理!$T$3:$T$98,"")+COUNTIFS(工数管理!$AK$3:$AK$98,K$1,工数管理!$U$3:$U$98,"&lt;="&amp;$H253,工数管理!$V$3:$V$98,"")+COUNTIFS(工数管理!$AK$3:$AK$98,K$1,工数管理!$W$3:$W$98,"&lt;="&amp;$H253,工数管理!$X$3:$X$98,"")+COUNTIFS(工数管理!$AK$3:$AK$98,K$1,工数管理!$Y$3:$Y$98,"&lt;="&amp;$H253,工数管理!$Z$3:$Z$98,"")+COUNTIFS(工数管理!$AK$3:$AK$98,K$1,工数管理!$AA$3:$AA$98,"&lt;="&amp;$H253,工数管理!$AB$3:$AB$98,"")+COUNTIFS(工数管理!$AK$3:$AK$98,K$1,工数管理!$AC$3:$AC$98,"&lt;="&amp;$H253,工数管理!$AD$3:$AD$98,"")+COUNTIFS(工数管理!$AK$3:$AK$98,K$1,工数管理!$AE$3:$AE$98,"&lt;="&amp;$H253,工数管理!$AF$3:$AF$98,"")+COUNTIFS(工数管理!$AK$3:$AK$98,K$1,工数管理!$AG$3:$AG$98,"&lt;="&amp;$H253,工数管理!$AH$3:$AH$98,""))*($H253&lt;=工数管理!$AI$1))</f>
        <v>0</v>
      </c>
      <c r="L253" s="42">
        <f ca="1">IF(L$1="",0,COUNTIFS(工数管理!$AK$3:$AK$98,L$1,工数管理!$K$3:$K$98,"&lt;="&amp;$H253,工数管理!$L$3:$L$98,"&gt;="&amp;$H253)+COUNTIFS(工数管理!$AK$3:$AK$98,L$1,工数管理!$M$3:$M$98,"&lt;="&amp;$H253,工数管理!$N$3:$N$98,"&gt;="&amp;$H253)+COUNTIFS(工数管理!$AK$3:$AK$98,L$1,工数管理!$O$3:$O$98,"&lt;="&amp;$H253,工数管理!$P$3:$P$98,"&gt;="&amp;$H253)+COUNTIFS(工数管理!$AK$3:$AK$98,L$1,工数管理!$Q$3:$Q$98,"&lt;="&amp;$H253,工数管理!$R$3:$R$98,"&gt;="&amp;$H253)+COUNTIFS(工数管理!$AK$3:$AK$98,L$1,工数管理!$S$3:$S$98,"&lt;="&amp;$H253,工数管理!$T$3:$T$98,"&gt;="&amp;$H253)+COUNTIFS(工数管理!$AK$3:$AK$98,L$1,工数管理!$U$3:$U$98,"&lt;="&amp;$H253,工数管理!$V$3:$V$98,"&gt;="&amp;$H253)+COUNTIFS(工数管理!$AK$3:$AK$98,L$1,工数管理!$W$3:$W$98,"&lt;="&amp;$H253,工数管理!$X$3:$X$98,"&gt;="&amp;$H253)+COUNTIFS(工数管理!$AK$3:$AK$98,L$1,工数管理!$Y$3:$Y$98,"&lt;="&amp;$H253,工数管理!$Z$3:$Z$98,"&gt;="&amp;$H253)+COUNTIFS(工数管理!$AK$3:$AK$98,L$1,工数管理!$AA$3:$AA$98,"&lt;="&amp;$H253,工数管理!$AB$3:$AB$98,"&gt;="&amp;$H253)+COUNTIFS(工数管理!$AK$3:$AK$98,L$1,工数管理!$AC$3:$AC$98,"&lt;="&amp;$H253,工数管理!$AD$3:$AD$98,"&gt;="&amp;$H253)+COUNTIFS(工数管理!$AK$3:$AK$98,L$1,工数管理!$AE$3:$AE$98,"&lt;="&amp;$H253,工数管理!$AF$3:$AF$98,"&gt;="&amp;$H253)+COUNTIFS(工数管理!$AK$3:$AK$98,L$1,工数管理!$AG$3:$AG$98,"&lt;="&amp;$H253,工数管理!$AH$3:$AH$98,"&gt;="&amp;$H253)+(COUNTIFS(工数管理!$AK$3:$AK$98,L$1,工数管理!$K$3:$K$98,"&lt;="&amp;$H253,工数管理!$L$3:$L$98,"")+COUNTIFS(工数管理!$AK$3:$AK$98,L$1,工数管理!$M$3:$M$98,"&lt;="&amp;$H253,工数管理!$N$3:$N$98,"")+COUNTIFS(工数管理!$AK$3:$AK$98,L$1,工数管理!$O$3:$O$98,"&lt;="&amp;$H253,工数管理!$P$3:$P$98,"")+COUNTIFS(工数管理!$AK$3:$AK$98,L$1,工数管理!$Q$3:$Q$98,"&lt;="&amp;$H253,工数管理!$R$3:$R$98,"")+COUNTIFS(工数管理!$AK$3:$AK$98,L$1,工数管理!$S$3:$S$98,"&lt;="&amp;$H253,工数管理!$T$3:$T$98,"")+COUNTIFS(工数管理!$AK$3:$AK$98,L$1,工数管理!$U$3:$U$98,"&lt;="&amp;$H253,工数管理!$V$3:$V$98,"")+COUNTIFS(工数管理!$AK$3:$AK$98,L$1,工数管理!$W$3:$W$98,"&lt;="&amp;$H253,工数管理!$X$3:$X$98,"")+COUNTIFS(工数管理!$AK$3:$AK$98,L$1,工数管理!$Y$3:$Y$98,"&lt;="&amp;$H253,工数管理!$Z$3:$Z$98,"")+COUNTIFS(工数管理!$AK$3:$AK$98,L$1,工数管理!$AA$3:$AA$98,"&lt;="&amp;$H253,工数管理!$AB$3:$AB$98,"")+COUNTIFS(工数管理!$AK$3:$AK$98,L$1,工数管理!$AC$3:$AC$98,"&lt;="&amp;$H253,工数管理!$AD$3:$AD$98,"")+COUNTIFS(工数管理!$AK$3:$AK$98,L$1,工数管理!$AE$3:$AE$98,"&lt;="&amp;$H253,工数管理!$AF$3:$AF$98,"")+COUNTIFS(工数管理!$AK$3:$AK$98,L$1,工数管理!$AG$3:$AG$98,"&lt;="&amp;$H253,工数管理!$AH$3:$AH$98,""))*($H253&lt;=工数管理!$AI$1))</f>
        <v>0</v>
      </c>
    </row>
    <row r="254" spans="8:12" x14ac:dyDescent="0.15">
      <c r="H254" s="41">
        <f t="shared" si="7"/>
        <v>46422</v>
      </c>
      <c r="I254" s="42">
        <f t="shared" si="6"/>
        <v>1</v>
      </c>
      <c r="J254" s="42">
        <f ca="1">IF(J$1="",0,COUNTIFS(工数管理!$AK$3:$AK$98,J$1,工数管理!$K$3:$K$98,"&lt;="&amp;$H254,工数管理!$L$3:$L$98,"&gt;="&amp;$H254)+COUNTIFS(工数管理!$AK$3:$AK$98,J$1,工数管理!$M$3:$M$98,"&lt;="&amp;$H254,工数管理!$N$3:$N$98,"&gt;="&amp;$H254)+COUNTIFS(工数管理!$AK$3:$AK$98,J$1,工数管理!$O$3:$O$98,"&lt;="&amp;$H254,工数管理!$P$3:$P$98,"&gt;="&amp;$H254)+COUNTIFS(工数管理!$AK$3:$AK$98,J$1,工数管理!$Q$3:$Q$98,"&lt;="&amp;$H254,工数管理!$R$3:$R$98,"&gt;="&amp;$H254)+COUNTIFS(工数管理!$AK$3:$AK$98,J$1,工数管理!$S$3:$S$98,"&lt;="&amp;$H254,工数管理!$T$3:$T$98,"&gt;="&amp;$H254)+COUNTIFS(工数管理!$AK$3:$AK$98,J$1,工数管理!$U$3:$U$98,"&lt;="&amp;$H254,工数管理!$V$3:$V$98,"&gt;="&amp;$H254)+COUNTIFS(工数管理!$AK$3:$AK$98,J$1,工数管理!$W$3:$W$98,"&lt;="&amp;$H254,工数管理!$X$3:$X$98,"&gt;="&amp;$H254)+COUNTIFS(工数管理!$AK$3:$AK$98,J$1,工数管理!$Y$3:$Y$98,"&lt;="&amp;$H254,工数管理!$Z$3:$Z$98,"&gt;="&amp;$H254)+COUNTIFS(工数管理!$AK$3:$AK$98,J$1,工数管理!$AA$3:$AA$98,"&lt;="&amp;$H254,工数管理!$AB$3:$AB$98,"&gt;="&amp;$H254)+COUNTIFS(工数管理!$AK$3:$AK$98,J$1,工数管理!$AC$3:$AC$98,"&lt;="&amp;$H254,工数管理!$AD$3:$AD$98,"&gt;="&amp;$H254)+COUNTIFS(工数管理!$AK$3:$AK$98,J$1,工数管理!$AE$3:$AE$98,"&lt;="&amp;$H254,工数管理!$AF$3:$AF$98,"&gt;="&amp;$H254)+COUNTIFS(工数管理!$AK$3:$AK$98,J$1,工数管理!$AG$3:$AG$98,"&lt;="&amp;$H254,工数管理!$AH$3:$AH$98,"&gt;="&amp;$H254)+(COUNTIFS(工数管理!$AK$3:$AK$98,J$1,工数管理!$K$3:$K$98,"&lt;="&amp;$H254,工数管理!$L$3:$L$98,"")+COUNTIFS(工数管理!$AK$3:$AK$98,J$1,工数管理!$M$3:$M$98,"&lt;="&amp;$H254,工数管理!$N$3:$N$98,"")+COUNTIFS(工数管理!$AK$3:$AK$98,J$1,工数管理!$O$3:$O$98,"&lt;="&amp;$H254,工数管理!$P$3:$P$98,"")+COUNTIFS(工数管理!$AK$3:$AK$98,J$1,工数管理!$Q$3:$Q$98,"&lt;="&amp;$H254,工数管理!$R$3:$R$98,"")+COUNTIFS(工数管理!$AK$3:$AK$98,J$1,工数管理!$S$3:$S$98,"&lt;="&amp;$H254,工数管理!$T$3:$T$98,"")+COUNTIFS(工数管理!$AK$3:$AK$98,J$1,工数管理!$U$3:$U$98,"&lt;="&amp;$H254,工数管理!$V$3:$V$98,"")+COUNTIFS(工数管理!$AK$3:$AK$98,J$1,工数管理!$W$3:$W$98,"&lt;="&amp;$H254,工数管理!$X$3:$X$98,"")+COUNTIFS(工数管理!$AK$3:$AK$98,J$1,工数管理!$Y$3:$Y$98,"&lt;="&amp;$H254,工数管理!$Z$3:$Z$98,"")+COUNTIFS(工数管理!$AK$3:$AK$98,J$1,工数管理!$AA$3:$AA$98,"&lt;="&amp;$H254,工数管理!$AB$3:$AB$98,"")+COUNTIFS(工数管理!$AK$3:$AK$98,J$1,工数管理!$AC$3:$AC$98,"&lt;="&amp;$H254,工数管理!$AD$3:$AD$98,"")+COUNTIFS(工数管理!$AK$3:$AK$98,J$1,工数管理!$AE$3:$AE$98,"&lt;="&amp;$H254,工数管理!$AF$3:$AF$98,"")+COUNTIFS(工数管理!$AK$3:$AK$98,J$1,工数管理!$AG$3:$AG$98,"&lt;="&amp;$H254,工数管理!$AH$3:$AH$98,""))*($H254&lt;=工数管理!$AI$1))</f>
        <v>0</v>
      </c>
      <c r="K254" s="42">
        <f ca="1">IF(K$1="",0,COUNTIFS(工数管理!$AK$3:$AK$98,K$1,工数管理!$K$3:$K$98,"&lt;="&amp;$H254,工数管理!$L$3:$L$98,"&gt;="&amp;$H254)+COUNTIFS(工数管理!$AK$3:$AK$98,K$1,工数管理!$M$3:$M$98,"&lt;="&amp;$H254,工数管理!$N$3:$N$98,"&gt;="&amp;$H254)+COUNTIFS(工数管理!$AK$3:$AK$98,K$1,工数管理!$O$3:$O$98,"&lt;="&amp;$H254,工数管理!$P$3:$P$98,"&gt;="&amp;$H254)+COUNTIFS(工数管理!$AK$3:$AK$98,K$1,工数管理!$Q$3:$Q$98,"&lt;="&amp;$H254,工数管理!$R$3:$R$98,"&gt;="&amp;$H254)+COUNTIFS(工数管理!$AK$3:$AK$98,K$1,工数管理!$S$3:$S$98,"&lt;="&amp;$H254,工数管理!$T$3:$T$98,"&gt;="&amp;$H254)+COUNTIFS(工数管理!$AK$3:$AK$98,K$1,工数管理!$U$3:$U$98,"&lt;="&amp;$H254,工数管理!$V$3:$V$98,"&gt;="&amp;$H254)+COUNTIFS(工数管理!$AK$3:$AK$98,K$1,工数管理!$W$3:$W$98,"&lt;="&amp;$H254,工数管理!$X$3:$X$98,"&gt;="&amp;$H254)+COUNTIFS(工数管理!$AK$3:$AK$98,K$1,工数管理!$Y$3:$Y$98,"&lt;="&amp;$H254,工数管理!$Z$3:$Z$98,"&gt;="&amp;$H254)+COUNTIFS(工数管理!$AK$3:$AK$98,K$1,工数管理!$AA$3:$AA$98,"&lt;="&amp;$H254,工数管理!$AB$3:$AB$98,"&gt;="&amp;$H254)+COUNTIFS(工数管理!$AK$3:$AK$98,K$1,工数管理!$AC$3:$AC$98,"&lt;="&amp;$H254,工数管理!$AD$3:$AD$98,"&gt;="&amp;$H254)+COUNTIFS(工数管理!$AK$3:$AK$98,K$1,工数管理!$AE$3:$AE$98,"&lt;="&amp;$H254,工数管理!$AF$3:$AF$98,"&gt;="&amp;$H254)+COUNTIFS(工数管理!$AK$3:$AK$98,K$1,工数管理!$AG$3:$AG$98,"&lt;="&amp;$H254,工数管理!$AH$3:$AH$98,"&gt;="&amp;$H254)+(COUNTIFS(工数管理!$AK$3:$AK$98,K$1,工数管理!$K$3:$K$98,"&lt;="&amp;$H254,工数管理!$L$3:$L$98,"")+COUNTIFS(工数管理!$AK$3:$AK$98,K$1,工数管理!$M$3:$M$98,"&lt;="&amp;$H254,工数管理!$N$3:$N$98,"")+COUNTIFS(工数管理!$AK$3:$AK$98,K$1,工数管理!$O$3:$O$98,"&lt;="&amp;$H254,工数管理!$P$3:$P$98,"")+COUNTIFS(工数管理!$AK$3:$AK$98,K$1,工数管理!$Q$3:$Q$98,"&lt;="&amp;$H254,工数管理!$R$3:$R$98,"")+COUNTIFS(工数管理!$AK$3:$AK$98,K$1,工数管理!$S$3:$S$98,"&lt;="&amp;$H254,工数管理!$T$3:$T$98,"")+COUNTIFS(工数管理!$AK$3:$AK$98,K$1,工数管理!$U$3:$U$98,"&lt;="&amp;$H254,工数管理!$V$3:$V$98,"")+COUNTIFS(工数管理!$AK$3:$AK$98,K$1,工数管理!$W$3:$W$98,"&lt;="&amp;$H254,工数管理!$X$3:$X$98,"")+COUNTIFS(工数管理!$AK$3:$AK$98,K$1,工数管理!$Y$3:$Y$98,"&lt;="&amp;$H254,工数管理!$Z$3:$Z$98,"")+COUNTIFS(工数管理!$AK$3:$AK$98,K$1,工数管理!$AA$3:$AA$98,"&lt;="&amp;$H254,工数管理!$AB$3:$AB$98,"")+COUNTIFS(工数管理!$AK$3:$AK$98,K$1,工数管理!$AC$3:$AC$98,"&lt;="&amp;$H254,工数管理!$AD$3:$AD$98,"")+COUNTIFS(工数管理!$AK$3:$AK$98,K$1,工数管理!$AE$3:$AE$98,"&lt;="&amp;$H254,工数管理!$AF$3:$AF$98,"")+COUNTIFS(工数管理!$AK$3:$AK$98,K$1,工数管理!$AG$3:$AG$98,"&lt;="&amp;$H254,工数管理!$AH$3:$AH$98,""))*($H254&lt;=工数管理!$AI$1))</f>
        <v>0</v>
      </c>
      <c r="L254" s="42">
        <f ca="1">IF(L$1="",0,COUNTIFS(工数管理!$AK$3:$AK$98,L$1,工数管理!$K$3:$K$98,"&lt;="&amp;$H254,工数管理!$L$3:$L$98,"&gt;="&amp;$H254)+COUNTIFS(工数管理!$AK$3:$AK$98,L$1,工数管理!$M$3:$M$98,"&lt;="&amp;$H254,工数管理!$N$3:$N$98,"&gt;="&amp;$H254)+COUNTIFS(工数管理!$AK$3:$AK$98,L$1,工数管理!$O$3:$O$98,"&lt;="&amp;$H254,工数管理!$P$3:$P$98,"&gt;="&amp;$H254)+COUNTIFS(工数管理!$AK$3:$AK$98,L$1,工数管理!$Q$3:$Q$98,"&lt;="&amp;$H254,工数管理!$R$3:$R$98,"&gt;="&amp;$H254)+COUNTIFS(工数管理!$AK$3:$AK$98,L$1,工数管理!$S$3:$S$98,"&lt;="&amp;$H254,工数管理!$T$3:$T$98,"&gt;="&amp;$H254)+COUNTIFS(工数管理!$AK$3:$AK$98,L$1,工数管理!$U$3:$U$98,"&lt;="&amp;$H254,工数管理!$V$3:$V$98,"&gt;="&amp;$H254)+COUNTIFS(工数管理!$AK$3:$AK$98,L$1,工数管理!$W$3:$W$98,"&lt;="&amp;$H254,工数管理!$X$3:$X$98,"&gt;="&amp;$H254)+COUNTIFS(工数管理!$AK$3:$AK$98,L$1,工数管理!$Y$3:$Y$98,"&lt;="&amp;$H254,工数管理!$Z$3:$Z$98,"&gt;="&amp;$H254)+COUNTIFS(工数管理!$AK$3:$AK$98,L$1,工数管理!$AA$3:$AA$98,"&lt;="&amp;$H254,工数管理!$AB$3:$AB$98,"&gt;="&amp;$H254)+COUNTIFS(工数管理!$AK$3:$AK$98,L$1,工数管理!$AC$3:$AC$98,"&lt;="&amp;$H254,工数管理!$AD$3:$AD$98,"&gt;="&amp;$H254)+COUNTIFS(工数管理!$AK$3:$AK$98,L$1,工数管理!$AE$3:$AE$98,"&lt;="&amp;$H254,工数管理!$AF$3:$AF$98,"&gt;="&amp;$H254)+COUNTIFS(工数管理!$AK$3:$AK$98,L$1,工数管理!$AG$3:$AG$98,"&lt;="&amp;$H254,工数管理!$AH$3:$AH$98,"&gt;="&amp;$H254)+(COUNTIFS(工数管理!$AK$3:$AK$98,L$1,工数管理!$K$3:$K$98,"&lt;="&amp;$H254,工数管理!$L$3:$L$98,"")+COUNTIFS(工数管理!$AK$3:$AK$98,L$1,工数管理!$M$3:$M$98,"&lt;="&amp;$H254,工数管理!$N$3:$N$98,"")+COUNTIFS(工数管理!$AK$3:$AK$98,L$1,工数管理!$O$3:$O$98,"&lt;="&amp;$H254,工数管理!$P$3:$P$98,"")+COUNTIFS(工数管理!$AK$3:$AK$98,L$1,工数管理!$Q$3:$Q$98,"&lt;="&amp;$H254,工数管理!$R$3:$R$98,"")+COUNTIFS(工数管理!$AK$3:$AK$98,L$1,工数管理!$S$3:$S$98,"&lt;="&amp;$H254,工数管理!$T$3:$T$98,"")+COUNTIFS(工数管理!$AK$3:$AK$98,L$1,工数管理!$U$3:$U$98,"&lt;="&amp;$H254,工数管理!$V$3:$V$98,"")+COUNTIFS(工数管理!$AK$3:$AK$98,L$1,工数管理!$W$3:$W$98,"&lt;="&amp;$H254,工数管理!$X$3:$X$98,"")+COUNTIFS(工数管理!$AK$3:$AK$98,L$1,工数管理!$Y$3:$Y$98,"&lt;="&amp;$H254,工数管理!$Z$3:$Z$98,"")+COUNTIFS(工数管理!$AK$3:$AK$98,L$1,工数管理!$AA$3:$AA$98,"&lt;="&amp;$H254,工数管理!$AB$3:$AB$98,"")+COUNTIFS(工数管理!$AK$3:$AK$98,L$1,工数管理!$AC$3:$AC$98,"&lt;="&amp;$H254,工数管理!$AD$3:$AD$98,"")+COUNTIFS(工数管理!$AK$3:$AK$98,L$1,工数管理!$AE$3:$AE$98,"&lt;="&amp;$H254,工数管理!$AF$3:$AF$98,"")+COUNTIFS(工数管理!$AK$3:$AK$98,L$1,工数管理!$AG$3:$AG$98,"&lt;="&amp;$H254,工数管理!$AH$3:$AH$98,""))*($H254&lt;=工数管理!$AI$1))</f>
        <v>0</v>
      </c>
    </row>
    <row r="255" spans="8:12" x14ac:dyDescent="0.15">
      <c r="H255" s="41">
        <f t="shared" si="7"/>
        <v>46423</v>
      </c>
      <c r="I255" s="42">
        <f t="shared" si="6"/>
        <v>1</v>
      </c>
      <c r="J255" s="42">
        <f ca="1">IF(J$1="",0,COUNTIFS(工数管理!$AK$3:$AK$98,J$1,工数管理!$K$3:$K$98,"&lt;="&amp;$H255,工数管理!$L$3:$L$98,"&gt;="&amp;$H255)+COUNTIFS(工数管理!$AK$3:$AK$98,J$1,工数管理!$M$3:$M$98,"&lt;="&amp;$H255,工数管理!$N$3:$N$98,"&gt;="&amp;$H255)+COUNTIFS(工数管理!$AK$3:$AK$98,J$1,工数管理!$O$3:$O$98,"&lt;="&amp;$H255,工数管理!$P$3:$P$98,"&gt;="&amp;$H255)+COUNTIFS(工数管理!$AK$3:$AK$98,J$1,工数管理!$Q$3:$Q$98,"&lt;="&amp;$H255,工数管理!$R$3:$R$98,"&gt;="&amp;$H255)+COUNTIFS(工数管理!$AK$3:$AK$98,J$1,工数管理!$S$3:$S$98,"&lt;="&amp;$H255,工数管理!$T$3:$T$98,"&gt;="&amp;$H255)+COUNTIFS(工数管理!$AK$3:$AK$98,J$1,工数管理!$U$3:$U$98,"&lt;="&amp;$H255,工数管理!$V$3:$V$98,"&gt;="&amp;$H255)+COUNTIFS(工数管理!$AK$3:$AK$98,J$1,工数管理!$W$3:$W$98,"&lt;="&amp;$H255,工数管理!$X$3:$X$98,"&gt;="&amp;$H255)+COUNTIFS(工数管理!$AK$3:$AK$98,J$1,工数管理!$Y$3:$Y$98,"&lt;="&amp;$H255,工数管理!$Z$3:$Z$98,"&gt;="&amp;$H255)+COUNTIFS(工数管理!$AK$3:$AK$98,J$1,工数管理!$AA$3:$AA$98,"&lt;="&amp;$H255,工数管理!$AB$3:$AB$98,"&gt;="&amp;$H255)+COUNTIFS(工数管理!$AK$3:$AK$98,J$1,工数管理!$AC$3:$AC$98,"&lt;="&amp;$H255,工数管理!$AD$3:$AD$98,"&gt;="&amp;$H255)+COUNTIFS(工数管理!$AK$3:$AK$98,J$1,工数管理!$AE$3:$AE$98,"&lt;="&amp;$H255,工数管理!$AF$3:$AF$98,"&gt;="&amp;$H255)+COUNTIFS(工数管理!$AK$3:$AK$98,J$1,工数管理!$AG$3:$AG$98,"&lt;="&amp;$H255,工数管理!$AH$3:$AH$98,"&gt;="&amp;$H255)+(COUNTIFS(工数管理!$AK$3:$AK$98,J$1,工数管理!$K$3:$K$98,"&lt;="&amp;$H255,工数管理!$L$3:$L$98,"")+COUNTIFS(工数管理!$AK$3:$AK$98,J$1,工数管理!$M$3:$M$98,"&lt;="&amp;$H255,工数管理!$N$3:$N$98,"")+COUNTIFS(工数管理!$AK$3:$AK$98,J$1,工数管理!$O$3:$O$98,"&lt;="&amp;$H255,工数管理!$P$3:$P$98,"")+COUNTIFS(工数管理!$AK$3:$AK$98,J$1,工数管理!$Q$3:$Q$98,"&lt;="&amp;$H255,工数管理!$R$3:$R$98,"")+COUNTIFS(工数管理!$AK$3:$AK$98,J$1,工数管理!$S$3:$S$98,"&lt;="&amp;$H255,工数管理!$T$3:$T$98,"")+COUNTIFS(工数管理!$AK$3:$AK$98,J$1,工数管理!$U$3:$U$98,"&lt;="&amp;$H255,工数管理!$V$3:$V$98,"")+COUNTIFS(工数管理!$AK$3:$AK$98,J$1,工数管理!$W$3:$W$98,"&lt;="&amp;$H255,工数管理!$X$3:$X$98,"")+COUNTIFS(工数管理!$AK$3:$AK$98,J$1,工数管理!$Y$3:$Y$98,"&lt;="&amp;$H255,工数管理!$Z$3:$Z$98,"")+COUNTIFS(工数管理!$AK$3:$AK$98,J$1,工数管理!$AA$3:$AA$98,"&lt;="&amp;$H255,工数管理!$AB$3:$AB$98,"")+COUNTIFS(工数管理!$AK$3:$AK$98,J$1,工数管理!$AC$3:$AC$98,"&lt;="&amp;$H255,工数管理!$AD$3:$AD$98,"")+COUNTIFS(工数管理!$AK$3:$AK$98,J$1,工数管理!$AE$3:$AE$98,"&lt;="&amp;$H255,工数管理!$AF$3:$AF$98,"")+COUNTIFS(工数管理!$AK$3:$AK$98,J$1,工数管理!$AG$3:$AG$98,"&lt;="&amp;$H255,工数管理!$AH$3:$AH$98,""))*($H255&lt;=工数管理!$AI$1))</f>
        <v>0</v>
      </c>
      <c r="K255" s="42">
        <f ca="1">IF(K$1="",0,COUNTIFS(工数管理!$AK$3:$AK$98,K$1,工数管理!$K$3:$K$98,"&lt;="&amp;$H255,工数管理!$L$3:$L$98,"&gt;="&amp;$H255)+COUNTIFS(工数管理!$AK$3:$AK$98,K$1,工数管理!$M$3:$M$98,"&lt;="&amp;$H255,工数管理!$N$3:$N$98,"&gt;="&amp;$H255)+COUNTIFS(工数管理!$AK$3:$AK$98,K$1,工数管理!$O$3:$O$98,"&lt;="&amp;$H255,工数管理!$P$3:$P$98,"&gt;="&amp;$H255)+COUNTIFS(工数管理!$AK$3:$AK$98,K$1,工数管理!$Q$3:$Q$98,"&lt;="&amp;$H255,工数管理!$R$3:$R$98,"&gt;="&amp;$H255)+COUNTIFS(工数管理!$AK$3:$AK$98,K$1,工数管理!$S$3:$S$98,"&lt;="&amp;$H255,工数管理!$T$3:$T$98,"&gt;="&amp;$H255)+COUNTIFS(工数管理!$AK$3:$AK$98,K$1,工数管理!$U$3:$U$98,"&lt;="&amp;$H255,工数管理!$V$3:$V$98,"&gt;="&amp;$H255)+COUNTIFS(工数管理!$AK$3:$AK$98,K$1,工数管理!$W$3:$W$98,"&lt;="&amp;$H255,工数管理!$X$3:$X$98,"&gt;="&amp;$H255)+COUNTIFS(工数管理!$AK$3:$AK$98,K$1,工数管理!$Y$3:$Y$98,"&lt;="&amp;$H255,工数管理!$Z$3:$Z$98,"&gt;="&amp;$H255)+COUNTIFS(工数管理!$AK$3:$AK$98,K$1,工数管理!$AA$3:$AA$98,"&lt;="&amp;$H255,工数管理!$AB$3:$AB$98,"&gt;="&amp;$H255)+COUNTIFS(工数管理!$AK$3:$AK$98,K$1,工数管理!$AC$3:$AC$98,"&lt;="&amp;$H255,工数管理!$AD$3:$AD$98,"&gt;="&amp;$H255)+COUNTIFS(工数管理!$AK$3:$AK$98,K$1,工数管理!$AE$3:$AE$98,"&lt;="&amp;$H255,工数管理!$AF$3:$AF$98,"&gt;="&amp;$H255)+COUNTIFS(工数管理!$AK$3:$AK$98,K$1,工数管理!$AG$3:$AG$98,"&lt;="&amp;$H255,工数管理!$AH$3:$AH$98,"&gt;="&amp;$H255)+(COUNTIFS(工数管理!$AK$3:$AK$98,K$1,工数管理!$K$3:$K$98,"&lt;="&amp;$H255,工数管理!$L$3:$L$98,"")+COUNTIFS(工数管理!$AK$3:$AK$98,K$1,工数管理!$M$3:$M$98,"&lt;="&amp;$H255,工数管理!$N$3:$N$98,"")+COUNTIFS(工数管理!$AK$3:$AK$98,K$1,工数管理!$O$3:$O$98,"&lt;="&amp;$H255,工数管理!$P$3:$P$98,"")+COUNTIFS(工数管理!$AK$3:$AK$98,K$1,工数管理!$Q$3:$Q$98,"&lt;="&amp;$H255,工数管理!$R$3:$R$98,"")+COUNTIFS(工数管理!$AK$3:$AK$98,K$1,工数管理!$S$3:$S$98,"&lt;="&amp;$H255,工数管理!$T$3:$T$98,"")+COUNTIFS(工数管理!$AK$3:$AK$98,K$1,工数管理!$U$3:$U$98,"&lt;="&amp;$H255,工数管理!$V$3:$V$98,"")+COUNTIFS(工数管理!$AK$3:$AK$98,K$1,工数管理!$W$3:$W$98,"&lt;="&amp;$H255,工数管理!$X$3:$X$98,"")+COUNTIFS(工数管理!$AK$3:$AK$98,K$1,工数管理!$Y$3:$Y$98,"&lt;="&amp;$H255,工数管理!$Z$3:$Z$98,"")+COUNTIFS(工数管理!$AK$3:$AK$98,K$1,工数管理!$AA$3:$AA$98,"&lt;="&amp;$H255,工数管理!$AB$3:$AB$98,"")+COUNTIFS(工数管理!$AK$3:$AK$98,K$1,工数管理!$AC$3:$AC$98,"&lt;="&amp;$H255,工数管理!$AD$3:$AD$98,"")+COUNTIFS(工数管理!$AK$3:$AK$98,K$1,工数管理!$AE$3:$AE$98,"&lt;="&amp;$H255,工数管理!$AF$3:$AF$98,"")+COUNTIFS(工数管理!$AK$3:$AK$98,K$1,工数管理!$AG$3:$AG$98,"&lt;="&amp;$H255,工数管理!$AH$3:$AH$98,""))*($H255&lt;=工数管理!$AI$1))</f>
        <v>0</v>
      </c>
      <c r="L255" s="42">
        <f ca="1">IF(L$1="",0,COUNTIFS(工数管理!$AK$3:$AK$98,L$1,工数管理!$K$3:$K$98,"&lt;="&amp;$H255,工数管理!$L$3:$L$98,"&gt;="&amp;$H255)+COUNTIFS(工数管理!$AK$3:$AK$98,L$1,工数管理!$M$3:$M$98,"&lt;="&amp;$H255,工数管理!$N$3:$N$98,"&gt;="&amp;$H255)+COUNTIFS(工数管理!$AK$3:$AK$98,L$1,工数管理!$O$3:$O$98,"&lt;="&amp;$H255,工数管理!$P$3:$P$98,"&gt;="&amp;$H255)+COUNTIFS(工数管理!$AK$3:$AK$98,L$1,工数管理!$Q$3:$Q$98,"&lt;="&amp;$H255,工数管理!$R$3:$R$98,"&gt;="&amp;$H255)+COUNTIFS(工数管理!$AK$3:$AK$98,L$1,工数管理!$S$3:$S$98,"&lt;="&amp;$H255,工数管理!$T$3:$T$98,"&gt;="&amp;$H255)+COUNTIFS(工数管理!$AK$3:$AK$98,L$1,工数管理!$U$3:$U$98,"&lt;="&amp;$H255,工数管理!$V$3:$V$98,"&gt;="&amp;$H255)+COUNTIFS(工数管理!$AK$3:$AK$98,L$1,工数管理!$W$3:$W$98,"&lt;="&amp;$H255,工数管理!$X$3:$X$98,"&gt;="&amp;$H255)+COUNTIFS(工数管理!$AK$3:$AK$98,L$1,工数管理!$Y$3:$Y$98,"&lt;="&amp;$H255,工数管理!$Z$3:$Z$98,"&gt;="&amp;$H255)+COUNTIFS(工数管理!$AK$3:$AK$98,L$1,工数管理!$AA$3:$AA$98,"&lt;="&amp;$H255,工数管理!$AB$3:$AB$98,"&gt;="&amp;$H255)+COUNTIFS(工数管理!$AK$3:$AK$98,L$1,工数管理!$AC$3:$AC$98,"&lt;="&amp;$H255,工数管理!$AD$3:$AD$98,"&gt;="&amp;$H255)+COUNTIFS(工数管理!$AK$3:$AK$98,L$1,工数管理!$AE$3:$AE$98,"&lt;="&amp;$H255,工数管理!$AF$3:$AF$98,"&gt;="&amp;$H255)+COUNTIFS(工数管理!$AK$3:$AK$98,L$1,工数管理!$AG$3:$AG$98,"&lt;="&amp;$H255,工数管理!$AH$3:$AH$98,"&gt;="&amp;$H255)+(COUNTIFS(工数管理!$AK$3:$AK$98,L$1,工数管理!$K$3:$K$98,"&lt;="&amp;$H255,工数管理!$L$3:$L$98,"")+COUNTIFS(工数管理!$AK$3:$AK$98,L$1,工数管理!$M$3:$M$98,"&lt;="&amp;$H255,工数管理!$N$3:$N$98,"")+COUNTIFS(工数管理!$AK$3:$AK$98,L$1,工数管理!$O$3:$O$98,"&lt;="&amp;$H255,工数管理!$P$3:$P$98,"")+COUNTIFS(工数管理!$AK$3:$AK$98,L$1,工数管理!$Q$3:$Q$98,"&lt;="&amp;$H255,工数管理!$R$3:$R$98,"")+COUNTIFS(工数管理!$AK$3:$AK$98,L$1,工数管理!$S$3:$S$98,"&lt;="&amp;$H255,工数管理!$T$3:$T$98,"")+COUNTIFS(工数管理!$AK$3:$AK$98,L$1,工数管理!$U$3:$U$98,"&lt;="&amp;$H255,工数管理!$V$3:$V$98,"")+COUNTIFS(工数管理!$AK$3:$AK$98,L$1,工数管理!$W$3:$W$98,"&lt;="&amp;$H255,工数管理!$X$3:$X$98,"")+COUNTIFS(工数管理!$AK$3:$AK$98,L$1,工数管理!$Y$3:$Y$98,"&lt;="&amp;$H255,工数管理!$Z$3:$Z$98,"")+COUNTIFS(工数管理!$AK$3:$AK$98,L$1,工数管理!$AA$3:$AA$98,"&lt;="&amp;$H255,工数管理!$AB$3:$AB$98,"")+COUNTIFS(工数管理!$AK$3:$AK$98,L$1,工数管理!$AC$3:$AC$98,"&lt;="&amp;$H255,工数管理!$AD$3:$AD$98,"")+COUNTIFS(工数管理!$AK$3:$AK$98,L$1,工数管理!$AE$3:$AE$98,"&lt;="&amp;$H255,工数管理!$AF$3:$AF$98,"")+COUNTIFS(工数管理!$AK$3:$AK$98,L$1,工数管理!$AG$3:$AG$98,"&lt;="&amp;$H255,工数管理!$AH$3:$AH$98,""))*($H255&lt;=工数管理!$AI$1))</f>
        <v>0</v>
      </c>
    </row>
    <row r="256" spans="8:12" x14ac:dyDescent="0.15">
      <c r="H256" s="41">
        <f t="shared" si="7"/>
        <v>46424</v>
      </c>
      <c r="I256" s="42">
        <f t="shared" si="6"/>
        <v>0</v>
      </c>
      <c r="J256" s="42">
        <f ca="1">IF(J$1="",0,COUNTIFS(工数管理!$AK$3:$AK$98,J$1,工数管理!$K$3:$K$98,"&lt;="&amp;$H256,工数管理!$L$3:$L$98,"&gt;="&amp;$H256)+COUNTIFS(工数管理!$AK$3:$AK$98,J$1,工数管理!$M$3:$M$98,"&lt;="&amp;$H256,工数管理!$N$3:$N$98,"&gt;="&amp;$H256)+COUNTIFS(工数管理!$AK$3:$AK$98,J$1,工数管理!$O$3:$O$98,"&lt;="&amp;$H256,工数管理!$P$3:$P$98,"&gt;="&amp;$H256)+COUNTIFS(工数管理!$AK$3:$AK$98,J$1,工数管理!$Q$3:$Q$98,"&lt;="&amp;$H256,工数管理!$R$3:$R$98,"&gt;="&amp;$H256)+COUNTIFS(工数管理!$AK$3:$AK$98,J$1,工数管理!$S$3:$S$98,"&lt;="&amp;$H256,工数管理!$T$3:$T$98,"&gt;="&amp;$H256)+COUNTIFS(工数管理!$AK$3:$AK$98,J$1,工数管理!$U$3:$U$98,"&lt;="&amp;$H256,工数管理!$V$3:$V$98,"&gt;="&amp;$H256)+COUNTIFS(工数管理!$AK$3:$AK$98,J$1,工数管理!$W$3:$W$98,"&lt;="&amp;$H256,工数管理!$X$3:$X$98,"&gt;="&amp;$H256)+COUNTIFS(工数管理!$AK$3:$AK$98,J$1,工数管理!$Y$3:$Y$98,"&lt;="&amp;$H256,工数管理!$Z$3:$Z$98,"&gt;="&amp;$H256)+COUNTIFS(工数管理!$AK$3:$AK$98,J$1,工数管理!$AA$3:$AA$98,"&lt;="&amp;$H256,工数管理!$AB$3:$AB$98,"&gt;="&amp;$H256)+COUNTIFS(工数管理!$AK$3:$AK$98,J$1,工数管理!$AC$3:$AC$98,"&lt;="&amp;$H256,工数管理!$AD$3:$AD$98,"&gt;="&amp;$H256)+COUNTIFS(工数管理!$AK$3:$AK$98,J$1,工数管理!$AE$3:$AE$98,"&lt;="&amp;$H256,工数管理!$AF$3:$AF$98,"&gt;="&amp;$H256)+COUNTIFS(工数管理!$AK$3:$AK$98,J$1,工数管理!$AG$3:$AG$98,"&lt;="&amp;$H256,工数管理!$AH$3:$AH$98,"&gt;="&amp;$H256)+(COUNTIFS(工数管理!$AK$3:$AK$98,J$1,工数管理!$K$3:$K$98,"&lt;="&amp;$H256,工数管理!$L$3:$L$98,"")+COUNTIFS(工数管理!$AK$3:$AK$98,J$1,工数管理!$M$3:$M$98,"&lt;="&amp;$H256,工数管理!$N$3:$N$98,"")+COUNTIFS(工数管理!$AK$3:$AK$98,J$1,工数管理!$O$3:$O$98,"&lt;="&amp;$H256,工数管理!$P$3:$P$98,"")+COUNTIFS(工数管理!$AK$3:$AK$98,J$1,工数管理!$Q$3:$Q$98,"&lt;="&amp;$H256,工数管理!$R$3:$R$98,"")+COUNTIFS(工数管理!$AK$3:$AK$98,J$1,工数管理!$S$3:$S$98,"&lt;="&amp;$H256,工数管理!$T$3:$T$98,"")+COUNTIFS(工数管理!$AK$3:$AK$98,J$1,工数管理!$U$3:$U$98,"&lt;="&amp;$H256,工数管理!$V$3:$V$98,"")+COUNTIFS(工数管理!$AK$3:$AK$98,J$1,工数管理!$W$3:$W$98,"&lt;="&amp;$H256,工数管理!$X$3:$X$98,"")+COUNTIFS(工数管理!$AK$3:$AK$98,J$1,工数管理!$Y$3:$Y$98,"&lt;="&amp;$H256,工数管理!$Z$3:$Z$98,"")+COUNTIFS(工数管理!$AK$3:$AK$98,J$1,工数管理!$AA$3:$AA$98,"&lt;="&amp;$H256,工数管理!$AB$3:$AB$98,"")+COUNTIFS(工数管理!$AK$3:$AK$98,J$1,工数管理!$AC$3:$AC$98,"&lt;="&amp;$H256,工数管理!$AD$3:$AD$98,"")+COUNTIFS(工数管理!$AK$3:$AK$98,J$1,工数管理!$AE$3:$AE$98,"&lt;="&amp;$H256,工数管理!$AF$3:$AF$98,"")+COUNTIFS(工数管理!$AK$3:$AK$98,J$1,工数管理!$AG$3:$AG$98,"&lt;="&amp;$H256,工数管理!$AH$3:$AH$98,""))*($H256&lt;=工数管理!$AI$1))</f>
        <v>0</v>
      </c>
      <c r="K256" s="42">
        <f ca="1">IF(K$1="",0,COUNTIFS(工数管理!$AK$3:$AK$98,K$1,工数管理!$K$3:$K$98,"&lt;="&amp;$H256,工数管理!$L$3:$L$98,"&gt;="&amp;$H256)+COUNTIFS(工数管理!$AK$3:$AK$98,K$1,工数管理!$M$3:$M$98,"&lt;="&amp;$H256,工数管理!$N$3:$N$98,"&gt;="&amp;$H256)+COUNTIFS(工数管理!$AK$3:$AK$98,K$1,工数管理!$O$3:$O$98,"&lt;="&amp;$H256,工数管理!$P$3:$P$98,"&gt;="&amp;$H256)+COUNTIFS(工数管理!$AK$3:$AK$98,K$1,工数管理!$Q$3:$Q$98,"&lt;="&amp;$H256,工数管理!$R$3:$R$98,"&gt;="&amp;$H256)+COUNTIFS(工数管理!$AK$3:$AK$98,K$1,工数管理!$S$3:$S$98,"&lt;="&amp;$H256,工数管理!$T$3:$T$98,"&gt;="&amp;$H256)+COUNTIFS(工数管理!$AK$3:$AK$98,K$1,工数管理!$U$3:$U$98,"&lt;="&amp;$H256,工数管理!$V$3:$V$98,"&gt;="&amp;$H256)+COUNTIFS(工数管理!$AK$3:$AK$98,K$1,工数管理!$W$3:$W$98,"&lt;="&amp;$H256,工数管理!$X$3:$X$98,"&gt;="&amp;$H256)+COUNTIFS(工数管理!$AK$3:$AK$98,K$1,工数管理!$Y$3:$Y$98,"&lt;="&amp;$H256,工数管理!$Z$3:$Z$98,"&gt;="&amp;$H256)+COUNTIFS(工数管理!$AK$3:$AK$98,K$1,工数管理!$AA$3:$AA$98,"&lt;="&amp;$H256,工数管理!$AB$3:$AB$98,"&gt;="&amp;$H256)+COUNTIFS(工数管理!$AK$3:$AK$98,K$1,工数管理!$AC$3:$AC$98,"&lt;="&amp;$H256,工数管理!$AD$3:$AD$98,"&gt;="&amp;$H256)+COUNTIFS(工数管理!$AK$3:$AK$98,K$1,工数管理!$AE$3:$AE$98,"&lt;="&amp;$H256,工数管理!$AF$3:$AF$98,"&gt;="&amp;$H256)+COUNTIFS(工数管理!$AK$3:$AK$98,K$1,工数管理!$AG$3:$AG$98,"&lt;="&amp;$H256,工数管理!$AH$3:$AH$98,"&gt;="&amp;$H256)+(COUNTIFS(工数管理!$AK$3:$AK$98,K$1,工数管理!$K$3:$K$98,"&lt;="&amp;$H256,工数管理!$L$3:$L$98,"")+COUNTIFS(工数管理!$AK$3:$AK$98,K$1,工数管理!$M$3:$M$98,"&lt;="&amp;$H256,工数管理!$N$3:$N$98,"")+COUNTIFS(工数管理!$AK$3:$AK$98,K$1,工数管理!$O$3:$O$98,"&lt;="&amp;$H256,工数管理!$P$3:$P$98,"")+COUNTIFS(工数管理!$AK$3:$AK$98,K$1,工数管理!$Q$3:$Q$98,"&lt;="&amp;$H256,工数管理!$R$3:$R$98,"")+COUNTIFS(工数管理!$AK$3:$AK$98,K$1,工数管理!$S$3:$S$98,"&lt;="&amp;$H256,工数管理!$T$3:$T$98,"")+COUNTIFS(工数管理!$AK$3:$AK$98,K$1,工数管理!$U$3:$U$98,"&lt;="&amp;$H256,工数管理!$V$3:$V$98,"")+COUNTIFS(工数管理!$AK$3:$AK$98,K$1,工数管理!$W$3:$W$98,"&lt;="&amp;$H256,工数管理!$X$3:$X$98,"")+COUNTIFS(工数管理!$AK$3:$AK$98,K$1,工数管理!$Y$3:$Y$98,"&lt;="&amp;$H256,工数管理!$Z$3:$Z$98,"")+COUNTIFS(工数管理!$AK$3:$AK$98,K$1,工数管理!$AA$3:$AA$98,"&lt;="&amp;$H256,工数管理!$AB$3:$AB$98,"")+COUNTIFS(工数管理!$AK$3:$AK$98,K$1,工数管理!$AC$3:$AC$98,"&lt;="&amp;$H256,工数管理!$AD$3:$AD$98,"")+COUNTIFS(工数管理!$AK$3:$AK$98,K$1,工数管理!$AE$3:$AE$98,"&lt;="&amp;$H256,工数管理!$AF$3:$AF$98,"")+COUNTIFS(工数管理!$AK$3:$AK$98,K$1,工数管理!$AG$3:$AG$98,"&lt;="&amp;$H256,工数管理!$AH$3:$AH$98,""))*($H256&lt;=工数管理!$AI$1))</f>
        <v>0</v>
      </c>
      <c r="L256" s="42">
        <f ca="1">IF(L$1="",0,COUNTIFS(工数管理!$AK$3:$AK$98,L$1,工数管理!$K$3:$K$98,"&lt;="&amp;$H256,工数管理!$L$3:$L$98,"&gt;="&amp;$H256)+COUNTIFS(工数管理!$AK$3:$AK$98,L$1,工数管理!$M$3:$M$98,"&lt;="&amp;$H256,工数管理!$N$3:$N$98,"&gt;="&amp;$H256)+COUNTIFS(工数管理!$AK$3:$AK$98,L$1,工数管理!$O$3:$O$98,"&lt;="&amp;$H256,工数管理!$P$3:$P$98,"&gt;="&amp;$H256)+COUNTIFS(工数管理!$AK$3:$AK$98,L$1,工数管理!$Q$3:$Q$98,"&lt;="&amp;$H256,工数管理!$R$3:$R$98,"&gt;="&amp;$H256)+COUNTIFS(工数管理!$AK$3:$AK$98,L$1,工数管理!$S$3:$S$98,"&lt;="&amp;$H256,工数管理!$T$3:$T$98,"&gt;="&amp;$H256)+COUNTIFS(工数管理!$AK$3:$AK$98,L$1,工数管理!$U$3:$U$98,"&lt;="&amp;$H256,工数管理!$V$3:$V$98,"&gt;="&amp;$H256)+COUNTIFS(工数管理!$AK$3:$AK$98,L$1,工数管理!$W$3:$W$98,"&lt;="&amp;$H256,工数管理!$X$3:$X$98,"&gt;="&amp;$H256)+COUNTIFS(工数管理!$AK$3:$AK$98,L$1,工数管理!$Y$3:$Y$98,"&lt;="&amp;$H256,工数管理!$Z$3:$Z$98,"&gt;="&amp;$H256)+COUNTIFS(工数管理!$AK$3:$AK$98,L$1,工数管理!$AA$3:$AA$98,"&lt;="&amp;$H256,工数管理!$AB$3:$AB$98,"&gt;="&amp;$H256)+COUNTIFS(工数管理!$AK$3:$AK$98,L$1,工数管理!$AC$3:$AC$98,"&lt;="&amp;$H256,工数管理!$AD$3:$AD$98,"&gt;="&amp;$H256)+COUNTIFS(工数管理!$AK$3:$AK$98,L$1,工数管理!$AE$3:$AE$98,"&lt;="&amp;$H256,工数管理!$AF$3:$AF$98,"&gt;="&amp;$H256)+COUNTIFS(工数管理!$AK$3:$AK$98,L$1,工数管理!$AG$3:$AG$98,"&lt;="&amp;$H256,工数管理!$AH$3:$AH$98,"&gt;="&amp;$H256)+(COUNTIFS(工数管理!$AK$3:$AK$98,L$1,工数管理!$K$3:$K$98,"&lt;="&amp;$H256,工数管理!$L$3:$L$98,"")+COUNTIFS(工数管理!$AK$3:$AK$98,L$1,工数管理!$M$3:$M$98,"&lt;="&amp;$H256,工数管理!$N$3:$N$98,"")+COUNTIFS(工数管理!$AK$3:$AK$98,L$1,工数管理!$O$3:$O$98,"&lt;="&amp;$H256,工数管理!$P$3:$P$98,"")+COUNTIFS(工数管理!$AK$3:$AK$98,L$1,工数管理!$Q$3:$Q$98,"&lt;="&amp;$H256,工数管理!$R$3:$R$98,"")+COUNTIFS(工数管理!$AK$3:$AK$98,L$1,工数管理!$S$3:$S$98,"&lt;="&amp;$H256,工数管理!$T$3:$T$98,"")+COUNTIFS(工数管理!$AK$3:$AK$98,L$1,工数管理!$U$3:$U$98,"&lt;="&amp;$H256,工数管理!$V$3:$V$98,"")+COUNTIFS(工数管理!$AK$3:$AK$98,L$1,工数管理!$W$3:$W$98,"&lt;="&amp;$H256,工数管理!$X$3:$X$98,"")+COUNTIFS(工数管理!$AK$3:$AK$98,L$1,工数管理!$Y$3:$Y$98,"&lt;="&amp;$H256,工数管理!$Z$3:$Z$98,"")+COUNTIFS(工数管理!$AK$3:$AK$98,L$1,工数管理!$AA$3:$AA$98,"&lt;="&amp;$H256,工数管理!$AB$3:$AB$98,"")+COUNTIFS(工数管理!$AK$3:$AK$98,L$1,工数管理!$AC$3:$AC$98,"&lt;="&amp;$H256,工数管理!$AD$3:$AD$98,"")+COUNTIFS(工数管理!$AK$3:$AK$98,L$1,工数管理!$AE$3:$AE$98,"&lt;="&amp;$H256,工数管理!$AF$3:$AF$98,"")+COUNTIFS(工数管理!$AK$3:$AK$98,L$1,工数管理!$AG$3:$AG$98,"&lt;="&amp;$H256,工数管理!$AH$3:$AH$98,""))*($H256&lt;=工数管理!$AI$1))</f>
        <v>0</v>
      </c>
    </row>
    <row r="257" spans="8:12" x14ac:dyDescent="0.15">
      <c r="H257" s="41">
        <f t="shared" si="7"/>
        <v>46425</v>
      </c>
      <c r="I257" s="42">
        <f t="shared" si="6"/>
        <v>0</v>
      </c>
      <c r="J257" s="42">
        <f ca="1">IF(J$1="",0,COUNTIFS(工数管理!$AK$3:$AK$98,J$1,工数管理!$K$3:$K$98,"&lt;="&amp;$H257,工数管理!$L$3:$L$98,"&gt;="&amp;$H257)+COUNTIFS(工数管理!$AK$3:$AK$98,J$1,工数管理!$M$3:$M$98,"&lt;="&amp;$H257,工数管理!$N$3:$N$98,"&gt;="&amp;$H257)+COUNTIFS(工数管理!$AK$3:$AK$98,J$1,工数管理!$O$3:$O$98,"&lt;="&amp;$H257,工数管理!$P$3:$P$98,"&gt;="&amp;$H257)+COUNTIFS(工数管理!$AK$3:$AK$98,J$1,工数管理!$Q$3:$Q$98,"&lt;="&amp;$H257,工数管理!$R$3:$R$98,"&gt;="&amp;$H257)+COUNTIFS(工数管理!$AK$3:$AK$98,J$1,工数管理!$S$3:$S$98,"&lt;="&amp;$H257,工数管理!$T$3:$T$98,"&gt;="&amp;$H257)+COUNTIFS(工数管理!$AK$3:$AK$98,J$1,工数管理!$U$3:$U$98,"&lt;="&amp;$H257,工数管理!$V$3:$V$98,"&gt;="&amp;$H257)+COUNTIFS(工数管理!$AK$3:$AK$98,J$1,工数管理!$W$3:$W$98,"&lt;="&amp;$H257,工数管理!$X$3:$X$98,"&gt;="&amp;$H257)+COUNTIFS(工数管理!$AK$3:$AK$98,J$1,工数管理!$Y$3:$Y$98,"&lt;="&amp;$H257,工数管理!$Z$3:$Z$98,"&gt;="&amp;$H257)+COUNTIFS(工数管理!$AK$3:$AK$98,J$1,工数管理!$AA$3:$AA$98,"&lt;="&amp;$H257,工数管理!$AB$3:$AB$98,"&gt;="&amp;$H257)+COUNTIFS(工数管理!$AK$3:$AK$98,J$1,工数管理!$AC$3:$AC$98,"&lt;="&amp;$H257,工数管理!$AD$3:$AD$98,"&gt;="&amp;$H257)+COUNTIFS(工数管理!$AK$3:$AK$98,J$1,工数管理!$AE$3:$AE$98,"&lt;="&amp;$H257,工数管理!$AF$3:$AF$98,"&gt;="&amp;$H257)+COUNTIFS(工数管理!$AK$3:$AK$98,J$1,工数管理!$AG$3:$AG$98,"&lt;="&amp;$H257,工数管理!$AH$3:$AH$98,"&gt;="&amp;$H257)+(COUNTIFS(工数管理!$AK$3:$AK$98,J$1,工数管理!$K$3:$K$98,"&lt;="&amp;$H257,工数管理!$L$3:$L$98,"")+COUNTIFS(工数管理!$AK$3:$AK$98,J$1,工数管理!$M$3:$M$98,"&lt;="&amp;$H257,工数管理!$N$3:$N$98,"")+COUNTIFS(工数管理!$AK$3:$AK$98,J$1,工数管理!$O$3:$O$98,"&lt;="&amp;$H257,工数管理!$P$3:$P$98,"")+COUNTIFS(工数管理!$AK$3:$AK$98,J$1,工数管理!$Q$3:$Q$98,"&lt;="&amp;$H257,工数管理!$R$3:$R$98,"")+COUNTIFS(工数管理!$AK$3:$AK$98,J$1,工数管理!$S$3:$S$98,"&lt;="&amp;$H257,工数管理!$T$3:$T$98,"")+COUNTIFS(工数管理!$AK$3:$AK$98,J$1,工数管理!$U$3:$U$98,"&lt;="&amp;$H257,工数管理!$V$3:$V$98,"")+COUNTIFS(工数管理!$AK$3:$AK$98,J$1,工数管理!$W$3:$W$98,"&lt;="&amp;$H257,工数管理!$X$3:$X$98,"")+COUNTIFS(工数管理!$AK$3:$AK$98,J$1,工数管理!$Y$3:$Y$98,"&lt;="&amp;$H257,工数管理!$Z$3:$Z$98,"")+COUNTIFS(工数管理!$AK$3:$AK$98,J$1,工数管理!$AA$3:$AA$98,"&lt;="&amp;$H257,工数管理!$AB$3:$AB$98,"")+COUNTIFS(工数管理!$AK$3:$AK$98,J$1,工数管理!$AC$3:$AC$98,"&lt;="&amp;$H257,工数管理!$AD$3:$AD$98,"")+COUNTIFS(工数管理!$AK$3:$AK$98,J$1,工数管理!$AE$3:$AE$98,"&lt;="&amp;$H257,工数管理!$AF$3:$AF$98,"")+COUNTIFS(工数管理!$AK$3:$AK$98,J$1,工数管理!$AG$3:$AG$98,"&lt;="&amp;$H257,工数管理!$AH$3:$AH$98,""))*($H257&lt;=工数管理!$AI$1))</f>
        <v>0</v>
      </c>
      <c r="K257" s="42">
        <f ca="1">IF(K$1="",0,COUNTIFS(工数管理!$AK$3:$AK$98,K$1,工数管理!$K$3:$K$98,"&lt;="&amp;$H257,工数管理!$L$3:$L$98,"&gt;="&amp;$H257)+COUNTIFS(工数管理!$AK$3:$AK$98,K$1,工数管理!$M$3:$M$98,"&lt;="&amp;$H257,工数管理!$N$3:$N$98,"&gt;="&amp;$H257)+COUNTIFS(工数管理!$AK$3:$AK$98,K$1,工数管理!$O$3:$O$98,"&lt;="&amp;$H257,工数管理!$P$3:$P$98,"&gt;="&amp;$H257)+COUNTIFS(工数管理!$AK$3:$AK$98,K$1,工数管理!$Q$3:$Q$98,"&lt;="&amp;$H257,工数管理!$R$3:$R$98,"&gt;="&amp;$H257)+COUNTIFS(工数管理!$AK$3:$AK$98,K$1,工数管理!$S$3:$S$98,"&lt;="&amp;$H257,工数管理!$T$3:$T$98,"&gt;="&amp;$H257)+COUNTIFS(工数管理!$AK$3:$AK$98,K$1,工数管理!$U$3:$U$98,"&lt;="&amp;$H257,工数管理!$V$3:$V$98,"&gt;="&amp;$H257)+COUNTIFS(工数管理!$AK$3:$AK$98,K$1,工数管理!$W$3:$W$98,"&lt;="&amp;$H257,工数管理!$X$3:$X$98,"&gt;="&amp;$H257)+COUNTIFS(工数管理!$AK$3:$AK$98,K$1,工数管理!$Y$3:$Y$98,"&lt;="&amp;$H257,工数管理!$Z$3:$Z$98,"&gt;="&amp;$H257)+COUNTIFS(工数管理!$AK$3:$AK$98,K$1,工数管理!$AA$3:$AA$98,"&lt;="&amp;$H257,工数管理!$AB$3:$AB$98,"&gt;="&amp;$H257)+COUNTIFS(工数管理!$AK$3:$AK$98,K$1,工数管理!$AC$3:$AC$98,"&lt;="&amp;$H257,工数管理!$AD$3:$AD$98,"&gt;="&amp;$H257)+COUNTIFS(工数管理!$AK$3:$AK$98,K$1,工数管理!$AE$3:$AE$98,"&lt;="&amp;$H257,工数管理!$AF$3:$AF$98,"&gt;="&amp;$H257)+COUNTIFS(工数管理!$AK$3:$AK$98,K$1,工数管理!$AG$3:$AG$98,"&lt;="&amp;$H257,工数管理!$AH$3:$AH$98,"&gt;="&amp;$H257)+(COUNTIFS(工数管理!$AK$3:$AK$98,K$1,工数管理!$K$3:$K$98,"&lt;="&amp;$H257,工数管理!$L$3:$L$98,"")+COUNTIFS(工数管理!$AK$3:$AK$98,K$1,工数管理!$M$3:$M$98,"&lt;="&amp;$H257,工数管理!$N$3:$N$98,"")+COUNTIFS(工数管理!$AK$3:$AK$98,K$1,工数管理!$O$3:$O$98,"&lt;="&amp;$H257,工数管理!$P$3:$P$98,"")+COUNTIFS(工数管理!$AK$3:$AK$98,K$1,工数管理!$Q$3:$Q$98,"&lt;="&amp;$H257,工数管理!$R$3:$R$98,"")+COUNTIFS(工数管理!$AK$3:$AK$98,K$1,工数管理!$S$3:$S$98,"&lt;="&amp;$H257,工数管理!$T$3:$T$98,"")+COUNTIFS(工数管理!$AK$3:$AK$98,K$1,工数管理!$U$3:$U$98,"&lt;="&amp;$H257,工数管理!$V$3:$V$98,"")+COUNTIFS(工数管理!$AK$3:$AK$98,K$1,工数管理!$W$3:$W$98,"&lt;="&amp;$H257,工数管理!$X$3:$X$98,"")+COUNTIFS(工数管理!$AK$3:$AK$98,K$1,工数管理!$Y$3:$Y$98,"&lt;="&amp;$H257,工数管理!$Z$3:$Z$98,"")+COUNTIFS(工数管理!$AK$3:$AK$98,K$1,工数管理!$AA$3:$AA$98,"&lt;="&amp;$H257,工数管理!$AB$3:$AB$98,"")+COUNTIFS(工数管理!$AK$3:$AK$98,K$1,工数管理!$AC$3:$AC$98,"&lt;="&amp;$H257,工数管理!$AD$3:$AD$98,"")+COUNTIFS(工数管理!$AK$3:$AK$98,K$1,工数管理!$AE$3:$AE$98,"&lt;="&amp;$H257,工数管理!$AF$3:$AF$98,"")+COUNTIFS(工数管理!$AK$3:$AK$98,K$1,工数管理!$AG$3:$AG$98,"&lt;="&amp;$H257,工数管理!$AH$3:$AH$98,""))*($H257&lt;=工数管理!$AI$1))</f>
        <v>0</v>
      </c>
      <c r="L257" s="42">
        <f ca="1">IF(L$1="",0,COUNTIFS(工数管理!$AK$3:$AK$98,L$1,工数管理!$K$3:$K$98,"&lt;="&amp;$H257,工数管理!$L$3:$L$98,"&gt;="&amp;$H257)+COUNTIFS(工数管理!$AK$3:$AK$98,L$1,工数管理!$M$3:$M$98,"&lt;="&amp;$H257,工数管理!$N$3:$N$98,"&gt;="&amp;$H257)+COUNTIFS(工数管理!$AK$3:$AK$98,L$1,工数管理!$O$3:$O$98,"&lt;="&amp;$H257,工数管理!$P$3:$P$98,"&gt;="&amp;$H257)+COUNTIFS(工数管理!$AK$3:$AK$98,L$1,工数管理!$Q$3:$Q$98,"&lt;="&amp;$H257,工数管理!$R$3:$R$98,"&gt;="&amp;$H257)+COUNTIFS(工数管理!$AK$3:$AK$98,L$1,工数管理!$S$3:$S$98,"&lt;="&amp;$H257,工数管理!$T$3:$T$98,"&gt;="&amp;$H257)+COUNTIFS(工数管理!$AK$3:$AK$98,L$1,工数管理!$U$3:$U$98,"&lt;="&amp;$H257,工数管理!$V$3:$V$98,"&gt;="&amp;$H257)+COUNTIFS(工数管理!$AK$3:$AK$98,L$1,工数管理!$W$3:$W$98,"&lt;="&amp;$H257,工数管理!$X$3:$X$98,"&gt;="&amp;$H257)+COUNTIFS(工数管理!$AK$3:$AK$98,L$1,工数管理!$Y$3:$Y$98,"&lt;="&amp;$H257,工数管理!$Z$3:$Z$98,"&gt;="&amp;$H257)+COUNTIFS(工数管理!$AK$3:$AK$98,L$1,工数管理!$AA$3:$AA$98,"&lt;="&amp;$H257,工数管理!$AB$3:$AB$98,"&gt;="&amp;$H257)+COUNTIFS(工数管理!$AK$3:$AK$98,L$1,工数管理!$AC$3:$AC$98,"&lt;="&amp;$H257,工数管理!$AD$3:$AD$98,"&gt;="&amp;$H257)+COUNTIFS(工数管理!$AK$3:$AK$98,L$1,工数管理!$AE$3:$AE$98,"&lt;="&amp;$H257,工数管理!$AF$3:$AF$98,"&gt;="&amp;$H257)+COUNTIFS(工数管理!$AK$3:$AK$98,L$1,工数管理!$AG$3:$AG$98,"&lt;="&amp;$H257,工数管理!$AH$3:$AH$98,"&gt;="&amp;$H257)+(COUNTIFS(工数管理!$AK$3:$AK$98,L$1,工数管理!$K$3:$K$98,"&lt;="&amp;$H257,工数管理!$L$3:$L$98,"")+COUNTIFS(工数管理!$AK$3:$AK$98,L$1,工数管理!$M$3:$M$98,"&lt;="&amp;$H257,工数管理!$N$3:$N$98,"")+COUNTIFS(工数管理!$AK$3:$AK$98,L$1,工数管理!$O$3:$O$98,"&lt;="&amp;$H257,工数管理!$P$3:$P$98,"")+COUNTIFS(工数管理!$AK$3:$AK$98,L$1,工数管理!$Q$3:$Q$98,"&lt;="&amp;$H257,工数管理!$R$3:$R$98,"")+COUNTIFS(工数管理!$AK$3:$AK$98,L$1,工数管理!$S$3:$S$98,"&lt;="&amp;$H257,工数管理!$T$3:$T$98,"")+COUNTIFS(工数管理!$AK$3:$AK$98,L$1,工数管理!$U$3:$U$98,"&lt;="&amp;$H257,工数管理!$V$3:$V$98,"")+COUNTIFS(工数管理!$AK$3:$AK$98,L$1,工数管理!$W$3:$W$98,"&lt;="&amp;$H257,工数管理!$X$3:$X$98,"")+COUNTIFS(工数管理!$AK$3:$AK$98,L$1,工数管理!$Y$3:$Y$98,"&lt;="&amp;$H257,工数管理!$Z$3:$Z$98,"")+COUNTIFS(工数管理!$AK$3:$AK$98,L$1,工数管理!$AA$3:$AA$98,"&lt;="&amp;$H257,工数管理!$AB$3:$AB$98,"")+COUNTIFS(工数管理!$AK$3:$AK$98,L$1,工数管理!$AC$3:$AC$98,"&lt;="&amp;$H257,工数管理!$AD$3:$AD$98,"")+COUNTIFS(工数管理!$AK$3:$AK$98,L$1,工数管理!$AE$3:$AE$98,"&lt;="&amp;$H257,工数管理!$AF$3:$AF$98,"")+COUNTIFS(工数管理!$AK$3:$AK$98,L$1,工数管理!$AG$3:$AG$98,"&lt;="&amp;$H257,工数管理!$AH$3:$AH$98,""))*($H257&lt;=工数管理!$AI$1))</f>
        <v>0</v>
      </c>
    </row>
    <row r="258" spans="8:12" x14ac:dyDescent="0.15">
      <c r="H258" s="41">
        <f t="shared" si="7"/>
        <v>46426</v>
      </c>
      <c r="I258" s="42">
        <f t="shared" si="6"/>
        <v>1</v>
      </c>
      <c r="J258" s="42">
        <f ca="1">IF(J$1="",0,COUNTIFS(工数管理!$AK$3:$AK$98,J$1,工数管理!$K$3:$K$98,"&lt;="&amp;$H258,工数管理!$L$3:$L$98,"&gt;="&amp;$H258)+COUNTIFS(工数管理!$AK$3:$AK$98,J$1,工数管理!$M$3:$M$98,"&lt;="&amp;$H258,工数管理!$N$3:$N$98,"&gt;="&amp;$H258)+COUNTIFS(工数管理!$AK$3:$AK$98,J$1,工数管理!$O$3:$O$98,"&lt;="&amp;$H258,工数管理!$P$3:$P$98,"&gt;="&amp;$H258)+COUNTIFS(工数管理!$AK$3:$AK$98,J$1,工数管理!$Q$3:$Q$98,"&lt;="&amp;$H258,工数管理!$R$3:$R$98,"&gt;="&amp;$H258)+COUNTIFS(工数管理!$AK$3:$AK$98,J$1,工数管理!$S$3:$S$98,"&lt;="&amp;$H258,工数管理!$T$3:$T$98,"&gt;="&amp;$H258)+COUNTIFS(工数管理!$AK$3:$AK$98,J$1,工数管理!$U$3:$U$98,"&lt;="&amp;$H258,工数管理!$V$3:$V$98,"&gt;="&amp;$H258)+COUNTIFS(工数管理!$AK$3:$AK$98,J$1,工数管理!$W$3:$W$98,"&lt;="&amp;$H258,工数管理!$X$3:$X$98,"&gt;="&amp;$H258)+COUNTIFS(工数管理!$AK$3:$AK$98,J$1,工数管理!$Y$3:$Y$98,"&lt;="&amp;$H258,工数管理!$Z$3:$Z$98,"&gt;="&amp;$H258)+COUNTIFS(工数管理!$AK$3:$AK$98,J$1,工数管理!$AA$3:$AA$98,"&lt;="&amp;$H258,工数管理!$AB$3:$AB$98,"&gt;="&amp;$H258)+COUNTIFS(工数管理!$AK$3:$AK$98,J$1,工数管理!$AC$3:$AC$98,"&lt;="&amp;$H258,工数管理!$AD$3:$AD$98,"&gt;="&amp;$H258)+COUNTIFS(工数管理!$AK$3:$AK$98,J$1,工数管理!$AE$3:$AE$98,"&lt;="&amp;$H258,工数管理!$AF$3:$AF$98,"&gt;="&amp;$H258)+COUNTIFS(工数管理!$AK$3:$AK$98,J$1,工数管理!$AG$3:$AG$98,"&lt;="&amp;$H258,工数管理!$AH$3:$AH$98,"&gt;="&amp;$H258)+(COUNTIFS(工数管理!$AK$3:$AK$98,J$1,工数管理!$K$3:$K$98,"&lt;="&amp;$H258,工数管理!$L$3:$L$98,"")+COUNTIFS(工数管理!$AK$3:$AK$98,J$1,工数管理!$M$3:$M$98,"&lt;="&amp;$H258,工数管理!$N$3:$N$98,"")+COUNTIFS(工数管理!$AK$3:$AK$98,J$1,工数管理!$O$3:$O$98,"&lt;="&amp;$H258,工数管理!$P$3:$P$98,"")+COUNTIFS(工数管理!$AK$3:$AK$98,J$1,工数管理!$Q$3:$Q$98,"&lt;="&amp;$H258,工数管理!$R$3:$R$98,"")+COUNTIFS(工数管理!$AK$3:$AK$98,J$1,工数管理!$S$3:$S$98,"&lt;="&amp;$H258,工数管理!$T$3:$T$98,"")+COUNTIFS(工数管理!$AK$3:$AK$98,J$1,工数管理!$U$3:$U$98,"&lt;="&amp;$H258,工数管理!$V$3:$V$98,"")+COUNTIFS(工数管理!$AK$3:$AK$98,J$1,工数管理!$W$3:$W$98,"&lt;="&amp;$H258,工数管理!$X$3:$X$98,"")+COUNTIFS(工数管理!$AK$3:$AK$98,J$1,工数管理!$Y$3:$Y$98,"&lt;="&amp;$H258,工数管理!$Z$3:$Z$98,"")+COUNTIFS(工数管理!$AK$3:$AK$98,J$1,工数管理!$AA$3:$AA$98,"&lt;="&amp;$H258,工数管理!$AB$3:$AB$98,"")+COUNTIFS(工数管理!$AK$3:$AK$98,J$1,工数管理!$AC$3:$AC$98,"&lt;="&amp;$H258,工数管理!$AD$3:$AD$98,"")+COUNTIFS(工数管理!$AK$3:$AK$98,J$1,工数管理!$AE$3:$AE$98,"&lt;="&amp;$H258,工数管理!$AF$3:$AF$98,"")+COUNTIFS(工数管理!$AK$3:$AK$98,J$1,工数管理!$AG$3:$AG$98,"&lt;="&amp;$H258,工数管理!$AH$3:$AH$98,""))*($H258&lt;=工数管理!$AI$1))</f>
        <v>0</v>
      </c>
      <c r="K258" s="42">
        <f ca="1">IF(K$1="",0,COUNTIFS(工数管理!$AK$3:$AK$98,K$1,工数管理!$K$3:$K$98,"&lt;="&amp;$H258,工数管理!$L$3:$L$98,"&gt;="&amp;$H258)+COUNTIFS(工数管理!$AK$3:$AK$98,K$1,工数管理!$M$3:$M$98,"&lt;="&amp;$H258,工数管理!$N$3:$N$98,"&gt;="&amp;$H258)+COUNTIFS(工数管理!$AK$3:$AK$98,K$1,工数管理!$O$3:$O$98,"&lt;="&amp;$H258,工数管理!$P$3:$P$98,"&gt;="&amp;$H258)+COUNTIFS(工数管理!$AK$3:$AK$98,K$1,工数管理!$Q$3:$Q$98,"&lt;="&amp;$H258,工数管理!$R$3:$R$98,"&gt;="&amp;$H258)+COUNTIFS(工数管理!$AK$3:$AK$98,K$1,工数管理!$S$3:$S$98,"&lt;="&amp;$H258,工数管理!$T$3:$T$98,"&gt;="&amp;$H258)+COUNTIFS(工数管理!$AK$3:$AK$98,K$1,工数管理!$U$3:$U$98,"&lt;="&amp;$H258,工数管理!$V$3:$V$98,"&gt;="&amp;$H258)+COUNTIFS(工数管理!$AK$3:$AK$98,K$1,工数管理!$W$3:$W$98,"&lt;="&amp;$H258,工数管理!$X$3:$X$98,"&gt;="&amp;$H258)+COUNTIFS(工数管理!$AK$3:$AK$98,K$1,工数管理!$Y$3:$Y$98,"&lt;="&amp;$H258,工数管理!$Z$3:$Z$98,"&gt;="&amp;$H258)+COUNTIFS(工数管理!$AK$3:$AK$98,K$1,工数管理!$AA$3:$AA$98,"&lt;="&amp;$H258,工数管理!$AB$3:$AB$98,"&gt;="&amp;$H258)+COUNTIFS(工数管理!$AK$3:$AK$98,K$1,工数管理!$AC$3:$AC$98,"&lt;="&amp;$H258,工数管理!$AD$3:$AD$98,"&gt;="&amp;$H258)+COUNTIFS(工数管理!$AK$3:$AK$98,K$1,工数管理!$AE$3:$AE$98,"&lt;="&amp;$H258,工数管理!$AF$3:$AF$98,"&gt;="&amp;$H258)+COUNTIFS(工数管理!$AK$3:$AK$98,K$1,工数管理!$AG$3:$AG$98,"&lt;="&amp;$H258,工数管理!$AH$3:$AH$98,"&gt;="&amp;$H258)+(COUNTIFS(工数管理!$AK$3:$AK$98,K$1,工数管理!$K$3:$K$98,"&lt;="&amp;$H258,工数管理!$L$3:$L$98,"")+COUNTIFS(工数管理!$AK$3:$AK$98,K$1,工数管理!$M$3:$M$98,"&lt;="&amp;$H258,工数管理!$N$3:$N$98,"")+COUNTIFS(工数管理!$AK$3:$AK$98,K$1,工数管理!$O$3:$O$98,"&lt;="&amp;$H258,工数管理!$P$3:$P$98,"")+COUNTIFS(工数管理!$AK$3:$AK$98,K$1,工数管理!$Q$3:$Q$98,"&lt;="&amp;$H258,工数管理!$R$3:$R$98,"")+COUNTIFS(工数管理!$AK$3:$AK$98,K$1,工数管理!$S$3:$S$98,"&lt;="&amp;$H258,工数管理!$T$3:$T$98,"")+COUNTIFS(工数管理!$AK$3:$AK$98,K$1,工数管理!$U$3:$U$98,"&lt;="&amp;$H258,工数管理!$V$3:$V$98,"")+COUNTIFS(工数管理!$AK$3:$AK$98,K$1,工数管理!$W$3:$W$98,"&lt;="&amp;$H258,工数管理!$X$3:$X$98,"")+COUNTIFS(工数管理!$AK$3:$AK$98,K$1,工数管理!$Y$3:$Y$98,"&lt;="&amp;$H258,工数管理!$Z$3:$Z$98,"")+COUNTIFS(工数管理!$AK$3:$AK$98,K$1,工数管理!$AA$3:$AA$98,"&lt;="&amp;$H258,工数管理!$AB$3:$AB$98,"")+COUNTIFS(工数管理!$AK$3:$AK$98,K$1,工数管理!$AC$3:$AC$98,"&lt;="&amp;$H258,工数管理!$AD$3:$AD$98,"")+COUNTIFS(工数管理!$AK$3:$AK$98,K$1,工数管理!$AE$3:$AE$98,"&lt;="&amp;$H258,工数管理!$AF$3:$AF$98,"")+COUNTIFS(工数管理!$AK$3:$AK$98,K$1,工数管理!$AG$3:$AG$98,"&lt;="&amp;$H258,工数管理!$AH$3:$AH$98,""))*($H258&lt;=工数管理!$AI$1))</f>
        <v>0</v>
      </c>
      <c r="L258" s="42">
        <f ca="1">IF(L$1="",0,COUNTIFS(工数管理!$AK$3:$AK$98,L$1,工数管理!$K$3:$K$98,"&lt;="&amp;$H258,工数管理!$L$3:$L$98,"&gt;="&amp;$H258)+COUNTIFS(工数管理!$AK$3:$AK$98,L$1,工数管理!$M$3:$M$98,"&lt;="&amp;$H258,工数管理!$N$3:$N$98,"&gt;="&amp;$H258)+COUNTIFS(工数管理!$AK$3:$AK$98,L$1,工数管理!$O$3:$O$98,"&lt;="&amp;$H258,工数管理!$P$3:$P$98,"&gt;="&amp;$H258)+COUNTIFS(工数管理!$AK$3:$AK$98,L$1,工数管理!$Q$3:$Q$98,"&lt;="&amp;$H258,工数管理!$R$3:$R$98,"&gt;="&amp;$H258)+COUNTIFS(工数管理!$AK$3:$AK$98,L$1,工数管理!$S$3:$S$98,"&lt;="&amp;$H258,工数管理!$T$3:$T$98,"&gt;="&amp;$H258)+COUNTIFS(工数管理!$AK$3:$AK$98,L$1,工数管理!$U$3:$U$98,"&lt;="&amp;$H258,工数管理!$V$3:$V$98,"&gt;="&amp;$H258)+COUNTIFS(工数管理!$AK$3:$AK$98,L$1,工数管理!$W$3:$W$98,"&lt;="&amp;$H258,工数管理!$X$3:$X$98,"&gt;="&amp;$H258)+COUNTIFS(工数管理!$AK$3:$AK$98,L$1,工数管理!$Y$3:$Y$98,"&lt;="&amp;$H258,工数管理!$Z$3:$Z$98,"&gt;="&amp;$H258)+COUNTIFS(工数管理!$AK$3:$AK$98,L$1,工数管理!$AA$3:$AA$98,"&lt;="&amp;$H258,工数管理!$AB$3:$AB$98,"&gt;="&amp;$H258)+COUNTIFS(工数管理!$AK$3:$AK$98,L$1,工数管理!$AC$3:$AC$98,"&lt;="&amp;$H258,工数管理!$AD$3:$AD$98,"&gt;="&amp;$H258)+COUNTIFS(工数管理!$AK$3:$AK$98,L$1,工数管理!$AE$3:$AE$98,"&lt;="&amp;$H258,工数管理!$AF$3:$AF$98,"&gt;="&amp;$H258)+COUNTIFS(工数管理!$AK$3:$AK$98,L$1,工数管理!$AG$3:$AG$98,"&lt;="&amp;$H258,工数管理!$AH$3:$AH$98,"&gt;="&amp;$H258)+(COUNTIFS(工数管理!$AK$3:$AK$98,L$1,工数管理!$K$3:$K$98,"&lt;="&amp;$H258,工数管理!$L$3:$L$98,"")+COUNTIFS(工数管理!$AK$3:$AK$98,L$1,工数管理!$M$3:$M$98,"&lt;="&amp;$H258,工数管理!$N$3:$N$98,"")+COUNTIFS(工数管理!$AK$3:$AK$98,L$1,工数管理!$O$3:$O$98,"&lt;="&amp;$H258,工数管理!$P$3:$P$98,"")+COUNTIFS(工数管理!$AK$3:$AK$98,L$1,工数管理!$Q$3:$Q$98,"&lt;="&amp;$H258,工数管理!$R$3:$R$98,"")+COUNTIFS(工数管理!$AK$3:$AK$98,L$1,工数管理!$S$3:$S$98,"&lt;="&amp;$H258,工数管理!$T$3:$T$98,"")+COUNTIFS(工数管理!$AK$3:$AK$98,L$1,工数管理!$U$3:$U$98,"&lt;="&amp;$H258,工数管理!$V$3:$V$98,"")+COUNTIFS(工数管理!$AK$3:$AK$98,L$1,工数管理!$W$3:$W$98,"&lt;="&amp;$H258,工数管理!$X$3:$X$98,"")+COUNTIFS(工数管理!$AK$3:$AK$98,L$1,工数管理!$Y$3:$Y$98,"&lt;="&amp;$H258,工数管理!$Z$3:$Z$98,"")+COUNTIFS(工数管理!$AK$3:$AK$98,L$1,工数管理!$AA$3:$AA$98,"&lt;="&amp;$H258,工数管理!$AB$3:$AB$98,"")+COUNTIFS(工数管理!$AK$3:$AK$98,L$1,工数管理!$AC$3:$AC$98,"&lt;="&amp;$H258,工数管理!$AD$3:$AD$98,"")+COUNTIFS(工数管理!$AK$3:$AK$98,L$1,工数管理!$AE$3:$AE$98,"&lt;="&amp;$H258,工数管理!$AF$3:$AF$98,"")+COUNTIFS(工数管理!$AK$3:$AK$98,L$1,工数管理!$AG$3:$AG$98,"&lt;="&amp;$H258,工数管理!$AH$3:$AH$98,""))*($H258&lt;=工数管理!$AI$1))</f>
        <v>0</v>
      </c>
    </row>
    <row r="259" spans="8:12" x14ac:dyDescent="0.15">
      <c r="H259" s="41">
        <f t="shared" si="7"/>
        <v>46427</v>
      </c>
      <c r="I259" s="42">
        <f t="shared" si="6"/>
        <v>1</v>
      </c>
      <c r="J259" s="42">
        <f ca="1">IF(J$1="",0,COUNTIFS(工数管理!$AK$3:$AK$98,J$1,工数管理!$K$3:$K$98,"&lt;="&amp;$H259,工数管理!$L$3:$L$98,"&gt;="&amp;$H259)+COUNTIFS(工数管理!$AK$3:$AK$98,J$1,工数管理!$M$3:$M$98,"&lt;="&amp;$H259,工数管理!$N$3:$N$98,"&gt;="&amp;$H259)+COUNTIFS(工数管理!$AK$3:$AK$98,J$1,工数管理!$O$3:$O$98,"&lt;="&amp;$H259,工数管理!$P$3:$P$98,"&gt;="&amp;$H259)+COUNTIFS(工数管理!$AK$3:$AK$98,J$1,工数管理!$Q$3:$Q$98,"&lt;="&amp;$H259,工数管理!$R$3:$R$98,"&gt;="&amp;$H259)+COUNTIFS(工数管理!$AK$3:$AK$98,J$1,工数管理!$S$3:$S$98,"&lt;="&amp;$H259,工数管理!$T$3:$T$98,"&gt;="&amp;$H259)+COUNTIFS(工数管理!$AK$3:$AK$98,J$1,工数管理!$U$3:$U$98,"&lt;="&amp;$H259,工数管理!$V$3:$V$98,"&gt;="&amp;$H259)+COUNTIFS(工数管理!$AK$3:$AK$98,J$1,工数管理!$W$3:$W$98,"&lt;="&amp;$H259,工数管理!$X$3:$X$98,"&gt;="&amp;$H259)+COUNTIFS(工数管理!$AK$3:$AK$98,J$1,工数管理!$Y$3:$Y$98,"&lt;="&amp;$H259,工数管理!$Z$3:$Z$98,"&gt;="&amp;$H259)+COUNTIFS(工数管理!$AK$3:$AK$98,J$1,工数管理!$AA$3:$AA$98,"&lt;="&amp;$H259,工数管理!$AB$3:$AB$98,"&gt;="&amp;$H259)+COUNTIFS(工数管理!$AK$3:$AK$98,J$1,工数管理!$AC$3:$AC$98,"&lt;="&amp;$H259,工数管理!$AD$3:$AD$98,"&gt;="&amp;$H259)+COUNTIFS(工数管理!$AK$3:$AK$98,J$1,工数管理!$AE$3:$AE$98,"&lt;="&amp;$H259,工数管理!$AF$3:$AF$98,"&gt;="&amp;$H259)+COUNTIFS(工数管理!$AK$3:$AK$98,J$1,工数管理!$AG$3:$AG$98,"&lt;="&amp;$H259,工数管理!$AH$3:$AH$98,"&gt;="&amp;$H259)+(COUNTIFS(工数管理!$AK$3:$AK$98,J$1,工数管理!$K$3:$K$98,"&lt;="&amp;$H259,工数管理!$L$3:$L$98,"")+COUNTIFS(工数管理!$AK$3:$AK$98,J$1,工数管理!$M$3:$M$98,"&lt;="&amp;$H259,工数管理!$N$3:$N$98,"")+COUNTIFS(工数管理!$AK$3:$AK$98,J$1,工数管理!$O$3:$O$98,"&lt;="&amp;$H259,工数管理!$P$3:$P$98,"")+COUNTIFS(工数管理!$AK$3:$AK$98,J$1,工数管理!$Q$3:$Q$98,"&lt;="&amp;$H259,工数管理!$R$3:$R$98,"")+COUNTIFS(工数管理!$AK$3:$AK$98,J$1,工数管理!$S$3:$S$98,"&lt;="&amp;$H259,工数管理!$T$3:$T$98,"")+COUNTIFS(工数管理!$AK$3:$AK$98,J$1,工数管理!$U$3:$U$98,"&lt;="&amp;$H259,工数管理!$V$3:$V$98,"")+COUNTIFS(工数管理!$AK$3:$AK$98,J$1,工数管理!$W$3:$W$98,"&lt;="&amp;$H259,工数管理!$X$3:$X$98,"")+COUNTIFS(工数管理!$AK$3:$AK$98,J$1,工数管理!$Y$3:$Y$98,"&lt;="&amp;$H259,工数管理!$Z$3:$Z$98,"")+COUNTIFS(工数管理!$AK$3:$AK$98,J$1,工数管理!$AA$3:$AA$98,"&lt;="&amp;$H259,工数管理!$AB$3:$AB$98,"")+COUNTIFS(工数管理!$AK$3:$AK$98,J$1,工数管理!$AC$3:$AC$98,"&lt;="&amp;$H259,工数管理!$AD$3:$AD$98,"")+COUNTIFS(工数管理!$AK$3:$AK$98,J$1,工数管理!$AE$3:$AE$98,"&lt;="&amp;$H259,工数管理!$AF$3:$AF$98,"")+COUNTIFS(工数管理!$AK$3:$AK$98,J$1,工数管理!$AG$3:$AG$98,"&lt;="&amp;$H259,工数管理!$AH$3:$AH$98,""))*($H259&lt;=工数管理!$AI$1))</f>
        <v>0</v>
      </c>
      <c r="K259" s="42">
        <f ca="1">IF(K$1="",0,COUNTIFS(工数管理!$AK$3:$AK$98,K$1,工数管理!$K$3:$K$98,"&lt;="&amp;$H259,工数管理!$L$3:$L$98,"&gt;="&amp;$H259)+COUNTIFS(工数管理!$AK$3:$AK$98,K$1,工数管理!$M$3:$M$98,"&lt;="&amp;$H259,工数管理!$N$3:$N$98,"&gt;="&amp;$H259)+COUNTIFS(工数管理!$AK$3:$AK$98,K$1,工数管理!$O$3:$O$98,"&lt;="&amp;$H259,工数管理!$P$3:$P$98,"&gt;="&amp;$H259)+COUNTIFS(工数管理!$AK$3:$AK$98,K$1,工数管理!$Q$3:$Q$98,"&lt;="&amp;$H259,工数管理!$R$3:$R$98,"&gt;="&amp;$H259)+COUNTIFS(工数管理!$AK$3:$AK$98,K$1,工数管理!$S$3:$S$98,"&lt;="&amp;$H259,工数管理!$T$3:$T$98,"&gt;="&amp;$H259)+COUNTIFS(工数管理!$AK$3:$AK$98,K$1,工数管理!$U$3:$U$98,"&lt;="&amp;$H259,工数管理!$V$3:$V$98,"&gt;="&amp;$H259)+COUNTIFS(工数管理!$AK$3:$AK$98,K$1,工数管理!$W$3:$W$98,"&lt;="&amp;$H259,工数管理!$X$3:$X$98,"&gt;="&amp;$H259)+COUNTIFS(工数管理!$AK$3:$AK$98,K$1,工数管理!$Y$3:$Y$98,"&lt;="&amp;$H259,工数管理!$Z$3:$Z$98,"&gt;="&amp;$H259)+COUNTIFS(工数管理!$AK$3:$AK$98,K$1,工数管理!$AA$3:$AA$98,"&lt;="&amp;$H259,工数管理!$AB$3:$AB$98,"&gt;="&amp;$H259)+COUNTIFS(工数管理!$AK$3:$AK$98,K$1,工数管理!$AC$3:$AC$98,"&lt;="&amp;$H259,工数管理!$AD$3:$AD$98,"&gt;="&amp;$H259)+COUNTIFS(工数管理!$AK$3:$AK$98,K$1,工数管理!$AE$3:$AE$98,"&lt;="&amp;$H259,工数管理!$AF$3:$AF$98,"&gt;="&amp;$H259)+COUNTIFS(工数管理!$AK$3:$AK$98,K$1,工数管理!$AG$3:$AG$98,"&lt;="&amp;$H259,工数管理!$AH$3:$AH$98,"&gt;="&amp;$H259)+(COUNTIFS(工数管理!$AK$3:$AK$98,K$1,工数管理!$K$3:$K$98,"&lt;="&amp;$H259,工数管理!$L$3:$L$98,"")+COUNTIFS(工数管理!$AK$3:$AK$98,K$1,工数管理!$M$3:$M$98,"&lt;="&amp;$H259,工数管理!$N$3:$N$98,"")+COUNTIFS(工数管理!$AK$3:$AK$98,K$1,工数管理!$O$3:$O$98,"&lt;="&amp;$H259,工数管理!$P$3:$P$98,"")+COUNTIFS(工数管理!$AK$3:$AK$98,K$1,工数管理!$Q$3:$Q$98,"&lt;="&amp;$H259,工数管理!$R$3:$R$98,"")+COUNTIFS(工数管理!$AK$3:$AK$98,K$1,工数管理!$S$3:$S$98,"&lt;="&amp;$H259,工数管理!$T$3:$T$98,"")+COUNTIFS(工数管理!$AK$3:$AK$98,K$1,工数管理!$U$3:$U$98,"&lt;="&amp;$H259,工数管理!$V$3:$V$98,"")+COUNTIFS(工数管理!$AK$3:$AK$98,K$1,工数管理!$W$3:$W$98,"&lt;="&amp;$H259,工数管理!$X$3:$X$98,"")+COUNTIFS(工数管理!$AK$3:$AK$98,K$1,工数管理!$Y$3:$Y$98,"&lt;="&amp;$H259,工数管理!$Z$3:$Z$98,"")+COUNTIFS(工数管理!$AK$3:$AK$98,K$1,工数管理!$AA$3:$AA$98,"&lt;="&amp;$H259,工数管理!$AB$3:$AB$98,"")+COUNTIFS(工数管理!$AK$3:$AK$98,K$1,工数管理!$AC$3:$AC$98,"&lt;="&amp;$H259,工数管理!$AD$3:$AD$98,"")+COUNTIFS(工数管理!$AK$3:$AK$98,K$1,工数管理!$AE$3:$AE$98,"&lt;="&amp;$H259,工数管理!$AF$3:$AF$98,"")+COUNTIFS(工数管理!$AK$3:$AK$98,K$1,工数管理!$AG$3:$AG$98,"&lt;="&amp;$H259,工数管理!$AH$3:$AH$98,""))*($H259&lt;=工数管理!$AI$1))</f>
        <v>0</v>
      </c>
      <c r="L259" s="42">
        <f ca="1">IF(L$1="",0,COUNTIFS(工数管理!$AK$3:$AK$98,L$1,工数管理!$K$3:$K$98,"&lt;="&amp;$H259,工数管理!$L$3:$L$98,"&gt;="&amp;$H259)+COUNTIFS(工数管理!$AK$3:$AK$98,L$1,工数管理!$M$3:$M$98,"&lt;="&amp;$H259,工数管理!$N$3:$N$98,"&gt;="&amp;$H259)+COUNTIFS(工数管理!$AK$3:$AK$98,L$1,工数管理!$O$3:$O$98,"&lt;="&amp;$H259,工数管理!$P$3:$P$98,"&gt;="&amp;$H259)+COUNTIFS(工数管理!$AK$3:$AK$98,L$1,工数管理!$Q$3:$Q$98,"&lt;="&amp;$H259,工数管理!$R$3:$R$98,"&gt;="&amp;$H259)+COUNTIFS(工数管理!$AK$3:$AK$98,L$1,工数管理!$S$3:$S$98,"&lt;="&amp;$H259,工数管理!$T$3:$T$98,"&gt;="&amp;$H259)+COUNTIFS(工数管理!$AK$3:$AK$98,L$1,工数管理!$U$3:$U$98,"&lt;="&amp;$H259,工数管理!$V$3:$V$98,"&gt;="&amp;$H259)+COUNTIFS(工数管理!$AK$3:$AK$98,L$1,工数管理!$W$3:$W$98,"&lt;="&amp;$H259,工数管理!$X$3:$X$98,"&gt;="&amp;$H259)+COUNTIFS(工数管理!$AK$3:$AK$98,L$1,工数管理!$Y$3:$Y$98,"&lt;="&amp;$H259,工数管理!$Z$3:$Z$98,"&gt;="&amp;$H259)+COUNTIFS(工数管理!$AK$3:$AK$98,L$1,工数管理!$AA$3:$AA$98,"&lt;="&amp;$H259,工数管理!$AB$3:$AB$98,"&gt;="&amp;$H259)+COUNTIFS(工数管理!$AK$3:$AK$98,L$1,工数管理!$AC$3:$AC$98,"&lt;="&amp;$H259,工数管理!$AD$3:$AD$98,"&gt;="&amp;$H259)+COUNTIFS(工数管理!$AK$3:$AK$98,L$1,工数管理!$AE$3:$AE$98,"&lt;="&amp;$H259,工数管理!$AF$3:$AF$98,"&gt;="&amp;$H259)+COUNTIFS(工数管理!$AK$3:$AK$98,L$1,工数管理!$AG$3:$AG$98,"&lt;="&amp;$H259,工数管理!$AH$3:$AH$98,"&gt;="&amp;$H259)+(COUNTIFS(工数管理!$AK$3:$AK$98,L$1,工数管理!$K$3:$K$98,"&lt;="&amp;$H259,工数管理!$L$3:$L$98,"")+COUNTIFS(工数管理!$AK$3:$AK$98,L$1,工数管理!$M$3:$M$98,"&lt;="&amp;$H259,工数管理!$N$3:$N$98,"")+COUNTIFS(工数管理!$AK$3:$AK$98,L$1,工数管理!$O$3:$O$98,"&lt;="&amp;$H259,工数管理!$P$3:$P$98,"")+COUNTIFS(工数管理!$AK$3:$AK$98,L$1,工数管理!$Q$3:$Q$98,"&lt;="&amp;$H259,工数管理!$R$3:$R$98,"")+COUNTIFS(工数管理!$AK$3:$AK$98,L$1,工数管理!$S$3:$S$98,"&lt;="&amp;$H259,工数管理!$T$3:$T$98,"")+COUNTIFS(工数管理!$AK$3:$AK$98,L$1,工数管理!$U$3:$U$98,"&lt;="&amp;$H259,工数管理!$V$3:$V$98,"")+COUNTIFS(工数管理!$AK$3:$AK$98,L$1,工数管理!$W$3:$W$98,"&lt;="&amp;$H259,工数管理!$X$3:$X$98,"")+COUNTIFS(工数管理!$AK$3:$AK$98,L$1,工数管理!$Y$3:$Y$98,"&lt;="&amp;$H259,工数管理!$Z$3:$Z$98,"")+COUNTIFS(工数管理!$AK$3:$AK$98,L$1,工数管理!$AA$3:$AA$98,"&lt;="&amp;$H259,工数管理!$AB$3:$AB$98,"")+COUNTIFS(工数管理!$AK$3:$AK$98,L$1,工数管理!$AC$3:$AC$98,"&lt;="&amp;$H259,工数管理!$AD$3:$AD$98,"")+COUNTIFS(工数管理!$AK$3:$AK$98,L$1,工数管理!$AE$3:$AE$98,"&lt;="&amp;$H259,工数管理!$AF$3:$AF$98,"")+COUNTIFS(工数管理!$AK$3:$AK$98,L$1,工数管理!$AG$3:$AG$98,"&lt;="&amp;$H259,工数管理!$AH$3:$AH$98,""))*($H259&lt;=工数管理!$AI$1))</f>
        <v>0</v>
      </c>
    </row>
    <row r="260" spans="8:12" x14ac:dyDescent="0.15">
      <c r="H260" s="41">
        <f t="shared" si="7"/>
        <v>46428</v>
      </c>
      <c r="I260" s="42">
        <f t="shared" si="6"/>
        <v>1</v>
      </c>
      <c r="J260" s="42">
        <f ca="1">IF(J$1="",0,COUNTIFS(工数管理!$AK$3:$AK$98,J$1,工数管理!$K$3:$K$98,"&lt;="&amp;$H260,工数管理!$L$3:$L$98,"&gt;="&amp;$H260)+COUNTIFS(工数管理!$AK$3:$AK$98,J$1,工数管理!$M$3:$M$98,"&lt;="&amp;$H260,工数管理!$N$3:$N$98,"&gt;="&amp;$H260)+COUNTIFS(工数管理!$AK$3:$AK$98,J$1,工数管理!$O$3:$O$98,"&lt;="&amp;$H260,工数管理!$P$3:$P$98,"&gt;="&amp;$H260)+COUNTIFS(工数管理!$AK$3:$AK$98,J$1,工数管理!$Q$3:$Q$98,"&lt;="&amp;$H260,工数管理!$R$3:$R$98,"&gt;="&amp;$H260)+COUNTIFS(工数管理!$AK$3:$AK$98,J$1,工数管理!$S$3:$S$98,"&lt;="&amp;$H260,工数管理!$T$3:$T$98,"&gt;="&amp;$H260)+COUNTIFS(工数管理!$AK$3:$AK$98,J$1,工数管理!$U$3:$U$98,"&lt;="&amp;$H260,工数管理!$V$3:$V$98,"&gt;="&amp;$H260)+COUNTIFS(工数管理!$AK$3:$AK$98,J$1,工数管理!$W$3:$W$98,"&lt;="&amp;$H260,工数管理!$X$3:$X$98,"&gt;="&amp;$H260)+COUNTIFS(工数管理!$AK$3:$AK$98,J$1,工数管理!$Y$3:$Y$98,"&lt;="&amp;$H260,工数管理!$Z$3:$Z$98,"&gt;="&amp;$H260)+COUNTIFS(工数管理!$AK$3:$AK$98,J$1,工数管理!$AA$3:$AA$98,"&lt;="&amp;$H260,工数管理!$AB$3:$AB$98,"&gt;="&amp;$H260)+COUNTIFS(工数管理!$AK$3:$AK$98,J$1,工数管理!$AC$3:$AC$98,"&lt;="&amp;$H260,工数管理!$AD$3:$AD$98,"&gt;="&amp;$H260)+COUNTIFS(工数管理!$AK$3:$AK$98,J$1,工数管理!$AE$3:$AE$98,"&lt;="&amp;$H260,工数管理!$AF$3:$AF$98,"&gt;="&amp;$H260)+COUNTIFS(工数管理!$AK$3:$AK$98,J$1,工数管理!$AG$3:$AG$98,"&lt;="&amp;$H260,工数管理!$AH$3:$AH$98,"&gt;="&amp;$H260)+(COUNTIFS(工数管理!$AK$3:$AK$98,J$1,工数管理!$K$3:$K$98,"&lt;="&amp;$H260,工数管理!$L$3:$L$98,"")+COUNTIFS(工数管理!$AK$3:$AK$98,J$1,工数管理!$M$3:$M$98,"&lt;="&amp;$H260,工数管理!$N$3:$N$98,"")+COUNTIFS(工数管理!$AK$3:$AK$98,J$1,工数管理!$O$3:$O$98,"&lt;="&amp;$H260,工数管理!$P$3:$P$98,"")+COUNTIFS(工数管理!$AK$3:$AK$98,J$1,工数管理!$Q$3:$Q$98,"&lt;="&amp;$H260,工数管理!$R$3:$R$98,"")+COUNTIFS(工数管理!$AK$3:$AK$98,J$1,工数管理!$S$3:$S$98,"&lt;="&amp;$H260,工数管理!$T$3:$T$98,"")+COUNTIFS(工数管理!$AK$3:$AK$98,J$1,工数管理!$U$3:$U$98,"&lt;="&amp;$H260,工数管理!$V$3:$V$98,"")+COUNTIFS(工数管理!$AK$3:$AK$98,J$1,工数管理!$W$3:$W$98,"&lt;="&amp;$H260,工数管理!$X$3:$X$98,"")+COUNTIFS(工数管理!$AK$3:$AK$98,J$1,工数管理!$Y$3:$Y$98,"&lt;="&amp;$H260,工数管理!$Z$3:$Z$98,"")+COUNTIFS(工数管理!$AK$3:$AK$98,J$1,工数管理!$AA$3:$AA$98,"&lt;="&amp;$H260,工数管理!$AB$3:$AB$98,"")+COUNTIFS(工数管理!$AK$3:$AK$98,J$1,工数管理!$AC$3:$AC$98,"&lt;="&amp;$H260,工数管理!$AD$3:$AD$98,"")+COUNTIFS(工数管理!$AK$3:$AK$98,J$1,工数管理!$AE$3:$AE$98,"&lt;="&amp;$H260,工数管理!$AF$3:$AF$98,"")+COUNTIFS(工数管理!$AK$3:$AK$98,J$1,工数管理!$AG$3:$AG$98,"&lt;="&amp;$H260,工数管理!$AH$3:$AH$98,""))*($H260&lt;=工数管理!$AI$1))</f>
        <v>0</v>
      </c>
      <c r="K260" s="42">
        <f ca="1">IF(K$1="",0,COUNTIFS(工数管理!$AK$3:$AK$98,K$1,工数管理!$K$3:$K$98,"&lt;="&amp;$H260,工数管理!$L$3:$L$98,"&gt;="&amp;$H260)+COUNTIFS(工数管理!$AK$3:$AK$98,K$1,工数管理!$M$3:$M$98,"&lt;="&amp;$H260,工数管理!$N$3:$N$98,"&gt;="&amp;$H260)+COUNTIFS(工数管理!$AK$3:$AK$98,K$1,工数管理!$O$3:$O$98,"&lt;="&amp;$H260,工数管理!$P$3:$P$98,"&gt;="&amp;$H260)+COUNTIFS(工数管理!$AK$3:$AK$98,K$1,工数管理!$Q$3:$Q$98,"&lt;="&amp;$H260,工数管理!$R$3:$R$98,"&gt;="&amp;$H260)+COUNTIFS(工数管理!$AK$3:$AK$98,K$1,工数管理!$S$3:$S$98,"&lt;="&amp;$H260,工数管理!$T$3:$T$98,"&gt;="&amp;$H260)+COUNTIFS(工数管理!$AK$3:$AK$98,K$1,工数管理!$U$3:$U$98,"&lt;="&amp;$H260,工数管理!$V$3:$V$98,"&gt;="&amp;$H260)+COUNTIFS(工数管理!$AK$3:$AK$98,K$1,工数管理!$W$3:$W$98,"&lt;="&amp;$H260,工数管理!$X$3:$X$98,"&gt;="&amp;$H260)+COUNTIFS(工数管理!$AK$3:$AK$98,K$1,工数管理!$Y$3:$Y$98,"&lt;="&amp;$H260,工数管理!$Z$3:$Z$98,"&gt;="&amp;$H260)+COUNTIFS(工数管理!$AK$3:$AK$98,K$1,工数管理!$AA$3:$AA$98,"&lt;="&amp;$H260,工数管理!$AB$3:$AB$98,"&gt;="&amp;$H260)+COUNTIFS(工数管理!$AK$3:$AK$98,K$1,工数管理!$AC$3:$AC$98,"&lt;="&amp;$H260,工数管理!$AD$3:$AD$98,"&gt;="&amp;$H260)+COUNTIFS(工数管理!$AK$3:$AK$98,K$1,工数管理!$AE$3:$AE$98,"&lt;="&amp;$H260,工数管理!$AF$3:$AF$98,"&gt;="&amp;$H260)+COUNTIFS(工数管理!$AK$3:$AK$98,K$1,工数管理!$AG$3:$AG$98,"&lt;="&amp;$H260,工数管理!$AH$3:$AH$98,"&gt;="&amp;$H260)+(COUNTIFS(工数管理!$AK$3:$AK$98,K$1,工数管理!$K$3:$K$98,"&lt;="&amp;$H260,工数管理!$L$3:$L$98,"")+COUNTIFS(工数管理!$AK$3:$AK$98,K$1,工数管理!$M$3:$M$98,"&lt;="&amp;$H260,工数管理!$N$3:$N$98,"")+COUNTIFS(工数管理!$AK$3:$AK$98,K$1,工数管理!$O$3:$O$98,"&lt;="&amp;$H260,工数管理!$P$3:$P$98,"")+COUNTIFS(工数管理!$AK$3:$AK$98,K$1,工数管理!$Q$3:$Q$98,"&lt;="&amp;$H260,工数管理!$R$3:$R$98,"")+COUNTIFS(工数管理!$AK$3:$AK$98,K$1,工数管理!$S$3:$S$98,"&lt;="&amp;$H260,工数管理!$T$3:$T$98,"")+COUNTIFS(工数管理!$AK$3:$AK$98,K$1,工数管理!$U$3:$U$98,"&lt;="&amp;$H260,工数管理!$V$3:$V$98,"")+COUNTIFS(工数管理!$AK$3:$AK$98,K$1,工数管理!$W$3:$W$98,"&lt;="&amp;$H260,工数管理!$X$3:$X$98,"")+COUNTIFS(工数管理!$AK$3:$AK$98,K$1,工数管理!$Y$3:$Y$98,"&lt;="&amp;$H260,工数管理!$Z$3:$Z$98,"")+COUNTIFS(工数管理!$AK$3:$AK$98,K$1,工数管理!$AA$3:$AA$98,"&lt;="&amp;$H260,工数管理!$AB$3:$AB$98,"")+COUNTIFS(工数管理!$AK$3:$AK$98,K$1,工数管理!$AC$3:$AC$98,"&lt;="&amp;$H260,工数管理!$AD$3:$AD$98,"")+COUNTIFS(工数管理!$AK$3:$AK$98,K$1,工数管理!$AE$3:$AE$98,"&lt;="&amp;$H260,工数管理!$AF$3:$AF$98,"")+COUNTIFS(工数管理!$AK$3:$AK$98,K$1,工数管理!$AG$3:$AG$98,"&lt;="&amp;$H260,工数管理!$AH$3:$AH$98,""))*($H260&lt;=工数管理!$AI$1))</f>
        <v>0</v>
      </c>
      <c r="L260" s="42">
        <f ca="1">IF(L$1="",0,COUNTIFS(工数管理!$AK$3:$AK$98,L$1,工数管理!$K$3:$K$98,"&lt;="&amp;$H260,工数管理!$L$3:$L$98,"&gt;="&amp;$H260)+COUNTIFS(工数管理!$AK$3:$AK$98,L$1,工数管理!$M$3:$M$98,"&lt;="&amp;$H260,工数管理!$N$3:$N$98,"&gt;="&amp;$H260)+COUNTIFS(工数管理!$AK$3:$AK$98,L$1,工数管理!$O$3:$O$98,"&lt;="&amp;$H260,工数管理!$P$3:$P$98,"&gt;="&amp;$H260)+COUNTIFS(工数管理!$AK$3:$AK$98,L$1,工数管理!$Q$3:$Q$98,"&lt;="&amp;$H260,工数管理!$R$3:$R$98,"&gt;="&amp;$H260)+COUNTIFS(工数管理!$AK$3:$AK$98,L$1,工数管理!$S$3:$S$98,"&lt;="&amp;$H260,工数管理!$T$3:$T$98,"&gt;="&amp;$H260)+COUNTIFS(工数管理!$AK$3:$AK$98,L$1,工数管理!$U$3:$U$98,"&lt;="&amp;$H260,工数管理!$V$3:$V$98,"&gt;="&amp;$H260)+COUNTIFS(工数管理!$AK$3:$AK$98,L$1,工数管理!$W$3:$W$98,"&lt;="&amp;$H260,工数管理!$X$3:$X$98,"&gt;="&amp;$H260)+COUNTIFS(工数管理!$AK$3:$AK$98,L$1,工数管理!$Y$3:$Y$98,"&lt;="&amp;$H260,工数管理!$Z$3:$Z$98,"&gt;="&amp;$H260)+COUNTIFS(工数管理!$AK$3:$AK$98,L$1,工数管理!$AA$3:$AA$98,"&lt;="&amp;$H260,工数管理!$AB$3:$AB$98,"&gt;="&amp;$H260)+COUNTIFS(工数管理!$AK$3:$AK$98,L$1,工数管理!$AC$3:$AC$98,"&lt;="&amp;$H260,工数管理!$AD$3:$AD$98,"&gt;="&amp;$H260)+COUNTIFS(工数管理!$AK$3:$AK$98,L$1,工数管理!$AE$3:$AE$98,"&lt;="&amp;$H260,工数管理!$AF$3:$AF$98,"&gt;="&amp;$H260)+COUNTIFS(工数管理!$AK$3:$AK$98,L$1,工数管理!$AG$3:$AG$98,"&lt;="&amp;$H260,工数管理!$AH$3:$AH$98,"&gt;="&amp;$H260)+(COUNTIFS(工数管理!$AK$3:$AK$98,L$1,工数管理!$K$3:$K$98,"&lt;="&amp;$H260,工数管理!$L$3:$L$98,"")+COUNTIFS(工数管理!$AK$3:$AK$98,L$1,工数管理!$M$3:$M$98,"&lt;="&amp;$H260,工数管理!$N$3:$N$98,"")+COUNTIFS(工数管理!$AK$3:$AK$98,L$1,工数管理!$O$3:$O$98,"&lt;="&amp;$H260,工数管理!$P$3:$P$98,"")+COUNTIFS(工数管理!$AK$3:$AK$98,L$1,工数管理!$Q$3:$Q$98,"&lt;="&amp;$H260,工数管理!$R$3:$R$98,"")+COUNTIFS(工数管理!$AK$3:$AK$98,L$1,工数管理!$S$3:$S$98,"&lt;="&amp;$H260,工数管理!$T$3:$T$98,"")+COUNTIFS(工数管理!$AK$3:$AK$98,L$1,工数管理!$U$3:$U$98,"&lt;="&amp;$H260,工数管理!$V$3:$V$98,"")+COUNTIFS(工数管理!$AK$3:$AK$98,L$1,工数管理!$W$3:$W$98,"&lt;="&amp;$H260,工数管理!$X$3:$X$98,"")+COUNTIFS(工数管理!$AK$3:$AK$98,L$1,工数管理!$Y$3:$Y$98,"&lt;="&amp;$H260,工数管理!$Z$3:$Z$98,"")+COUNTIFS(工数管理!$AK$3:$AK$98,L$1,工数管理!$AA$3:$AA$98,"&lt;="&amp;$H260,工数管理!$AB$3:$AB$98,"")+COUNTIFS(工数管理!$AK$3:$AK$98,L$1,工数管理!$AC$3:$AC$98,"&lt;="&amp;$H260,工数管理!$AD$3:$AD$98,"")+COUNTIFS(工数管理!$AK$3:$AK$98,L$1,工数管理!$AE$3:$AE$98,"&lt;="&amp;$H260,工数管理!$AF$3:$AF$98,"")+COUNTIFS(工数管理!$AK$3:$AK$98,L$1,工数管理!$AG$3:$AG$98,"&lt;="&amp;$H260,工数管理!$AH$3:$AH$98,""))*($H260&lt;=工数管理!$AI$1))</f>
        <v>0</v>
      </c>
    </row>
    <row r="261" spans="8:12" x14ac:dyDescent="0.15">
      <c r="H261" s="41">
        <f t="shared" si="7"/>
        <v>46429</v>
      </c>
      <c r="I261" s="42">
        <f t="shared" si="6"/>
        <v>0</v>
      </c>
      <c r="J261" s="42">
        <f ca="1">IF(J$1="",0,COUNTIFS(工数管理!$AK$3:$AK$98,J$1,工数管理!$K$3:$K$98,"&lt;="&amp;$H261,工数管理!$L$3:$L$98,"&gt;="&amp;$H261)+COUNTIFS(工数管理!$AK$3:$AK$98,J$1,工数管理!$M$3:$M$98,"&lt;="&amp;$H261,工数管理!$N$3:$N$98,"&gt;="&amp;$H261)+COUNTIFS(工数管理!$AK$3:$AK$98,J$1,工数管理!$O$3:$O$98,"&lt;="&amp;$H261,工数管理!$P$3:$P$98,"&gt;="&amp;$H261)+COUNTIFS(工数管理!$AK$3:$AK$98,J$1,工数管理!$Q$3:$Q$98,"&lt;="&amp;$H261,工数管理!$R$3:$R$98,"&gt;="&amp;$H261)+COUNTIFS(工数管理!$AK$3:$AK$98,J$1,工数管理!$S$3:$S$98,"&lt;="&amp;$H261,工数管理!$T$3:$T$98,"&gt;="&amp;$H261)+COUNTIFS(工数管理!$AK$3:$AK$98,J$1,工数管理!$U$3:$U$98,"&lt;="&amp;$H261,工数管理!$V$3:$V$98,"&gt;="&amp;$H261)+COUNTIFS(工数管理!$AK$3:$AK$98,J$1,工数管理!$W$3:$W$98,"&lt;="&amp;$H261,工数管理!$X$3:$X$98,"&gt;="&amp;$H261)+COUNTIFS(工数管理!$AK$3:$AK$98,J$1,工数管理!$Y$3:$Y$98,"&lt;="&amp;$H261,工数管理!$Z$3:$Z$98,"&gt;="&amp;$H261)+COUNTIFS(工数管理!$AK$3:$AK$98,J$1,工数管理!$AA$3:$AA$98,"&lt;="&amp;$H261,工数管理!$AB$3:$AB$98,"&gt;="&amp;$H261)+COUNTIFS(工数管理!$AK$3:$AK$98,J$1,工数管理!$AC$3:$AC$98,"&lt;="&amp;$H261,工数管理!$AD$3:$AD$98,"&gt;="&amp;$H261)+COUNTIFS(工数管理!$AK$3:$AK$98,J$1,工数管理!$AE$3:$AE$98,"&lt;="&amp;$H261,工数管理!$AF$3:$AF$98,"&gt;="&amp;$H261)+COUNTIFS(工数管理!$AK$3:$AK$98,J$1,工数管理!$AG$3:$AG$98,"&lt;="&amp;$H261,工数管理!$AH$3:$AH$98,"&gt;="&amp;$H261)+(COUNTIFS(工数管理!$AK$3:$AK$98,J$1,工数管理!$K$3:$K$98,"&lt;="&amp;$H261,工数管理!$L$3:$L$98,"")+COUNTIFS(工数管理!$AK$3:$AK$98,J$1,工数管理!$M$3:$M$98,"&lt;="&amp;$H261,工数管理!$N$3:$N$98,"")+COUNTIFS(工数管理!$AK$3:$AK$98,J$1,工数管理!$O$3:$O$98,"&lt;="&amp;$H261,工数管理!$P$3:$P$98,"")+COUNTIFS(工数管理!$AK$3:$AK$98,J$1,工数管理!$Q$3:$Q$98,"&lt;="&amp;$H261,工数管理!$R$3:$R$98,"")+COUNTIFS(工数管理!$AK$3:$AK$98,J$1,工数管理!$S$3:$S$98,"&lt;="&amp;$H261,工数管理!$T$3:$T$98,"")+COUNTIFS(工数管理!$AK$3:$AK$98,J$1,工数管理!$U$3:$U$98,"&lt;="&amp;$H261,工数管理!$V$3:$V$98,"")+COUNTIFS(工数管理!$AK$3:$AK$98,J$1,工数管理!$W$3:$W$98,"&lt;="&amp;$H261,工数管理!$X$3:$X$98,"")+COUNTIFS(工数管理!$AK$3:$AK$98,J$1,工数管理!$Y$3:$Y$98,"&lt;="&amp;$H261,工数管理!$Z$3:$Z$98,"")+COUNTIFS(工数管理!$AK$3:$AK$98,J$1,工数管理!$AA$3:$AA$98,"&lt;="&amp;$H261,工数管理!$AB$3:$AB$98,"")+COUNTIFS(工数管理!$AK$3:$AK$98,J$1,工数管理!$AC$3:$AC$98,"&lt;="&amp;$H261,工数管理!$AD$3:$AD$98,"")+COUNTIFS(工数管理!$AK$3:$AK$98,J$1,工数管理!$AE$3:$AE$98,"&lt;="&amp;$H261,工数管理!$AF$3:$AF$98,"")+COUNTIFS(工数管理!$AK$3:$AK$98,J$1,工数管理!$AG$3:$AG$98,"&lt;="&amp;$H261,工数管理!$AH$3:$AH$98,""))*($H261&lt;=工数管理!$AI$1))</f>
        <v>0</v>
      </c>
      <c r="K261" s="42">
        <f ca="1">IF(K$1="",0,COUNTIFS(工数管理!$AK$3:$AK$98,K$1,工数管理!$K$3:$K$98,"&lt;="&amp;$H261,工数管理!$L$3:$L$98,"&gt;="&amp;$H261)+COUNTIFS(工数管理!$AK$3:$AK$98,K$1,工数管理!$M$3:$M$98,"&lt;="&amp;$H261,工数管理!$N$3:$N$98,"&gt;="&amp;$H261)+COUNTIFS(工数管理!$AK$3:$AK$98,K$1,工数管理!$O$3:$O$98,"&lt;="&amp;$H261,工数管理!$P$3:$P$98,"&gt;="&amp;$H261)+COUNTIFS(工数管理!$AK$3:$AK$98,K$1,工数管理!$Q$3:$Q$98,"&lt;="&amp;$H261,工数管理!$R$3:$R$98,"&gt;="&amp;$H261)+COUNTIFS(工数管理!$AK$3:$AK$98,K$1,工数管理!$S$3:$S$98,"&lt;="&amp;$H261,工数管理!$T$3:$T$98,"&gt;="&amp;$H261)+COUNTIFS(工数管理!$AK$3:$AK$98,K$1,工数管理!$U$3:$U$98,"&lt;="&amp;$H261,工数管理!$V$3:$V$98,"&gt;="&amp;$H261)+COUNTIFS(工数管理!$AK$3:$AK$98,K$1,工数管理!$W$3:$W$98,"&lt;="&amp;$H261,工数管理!$X$3:$X$98,"&gt;="&amp;$H261)+COUNTIFS(工数管理!$AK$3:$AK$98,K$1,工数管理!$Y$3:$Y$98,"&lt;="&amp;$H261,工数管理!$Z$3:$Z$98,"&gt;="&amp;$H261)+COUNTIFS(工数管理!$AK$3:$AK$98,K$1,工数管理!$AA$3:$AA$98,"&lt;="&amp;$H261,工数管理!$AB$3:$AB$98,"&gt;="&amp;$H261)+COUNTIFS(工数管理!$AK$3:$AK$98,K$1,工数管理!$AC$3:$AC$98,"&lt;="&amp;$H261,工数管理!$AD$3:$AD$98,"&gt;="&amp;$H261)+COUNTIFS(工数管理!$AK$3:$AK$98,K$1,工数管理!$AE$3:$AE$98,"&lt;="&amp;$H261,工数管理!$AF$3:$AF$98,"&gt;="&amp;$H261)+COUNTIFS(工数管理!$AK$3:$AK$98,K$1,工数管理!$AG$3:$AG$98,"&lt;="&amp;$H261,工数管理!$AH$3:$AH$98,"&gt;="&amp;$H261)+(COUNTIFS(工数管理!$AK$3:$AK$98,K$1,工数管理!$K$3:$K$98,"&lt;="&amp;$H261,工数管理!$L$3:$L$98,"")+COUNTIFS(工数管理!$AK$3:$AK$98,K$1,工数管理!$M$3:$M$98,"&lt;="&amp;$H261,工数管理!$N$3:$N$98,"")+COUNTIFS(工数管理!$AK$3:$AK$98,K$1,工数管理!$O$3:$O$98,"&lt;="&amp;$H261,工数管理!$P$3:$P$98,"")+COUNTIFS(工数管理!$AK$3:$AK$98,K$1,工数管理!$Q$3:$Q$98,"&lt;="&amp;$H261,工数管理!$R$3:$R$98,"")+COUNTIFS(工数管理!$AK$3:$AK$98,K$1,工数管理!$S$3:$S$98,"&lt;="&amp;$H261,工数管理!$T$3:$T$98,"")+COUNTIFS(工数管理!$AK$3:$AK$98,K$1,工数管理!$U$3:$U$98,"&lt;="&amp;$H261,工数管理!$V$3:$V$98,"")+COUNTIFS(工数管理!$AK$3:$AK$98,K$1,工数管理!$W$3:$W$98,"&lt;="&amp;$H261,工数管理!$X$3:$X$98,"")+COUNTIFS(工数管理!$AK$3:$AK$98,K$1,工数管理!$Y$3:$Y$98,"&lt;="&amp;$H261,工数管理!$Z$3:$Z$98,"")+COUNTIFS(工数管理!$AK$3:$AK$98,K$1,工数管理!$AA$3:$AA$98,"&lt;="&amp;$H261,工数管理!$AB$3:$AB$98,"")+COUNTIFS(工数管理!$AK$3:$AK$98,K$1,工数管理!$AC$3:$AC$98,"&lt;="&amp;$H261,工数管理!$AD$3:$AD$98,"")+COUNTIFS(工数管理!$AK$3:$AK$98,K$1,工数管理!$AE$3:$AE$98,"&lt;="&amp;$H261,工数管理!$AF$3:$AF$98,"")+COUNTIFS(工数管理!$AK$3:$AK$98,K$1,工数管理!$AG$3:$AG$98,"&lt;="&amp;$H261,工数管理!$AH$3:$AH$98,""))*($H261&lt;=工数管理!$AI$1))</f>
        <v>0</v>
      </c>
      <c r="L261" s="42">
        <f ca="1">IF(L$1="",0,COUNTIFS(工数管理!$AK$3:$AK$98,L$1,工数管理!$K$3:$K$98,"&lt;="&amp;$H261,工数管理!$L$3:$L$98,"&gt;="&amp;$H261)+COUNTIFS(工数管理!$AK$3:$AK$98,L$1,工数管理!$M$3:$M$98,"&lt;="&amp;$H261,工数管理!$N$3:$N$98,"&gt;="&amp;$H261)+COUNTIFS(工数管理!$AK$3:$AK$98,L$1,工数管理!$O$3:$O$98,"&lt;="&amp;$H261,工数管理!$P$3:$P$98,"&gt;="&amp;$H261)+COUNTIFS(工数管理!$AK$3:$AK$98,L$1,工数管理!$Q$3:$Q$98,"&lt;="&amp;$H261,工数管理!$R$3:$R$98,"&gt;="&amp;$H261)+COUNTIFS(工数管理!$AK$3:$AK$98,L$1,工数管理!$S$3:$S$98,"&lt;="&amp;$H261,工数管理!$T$3:$T$98,"&gt;="&amp;$H261)+COUNTIFS(工数管理!$AK$3:$AK$98,L$1,工数管理!$U$3:$U$98,"&lt;="&amp;$H261,工数管理!$V$3:$V$98,"&gt;="&amp;$H261)+COUNTIFS(工数管理!$AK$3:$AK$98,L$1,工数管理!$W$3:$W$98,"&lt;="&amp;$H261,工数管理!$X$3:$X$98,"&gt;="&amp;$H261)+COUNTIFS(工数管理!$AK$3:$AK$98,L$1,工数管理!$Y$3:$Y$98,"&lt;="&amp;$H261,工数管理!$Z$3:$Z$98,"&gt;="&amp;$H261)+COUNTIFS(工数管理!$AK$3:$AK$98,L$1,工数管理!$AA$3:$AA$98,"&lt;="&amp;$H261,工数管理!$AB$3:$AB$98,"&gt;="&amp;$H261)+COUNTIFS(工数管理!$AK$3:$AK$98,L$1,工数管理!$AC$3:$AC$98,"&lt;="&amp;$H261,工数管理!$AD$3:$AD$98,"&gt;="&amp;$H261)+COUNTIFS(工数管理!$AK$3:$AK$98,L$1,工数管理!$AE$3:$AE$98,"&lt;="&amp;$H261,工数管理!$AF$3:$AF$98,"&gt;="&amp;$H261)+COUNTIFS(工数管理!$AK$3:$AK$98,L$1,工数管理!$AG$3:$AG$98,"&lt;="&amp;$H261,工数管理!$AH$3:$AH$98,"&gt;="&amp;$H261)+(COUNTIFS(工数管理!$AK$3:$AK$98,L$1,工数管理!$K$3:$K$98,"&lt;="&amp;$H261,工数管理!$L$3:$L$98,"")+COUNTIFS(工数管理!$AK$3:$AK$98,L$1,工数管理!$M$3:$M$98,"&lt;="&amp;$H261,工数管理!$N$3:$N$98,"")+COUNTIFS(工数管理!$AK$3:$AK$98,L$1,工数管理!$O$3:$O$98,"&lt;="&amp;$H261,工数管理!$P$3:$P$98,"")+COUNTIFS(工数管理!$AK$3:$AK$98,L$1,工数管理!$Q$3:$Q$98,"&lt;="&amp;$H261,工数管理!$R$3:$R$98,"")+COUNTIFS(工数管理!$AK$3:$AK$98,L$1,工数管理!$S$3:$S$98,"&lt;="&amp;$H261,工数管理!$T$3:$T$98,"")+COUNTIFS(工数管理!$AK$3:$AK$98,L$1,工数管理!$U$3:$U$98,"&lt;="&amp;$H261,工数管理!$V$3:$V$98,"")+COUNTIFS(工数管理!$AK$3:$AK$98,L$1,工数管理!$W$3:$W$98,"&lt;="&amp;$H261,工数管理!$X$3:$X$98,"")+COUNTIFS(工数管理!$AK$3:$AK$98,L$1,工数管理!$Y$3:$Y$98,"&lt;="&amp;$H261,工数管理!$Z$3:$Z$98,"")+COUNTIFS(工数管理!$AK$3:$AK$98,L$1,工数管理!$AA$3:$AA$98,"&lt;="&amp;$H261,工数管理!$AB$3:$AB$98,"")+COUNTIFS(工数管理!$AK$3:$AK$98,L$1,工数管理!$AC$3:$AC$98,"&lt;="&amp;$H261,工数管理!$AD$3:$AD$98,"")+COUNTIFS(工数管理!$AK$3:$AK$98,L$1,工数管理!$AE$3:$AE$98,"&lt;="&amp;$H261,工数管理!$AF$3:$AF$98,"")+COUNTIFS(工数管理!$AK$3:$AK$98,L$1,工数管理!$AG$3:$AG$98,"&lt;="&amp;$H261,工数管理!$AH$3:$AH$98,""))*($H261&lt;=工数管理!$AI$1))</f>
        <v>0</v>
      </c>
    </row>
    <row r="262" spans="8:12" x14ac:dyDescent="0.15">
      <c r="H262" s="41">
        <f t="shared" si="7"/>
        <v>46430</v>
      </c>
      <c r="I262" s="42">
        <f t="shared" ref="I262:I305" si="8">IF(NETWORKDAYS(H262,H262,$A$2:$A$200)=1,1,0)</f>
        <v>1</v>
      </c>
      <c r="J262" s="42">
        <f ca="1">IF(J$1="",0,COUNTIFS(工数管理!$AK$3:$AK$98,J$1,工数管理!$K$3:$K$98,"&lt;="&amp;$H262,工数管理!$L$3:$L$98,"&gt;="&amp;$H262)+COUNTIFS(工数管理!$AK$3:$AK$98,J$1,工数管理!$M$3:$M$98,"&lt;="&amp;$H262,工数管理!$N$3:$N$98,"&gt;="&amp;$H262)+COUNTIFS(工数管理!$AK$3:$AK$98,J$1,工数管理!$O$3:$O$98,"&lt;="&amp;$H262,工数管理!$P$3:$P$98,"&gt;="&amp;$H262)+COUNTIFS(工数管理!$AK$3:$AK$98,J$1,工数管理!$Q$3:$Q$98,"&lt;="&amp;$H262,工数管理!$R$3:$R$98,"&gt;="&amp;$H262)+COUNTIFS(工数管理!$AK$3:$AK$98,J$1,工数管理!$S$3:$S$98,"&lt;="&amp;$H262,工数管理!$T$3:$T$98,"&gt;="&amp;$H262)+COUNTIFS(工数管理!$AK$3:$AK$98,J$1,工数管理!$U$3:$U$98,"&lt;="&amp;$H262,工数管理!$V$3:$V$98,"&gt;="&amp;$H262)+COUNTIFS(工数管理!$AK$3:$AK$98,J$1,工数管理!$W$3:$W$98,"&lt;="&amp;$H262,工数管理!$X$3:$X$98,"&gt;="&amp;$H262)+COUNTIFS(工数管理!$AK$3:$AK$98,J$1,工数管理!$Y$3:$Y$98,"&lt;="&amp;$H262,工数管理!$Z$3:$Z$98,"&gt;="&amp;$H262)+COUNTIFS(工数管理!$AK$3:$AK$98,J$1,工数管理!$AA$3:$AA$98,"&lt;="&amp;$H262,工数管理!$AB$3:$AB$98,"&gt;="&amp;$H262)+COUNTIFS(工数管理!$AK$3:$AK$98,J$1,工数管理!$AC$3:$AC$98,"&lt;="&amp;$H262,工数管理!$AD$3:$AD$98,"&gt;="&amp;$H262)+COUNTIFS(工数管理!$AK$3:$AK$98,J$1,工数管理!$AE$3:$AE$98,"&lt;="&amp;$H262,工数管理!$AF$3:$AF$98,"&gt;="&amp;$H262)+COUNTIFS(工数管理!$AK$3:$AK$98,J$1,工数管理!$AG$3:$AG$98,"&lt;="&amp;$H262,工数管理!$AH$3:$AH$98,"&gt;="&amp;$H262)+(COUNTIFS(工数管理!$AK$3:$AK$98,J$1,工数管理!$K$3:$K$98,"&lt;="&amp;$H262,工数管理!$L$3:$L$98,"")+COUNTIFS(工数管理!$AK$3:$AK$98,J$1,工数管理!$M$3:$M$98,"&lt;="&amp;$H262,工数管理!$N$3:$N$98,"")+COUNTIFS(工数管理!$AK$3:$AK$98,J$1,工数管理!$O$3:$O$98,"&lt;="&amp;$H262,工数管理!$P$3:$P$98,"")+COUNTIFS(工数管理!$AK$3:$AK$98,J$1,工数管理!$Q$3:$Q$98,"&lt;="&amp;$H262,工数管理!$R$3:$R$98,"")+COUNTIFS(工数管理!$AK$3:$AK$98,J$1,工数管理!$S$3:$S$98,"&lt;="&amp;$H262,工数管理!$T$3:$T$98,"")+COUNTIFS(工数管理!$AK$3:$AK$98,J$1,工数管理!$U$3:$U$98,"&lt;="&amp;$H262,工数管理!$V$3:$V$98,"")+COUNTIFS(工数管理!$AK$3:$AK$98,J$1,工数管理!$W$3:$W$98,"&lt;="&amp;$H262,工数管理!$X$3:$X$98,"")+COUNTIFS(工数管理!$AK$3:$AK$98,J$1,工数管理!$Y$3:$Y$98,"&lt;="&amp;$H262,工数管理!$Z$3:$Z$98,"")+COUNTIFS(工数管理!$AK$3:$AK$98,J$1,工数管理!$AA$3:$AA$98,"&lt;="&amp;$H262,工数管理!$AB$3:$AB$98,"")+COUNTIFS(工数管理!$AK$3:$AK$98,J$1,工数管理!$AC$3:$AC$98,"&lt;="&amp;$H262,工数管理!$AD$3:$AD$98,"")+COUNTIFS(工数管理!$AK$3:$AK$98,J$1,工数管理!$AE$3:$AE$98,"&lt;="&amp;$H262,工数管理!$AF$3:$AF$98,"")+COUNTIFS(工数管理!$AK$3:$AK$98,J$1,工数管理!$AG$3:$AG$98,"&lt;="&amp;$H262,工数管理!$AH$3:$AH$98,""))*($H262&lt;=工数管理!$AI$1))</f>
        <v>0</v>
      </c>
      <c r="K262" s="42">
        <f ca="1">IF(K$1="",0,COUNTIFS(工数管理!$AK$3:$AK$98,K$1,工数管理!$K$3:$K$98,"&lt;="&amp;$H262,工数管理!$L$3:$L$98,"&gt;="&amp;$H262)+COUNTIFS(工数管理!$AK$3:$AK$98,K$1,工数管理!$M$3:$M$98,"&lt;="&amp;$H262,工数管理!$N$3:$N$98,"&gt;="&amp;$H262)+COUNTIFS(工数管理!$AK$3:$AK$98,K$1,工数管理!$O$3:$O$98,"&lt;="&amp;$H262,工数管理!$P$3:$P$98,"&gt;="&amp;$H262)+COUNTIFS(工数管理!$AK$3:$AK$98,K$1,工数管理!$Q$3:$Q$98,"&lt;="&amp;$H262,工数管理!$R$3:$R$98,"&gt;="&amp;$H262)+COUNTIFS(工数管理!$AK$3:$AK$98,K$1,工数管理!$S$3:$S$98,"&lt;="&amp;$H262,工数管理!$T$3:$T$98,"&gt;="&amp;$H262)+COUNTIFS(工数管理!$AK$3:$AK$98,K$1,工数管理!$U$3:$U$98,"&lt;="&amp;$H262,工数管理!$V$3:$V$98,"&gt;="&amp;$H262)+COUNTIFS(工数管理!$AK$3:$AK$98,K$1,工数管理!$W$3:$W$98,"&lt;="&amp;$H262,工数管理!$X$3:$X$98,"&gt;="&amp;$H262)+COUNTIFS(工数管理!$AK$3:$AK$98,K$1,工数管理!$Y$3:$Y$98,"&lt;="&amp;$H262,工数管理!$Z$3:$Z$98,"&gt;="&amp;$H262)+COUNTIFS(工数管理!$AK$3:$AK$98,K$1,工数管理!$AA$3:$AA$98,"&lt;="&amp;$H262,工数管理!$AB$3:$AB$98,"&gt;="&amp;$H262)+COUNTIFS(工数管理!$AK$3:$AK$98,K$1,工数管理!$AC$3:$AC$98,"&lt;="&amp;$H262,工数管理!$AD$3:$AD$98,"&gt;="&amp;$H262)+COUNTIFS(工数管理!$AK$3:$AK$98,K$1,工数管理!$AE$3:$AE$98,"&lt;="&amp;$H262,工数管理!$AF$3:$AF$98,"&gt;="&amp;$H262)+COUNTIFS(工数管理!$AK$3:$AK$98,K$1,工数管理!$AG$3:$AG$98,"&lt;="&amp;$H262,工数管理!$AH$3:$AH$98,"&gt;="&amp;$H262)+(COUNTIFS(工数管理!$AK$3:$AK$98,K$1,工数管理!$K$3:$K$98,"&lt;="&amp;$H262,工数管理!$L$3:$L$98,"")+COUNTIFS(工数管理!$AK$3:$AK$98,K$1,工数管理!$M$3:$M$98,"&lt;="&amp;$H262,工数管理!$N$3:$N$98,"")+COUNTIFS(工数管理!$AK$3:$AK$98,K$1,工数管理!$O$3:$O$98,"&lt;="&amp;$H262,工数管理!$P$3:$P$98,"")+COUNTIFS(工数管理!$AK$3:$AK$98,K$1,工数管理!$Q$3:$Q$98,"&lt;="&amp;$H262,工数管理!$R$3:$R$98,"")+COUNTIFS(工数管理!$AK$3:$AK$98,K$1,工数管理!$S$3:$S$98,"&lt;="&amp;$H262,工数管理!$T$3:$T$98,"")+COUNTIFS(工数管理!$AK$3:$AK$98,K$1,工数管理!$U$3:$U$98,"&lt;="&amp;$H262,工数管理!$V$3:$V$98,"")+COUNTIFS(工数管理!$AK$3:$AK$98,K$1,工数管理!$W$3:$W$98,"&lt;="&amp;$H262,工数管理!$X$3:$X$98,"")+COUNTIFS(工数管理!$AK$3:$AK$98,K$1,工数管理!$Y$3:$Y$98,"&lt;="&amp;$H262,工数管理!$Z$3:$Z$98,"")+COUNTIFS(工数管理!$AK$3:$AK$98,K$1,工数管理!$AA$3:$AA$98,"&lt;="&amp;$H262,工数管理!$AB$3:$AB$98,"")+COUNTIFS(工数管理!$AK$3:$AK$98,K$1,工数管理!$AC$3:$AC$98,"&lt;="&amp;$H262,工数管理!$AD$3:$AD$98,"")+COUNTIFS(工数管理!$AK$3:$AK$98,K$1,工数管理!$AE$3:$AE$98,"&lt;="&amp;$H262,工数管理!$AF$3:$AF$98,"")+COUNTIFS(工数管理!$AK$3:$AK$98,K$1,工数管理!$AG$3:$AG$98,"&lt;="&amp;$H262,工数管理!$AH$3:$AH$98,""))*($H262&lt;=工数管理!$AI$1))</f>
        <v>0</v>
      </c>
      <c r="L262" s="42">
        <f ca="1">IF(L$1="",0,COUNTIFS(工数管理!$AK$3:$AK$98,L$1,工数管理!$K$3:$K$98,"&lt;="&amp;$H262,工数管理!$L$3:$L$98,"&gt;="&amp;$H262)+COUNTIFS(工数管理!$AK$3:$AK$98,L$1,工数管理!$M$3:$M$98,"&lt;="&amp;$H262,工数管理!$N$3:$N$98,"&gt;="&amp;$H262)+COUNTIFS(工数管理!$AK$3:$AK$98,L$1,工数管理!$O$3:$O$98,"&lt;="&amp;$H262,工数管理!$P$3:$P$98,"&gt;="&amp;$H262)+COUNTIFS(工数管理!$AK$3:$AK$98,L$1,工数管理!$Q$3:$Q$98,"&lt;="&amp;$H262,工数管理!$R$3:$R$98,"&gt;="&amp;$H262)+COUNTIFS(工数管理!$AK$3:$AK$98,L$1,工数管理!$S$3:$S$98,"&lt;="&amp;$H262,工数管理!$T$3:$T$98,"&gt;="&amp;$H262)+COUNTIFS(工数管理!$AK$3:$AK$98,L$1,工数管理!$U$3:$U$98,"&lt;="&amp;$H262,工数管理!$V$3:$V$98,"&gt;="&amp;$H262)+COUNTIFS(工数管理!$AK$3:$AK$98,L$1,工数管理!$W$3:$W$98,"&lt;="&amp;$H262,工数管理!$X$3:$X$98,"&gt;="&amp;$H262)+COUNTIFS(工数管理!$AK$3:$AK$98,L$1,工数管理!$Y$3:$Y$98,"&lt;="&amp;$H262,工数管理!$Z$3:$Z$98,"&gt;="&amp;$H262)+COUNTIFS(工数管理!$AK$3:$AK$98,L$1,工数管理!$AA$3:$AA$98,"&lt;="&amp;$H262,工数管理!$AB$3:$AB$98,"&gt;="&amp;$H262)+COUNTIFS(工数管理!$AK$3:$AK$98,L$1,工数管理!$AC$3:$AC$98,"&lt;="&amp;$H262,工数管理!$AD$3:$AD$98,"&gt;="&amp;$H262)+COUNTIFS(工数管理!$AK$3:$AK$98,L$1,工数管理!$AE$3:$AE$98,"&lt;="&amp;$H262,工数管理!$AF$3:$AF$98,"&gt;="&amp;$H262)+COUNTIFS(工数管理!$AK$3:$AK$98,L$1,工数管理!$AG$3:$AG$98,"&lt;="&amp;$H262,工数管理!$AH$3:$AH$98,"&gt;="&amp;$H262)+(COUNTIFS(工数管理!$AK$3:$AK$98,L$1,工数管理!$K$3:$K$98,"&lt;="&amp;$H262,工数管理!$L$3:$L$98,"")+COUNTIFS(工数管理!$AK$3:$AK$98,L$1,工数管理!$M$3:$M$98,"&lt;="&amp;$H262,工数管理!$N$3:$N$98,"")+COUNTIFS(工数管理!$AK$3:$AK$98,L$1,工数管理!$O$3:$O$98,"&lt;="&amp;$H262,工数管理!$P$3:$P$98,"")+COUNTIFS(工数管理!$AK$3:$AK$98,L$1,工数管理!$Q$3:$Q$98,"&lt;="&amp;$H262,工数管理!$R$3:$R$98,"")+COUNTIFS(工数管理!$AK$3:$AK$98,L$1,工数管理!$S$3:$S$98,"&lt;="&amp;$H262,工数管理!$T$3:$T$98,"")+COUNTIFS(工数管理!$AK$3:$AK$98,L$1,工数管理!$U$3:$U$98,"&lt;="&amp;$H262,工数管理!$V$3:$V$98,"")+COUNTIFS(工数管理!$AK$3:$AK$98,L$1,工数管理!$W$3:$W$98,"&lt;="&amp;$H262,工数管理!$X$3:$X$98,"")+COUNTIFS(工数管理!$AK$3:$AK$98,L$1,工数管理!$Y$3:$Y$98,"&lt;="&amp;$H262,工数管理!$Z$3:$Z$98,"")+COUNTIFS(工数管理!$AK$3:$AK$98,L$1,工数管理!$AA$3:$AA$98,"&lt;="&amp;$H262,工数管理!$AB$3:$AB$98,"")+COUNTIFS(工数管理!$AK$3:$AK$98,L$1,工数管理!$AC$3:$AC$98,"&lt;="&amp;$H262,工数管理!$AD$3:$AD$98,"")+COUNTIFS(工数管理!$AK$3:$AK$98,L$1,工数管理!$AE$3:$AE$98,"&lt;="&amp;$H262,工数管理!$AF$3:$AF$98,"")+COUNTIFS(工数管理!$AK$3:$AK$98,L$1,工数管理!$AG$3:$AG$98,"&lt;="&amp;$H262,工数管理!$AH$3:$AH$98,""))*($H262&lt;=工数管理!$AI$1))</f>
        <v>0</v>
      </c>
    </row>
    <row r="263" spans="8:12" x14ac:dyDescent="0.15">
      <c r="H263" s="41">
        <f t="shared" ref="H263:H305" si="9">H262+1</f>
        <v>46431</v>
      </c>
      <c r="I263" s="42">
        <f t="shared" si="8"/>
        <v>0</v>
      </c>
      <c r="J263" s="42">
        <f ca="1">IF(J$1="",0,COUNTIFS(工数管理!$AK$3:$AK$98,J$1,工数管理!$K$3:$K$98,"&lt;="&amp;$H263,工数管理!$L$3:$L$98,"&gt;="&amp;$H263)+COUNTIFS(工数管理!$AK$3:$AK$98,J$1,工数管理!$M$3:$M$98,"&lt;="&amp;$H263,工数管理!$N$3:$N$98,"&gt;="&amp;$H263)+COUNTIFS(工数管理!$AK$3:$AK$98,J$1,工数管理!$O$3:$O$98,"&lt;="&amp;$H263,工数管理!$P$3:$P$98,"&gt;="&amp;$H263)+COUNTIFS(工数管理!$AK$3:$AK$98,J$1,工数管理!$Q$3:$Q$98,"&lt;="&amp;$H263,工数管理!$R$3:$R$98,"&gt;="&amp;$H263)+COUNTIFS(工数管理!$AK$3:$AK$98,J$1,工数管理!$S$3:$S$98,"&lt;="&amp;$H263,工数管理!$T$3:$T$98,"&gt;="&amp;$H263)+COUNTIFS(工数管理!$AK$3:$AK$98,J$1,工数管理!$U$3:$U$98,"&lt;="&amp;$H263,工数管理!$V$3:$V$98,"&gt;="&amp;$H263)+COUNTIFS(工数管理!$AK$3:$AK$98,J$1,工数管理!$W$3:$W$98,"&lt;="&amp;$H263,工数管理!$X$3:$X$98,"&gt;="&amp;$H263)+COUNTIFS(工数管理!$AK$3:$AK$98,J$1,工数管理!$Y$3:$Y$98,"&lt;="&amp;$H263,工数管理!$Z$3:$Z$98,"&gt;="&amp;$H263)+COUNTIFS(工数管理!$AK$3:$AK$98,J$1,工数管理!$AA$3:$AA$98,"&lt;="&amp;$H263,工数管理!$AB$3:$AB$98,"&gt;="&amp;$H263)+COUNTIFS(工数管理!$AK$3:$AK$98,J$1,工数管理!$AC$3:$AC$98,"&lt;="&amp;$H263,工数管理!$AD$3:$AD$98,"&gt;="&amp;$H263)+COUNTIFS(工数管理!$AK$3:$AK$98,J$1,工数管理!$AE$3:$AE$98,"&lt;="&amp;$H263,工数管理!$AF$3:$AF$98,"&gt;="&amp;$H263)+COUNTIFS(工数管理!$AK$3:$AK$98,J$1,工数管理!$AG$3:$AG$98,"&lt;="&amp;$H263,工数管理!$AH$3:$AH$98,"&gt;="&amp;$H263)+(COUNTIFS(工数管理!$AK$3:$AK$98,J$1,工数管理!$K$3:$K$98,"&lt;="&amp;$H263,工数管理!$L$3:$L$98,"")+COUNTIFS(工数管理!$AK$3:$AK$98,J$1,工数管理!$M$3:$M$98,"&lt;="&amp;$H263,工数管理!$N$3:$N$98,"")+COUNTIFS(工数管理!$AK$3:$AK$98,J$1,工数管理!$O$3:$O$98,"&lt;="&amp;$H263,工数管理!$P$3:$P$98,"")+COUNTIFS(工数管理!$AK$3:$AK$98,J$1,工数管理!$Q$3:$Q$98,"&lt;="&amp;$H263,工数管理!$R$3:$R$98,"")+COUNTIFS(工数管理!$AK$3:$AK$98,J$1,工数管理!$S$3:$S$98,"&lt;="&amp;$H263,工数管理!$T$3:$T$98,"")+COUNTIFS(工数管理!$AK$3:$AK$98,J$1,工数管理!$U$3:$U$98,"&lt;="&amp;$H263,工数管理!$V$3:$V$98,"")+COUNTIFS(工数管理!$AK$3:$AK$98,J$1,工数管理!$W$3:$W$98,"&lt;="&amp;$H263,工数管理!$X$3:$X$98,"")+COUNTIFS(工数管理!$AK$3:$AK$98,J$1,工数管理!$Y$3:$Y$98,"&lt;="&amp;$H263,工数管理!$Z$3:$Z$98,"")+COUNTIFS(工数管理!$AK$3:$AK$98,J$1,工数管理!$AA$3:$AA$98,"&lt;="&amp;$H263,工数管理!$AB$3:$AB$98,"")+COUNTIFS(工数管理!$AK$3:$AK$98,J$1,工数管理!$AC$3:$AC$98,"&lt;="&amp;$H263,工数管理!$AD$3:$AD$98,"")+COUNTIFS(工数管理!$AK$3:$AK$98,J$1,工数管理!$AE$3:$AE$98,"&lt;="&amp;$H263,工数管理!$AF$3:$AF$98,"")+COUNTIFS(工数管理!$AK$3:$AK$98,J$1,工数管理!$AG$3:$AG$98,"&lt;="&amp;$H263,工数管理!$AH$3:$AH$98,""))*($H263&lt;=工数管理!$AI$1))</f>
        <v>0</v>
      </c>
      <c r="K263" s="42">
        <f ca="1">IF(K$1="",0,COUNTIFS(工数管理!$AK$3:$AK$98,K$1,工数管理!$K$3:$K$98,"&lt;="&amp;$H263,工数管理!$L$3:$L$98,"&gt;="&amp;$H263)+COUNTIFS(工数管理!$AK$3:$AK$98,K$1,工数管理!$M$3:$M$98,"&lt;="&amp;$H263,工数管理!$N$3:$N$98,"&gt;="&amp;$H263)+COUNTIFS(工数管理!$AK$3:$AK$98,K$1,工数管理!$O$3:$O$98,"&lt;="&amp;$H263,工数管理!$P$3:$P$98,"&gt;="&amp;$H263)+COUNTIFS(工数管理!$AK$3:$AK$98,K$1,工数管理!$Q$3:$Q$98,"&lt;="&amp;$H263,工数管理!$R$3:$R$98,"&gt;="&amp;$H263)+COUNTIFS(工数管理!$AK$3:$AK$98,K$1,工数管理!$S$3:$S$98,"&lt;="&amp;$H263,工数管理!$T$3:$T$98,"&gt;="&amp;$H263)+COUNTIFS(工数管理!$AK$3:$AK$98,K$1,工数管理!$U$3:$U$98,"&lt;="&amp;$H263,工数管理!$V$3:$V$98,"&gt;="&amp;$H263)+COUNTIFS(工数管理!$AK$3:$AK$98,K$1,工数管理!$W$3:$W$98,"&lt;="&amp;$H263,工数管理!$X$3:$X$98,"&gt;="&amp;$H263)+COUNTIFS(工数管理!$AK$3:$AK$98,K$1,工数管理!$Y$3:$Y$98,"&lt;="&amp;$H263,工数管理!$Z$3:$Z$98,"&gt;="&amp;$H263)+COUNTIFS(工数管理!$AK$3:$AK$98,K$1,工数管理!$AA$3:$AA$98,"&lt;="&amp;$H263,工数管理!$AB$3:$AB$98,"&gt;="&amp;$H263)+COUNTIFS(工数管理!$AK$3:$AK$98,K$1,工数管理!$AC$3:$AC$98,"&lt;="&amp;$H263,工数管理!$AD$3:$AD$98,"&gt;="&amp;$H263)+COUNTIFS(工数管理!$AK$3:$AK$98,K$1,工数管理!$AE$3:$AE$98,"&lt;="&amp;$H263,工数管理!$AF$3:$AF$98,"&gt;="&amp;$H263)+COUNTIFS(工数管理!$AK$3:$AK$98,K$1,工数管理!$AG$3:$AG$98,"&lt;="&amp;$H263,工数管理!$AH$3:$AH$98,"&gt;="&amp;$H263)+(COUNTIFS(工数管理!$AK$3:$AK$98,K$1,工数管理!$K$3:$K$98,"&lt;="&amp;$H263,工数管理!$L$3:$L$98,"")+COUNTIFS(工数管理!$AK$3:$AK$98,K$1,工数管理!$M$3:$M$98,"&lt;="&amp;$H263,工数管理!$N$3:$N$98,"")+COUNTIFS(工数管理!$AK$3:$AK$98,K$1,工数管理!$O$3:$O$98,"&lt;="&amp;$H263,工数管理!$P$3:$P$98,"")+COUNTIFS(工数管理!$AK$3:$AK$98,K$1,工数管理!$Q$3:$Q$98,"&lt;="&amp;$H263,工数管理!$R$3:$R$98,"")+COUNTIFS(工数管理!$AK$3:$AK$98,K$1,工数管理!$S$3:$S$98,"&lt;="&amp;$H263,工数管理!$T$3:$T$98,"")+COUNTIFS(工数管理!$AK$3:$AK$98,K$1,工数管理!$U$3:$U$98,"&lt;="&amp;$H263,工数管理!$V$3:$V$98,"")+COUNTIFS(工数管理!$AK$3:$AK$98,K$1,工数管理!$W$3:$W$98,"&lt;="&amp;$H263,工数管理!$X$3:$X$98,"")+COUNTIFS(工数管理!$AK$3:$AK$98,K$1,工数管理!$Y$3:$Y$98,"&lt;="&amp;$H263,工数管理!$Z$3:$Z$98,"")+COUNTIFS(工数管理!$AK$3:$AK$98,K$1,工数管理!$AA$3:$AA$98,"&lt;="&amp;$H263,工数管理!$AB$3:$AB$98,"")+COUNTIFS(工数管理!$AK$3:$AK$98,K$1,工数管理!$AC$3:$AC$98,"&lt;="&amp;$H263,工数管理!$AD$3:$AD$98,"")+COUNTIFS(工数管理!$AK$3:$AK$98,K$1,工数管理!$AE$3:$AE$98,"&lt;="&amp;$H263,工数管理!$AF$3:$AF$98,"")+COUNTIFS(工数管理!$AK$3:$AK$98,K$1,工数管理!$AG$3:$AG$98,"&lt;="&amp;$H263,工数管理!$AH$3:$AH$98,""))*($H263&lt;=工数管理!$AI$1))</f>
        <v>0</v>
      </c>
      <c r="L263" s="42">
        <f ca="1">IF(L$1="",0,COUNTIFS(工数管理!$AK$3:$AK$98,L$1,工数管理!$K$3:$K$98,"&lt;="&amp;$H263,工数管理!$L$3:$L$98,"&gt;="&amp;$H263)+COUNTIFS(工数管理!$AK$3:$AK$98,L$1,工数管理!$M$3:$M$98,"&lt;="&amp;$H263,工数管理!$N$3:$N$98,"&gt;="&amp;$H263)+COUNTIFS(工数管理!$AK$3:$AK$98,L$1,工数管理!$O$3:$O$98,"&lt;="&amp;$H263,工数管理!$P$3:$P$98,"&gt;="&amp;$H263)+COUNTIFS(工数管理!$AK$3:$AK$98,L$1,工数管理!$Q$3:$Q$98,"&lt;="&amp;$H263,工数管理!$R$3:$R$98,"&gt;="&amp;$H263)+COUNTIFS(工数管理!$AK$3:$AK$98,L$1,工数管理!$S$3:$S$98,"&lt;="&amp;$H263,工数管理!$T$3:$T$98,"&gt;="&amp;$H263)+COUNTIFS(工数管理!$AK$3:$AK$98,L$1,工数管理!$U$3:$U$98,"&lt;="&amp;$H263,工数管理!$V$3:$V$98,"&gt;="&amp;$H263)+COUNTIFS(工数管理!$AK$3:$AK$98,L$1,工数管理!$W$3:$W$98,"&lt;="&amp;$H263,工数管理!$X$3:$X$98,"&gt;="&amp;$H263)+COUNTIFS(工数管理!$AK$3:$AK$98,L$1,工数管理!$Y$3:$Y$98,"&lt;="&amp;$H263,工数管理!$Z$3:$Z$98,"&gt;="&amp;$H263)+COUNTIFS(工数管理!$AK$3:$AK$98,L$1,工数管理!$AA$3:$AA$98,"&lt;="&amp;$H263,工数管理!$AB$3:$AB$98,"&gt;="&amp;$H263)+COUNTIFS(工数管理!$AK$3:$AK$98,L$1,工数管理!$AC$3:$AC$98,"&lt;="&amp;$H263,工数管理!$AD$3:$AD$98,"&gt;="&amp;$H263)+COUNTIFS(工数管理!$AK$3:$AK$98,L$1,工数管理!$AE$3:$AE$98,"&lt;="&amp;$H263,工数管理!$AF$3:$AF$98,"&gt;="&amp;$H263)+COUNTIFS(工数管理!$AK$3:$AK$98,L$1,工数管理!$AG$3:$AG$98,"&lt;="&amp;$H263,工数管理!$AH$3:$AH$98,"&gt;="&amp;$H263)+(COUNTIFS(工数管理!$AK$3:$AK$98,L$1,工数管理!$K$3:$K$98,"&lt;="&amp;$H263,工数管理!$L$3:$L$98,"")+COUNTIFS(工数管理!$AK$3:$AK$98,L$1,工数管理!$M$3:$M$98,"&lt;="&amp;$H263,工数管理!$N$3:$N$98,"")+COUNTIFS(工数管理!$AK$3:$AK$98,L$1,工数管理!$O$3:$O$98,"&lt;="&amp;$H263,工数管理!$P$3:$P$98,"")+COUNTIFS(工数管理!$AK$3:$AK$98,L$1,工数管理!$Q$3:$Q$98,"&lt;="&amp;$H263,工数管理!$R$3:$R$98,"")+COUNTIFS(工数管理!$AK$3:$AK$98,L$1,工数管理!$S$3:$S$98,"&lt;="&amp;$H263,工数管理!$T$3:$T$98,"")+COUNTIFS(工数管理!$AK$3:$AK$98,L$1,工数管理!$U$3:$U$98,"&lt;="&amp;$H263,工数管理!$V$3:$V$98,"")+COUNTIFS(工数管理!$AK$3:$AK$98,L$1,工数管理!$W$3:$W$98,"&lt;="&amp;$H263,工数管理!$X$3:$X$98,"")+COUNTIFS(工数管理!$AK$3:$AK$98,L$1,工数管理!$Y$3:$Y$98,"&lt;="&amp;$H263,工数管理!$Z$3:$Z$98,"")+COUNTIFS(工数管理!$AK$3:$AK$98,L$1,工数管理!$AA$3:$AA$98,"&lt;="&amp;$H263,工数管理!$AB$3:$AB$98,"")+COUNTIFS(工数管理!$AK$3:$AK$98,L$1,工数管理!$AC$3:$AC$98,"&lt;="&amp;$H263,工数管理!$AD$3:$AD$98,"")+COUNTIFS(工数管理!$AK$3:$AK$98,L$1,工数管理!$AE$3:$AE$98,"&lt;="&amp;$H263,工数管理!$AF$3:$AF$98,"")+COUNTIFS(工数管理!$AK$3:$AK$98,L$1,工数管理!$AG$3:$AG$98,"&lt;="&amp;$H263,工数管理!$AH$3:$AH$98,""))*($H263&lt;=工数管理!$AI$1))</f>
        <v>0</v>
      </c>
    </row>
    <row r="264" spans="8:12" x14ac:dyDescent="0.15">
      <c r="H264" s="41">
        <f t="shared" si="9"/>
        <v>46432</v>
      </c>
      <c r="I264" s="42">
        <f t="shared" si="8"/>
        <v>0</v>
      </c>
      <c r="J264" s="42">
        <f ca="1">IF(J$1="",0,COUNTIFS(工数管理!$AK$3:$AK$98,J$1,工数管理!$K$3:$K$98,"&lt;="&amp;$H264,工数管理!$L$3:$L$98,"&gt;="&amp;$H264)+COUNTIFS(工数管理!$AK$3:$AK$98,J$1,工数管理!$M$3:$M$98,"&lt;="&amp;$H264,工数管理!$N$3:$N$98,"&gt;="&amp;$H264)+COUNTIFS(工数管理!$AK$3:$AK$98,J$1,工数管理!$O$3:$O$98,"&lt;="&amp;$H264,工数管理!$P$3:$P$98,"&gt;="&amp;$H264)+COUNTIFS(工数管理!$AK$3:$AK$98,J$1,工数管理!$Q$3:$Q$98,"&lt;="&amp;$H264,工数管理!$R$3:$R$98,"&gt;="&amp;$H264)+COUNTIFS(工数管理!$AK$3:$AK$98,J$1,工数管理!$S$3:$S$98,"&lt;="&amp;$H264,工数管理!$T$3:$T$98,"&gt;="&amp;$H264)+COUNTIFS(工数管理!$AK$3:$AK$98,J$1,工数管理!$U$3:$U$98,"&lt;="&amp;$H264,工数管理!$V$3:$V$98,"&gt;="&amp;$H264)+COUNTIFS(工数管理!$AK$3:$AK$98,J$1,工数管理!$W$3:$W$98,"&lt;="&amp;$H264,工数管理!$X$3:$X$98,"&gt;="&amp;$H264)+COUNTIFS(工数管理!$AK$3:$AK$98,J$1,工数管理!$Y$3:$Y$98,"&lt;="&amp;$H264,工数管理!$Z$3:$Z$98,"&gt;="&amp;$H264)+COUNTIFS(工数管理!$AK$3:$AK$98,J$1,工数管理!$AA$3:$AA$98,"&lt;="&amp;$H264,工数管理!$AB$3:$AB$98,"&gt;="&amp;$H264)+COUNTIFS(工数管理!$AK$3:$AK$98,J$1,工数管理!$AC$3:$AC$98,"&lt;="&amp;$H264,工数管理!$AD$3:$AD$98,"&gt;="&amp;$H264)+COUNTIFS(工数管理!$AK$3:$AK$98,J$1,工数管理!$AE$3:$AE$98,"&lt;="&amp;$H264,工数管理!$AF$3:$AF$98,"&gt;="&amp;$H264)+COUNTIFS(工数管理!$AK$3:$AK$98,J$1,工数管理!$AG$3:$AG$98,"&lt;="&amp;$H264,工数管理!$AH$3:$AH$98,"&gt;="&amp;$H264)+(COUNTIFS(工数管理!$AK$3:$AK$98,J$1,工数管理!$K$3:$K$98,"&lt;="&amp;$H264,工数管理!$L$3:$L$98,"")+COUNTIFS(工数管理!$AK$3:$AK$98,J$1,工数管理!$M$3:$M$98,"&lt;="&amp;$H264,工数管理!$N$3:$N$98,"")+COUNTIFS(工数管理!$AK$3:$AK$98,J$1,工数管理!$O$3:$O$98,"&lt;="&amp;$H264,工数管理!$P$3:$P$98,"")+COUNTIFS(工数管理!$AK$3:$AK$98,J$1,工数管理!$Q$3:$Q$98,"&lt;="&amp;$H264,工数管理!$R$3:$R$98,"")+COUNTIFS(工数管理!$AK$3:$AK$98,J$1,工数管理!$S$3:$S$98,"&lt;="&amp;$H264,工数管理!$T$3:$T$98,"")+COUNTIFS(工数管理!$AK$3:$AK$98,J$1,工数管理!$U$3:$U$98,"&lt;="&amp;$H264,工数管理!$V$3:$V$98,"")+COUNTIFS(工数管理!$AK$3:$AK$98,J$1,工数管理!$W$3:$W$98,"&lt;="&amp;$H264,工数管理!$X$3:$X$98,"")+COUNTIFS(工数管理!$AK$3:$AK$98,J$1,工数管理!$Y$3:$Y$98,"&lt;="&amp;$H264,工数管理!$Z$3:$Z$98,"")+COUNTIFS(工数管理!$AK$3:$AK$98,J$1,工数管理!$AA$3:$AA$98,"&lt;="&amp;$H264,工数管理!$AB$3:$AB$98,"")+COUNTIFS(工数管理!$AK$3:$AK$98,J$1,工数管理!$AC$3:$AC$98,"&lt;="&amp;$H264,工数管理!$AD$3:$AD$98,"")+COUNTIFS(工数管理!$AK$3:$AK$98,J$1,工数管理!$AE$3:$AE$98,"&lt;="&amp;$H264,工数管理!$AF$3:$AF$98,"")+COUNTIFS(工数管理!$AK$3:$AK$98,J$1,工数管理!$AG$3:$AG$98,"&lt;="&amp;$H264,工数管理!$AH$3:$AH$98,""))*($H264&lt;=工数管理!$AI$1))</f>
        <v>0</v>
      </c>
      <c r="K264" s="42">
        <f ca="1">IF(K$1="",0,COUNTIFS(工数管理!$AK$3:$AK$98,K$1,工数管理!$K$3:$K$98,"&lt;="&amp;$H264,工数管理!$L$3:$L$98,"&gt;="&amp;$H264)+COUNTIFS(工数管理!$AK$3:$AK$98,K$1,工数管理!$M$3:$M$98,"&lt;="&amp;$H264,工数管理!$N$3:$N$98,"&gt;="&amp;$H264)+COUNTIFS(工数管理!$AK$3:$AK$98,K$1,工数管理!$O$3:$O$98,"&lt;="&amp;$H264,工数管理!$P$3:$P$98,"&gt;="&amp;$H264)+COUNTIFS(工数管理!$AK$3:$AK$98,K$1,工数管理!$Q$3:$Q$98,"&lt;="&amp;$H264,工数管理!$R$3:$R$98,"&gt;="&amp;$H264)+COUNTIFS(工数管理!$AK$3:$AK$98,K$1,工数管理!$S$3:$S$98,"&lt;="&amp;$H264,工数管理!$T$3:$T$98,"&gt;="&amp;$H264)+COUNTIFS(工数管理!$AK$3:$AK$98,K$1,工数管理!$U$3:$U$98,"&lt;="&amp;$H264,工数管理!$V$3:$V$98,"&gt;="&amp;$H264)+COUNTIFS(工数管理!$AK$3:$AK$98,K$1,工数管理!$W$3:$W$98,"&lt;="&amp;$H264,工数管理!$X$3:$X$98,"&gt;="&amp;$H264)+COUNTIFS(工数管理!$AK$3:$AK$98,K$1,工数管理!$Y$3:$Y$98,"&lt;="&amp;$H264,工数管理!$Z$3:$Z$98,"&gt;="&amp;$H264)+COUNTIFS(工数管理!$AK$3:$AK$98,K$1,工数管理!$AA$3:$AA$98,"&lt;="&amp;$H264,工数管理!$AB$3:$AB$98,"&gt;="&amp;$H264)+COUNTIFS(工数管理!$AK$3:$AK$98,K$1,工数管理!$AC$3:$AC$98,"&lt;="&amp;$H264,工数管理!$AD$3:$AD$98,"&gt;="&amp;$H264)+COUNTIFS(工数管理!$AK$3:$AK$98,K$1,工数管理!$AE$3:$AE$98,"&lt;="&amp;$H264,工数管理!$AF$3:$AF$98,"&gt;="&amp;$H264)+COUNTIFS(工数管理!$AK$3:$AK$98,K$1,工数管理!$AG$3:$AG$98,"&lt;="&amp;$H264,工数管理!$AH$3:$AH$98,"&gt;="&amp;$H264)+(COUNTIFS(工数管理!$AK$3:$AK$98,K$1,工数管理!$K$3:$K$98,"&lt;="&amp;$H264,工数管理!$L$3:$L$98,"")+COUNTIFS(工数管理!$AK$3:$AK$98,K$1,工数管理!$M$3:$M$98,"&lt;="&amp;$H264,工数管理!$N$3:$N$98,"")+COUNTIFS(工数管理!$AK$3:$AK$98,K$1,工数管理!$O$3:$O$98,"&lt;="&amp;$H264,工数管理!$P$3:$P$98,"")+COUNTIFS(工数管理!$AK$3:$AK$98,K$1,工数管理!$Q$3:$Q$98,"&lt;="&amp;$H264,工数管理!$R$3:$R$98,"")+COUNTIFS(工数管理!$AK$3:$AK$98,K$1,工数管理!$S$3:$S$98,"&lt;="&amp;$H264,工数管理!$T$3:$T$98,"")+COUNTIFS(工数管理!$AK$3:$AK$98,K$1,工数管理!$U$3:$U$98,"&lt;="&amp;$H264,工数管理!$V$3:$V$98,"")+COUNTIFS(工数管理!$AK$3:$AK$98,K$1,工数管理!$W$3:$W$98,"&lt;="&amp;$H264,工数管理!$X$3:$X$98,"")+COUNTIFS(工数管理!$AK$3:$AK$98,K$1,工数管理!$Y$3:$Y$98,"&lt;="&amp;$H264,工数管理!$Z$3:$Z$98,"")+COUNTIFS(工数管理!$AK$3:$AK$98,K$1,工数管理!$AA$3:$AA$98,"&lt;="&amp;$H264,工数管理!$AB$3:$AB$98,"")+COUNTIFS(工数管理!$AK$3:$AK$98,K$1,工数管理!$AC$3:$AC$98,"&lt;="&amp;$H264,工数管理!$AD$3:$AD$98,"")+COUNTIFS(工数管理!$AK$3:$AK$98,K$1,工数管理!$AE$3:$AE$98,"&lt;="&amp;$H264,工数管理!$AF$3:$AF$98,"")+COUNTIFS(工数管理!$AK$3:$AK$98,K$1,工数管理!$AG$3:$AG$98,"&lt;="&amp;$H264,工数管理!$AH$3:$AH$98,""))*($H264&lt;=工数管理!$AI$1))</f>
        <v>0</v>
      </c>
      <c r="L264" s="42">
        <f ca="1">IF(L$1="",0,COUNTIFS(工数管理!$AK$3:$AK$98,L$1,工数管理!$K$3:$K$98,"&lt;="&amp;$H264,工数管理!$L$3:$L$98,"&gt;="&amp;$H264)+COUNTIFS(工数管理!$AK$3:$AK$98,L$1,工数管理!$M$3:$M$98,"&lt;="&amp;$H264,工数管理!$N$3:$N$98,"&gt;="&amp;$H264)+COUNTIFS(工数管理!$AK$3:$AK$98,L$1,工数管理!$O$3:$O$98,"&lt;="&amp;$H264,工数管理!$P$3:$P$98,"&gt;="&amp;$H264)+COUNTIFS(工数管理!$AK$3:$AK$98,L$1,工数管理!$Q$3:$Q$98,"&lt;="&amp;$H264,工数管理!$R$3:$R$98,"&gt;="&amp;$H264)+COUNTIFS(工数管理!$AK$3:$AK$98,L$1,工数管理!$S$3:$S$98,"&lt;="&amp;$H264,工数管理!$T$3:$T$98,"&gt;="&amp;$H264)+COUNTIFS(工数管理!$AK$3:$AK$98,L$1,工数管理!$U$3:$U$98,"&lt;="&amp;$H264,工数管理!$V$3:$V$98,"&gt;="&amp;$H264)+COUNTIFS(工数管理!$AK$3:$AK$98,L$1,工数管理!$W$3:$W$98,"&lt;="&amp;$H264,工数管理!$X$3:$X$98,"&gt;="&amp;$H264)+COUNTIFS(工数管理!$AK$3:$AK$98,L$1,工数管理!$Y$3:$Y$98,"&lt;="&amp;$H264,工数管理!$Z$3:$Z$98,"&gt;="&amp;$H264)+COUNTIFS(工数管理!$AK$3:$AK$98,L$1,工数管理!$AA$3:$AA$98,"&lt;="&amp;$H264,工数管理!$AB$3:$AB$98,"&gt;="&amp;$H264)+COUNTIFS(工数管理!$AK$3:$AK$98,L$1,工数管理!$AC$3:$AC$98,"&lt;="&amp;$H264,工数管理!$AD$3:$AD$98,"&gt;="&amp;$H264)+COUNTIFS(工数管理!$AK$3:$AK$98,L$1,工数管理!$AE$3:$AE$98,"&lt;="&amp;$H264,工数管理!$AF$3:$AF$98,"&gt;="&amp;$H264)+COUNTIFS(工数管理!$AK$3:$AK$98,L$1,工数管理!$AG$3:$AG$98,"&lt;="&amp;$H264,工数管理!$AH$3:$AH$98,"&gt;="&amp;$H264)+(COUNTIFS(工数管理!$AK$3:$AK$98,L$1,工数管理!$K$3:$K$98,"&lt;="&amp;$H264,工数管理!$L$3:$L$98,"")+COUNTIFS(工数管理!$AK$3:$AK$98,L$1,工数管理!$M$3:$M$98,"&lt;="&amp;$H264,工数管理!$N$3:$N$98,"")+COUNTIFS(工数管理!$AK$3:$AK$98,L$1,工数管理!$O$3:$O$98,"&lt;="&amp;$H264,工数管理!$P$3:$P$98,"")+COUNTIFS(工数管理!$AK$3:$AK$98,L$1,工数管理!$Q$3:$Q$98,"&lt;="&amp;$H264,工数管理!$R$3:$R$98,"")+COUNTIFS(工数管理!$AK$3:$AK$98,L$1,工数管理!$S$3:$S$98,"&lt;="&amp;$H264,工数管理!$T$3:$T$98,"")+COUNTIFS(工数管理!$AK$3:$AK$98,L$1,工数管理!$U$3:$U$98,"&lt;="&amp;$H264,工数管理!$V$3:$V$98,"")+COUNTIFS(工数管理!$AK$3:$AK$98,L$1,工数管理!$W$3:$W$98,"&lt;="&amp;$H264,工数管理!$X$3:$X$98,"")+COUNTIFS(工数管理!$AK$3:$AK$98,L$1,工数管理!$Y$3:$Y$98,"&lt;="&amp;$H264,工数管理!$Z$3:$Z$98,"")+COUNTIFS(工数管理!$AK$3:$AK$98,L$1,工数管理!$AA$3:$AA$98,"&lt;="&amp;$H264,工数管理!$AB$3:$AB$98,"")+COUNTIFS(工数管理!$AK$3:$AK$98,L$1,工数管理!$AC$3:$AC$98,"&lt;="&amp;$H264,工数管理!$AD$3:$AD$98,"")+COUNTIFS(工数管理!$AK$3:$AK$98,L$1,工数管理!$AE$3:$AE$98,"&lt;="&amp;$H264,工数管理!$AF$3:$AF$98,"")+COUNTIFS(工数管理!$AK$3:$AK$98,L$1,工数管理!$AG$3:$AG$98,"&lt;="&amp;$H264,工数管理!$AH$3:$AH$98,""))*($H264&lt;=工数管理!$AI$1))</f>
        <v>0</v>
      </c>
    </row>
    <row r="265" spans="8:12" x14ac:dyDescent="0.15">
      <c r="H265" s="41">
        <f t="shared" si="9"/>
        <v>46433</v>
      </c>
      <c r="I265" s="42">
        <f t="shared" si="8"/>
        <v>1</v>
      </c>
      <c r="J265" s="42">
        <f ca="1">IF(J$1="",0,COUNTIFS(工数管理!$AK$3:$AK$98,J$1,工数管理!$K$3:$K$98,"&lt;="&amp;$H265,工数管理!$L$3:$L$98,"&gt;="&amp;$H265)+COUNTIFS(工数管理!$AK$3:$AK$98,J$1,工数管理!$M$3:$M$98,"&lt;="&amp;$H265,工数管理!$N$3:$N$98,"&gt;="&amp;$H265)+COUNTIFS(工数管理!$AK$3:$AK$98,J$1,工数管理!$O$3:$O$98,"&lt;="&amp;$H265,工数管理!$P$3:$P$98,"&gt;="&amp;$H265)+COUNTIFS(工数管理!$AK$3:$AK$98,J$1,工数管理!$Q$3:$Q$98,"&lt;="&amp;$H265,工数管理!$R$3:$R$98,"&gt;="&amp;$H265)+COUNTIFS(工数管理!$AK$3:$AK$98,J$1,工数管理!$S$3:$S$98,"&lt;="&amp;$H265,工数管理!$T$3:$T$98,"&gt;="&amp;$H265)+COUNTIFS(工数管理!$AK$3:$AK$98,J$1,工数管理!$U$3:$U$98,"&lt;="&amp;$H265,工数管理!$V$3:$V$98,"&gt;="&amp;$H265)+COUNTIFS(工数管理!$AK$3:$AK$98,J$1,工数管理!$W$3:$W$98,"&lt;="&amp;$H265,工数管理!$X$3:$X$98,"&gt;="&amp;$H265)+COUNTIFS(工数管理!$AK$3:$AK$98,J$1,工数管理!$Y$3:$Y$98,"&lt;="&amp;$H265,工数管理!$Z$3:$Z$98,"&gt;="&amp;$H265)+COUNTIFS(工数管理!$AK$3:$AK$98,J$1,工数管理!$AA$3:$AA$98,"&lt;="&amp;$H265,工数管理!$AB$3:$AB$98,"&gt;="&amp;$H265)+COUNTIFS(工数管理!$AK$3:$AK$98,J$1,工数管理!$AC$3:$AC$98,"&lt;="&amp;$H265,工数管理!$AD$3:$AD$98,"&gt;="&amp;$H265)+COUNTIFS(工数管理!$AK$3:$AK$98,J$1,工数管理!$AE$3:$AE$98,"&lt;="&amp;$H265,工数管理!$AF$3:$AF$98,"&gt;="&amp;$H265)+COUNTIFS(工数管理!$AK$3:$AK$98,J$1,工数管理!$AG$3:$AG$98,"&lt;="&amp;$H265,工数管理!$AH$3:$AH$98,"&gt;="&amp;$H265)+(COUNTIFS(工数管理!$AK$3:$AK$98,J$1,工数管理!$K$3:$K$98,"&lt;="&amp;$H265,工数管理!$L$3:$L$98,"")+COUNTIFS(工数管理!$AK$3:$AK$98,J$1,工数管理!$M$3:$M$98,"&lt;="&amp;$H265,工数管理!$N$3:$N$98,"")+COUNTIFS(工数管理!$AK$3:$AK$98,J$1,工数管理!$O$3:$O$98,"&lt;="&amp;$H265,工数管理!$P$3:$P$98,"")+COUNTIFS(工数管理!$AK$3:$AK$98,J$1,工数管理!$Q$3:$Q$98,"&lt;="&amp;$H265,工数管理!$R$3:$R$98,"")+COUNTIFS(工数管理!$AK$3:$AK$98,J$1,工数管理!$S$3:$S$98,"&lt;="&amp;$H265,工数管理!$T$3:$T$98,"")+COUNTIFS(工数管理!$AK$3:$AK$98,J$1,工数管理!$U$3:$U$98,"&lt;="&amp;$H265,工数管理!$V$3:$V$98,"")+COUNTIFS(工数管理!$AK$3:$AK$98,J$1,工数管理!$W$3:$W$98,"&lt;="&amp;$H265,工数管理!$X$3:$X$98,"")+COUNTIFS(工数管理!$AK$3:$AK$98,J$1,工数管理!$Y$3:$Y$98,"&lt;="&amp;$H265,工数管理!$Z$3:$Z$98,"")+COUNTIFS(工数管理!$AK$3:$AK$98,J$1,工数管理!$AA$3:$AA$98,"&lt;="&amp;$H265,工数管理!$AB$3:$AB$98,"")+COUNTIFS(工数管理!$AK$3:$AK$98,J$1,工数管理!$AC$3:$AC$98,"&lt;="&amp;$H265,工数管理!$AD$3:$AD$98,"")+COUNTIFS(工数管理!$AK$3:$AK$98,J$1,工数管理!$AE$3:$AE$98,"&lt;="&amp;$H265,工数管理!$AF$3:$AF$98,"")+COUNTIFS(工数管理!$AK$3:$AK$98,J$1,工数管理!$AG$3:$AG$98,"&lt;="&amp;$H265,工数管理!$AH$3:$AH$98,""))*($H265&lt;=工数管理!$AI$1))</f>
        <v>0</v>
      </c>
      <c r="K265" s="42">
        <f ca="1">IF(K$1="",0,COUNTIFS(工数管理!$AK$3:$AK$98,K$1,工数管理!$K$3:$K$98,"&lt;="&amp;$H265,工数管理!$L$3:$L$98,"&gt;="&amp;$H265)+COUNTIFS(工数管理!$AK$3:$AK$98,K$1,工数管理!$M$3:$M$98,"&lt;="&amp;$H265,工数管理!$N$3:$N$98,"&gt;="&amp;$H265)+COUNTIFS(工数管理!$AK$3:$AK$98,K$1,工数管理!$O$3:$O$98,"&lt;="&amp;$H265,工数管理!$P$3:$P$98,"&gt;="&amp;$H265)+COUNTIFS(工数管理!$AK$3:$AK$98,K$1,工数管理!$Q$3:$Q$98,"&lt;="&amp;$H265,工数管理!$R$3:$R$98,"&gt;="&amp;$H265)+COUNTIFS(工数管理!$AK$3:$AK$98,K$1,工数管理!$S$3:$S$98,"&lt;="&amp;$H265,工数管理!$T$3:$T$98,"&gt;="&amp;$H265)+COUNTIFS(工数管理!$AK$3:$AK$98,K$1,工数管理!$U$3:$U$98,"&lt;="&amp;$H265,工数管理!$V$3:$V$98,"&gt;="&amp;$H265)+COUNTIFS(工数管理!$AK$3:$AK$98,K$1,工数管理!$W$3:$W$98,"&lt;="&amp;$H265,工数管理!$X$3:$X$98,"&gt;="&amp;$H265)+COUNTIFS(工数管理!$AK$3:$AK$98,K$1,工数管理!$Y$3:$Y$98,"&lt;="&amp;$H265,工数管理!$Z$3:$Z$98,"&gt;="&amp;$H265)+COUNTIFS(工数管理!$AK$3:$AK$98,K$1,工数管理!$AA$3:$AA$98,"&lt;="&amp;$H265,工数管理!$AB$3:$AB$98,"&gt;="&amp;$H265)+COUNTIFS(工数管理!$AK$3:$AK$98,K$1,工数管理!$AC$3:$AC$98,"&lt;="&amp;$H265,工数管理!$AD$3:$AD$98,"&gt;="&amp;$H265)+COUNTIFS(工数管理!$AK$3:$AK$98,K$1,工数管理!$AE$3:$AE$98,"&lt;="&amp;$H265,工数管理!$AF$3:$AF$98,"&gt;="&amp;$H265)+COUNTIFS(工数管理!$AK$3:$AK$98,K$1,工数管理!$AG$3:$AG$98,"&lt;="&amp;$H265,工数管理!$AH$3:$AH$98,"&gt;="&amp;$H265)+(COUNTIFS(工数管理!$AK$3:$AK$98,K$1,工数管理!$K$3:$K$98,"&lt;="&amp;$H265,工数管理!$L$3:$L$98,"")+COUNTIFS(工数管理!$AK$3:$AK$98,K$1,工数管理!$M$3:$M$98,"&lt;="&amp;$H265,工数管理!$N$3:$N$98,"")+COUNTIFS(工数管理!$AK$3:$AK$98,K$1,工数管理!$O$3:$O$98,"&lt;="&amp;$H265,工数管理!$P$3:$P$98,"")+COUNTIFS(工数管理!$AK$3:$AK$98,K$1,工数管理!$Q$3:$Q$98,"&lt;="&amp;$H265,工数管理!$R$3:$R$98,"")+COUNTIFS(工数管理!$AK$3:$AK$98,K$1,工数管理!$S$3:$S$98,"&lt;="&amp;$H265,工数管理!$T$3:$T$98,"")+COUNTIFS(工数管理!$AK$3:$AK$98,K$1,工数管理!$U$3:$U$98,"&lt;="&amp;$H265,工数管理!$V$3:$V$98,"")+COUNTIFS(工数管理!$AK$3:$AK$98,K$1,工数管理!$W$3:$W$98,"&lt;="&amp;$H265,工数管理!$X$3:$X$98,"")+COUNTIFS(工数管理!$AK$3:$AK$98,K$1,工数管理!$Y$3:$Y$98,"&lt;="&amp;$H265,工数管理!$Z$3:$Z$98,"")+COUNTIFS(工数管理!$AK$3:$AK$98,K$1,工数管理!$AA$3:$AA$98,"&lt;="&amp;$H265,工数管理!$AB$3:$AB$98,"")+COUNTIFS(工数管理!$AK$3:$AK$98,K$1,工数管理!$AC$3:$AC$98,"&lt;="&amp;$H265,工数管理!$AD$3:$AD$98,"")+COUNTIFS(工数管理!$AK$3:$AK$98,K$1,工数管理!$AE$3:$AE$98,"&lt;="&amp;$H265,工数管理!$AF$3:$AF$98,"")+COUNTIFS(工数管理!$AK$3:$AK$98,K$1,工数管理!$AG$3:$AG$98,"&lt;="&amp;$H265,工数管理!$AH$3:$AH$98,""))*($H265&lt;=工数管理!$AI$1))</f>
        <v>0</v>
      </c>
      <c r="L265" s="42">
        <f ca="1">IF(L$1="",0,COUNTIFS(工数管理!$AK$3:$AK$98,L$1,工数管理!$K$3:$K$98,"&lt;="&amp;$H265,工数管理!$L$3:$L$98,"&gt;="&amp;$H265)+COUNTIFS(工数管理!$AK$3:$AK$98,L$1,工数管理!$M$3:$M$98,"&lt;="&amp;$H265,工数管理!$N$3:$N$98,"&gt;="&amp;$H265)+COUNTIFS(工数管理!$AK$3:$AK$98,L$1,工数管理!$O$3:$O$98,"&lt;="&amp;$H265,工数管理!$P$3:$P$98,"&gt;="&amp;$H265)+COUNTIFS(工数管理!$AK$3:$AK$98,L$1,工数管理!$Q$3:$Q$98,"&lt;="&amp;$H265,工数管理!$R$3:$R$98,"&gt;="&amp;$H265)+COUNTIFS(工数管理!$AK$3:$AK$98,L$1,工数管理!$S$3:$S$98,"&lt;="&amp;$H265,工数管理!$T$3:$T$98,"&gt;="&amp;$H265)+COUNTIFS(工数管理!$AK$3:$AK$98,L$1,工数管理!$U$3:$U$98,"&lt;="&amp;$H265,工数管理!$V$3:$V$98,"&gt;="&amp;$H265)+COUNTIFS(工数管理!$AK$3:$AK$98,L$1,工数管理!$W$3:$W$98,"&lt;="&amp;$H265,工数管理!$X$3:$X$98,"&gt;="&amp;$H265)+COUNTIFS(工数管理!$AK$3:$AK$98,L$1,工数管理!$Y$3:$Y$98,"&lt;="&amp;$H265,工数管理!$Z$3:$Z$98,"&gt;="&amp;$H265)+COUNTIFS(工数管理!$AK$3:$AK$98,L$1,工数管理!$AA$3:$AA$98,"&lt;="&amp;$H265,工数管理!$AB$3:$AB$98,"&gt;="&amp;$H265)+COUNTIFS(工数管理!$AK$3:$AK$98,L$1,工数管理!$AC$3:$AC$98,"&lt;="&amp;$H265,工数管理!$AD$3:$AD$98,"&gt;="&amp;$H265)+COUNTIFS(工数管理!$AK$3:$AK$98,L$1,工数管理!$AE$3:$AE$98,"&lt;="&amp;$H265,工数管理!$AF$3:$AF$98,"&gt;="&amp;$H265)+COUNTIFS(工数管理!$AK$3:$AK$98,L$1,工数管理!$AG$3:$AG$98,"&lt;="&amp;$H265,工数管理!$AH$3:$AH$98,"&gt;="&amp;$H265)+(COUNTIFS(工数管理!$AK$3:$AK$98,L$1,工数管理!$K$3:$K$98,"&lt;="&amp;$H265,工数管理!$L$3:$L$98,"")+COUNTIFS(工数管理!$AK$3:$AK$98,L$1,工数管理!$M$3:$M$98,"&lt;="&amp;$H265,工数管理!$N$3:$N$98,"")+COUNTIFS(工数管理!$AK$3:$AK$98,L$1,工数管理!$O$3:$O$98,"&lt;="&amp;$H265,工数管理!$P$3:$P$98,"")+COUNTIFS(工数管理!$AK$3:$AK$98,L$1,工数管理!$Q$3:$Q$98,"&lt;="&amp;$H265,工数管理!$R$3:$R$98,"")+COUNTIFS(工数管理!$AK$3:$AK$98,L$1,工数管理!$S$3:$S$98,"&lt;="&amp;$H265,工数管理!$T$3:$T$98,"")+COUNTIFS(工数管理!$AK$3:$AK$98,L$1,工数管理!$U$3:$U$98,"&lt;="&amp;$H265,工数管理!$V$3:$V$98,"")+COUNTIFS(工数管理!$AK$3:$AK$98,L$1,工数管理!$W$3:$W$98,"&lt;="&amp;$H265,工数管理!$X$3:$X$98,"")+COUNTIFS(工数管理!$AK$3:$AK$98,L$1,工数管理!$Y$3:$Y$98,"&lt;="&amp;$H265,工数管理!$Z$3:$Z$98,"")+COUNTIFS(工数管理!$AK$3:$AK$98,L$1,工数管理!$AA$3:$AA$98,"&lt;="&amp;$H265,工数管理!$AB$3:$AB$98,"")+COUNTIFS(工数管理!$AK$3:$AK$98,L$1,工数管理!$AC$3:$AC$98,"&lt;="&amp;$H265,工数管理!$AD$3:$AD$98,"")+COUNTIFS(工数管理!$AK$3:$AK$98,L$1,工数管理!$AE$3:$AE$98,"&lt;="&amp;$H265,工数管理!$AF$3:$AF$98,"")+COUNTIFS(工数管理!$AK$3:$AK$98,L$1,工数管理!$AG$3:$AG$98,"&lt;="&amp;$H265,工数管理!$AH$3:$AH$98,""))*($H265&lt;=工数管理!$AI$1))</f>
        <v>0</v>
      </c>
    </row>
    <row r="266" spans="8:12" x14ac:dyDescent="0.15">
      <c r="H266" s="41">
        <f t="shared" si="9"/>
        <v>46434</v>
      </c>
      <c r="I266" s="42">
        <f t="shared" si="8"/>
        <v>1</v>
      </c>
      <c r="J266" s="42">
        <f ca="1">IF(J$1="",0,COUNTIFS(工数管理!$AK$3:$AK$98,J$1,工数管理!$K$3:$K$98,"&lt;="&amp;$H266,工数管理!$L$3:$L$98,"&gt;="&amp;$H266)+COUNTIFS(工数管理!$AK$3:$AK$98,J$1,工数管理!$M$3:$M$98,"&lt;="&amp;$H266,工数管理!$N$3:$N$98,"&gt;="&amp;$H266)+COUNTIFS(工数管理!$AK$3:$AK$98,J$1,工数管理!$O$3:$O$98,"&lt;="&amp;$H266,工数管理!$P$3:$P$98,"&gt;="&amp;$H266)+COUNTIFS(工数管理!$AK$3:$AK$98,J$1,工数管理!$Q$3:$Q$98,"&lt;="&amp;$H266,工数管理!$R$3:$R$98,"&gt;="&amp;$H266)+COUNTIFS(工数管理!$AK$3:$AK$98,J$1,工数管理!$S$3:$S$98,"&lt;="&amp;$H266,工数管理!$T$3:$T$98,"&gt;="&amp;$H266)+COUNTIFS(工数管理!$AK$3:$AK$98,J$1,工数管理!$U$3:$U$98,"&lt;="&amp;$H266,工数管理!$V$3:$V$98,"&gt;="&amp;$H266)+COUNTIFS(工数管理!$AK$3:$AK$98,J$1,工数管理!$W$3:$W$98,"&lt;="&amp;$H266,工数管理!$X$3:$X$98,"&gt;="&amp;$H266)+COUNTIFS(工数管理!$AK$3:$AK$98,J$1,工数管理!$Y$3:$Y$98,"&lt;="&amp;$H266,工数管理!$Z$3:$Z$98,"&gt;="&amp;$H266)+COUNTIFS(工数管理!$AK$3:$AK$98,J$1,工数管理!$AA$3:$AA$98,"&lt;="&amp;$H266,工数管理!$AB$3:$AB$98,"&gt;="&amp;$H266)+COUNTIFS(工数管理!$AK$3:$AK$98,J$1,工数管理!$AC$3:$AC$98,"&lt;="&amp;$H266,工数管理!$AD$3:$AD$98,"&gt;="&amp;$H266)+COUNTIFS(工数管理!$AK$3:$AK$98,J$1,工数管理!$AE$3:$AE$98,"&lt;="&amp;$H266,工数管理!$AF$3:$AF$98,"&gt;="&amp;$H266)+COUNTIFS(工数管理!$AK$3:$AK$98,J$1,工数管理!$AG$3:$AG$98,"&lt;="&amp;$H266,工数管理!$AH$3:$AH$98,"&gt;="&amp;$H266)+(COUNTIFS(工数管理!$AK$3:$AK$98,J$1,工数管理!$K$3:$K$98,"&lt;="&amp;$H266,工数管理!$L$3:$L$98,"")+COUNTIFS(工数管理!$AK$3:$AK$98,J$1,工数管理!$M$3:$M$98,"&lt;="&amp;$H266,工数管理!$N$3:$N$98,"")+COUNTIFS(工数管理!$AK$3:$AK$98,J$1,工数管理!$O$3:$O$98,"&lt;="&amp;$H266,工数管理!$P$3:$P$98,"")+COUNTIFS(工数管理!$AK$3:$AK$98,J$1,工数管理!$Q$3:$Q$98,"&lt;="&amp;$H266,工数管理!$R$3:$R$98,"")+COUNTIFS(工数管理!$AK$3:$AK$98,J$1,工数管理!$S$3:$S$98,"&lt;="&amp;$H266,工数管理!$T$3:$T$98,"")+COUNTIFS(工数管理!$AK$3:$AK$98,J$1,工数管理!$U$3:$U$98,"&lt;="&amp;$H266,工数管理!$V$3:$V$98,"")+COUNTIFS(工数管理!$AK$3:$AK$98,J$1,工数管理!$W$3:$W$98,"&lt;="&amp;$H266,工数管理!$X$3:$X$98,"")+COUNTIFS(工数管理!$AK$3:$AK$98,J$1,工数管理!$Y$3:$Y$98,"&lt;="&amp;$H266,工数管理!$Z$3:$Z$98,"")+COUNTIFS(工数管理!$AK$3:$AK$98,J$1,工数管理!$AA$3:$AA$98,"&lt;="&amp;$H266,工数管理!$AB$3:$AB$98,"")+COUNTIFS(工数管理!$AK$3:$AK$98,J$1,工数管理!$AC$3:$AC$98,"&lt;="&amp;$H266,工数管理!$AD$3:$AD$98,"")+COUNTIFS(工数管理!$AK$3:$AK$98,J$1,工数管理!$AE$3:$AE$98,"&lt;="&amp;$H266,工数管理!$AF$3:$AF$98,"")+COUNTIFS(工数管理!$AK$3:$AK$98,J$1,工数管理!$AG$3:$AG$98,"&lt;="&amp;$H266,工数管理!$AH$3:$AH$98,""))*($H266&lt;=工数管理!$AI$1))</f>
        <v>0</v>
      </c>
      <c r="K266" s="42">
        <f ca="1">IF(K$1="",0,COUNTIFS(工数管理!$AK$3:$AK$98,K$1,工数管理!$K$3:$K$98,"&lt;="&amp;$H266,工数管理!$L$3:$L$98,"&gt;="&amp;$H266)+COUNTIFS(工数管理!$AK$3:$AK$98,K$1,工数管理!$M$3:$M$98,"&lt;="&amp;$H266,工数管理!$N$3:$N$98,"&gt;="&amp;$H266)+COUNTIFS(工数管理!$AK$3:$AK$98,K$1,工数管理!$O$3:$O$98,"&lt;="&amp;$H266,工数管理!$P$3:$P$98,"&gt;="&amp;$H266)+COUNTIFS(工数管理!$AK$3:$AK$98,K$1,工数管理!$Q$3:$Q$98,"&lt;="&amp;$H266,工数管理!$R$3:$R$98,"&gt;="&amp;$H266)+COUNTIFS(工数管理!$AK$3:$AK$98,K$1,工数管理!$S$3:$S$98,"&lt;="&amp;$H266,工数管理!$T$3:$T$98,"&gt;="&amp;$H266)+COUNTIFS(工数管理!$AK$3:$AK$98,K$1,工数管理!$U$3:$U$98,"&lt;="&amp;$H266,工数管理!$V$3:$V$98,"&gt;="&amp;$H266)+COUNTIFS(工数管理!$AK$3:$AK$98,K$1,工数管理!$W$3:$W$98,"&lt;="&amp;$H266,工数管理!$X$3:$X$98,"&gt;="&amp;$H266)+COUNTIFS(工数管理!$AK$3:$AK$98,K$1,工数管理!$Y$3:$Y$98,"&lt;="&amp;$H266,工数管理!$Z$3:$Z$98,"&gt;="&amp;$H266)+COUNTIFS(工数管理!$AK$3:$AK$98,K$1,工数管理!$AA$3:$AA$98,"&lt;="&amp;$H266,工数管理!$AB$3:$AB$98,"&gt;="&amp;$H266)+COUNTIFS(工数管理!$AK$3:$AK$98,K$1,工数管理!$AC$3:$AC$98,"&lt;="&amp;$H266,工数管理!$AD$3:$AD$98,"&gt;="&amp;$H266)+COUNTIFS(工数管理!$AK$3:$AK$98,K$1,工数管理!$AE$3:$AE$98,"&lt;="&amp;$H266,工数管理!$AF$3:$AF$98,"&gt;="&amp;$H266)+COUNTIFS(工数管理!$AK$3:$AK$98,K$1,工数管理!$AG$3:$AG$98,"&lt;="&amp;$H266,工数管理!$AH$3:$AH$98,"&gt;="&amp;$H266)+(COUNTIFS(工数管理!$AK$3:$AK$98,K$1,工数管理!$K$3:$K$98,"&lt;="&amp;$H266,工数管理!$L$3:$L$98,"")+COUNTIFS(工数管理!$AK$3:$AK$98,K$1,工数管理!$M$3:$M$98,"&lt;="&amp;$H266,工数管理!$N$3:$N$98,"")+COUNTIFS(工数管理!$AK$3:$AK$98,K$1,工数管理!$O$3:$O$98,"&lt;="&amp;$H266,工数管理!$P$3:$P$98,"")+COUNTIFS(工数管理!$AK$3:$AK$98,K$1,工数管理!$Q$3:$Q$98,"&lt;="&amp;$H266,工数管理!$R$3:$R$98,"")+COUNTIFS(工数管理!$AK$3:$AK$98,K$1,工数管理!$S$3:$S$98,"&lt;="&amp;$H266,工数管理!$T$3:$T$98,"")+COUNTIFS(工数管理!$AK$3:$AK$98,K$1,工数管理!$U$3:$U$98,"&lt;="&amp;$H266,工数管理!$V$3:$V$98,"")+COUNTIFS(工数管理!$AK$3:$AK$98,K$1,工数管理!$W$3:$W$98,"&lt;="&amp;$H266,工数管理!$X$3:$X$98,"")+COUNTIFS(工数管理!$AK$3:$AK$98,K$1,工数管理!$Y$3:$Y$98,"&lt;="&amp;$H266,工数管理!$Z$3:$Z$98,"")+COUNTIFS(工数管理!$AK$3:$AK$98,K$1,工数管理!$AA$3:$AA$98,"&lt;="&amp;$H266,工数管理!$AB$3:$AB$98,"")+COUNTIFS(工数管理!$AK$3:$AK$98,K$1,工数管理!$AC$3:$AC$98,"&lt;="&amp;$H266,工数管理!$AD$3:$AD$98,"")+COUNTIFS(工数管理!$AK$3:$AK$98,K$1,工数管理!$AE$3:$AE$98,"&lt;="&amp;$H266,工数管理!$AF$3:$AF$98,"")+COUNTIFS(工数管理!$AK$3:$AK$98,K$1,工数管理!$AG$3:$AG$98,"&lt;="&amp;$H266,工数管理!$AH$3:$AH$98,""))*($H266&lt;=工数管理!$AI$1))</f>
        <v>0</v>
      </c>
      <c r="L266" s="42">
        <f ca="1">IF(L$1="",0,COUNTIFS(工数管理!$AK$3:$AK$98,L$1,工数管理!$K$3:$K$98,"&lt;="&amp;$H266,工数管理!$L$3:$L$98,"&gt;="&amp;$H266)+COUNTIFS(工数管理!$AK$3:$AK$98,L$1,工数管理!$M$3:$M$98,"&lt;="&amp;$H266,工数管理!$N$3:$N$98,"&gt;="&amp;$H266)+COUNTIFS(工数管理!$AK$3:$AK$98,L$1,工数管理!$O$3:$O$98,"&lt;="&amp;$H266,工数管理!$P$3:$P$98,"&gt;="&amp;$H266)+COUNTIFS(工数管理!$AK$3:$AK$98,L$1,工数管理!$Q$3:$Q$98,"&lt;="&amp;$H266,工数管理!$R$3:$R$98,"&gt;="&amp;$H266)+COUNTIFS(工数管理!$AK$3:$AK$98,L$1,工数管理!$S$3:$S$98,"&lt;="&amp;$H266,工数管理!$T$3:$T$98,"&gt;="&amp;$H266)+COUNTIFS(工数管理!$AK$3:$AK$98,L$1,工数管理!$U$3:$U$98,"&lt;="&amp;$H266,工数管理!$V$3:$V$98,"&gt;="&amp;$H266)+COUNTIFS(工数管理!$AK$3:$AK$98,L$1,工数管理!$W$3:$W$98,"&lt;="&amp;$H266,工数管理!$X$3:$X$98,"&gt;="&amp;$H266)+COUNTIFS(工数管理!$AK$3:$AK$98,L$1,工数管理!$Y$3:$Y$98,"&lt;="&amp;$H266,工数管理!$Z$3:$Z$98,"&gt;="&amp;$H266)+COUNTIFS(工数管理!$AK$3:$AK$98,L$1,工数管理!$AA$3:$AA$98,"&lt;="&amp;$H266,工数管理!$AB$3:$AB$98,"&gt;="&amp;$H266)+COUNTIFS(工数管理!$AK$3:$AK$98,L$1,工数管理!$AC$3:$AC$98,"&lt;="&amp;$H266,工数管理!$AD$3:$AD$98,"&gt;="&amp;$H266)+COUNTIFS(工数管理!$AK$3:$AK$98,L$1,工数管理!$AE$3:$AE$98,"&lt;="&amp;$H266,工数管理!$AF$3:$AF$98,"&gt;="&amp;$H266)+COUNTIFS(工数管理!$AK$3:$AK$98,L$1,工数管理!$AG$3:$AG$98,"&lt;="&amp;$H266,工数管理!$AH$3:$AH$98,"&gt;="&amp;$H266)+(COUNTIFS(工数管理!$AK$3:$AK$98,L$1,工数管理!$K$3:$K$98,"&lt;="&amp;$H266,工数管理!$L$3:$L$98,"")+COUNTIFS(工数管理!$AK$3:$AK$98,L$1,工数管理!$M$3:$M$98,"&lt;="&amp;$H266,工数管理!$N$3:$N$98,"")+COUNTIFS(工数管理!$AK$3:$AK$98,L$1,工数管理!$O$3:$O$98,"&lt;="&amp;$H266,工数管理!$P$3:$P$98,"")+COUNTIFS(工数管理!$AK$3:$AK$98,L$1,工数管理!$Q$3:$Q$98,"&lt;="&amp;$H266,工数管理!$R$3:$R$98,"")+COUNTIFS(工数管理!$AK$3:$AK$98,L$1,工数管理!$S$3:$S$98,"&lt;="&amp;$H266,工数管理!$T$3:$T$98,"")+COUNTIFS(工数管理!$AK$3:$AK$98,L$1,工数管理!$U$3:$U$98,"&lt;="&amp;$H266,工数管理!$V$3:$V$98,"")+COUNTIFS(工数管理!$AK$3:$AK$98,L$1,工数管理!$W$3:$W$98,"&lt;="&amp;$H266,工数管理!$X$3:$X$98,"")+COUNTIFS(工数管理!$AK$3:$AK$98,L$1,工数管理!$Y$3:$Y$98,"&lt;="&amp;$H266,工数管理!$Z$3:$Z$98,"")+COUNTIFS(工数管理!$AK$3:$AK$98,L$1,工数管理!$AA$3:$AA$98,"&lt;="&amp;$H266,工数管理!$AB$3:$AB$98,"")+COUNTIFS(工数管理!$AK$3:$AK$98,L$1,工数管理!$AC$3:$AC$98,"&lt;="&amp;$H266,工数管理!$AD$3:$AD$98,"")+COUNTIFS(工数管理!$AK$3:$AK$98,L$1,工数管理!$AE$3:$AE$98,"&lt;="&amp;$H266,工数管理!$AF$3:$AF$98,"")+COUNTIFS(工数管理!$AK$3:$AK$98,L$1,工数管理!$AG$3:$AG$98,"&lt;="&amp;$H266,工数管理!$AH$3:$AH$98,""))*($H266&lt;=工数管理!$AI$1))</f>
        <v>0</v>
      </c>
    </row>
    <row r="267" spans="8:12" x14ac:dyDescent="0.15">
      <c r="H267" s="41">
        <f t="shared" si="9"/>
        <v>46435</v>
      </c>
      <c r="I267" s="42">
        <f t="shared" si="8"/>
        <v>1</v>
      </c>
      <c r="J267" s="42">
        <f ca="1">IF(J$1="",0,COUNTIFS(工数管理!$AK$3:$AK$98,J$1,工数管理!$K$3:$K$98,"&lt;="&amp;$H267,工数管理!$L$3:$L$98,"&gt;="&amp;$H267)+COUNTIFS(工数管理!$AK$3:$AK$98,J$1,工数管理!$M$3:$M$98,"&lt;="&amp;$H267,工数管理!$N$3:$N$98,"&gt;="&amp;$H267)+COUNTIFS(工数管理!$AK$3:$AK$98,J$1,工数管理!$O$3:$O$98,"&lt;="&amp;$H267,工数管理!$P$3:$P$98,"&gt;="&amp;$H267)+COUNTIFS(工数管理!$AK$3:$AK$98,J$1,工数管理!$Q$3:$Q$98,"&lt;="&amp;$H267,工数管理!$R$3:$R$98,"&gt;="&amp;$H267)+COUNTIFS(工数管理!$AK$3:$AK$98,J$1,工数管理!$S$3:$S$98,"&lt;="&amp;$H267,工数管理!$T$3:$T$98,"&gt;="&amp;$H267)+COUNTIFS(工数管理!$AK$3:$AK$98,J$1,工数管理!$U$3:$U$98,"&lt;="&amp;$H267,工数管理!$V$3:$V$98,"&gt;="&amp;$H267)+COUNTIFS(工数管理!$AK$3:$AK$98,J$1,工数管理!$W$3:$W$98,"&lt;="&amp;$H267,工数管理!$X$3:$X$98,"&gt;="&amp;$H267)+COUNTIFS(工数管理!$AK$3:$AK$98,J$1,工数管理!$Y$3:$Y$98,"&lt;="&amp;$H267,工数管理!$Z$3:$Z$98,"&gt;="&amp;$H267)+COUNTIFS(工数管理!$AK$3:$AK$98,J$1,工数管理!$AA$3:$AA$98,"&lt;="&amp;$H267,工数管理!$AB$3:$AB$98,"&gt;="&amp;$H267)+COUNTIFS(工数管理!$AK$3:$AK$98,J$1,工数管理!$AC$3:$AC$98,"&lt;="&amp;$H267,工数管理!$AD$3:$AD$98,"&gt;="&amp;$H267)+COUNTIFS(工数管理!$AK$3:$AK$98,J$1,工数管理!$AE$3:$AE$98,"&lt;="&amp;$H267,工数管理!$AF$3:$AF$98,"&gt;="&amp;$H267)+COUNTIFS(工数管理!$AK$3:$AK$98,J$1,工数管理!$AG$3:$AG$98,"&lt;="&amp;$H267,工数管理!$AH$3:$AH$98,"&gt;="&amp;$H267)+(COUNTIFS(工数管理!$AK$3:$AK$98,J$1,工数管理!$K$3:$K$98,"&lt;="&amp;$H267,工数管理!$L$3:$L$98,"")+COUNTIFS(工数管理!$AK$3:$AK$98,J$1,工数管理!$M$3:$M$98,"&lt;="&amp;$H267,工数管理!$N$3:$N$98,"")+COUNTIFS(工数管理!$AK$3:$AK$98,J$1,工数管理!$O$3:$O$98,"&lt;="&amp;$H267,工数管理!$P$3:$P$98,"")+COUNTIFS(工数管理!$AK$3:$AK$98,J$1,工数管理!$Q$3:$Q$98,"&lt;="&amp;$H267,工数管理!$R$3:$R$98,"")+COUNTIFS(工数管理!$AK$3:$AK$98,J$1,工数管理!$S$3:$S$98,"&lt;="&amp;$H267,工数管理!$T$3:$T$98,"")+COUNTIFS(工数管理!$AK$3:$AK$98,J$1,工数管理!$U$3:$U$98,"&lt;="&amp;$H267,工数管理!$V$3:$V$98,"")+COUNTIFS(工数管理!$AK$3:$AK$98,J$1,工数管理!$W$3:$W$98,"&lt;="&amp;$H267,工数管理!$X$3:$X$98,"")+COUNTIFS(工数管理!$AK$3:$AK$98,J$1,工数管理!$Y$3:$Y$98,"&lt;="&amp;$H267,工数管理!$Z$3:$Z$98,"")+COUNTIFS(工数管理!$AK$3:$AK$98,J$1,工数管理!$AA$3:$AA$98,"&lt;="&amp;$H267,工数管理!$AB$3:$AB$98,"")+COUNTIFS(工数管理!$AK$3:$AK$98,J$1,工数管理!$AC$3:$AC$98,"&lt;="&amp;$H267,工数管理!$AD$3:$AD$98,"")+COUNTIFS(工数管理!$AK$3:$AK$98,J$1,工数管理!$AE$3:$AE$98,"&lt;="&amp;$H267,工数管理!$AF$3:$AF$98,"")+COUNTIFS(工数管理!$AK$3:$AK$98,J$1,工数管理!$AG$3:$AG$98,"&lt;="&amp;$H267,工数管理!$AH$3:$AH$98,""))*($H267&lt;=工数管理!$AI$1))</f>
        <v>0</v>
      </c>
      <c r="K267" s="42">
        <f ca="1">IF(K$1="",0,COUNTIFS(工数管理!$AK$3:$AK$98,K$1,工数管理!$K$3:$K$98,"&lt;="&amp;$H267,工数管理!$L$3:$L$98,"&gt;="&amp;$H267)+COUNTIFS(工数管理!$AK$3:$AK$98,K$1,工数管理!$M$3:$M$98,"&lt;="&amp;$H267,工数管理!$N$3:$N$98,"&gt;="&amp;$H267)+COUNTIFS(工数管理!$AK$3:$AK$98,K$1,工数管理!$O$3:$O$98,"&lt;="&amp;$H267,工数管理!$P$3:$P$98,"&gt;="&amp;$H267)+COUNTIFS(工数管理!$AK$3:$AK$98,K$1,工数管理!$Q$3:$Q$98,"&lt;="&amp;$H267,工数管理!$R$3:$R$98,"&gt;="&amp;$H267)+COUNTIFS(工数管理!$AK$3:$AK$98,K$1,工数管理!$S$3:$S$98,"&lt;="&amp;$H267,工数管理!$T$3:$T$98,"&gt;="&amp;$H267)+COUNTIFS(工数管理!$AK$3:$AK$98,K$1,工数管理!$U$3:$U$98,"&lt;="&amp;$H267,工数管理!$V$3:$V$98,"&gt;="&amp;$H267)+COUNTIFS(工数管理!$AK$3:$AK$98,K$1,工数管理!$W$3:$W$98,"&lt;="&amp;$H267,工数管理!$X$3:$X$98,"&gt;="&amp;$H267)+COUNTIFS(工数管理!$AK$3:$AK$98,K$1,工数管理!$Y$3:$Y$98,"&lt;="&amp;$H267,工数管理!$Z$3:$Z$98,"&gt;="&amp;$H267)+COUNTIFS(工数管理!$AK$3:$AK$98,K$1,工数管理!$AA$3:$AA$98,"&lt;="&amp;$H267,工数管理!$AB$3:$AB$98,"&gt;="&amp;$H267)+COUNTIFS(工数管理!$AK$3:$AK$98,K$1,工数管理!$AC$3:$AC$98,"&lt;="&amp;$H267,工数管理!$AD$3:$AD$98,"&gt;="&amp;$H267)+COUNTIFS(工数管理!$AK$3:$AK$98,K$1,工数管理!$AE$3:$AE$98,"&lt;="&amp;$H267,工数管理!$AF$3:$AF$98,"&gt;="&amp;$H267)+COUNTIFS(工数管理!$AK$3:$AK$98,K$1,工数管理!$AG$3:$AG$98,"&lt;="&amp;$H267,工数管理!$AH$3:$AH$98,"&gt;="&amp;$H267)+(COUNTIFS(工数管理!$AK$3:$AK$98,K$1,工数管理!$K$3:$K$98,"&lt;="&amp;$H267,工数管理!$L$3:$L$98,"")+COUNTIFS(工数管理!$AK$3:$AK$98,K$1,工数管理!$M$3:$M$98,"&lt;="&amp;$H267,工数管理!$N$3:$N$98,"")+COUNTIFS(工数管理!$AK$3:$AK$98,K$1,工数管理!$O$3:$O$98,"&lt;="&amp;$H267,工数管理!$P$3:$P$98,"")+COUNTIFS(工数管理!$AK$3:$AK$98,K$1,工数管理!$Q$3:$Q$98,"&lt;="&amp;$H267,工数管理!$R$3:$R$98,"")+COUNTIFS(工数管理!$AK$3:$AK$98,K$1,工数管理!$S$3:$S$98,"&lt;="&amp;$H267,工数管理!$T$3:$T$98,"")+COUNTIFS(工数管理!$AK$3:$AK$98,K$1,工数管理!$U$3:$U$98,"&lt;="&amp;$H267,工数管理!$V$3:$V$98,"")+COUNTIFS(工数管理!$AK$3:$AK$98,K$1,工数管理!$W$3:$W$98,"&lt;="&amp;$H267,工数管理!$X$3:$X$98,"")+COUNTIFS(工数管理!$AK$3:$AK$98,K$1,工数管理!$Y$3:$Y$98,"&lt;="&amp;$H267,工数管理!$Z$3:$Z$98,"")+COUNTIFS(工数管理!$AK$3:$AK$98,K$1,工数管理!$AA$3:$AA$98,"&lt;="&amp;$H267,工数管理!$AB$3:$AB$98,"")+COUNTIFS(工数管理!$AK$3:$AK$98,K$1,工数管理!$AC$3:$AC$98,"&lt;="&amp;$H267,工数管理!$AD$3:$AD$98,"")+COUNTIFS(工数管理!$AK$3:$AK$98,K$1,工数管理!$AE$3:$AE$98,"&lt;="&amp;$H267,工数管理!$AF$3:$AF$98,"")+COUNTIFS(工数管理!$AK$3:$AK$98,K$1,工数管理!$AG$3:$AG$98,"&lt;="&amp;$H267,工数管理!$AH$3:$AH$98,""))*($H267&lt;=工数管理!$AI$1))</f>
        <v>0</v>
      </c>
      <c r="L267" s="42">
        <f ca="1">IF(L$1="",0,COUNTIFS(工数管理!$AK$3:$AK$98,L$1,工数管理!$K$3:$K$98,"&lt;="&amp;$H267,工数管理!$L$3:$L$98,"&gt;="&amp;$H267)+COUNTIFS(工数管理!$AK$3:$AK$98,L$1,工数管理!$M$3:$M$98,"&lt;="&amp;$H267,工数管理!$N$3:$N$98,"&gt;="&amp;$H267)+COUNTIFS(工数管理!$AK$3:$AK$98,L$1,工数管理!$O$3:$O$98,"&lt;="&amp;$H267,工数管理!$P$3:$P$98,"&gt;="&amp;$H267)+COUNTIFS(工数管理!$AK$3:$AK$98,L$1,工数管理!$Q$3:$Q$98,"&lt;="&amp;$H267,工数管理!$R$3:$R$98,"&gt;="&amp;$H267)+COUNTIFS(工数管理!$AK$3:$AK$98,L$1,工数管理!$S$3:$S$98,"&lt;="&amp;$H267,工数管理!$T$3:$T$98,"&gt;="&amp;$H267)+COUNTIFS(工数管理!$AK$3:$AK$98,L$1,工数管理!$U$3:$U$98,"&lt;="&amp;$H267,工数管理!$V$3:$V$98,"&gt;="&amp;$H267)+COUNTIFS(工数管理!$AK$3:$AK$98,L$1,工数管理!$W$3:$W$98,"&lt;="&amp;$H267,工数管理!$X$3:$X$98,"&gt;="&amp;$H267)+COUNTIFS(工数管理!$AK$3:$AK$98,L$1,工数管理!$Y$3:$Y$98,"&lt;="&amp;$H267,工数管理!$Z$3:$Z$98,"&gt;="&amp;$H267)+COUNTIFS(工数管理!$AK$3:$AK$98,L$1,工数管理!$AA$3:$AA$98,"&lt;="&amp;$H267,工数管理!$AB$3:$AB$98,"&gt;="&amp;$H267)+COUNTIFS(工数管理!$AK$3:$AK$98,L$1,工数管理!$AC$3:$AC$98,"&lt;="&amp;$H267,工数管理!$AD$3:$AD$98,"&gt;="&amp;$H267)+COUNTIFS(工数管理!$AK$3:$AK$98,L$1,工数管理!$AE$3:$AE$98,"&lt;="&amp;$H267,工数管理!$AF$3:$AF$98,"&gt;="&amp;$H267)+COUNTIFS(工数管理!$AK$3:$AK$98,L$1,工数管理!$AG$3:$AG$98,"&lt;="&amp;$H267,工数管理!$AH$3:$AH$98,"&gt;="&amp;$H267)+(COUNTIFS(工数管理!$AK$3:$AK$98,L$1,工数管理!$K$3:$K$98,"&lt;="&amp;$H267,工数管理!$L$3:$L$98,"")+COUNTIFS(工数管理!$AK$3:$AK$98,L$1,工数管理!$M$3:$M$98,"&lt;="&amp;$H267,工数管理!$N$3:$N$98,"")+COUNTIFS(工数管理!$AK$3:$AK$98,L$1,工数管理!$O$3:$O$98,"&lt;="&amp;$H267,工数管理!$P$3:$P$98,"")+COUNTIFS(工数管理!$AK$3:$AK$98,L$1,工数管理!$Q$3:$Q$98,"&lt;="&amp;$H267,工数管理!$R$3:$R$98,"")+COUNTIFS(工数管理!$AK$3:$AK$98,L$1,工数管理!$S$3:$S$98,"&lt;="&amp;$H267,工数管理!$T$3:$T$98,"")+COUNTIFS(工数管理!$AK$3:$AK$98,L$1,工数管理!$U$3:$U$98,"&lt;="&amp;$H267,工数管理!$V$3:$V$98,"")+COUNTIFS(工数管理!$AK$3:$AK$98,L$1,工数管理!$W$3:$W$98,"&lt;="&amp;$H267,工数管理!$X$3:$X$98,"")+COUNTIFS(工数管理!$AK$3:$AK$98,L$1,工数管理!$Y$3:$Y$98,"&lt;="&amp;$H267,工数管理!$Z$3:$Z$98,"")+COUNTIFS(工数管理!$AK$3:$AK$98,L$1,工数管理!$AA$3:$AA$98,"&lt;="&amp;$H267,工数管理!$AB$3:$AB$98,"")+COUNTIFS(工数管理!$AK$3:$AK$98,L$1,工数管理!$AC$3:$AC$98,"&lt;="&amp;$H267,工数管理!$AD$3:$AD$98,"")+COUNTIFS(工数管理!$AK$3:$AK$98,L$1,工数管理!$AE$3:$AE$98,"&lt;="&amp;$H267,工数管理!$AF$3:$AF$98,"")+COUNTIFS(工数管理!$AK$3:$AK$98,L$1,工数管理!$AG$3:$AG$98,"&lt;="&amp;$H267,工数管理!$AH$3:$AH$98,""))*($H267&lt;=工数管理!$AI$1))</f>
        <v>0</v>
      </c>
    </row>
    <row r="268" spans="8:12" x14ac:dyDescent="0.15">
      <c r="H268" s="41">
        <f t="shared" si="9"/>
        <v>46436</v>
      </c>
      <c r="I268" s="42">
        <f t="shared" si="8"/>
        <v>1</v>
      </c>
      <c r="J268" s="42">
        <f ca="1">IF(J$1="",0,COUNTIFS(工数管理!$AK$3:$AK$98,J$1,工数管理!$K$3:$K$98,"&lt;="&amp;$H268,工数管理!$L$3:$L$98,"&gt;="&amp;$H268)+COUNTIFS(工数管理!$AK$3:$AK$98,J$1,工数管理!$M$3:$M$98,"&lt;="&amp;$H268,工数管理!$N$3:$N$98,"&gt;="&amp;$H268)+COUNTIFS(工数管理!$AK$3:$AK$98,J$1,工数管理!$O$3:$O$98,"&lt;="&amp;$H268,工数管理!$P$3:$P$98,"&gt;="&amp;$H268)+COUNTIFS(工数管理!$AK$3:$AK$98,J$1,工数管理!$Q$3:$Q$98,"&lt;="&amp;$H268,工数管理!$R$3:$R$98,"&gt;="&amp;$H268)+COUNTIFS(工数管理!$AK$3:$AK$98,J$1,工数管理!$S$3:$S$98,"&lt;="&amp;$H268,工数管理!$T$3:$T$98,"&gt;="&amp;$H268)+COUNTIFS(工数管理!$AK$3:$AK$98,J$1,工数管理!$U$3:$U$98,"&lt;="&amp;$H268,工数管理!$V$3:$V$98,"&gt;="&amp;$H268)+COUNTIFS(工数管理!$AK$3:$AK$98,J$1,工数管理!$W$3:$W$98,"&lt;="&amp;$H268,工数管理!$X$3:$X$98,"&gt;="&amp;$H268)+COUNTIFS(工数管理!$AK$3:$AK$98,J$1,工数管理!$Y$3:$Y$98,"&lt;="&amp;$H268,工数管理!$Z$3:$Z$98,"&gt;="&amp;$H268)+COUNTIFS(工数管理!$AK$3:$AK$98,J$1,工数管理!$AA$3:$AA$98,"&lt;="&amp;$H268,工数管理!$AB$3:$AB$98,"&gt;="&amp;$H268)+COUNTIFS(工数管理!$AK$3:$AK$98,J$1,工数管理!$AC$3:$AC$98,"&lt;="&amp;$H268,工数管理!$AD$3:$AD$98,"&gt;="&amp;$H268)+COUNTIFS(工数管理!$AK$3:$AK$98,J$1,工数管理!$AE$3:$AE$98,"&lt;="&amp;$H268,工数管理!$AF$3:$AF$98,"&gt;="&amp;$H268)+COUNTIFS(工数管理!$AK$3:$AK$98,J$1,工数管理!$AG$3:$AG$98,"&lt;="&amp;$H268,工数管理!$AH$3:$AH$98,"&gt;="&amp;$H268)+(COUNTIFS(工数管理!$AK$3:$AK$98,J$1,工数管理!$K$3:$K$98,"&lt;="&amp;$H268,工数管理!$L$3:$L$98,"")+COUNTIFS(工数管理!$AK$3:$AK$98,J$1,工数管理!$M$3:$M$98,"&lt;="&amp;$H268,工数管理!$N$3:$N$98,"")+COUNTIFS(工数管理!$AK$3:$AK$98,J$1,工数管理!$O$3:$O$98,"&lt;="&amp;$H268,工数管理!$P$3:$P$98,"")+COUNTIFS(工数管理!$AK$3:$AK$98,J$1,工数管理!$Q$3:$Q$98,"&lt;="&amp;$H268,工数管理!$R$3:$R$98,"")+COUNTIFS(工数管理!$AK$3:$AK$98,J$1,工数管理!$S$3:$S$98,"&lt;="&amp;$H268,工数管理!$T$3:$T$98,"")+COUNTIFS(工数管理!$AK$3:$AK$98,J$1,工数管理!$U$3:$U$98,"&lt;="&amp;$H268,工数管理!$V$3:$V$98,"")+COUNTIFS(工数管理!$AK$3:$AK$98,J$1,工数管理!$W$3:$W$98,"&lt;="&amp;$H268,工数管理!$X$3:$X$98,"")+COUNTIFS(工数管理!$AK$3:$AK$98,J$1,工数管理!$Y$3:$Y$98,"&lt;="&amp;$H268,工数管理!$Z$3:$Z$98,"")+COUNTIFS(工数管理!$AK$3:$AK$98,J$1,工数管理!$AA$3:$AA$98,"&lt;="&amp;$H268,工数管理!$AB$3:$AB$98,"")+COUNTIFS(工数管理!$AK$3:$AK$98,J$1,工数管理!$AC$3:$AC$98,"&lt;="&amp;$H268,工数管理!$AD$3:$AD$98,"")+COUNTIFS(工数管理!$AK$3:$AK$98,J$1,工数管理!$AE$3:$AE$98,"&lt;="&amp;$H268,工数管理!$AF$3:$AF$98,"")+COUNTIFS(工数管理!$AK$3:$AK$98,J$1,工数管理!$AG$3:$AG$98,"&lt;="&amp;$H268,工数管理!$AH$3:$AH$98,""))*($H268&lt;=工数管理!$AI$1))</f>
        <v>0</v>
      </c>
      <c r="K268" s="42">
        <f ca="1">IF(K$1="",0,COUNTIFS(工数管理!$AK$3:$AK$98,K$1,工数管理!$K$3:$K$98,"&lt;="&amp;$H268,工数管理!$L$3:$L$98,"&gt;="&amp;$H268)+COUNTIFS(工数管理!$AK$3:$AK$98,K$1,工数管理!$M$3:$M$98,"&lt;="&amp;$H268,工数管理!$N$3:$N$98,"&gt;="&amp;$H268)+COUNTIFS(工数管理!$AK$3:$AK$98,K$1,工数管理!$O$3:$O$98,"&lt;="&amp;$H268,工数管理!$P$3:$P$98,"&gt;="&amp;$H268)+COUNTIFS(工数管理!$AK$3:$AK$98,K$1,工数管理!$Q$3:$Q$98,"&lt;="&amp;$H268,工数管理!$R$3:$R$98,"&gt;="&amp;$H268)+COUNTIFS(工数管理!$AK$3:$AK$98,K$1,工数管理!$S$3:$S$98,"&lt;="&amp;$H268,工数管理!$T$3:$T$98,"&gt;="&amp;$H268)+COUNTIFS(工数管理!$AK$3:$AK$98,K$1,工数管理!$U$3:$U$98,"&lt;="&amp;$H268,工数管理!$V$3:$V$98,"&gt;="&amp;$H268)+COUNTIFS(工数管理!$AK$3:$AK$98,K$1,工数管理!$W$3:$W$98,"&lt;="&amp;$H268,工数管理!$X$3:$X$98,"&gt;="&amp;$H268)+COUNTIFS(工数管理!$AK$3:$AK$98,K$1,工数管理!$Y$3:$Y$98,"&lt;="&amp;$H268,工数管理!$Z$3:$Z$98,"&gt;="&amp;$H268)+COUNTIFS(工数管理!$AK$3:$AK$98,K$1,工数管理!$AA$3:$AA$98,"&lt;="&amp;$H268,工数管理!$AB$3:$AB$98,"&gt;="&amp;$H268)+COUNTIFS(工数管理!$AK$3:$AK$98,K$1,工数管理!$AC$3:$AC$98,"&lt;="&amp;$H268,工数管理!$AD$3:$AD$98,"&gt;="&amp;$H268)+COUNTIFS(工数管理!$AK$3:$AK$98,K$1,工数管理!$AE$3:$AE$98,"&lt;="&amp;$H268,工数管理!$AF$3:$AF$98,"&gt;="&amp;$H268)+COUNTIFS(工数管理!$AK$3:$AK$98,K$1,工数管理!$AG$3:$AG$98,"&lt;="&amp;$H268,工数管理!$AH$3:$AH$98,"&gt;="&amp;$H268)+(COUNTIFS(工数管理!$AK$3:$AK$98,K$1,工数管理!$K$3:$K$98,"&lt;="&amp;$H268,工数管理!$L$3:$L$98,"")+COUNTIFS(工数管理!$AK$3:$AK$98,K$1,工数管理!$M$3:$M$98,"&lt;="&amp;$H268,工数管理!$N$3:$N$98,"")+COUNTIFS(工数管理!$AK$3:$AK$98,K$1,工数管理!$O$3:$O$98,"&lt;="&amp;$H268,工数管理!$P$3:$P$98,"")+COUNTIFS(工数管理!$AK$3:$AK$98,K$1,工数管理!$Q$3:$Q$98,"&lt;="&amp;$H268,工数管理!$R$3:$R$98,"")+COUNTIFS(工数管理!$AK$3:$AK$98,K$1,工数管理!$S$3:$S$98,"&lt;="&amp;$H268,工数管理!$T$3:$T$98,"")+COUNTIFS(工数管理!$AK$3:$AK$98,K$1,工数管理!$U$3:$U$98,"&lt;="&amp;$H268,工数管理!$V$3:$V$98,"")+COUNTIFS(工数管理!$AK$3:$AK$98,K$1,工数管理!$W$3:$W$98,"&lt;="&amp;$H268,工数管理!$X$3:$X$98,"")+COUNTIFS(工数管理!$AK$3:$AK$98,K$1,工数管理!$Y$3:$Y$98,"&lt;="&amp;$H268,工数管理!$Z$3:$Z$98,"")+COUNTIFS(工数管理!$AK$3:$AK$98,K$1,工数管理!$AA$3:$AA$98,"&lt;="&amp;$H268,工数管理!$AB$3:$AB$98,"")+COUNTIFS(工数管理!$AK$3:$AK$98,K$1,工数管理!$AC$3:$AC$98,"&lt;="&amp;$H268,工数管理!$AD$3:$AD$98,"")+COUNTIFS(工数管理!$AK$3:$AK$98,K$1,工数管理!$AE$3:$AE$98,"&lt;="&amp;$H268,工数管理!$AF$3:$AF$98,"")+COUNTIFS(工数管理!$AK$3:$AK$98,K$1,工数管理!$AG$3:$AG$98,"&lt;="&amp;$H268,工数管理!$AH$3:$AH$98,""))*($H268&lt;=工数管理!$AI$1))</f>
        <v>0</v>
      </c>
      <c r="L268" s="42">
        <f ca="1">IF(L$1="",0,COUNTIFS(工数管理!$AK$3:$AK$98,L$1,工数管理!$K$3:$K$98,"&lt;="&amp;$H268,工数管理!$L$3:$L$98,"&gt;="&amp;$H268)+COUNTIFS(工数管理!$AK$3:$AK$98,L$1,工数管理!$M$3:$M$98,"&lt;="&amp;$H268,工数管理!$N$3:$N$98,"&gt;="&amp;$H268)+COUNTIFS(工数管理!$AK$3:$AK$98,L$1,工数管理!$O$3:$O$98,"&lt;="&amp;$H268,工数管理!$P$3:$P$98,"&gt;="&amp;$H268)+COUNTIFS(工数管理!$AK$3:$AK$98,L$1,工数管理!$Q$3:$Q$98,"&lt;="&amp;$H268,工数管理!$R$3:$R$98,"&gt;="&amp;$H268)+COUNTIFS(工数管理!$AK$3:$AK$98,L$1,工数管理!$S$3:$S$98,"&lt;="&amp;$H268,工数管理!$T$3:$T$98,"&gt;="&amp;$H268)+COUNTIFS(工数管理!$AK$3:$AK$98,L$1,工数管理!$U$3:$U$98,"&lt;="&amp;$H268,工数管理!$V$3:$V$98,"&gt;="&amp;$H268)+COUNTIFS(工数管理!$AK$3:$AK$98,L$1,工数管理!$W$3:$W$98,"&lt;="&amp;$H268,工数管理!$X$3:$X$98,"&gt;="&amp;$H268)+COUNTIFS(工数管理!$AK$3:$AK$98,L$1,工数管理!$Y$3:$Y$98,"&lt;="&amp;$H268,工数管理!$Z$3:$Z$98,"&gt;="&amp;$H268)+COUNTIFS(工数管理!$AK$3:$AK$98,L$1,工数管理!$AA$3:$AA$98,"&lt;="&amp;$H268,工数管理!$AB$3:$AB$98,"&gt;="&amp;$H268)+COUNTIFS(工数管理!$AK$3:$AK$98,L$1,工数管理!$AC$3:$AC$98,"&lt;="&amp;$H268,工数管理!$AD$3:$AD$98,"&gt;="&amp;$H268)+COUNTIFS(工数管理!$AK$3:$AK$98,L$1,工数管理!$AE$3:$AE$98,"&lt;="&amp;$H268,工数管理!$AF$3:$AF$98,"&gt;="&amp;$H268)+COUNTIFS(工数管理!$AK$3:$AK$98,L$1,工数管理!$AG$3:$AG$98,"&lt;="&amp;$H268,工数管理!$AH$3:$AH$98,"&gt;="&amp;$H268)+(COUNTIFS(工数管理!$AK$3:$AK$98,L$1,工数管理!$K$3:$K$98,"&lt;="&amp;$H268,工数管理!$L$3:$L$98,"")+COUNTIFS(工数管理!$AK$3:$AK$98,L$1,工数管理!$M$3:$M$98,"&lt;="&amp;$H268,工数管理!$N$3:$N$98,"")+COUNTIFS(工数管理!$AK$3:$AK$98,L$1,工数管理!$O$3:$O$98,"&lt;="&amp;$H268,工数管理!$P$3:$P$98,"")+COUNTIFS(工数管理!$AK$3:$AK$98,L$1,工数管理!$Q$3:$Q$98,"&lt;="&amp;$H268,工数管理!$R$3:$R$98,"")+COUNTIFS(工数管理!$AK$3:$AK$98,L$1,工数管理!$S$3:$S$98,"&lt;="&amp;$H268,工数管理!$T$3:$T$98,"")+COUNTIFS(工数管理!$AK$3:$AK$98,L$1,工数管理!$U$3:$U$98,"&lt;="&amp;$H268,工数管理!$V$3:$V$98,"")+COUNTIFS(工数管理!$AK$3:$AK$98,L$1,工数管理!$W$3:$W$98,"&lt;="&amp;$H268,工数管理!$X$3:$X$98,"")+COUNTIFS(工数管理!$AK$3:$AK$98,L$1,工数管理!$Y$3:$Y$98,"&lt;="&amp;$H268,工数管理!$Z$3:$Z$98,"")+COUNTIFS(工数管理!$AK$3:$AK$98,L$1,工数管理!$AA$3:$AA$98,"&lt;="&amp;$H268,工数管理!$AB$3:$AB$98,"")+COUNTIFS(工数管理!$AK$3:$AK$98,L$1,工数管理!$AC$3:$AC$98,"&lt;="&amp;$H268,工数管理!$AD$3:$AD$98,"")+COUNTIFS(工数管理!$AK$3:$AK$98,L$1,工数管理!$AE$3:$AE$98,"&lt;="&amp;$H268,工数管理!$AF$3:$AF$98,"")+COUNTIFS(工数管理!$AK$3:$AK$98,L$1,工数管理!$AG$3:$AG$98,"&lt;="&amp;$H268,工数管理!$AH$3:$AH$98,""))*($H268&lt;=工数管理!$AI$1))</f>
        <v>0</v>
      </c>
    </row>
    <row r="269" spans="8:12" x14ac:dyDescent="0.15">
      <c r="H269" s="41">
        <f t="shared" si="9"/>
        <v>46437</v>
      </c>
      <c r="I269" s="42">
        <f t="shared" si="8"/>
        <v>1</v>
      </c>
      <c r="J269" s="42">
        <f ca="1">IF(J$1="",0,COUNTIFS(工数管理!$AK$3:$AK$98,J$1,工数管理!$K$3:$K$98,"&lt;="&amp;$H269,工数管理!$L$3:$L$98,"&gt;="&amp;$H269)+COUNTIFS(工数管理!$AK$3:$AK$98,J$1,工数管理!$M$3:$M$98,"&lt;="&amp;$H269,工数管理!$N$3:$N$98,"&gt;="&amp;$H269)+COUNTIFS(工数管理!$AK$3:$AK$98,J$1,工数管理!$O$3:$O$98,"&lt;="&amp;$H269,工数管理!$P$3:$P$98,"&gt;="&amp;$H269)+COUNTIFS(工数管理!$AK$3:$AK$98,J$1,工数管理!$Q$3:$Q$98,"&lt;="&amp;$H269,工数管理!$R$3:$R$98,"&gt;="&amp;$H269)+COUNTIFS(工数管理!$AK$3:$AK$98,J$1,工数管理!$S$3:$S$98,"&lt;="&amp;$H269,工数管理!$T$3:$T$98,"&gt;="&amp;$H269)+COUNTIFS(工数管理!$AK$3:$AK$98,J$1,工数管理!$U$3:$U$98,"&lt;="&amp;$H269,工数管理!$V$3:$V$98,"&gt;="&amp;$H269)+COUNTIFS(工数管理!$AK$3:$AK$98,J$1,工数管理!$W$3:$W$98,"&lt;="&amp;$H269,工数管理!$X$3:$X$98,"&gt;="&amp;$H269)+COUNTIFS(工数管理!$AK$3:$AK$98,J$1,工数管理!$Y$3:$Y$98,"&lt;="&amp;$H269,工数管理!$Z$3:$Z$98,"&gt;="&amp;$H269)+COUNTIFS(工数管理!$AK$3:$AK$98,J$1,工数管理!$AA$3:$AA$98,"&lt;="&amp;$H269,工数管理!$AB$3:$AB$98,"&gt;="&amp;$H269)+COUNTIFS(工数管理!$AK$3:$AK$98,J$1,工数管理!$AC$3:$AC$98,"&lt;="&amp;$H269,工数管理!$AD$3:$AD$98,"&gt;="&amp;$H269)+COUNTIFS(工数管理!$AK$3:$AK$98,J$1,工数管理!$AE$3:$AE$98,"&lt;="&amp;$H269,工数管理!$AF$3:$AF$98,"&gt;="&amp;$H269)+COUNTIFS(工数管理!$AK$3:$AK$98,J$1,工数管理!$AG$3:$AG$98,"&lt;="&amp;$H269,工数管理!$AH$3:$AH$98,"&gt;="&amp;$H269)+(COUNTIFS(工数管理!$AK$3:$AK$98,J$1,工数管理!$K$3:$K$98,"&lt;="&amp;$H269,工数管理!$L$3:$L$98,"")+COUNTIFS(工数管理!$AK$3:$AK$98,J$1,工数管理!$M$3:$M$98,"&lt;="&amp;$H269,工数管理!$N$3:$N$98,"")+COUNTIFS(工数管理!$AK$3:$AK$98,J$1,工数管理!$O$3:$O$98,"&lt;="&amp;$H269,工数管理!$P$3:$P$98,"")+COUNTIFS(工数管理!$AK$3:$AK$98,J$1,工数管理!$Q$3:$Q$98,"&lt;="&amp;$H269,工数管理!$R$3:$R$98,"")+COUNTIFS(工数管理!$AK$3:$AK$98,J$1,工数管理!$S$3:$S$98,"&lt;="&amp;$H269,工数管理!$T$3:$T$98,"")+COUNTIFS(工数管理!$AK$3:$AK$98,J$1,工数管理!$U$3:$U$98,"&lt;="&amp;$H269,工数管理!$V$3:$V$98,"")+COUNTIFS(工数管理!$AK$3:$AK$98,J$1,工数管理!$W$3:$W$98,"&lt;="&amp;$H269,工数管理!$X$3:$X$98,"")+COUNTIFS(工数管理!$AK$3:$AK$98,J$1,工数管理!$Y$3:$Y$98,"&lt;="&amp;$H269,工数管理!$Z$3:$Z$98,"")+COUNTIFS(工数管理!$AK$3:$AK$98,J$1,工数管理!$AA$3:$AA$98,"&lt;="&amp;$H269,工数管理!$AB$3:$AB$98,"")+COUNTIFS(工数管理!$AK$3:$AK$98,J$1,工数管理!$AC$3:$AC$98,"&lt;="&amp;$H269,工数管理!$AD$3:$AD$98,"")+COUNTIFS(工数管理!$AK$3:$AK$98,J$1,工数管理!$AE$3:$AE$98,"&lt;="&amp;$H269,工数管理!$AF$3:$AF$98,"")+COUNTIFS(工数管理!$AK$3:$AK$98,J$1,工数管理!$AG$3:$AG$98,"&lt;="&amp;$H269,工数管理!$AH$3:$AH$98,""))*($H269&lt;=工数管理!$AI$1))</f>
        <v>0</v>
      </c>
      <c r="K269" s="42">
        <f ca="1">IF(K$1="",0,COUNTIFS(工数管理!$AK$3:$AK$98,K$1,工数管理!$K$3:$K$98,"&lt;="&amp;$H269,工数管理!$L$3:$L$98,"&gt;="&amp;$H269)+COUNTIFS(工数管理!$AK$3:$AK$98,K$1,工数管理!$M$3:$M$98,"&lt;="&amp;$H269,工数管理!$N$3:$N$98,"&gt;="&amp;$H269)+COUNTIFS(工数管理!$AK$3:$AK$98,K$1,工数管理!$O$3:$O$98,"&lt;="&amp;$H269,工数管理!$P$3:$P$98,"&gt;="&amp;$H269)+COUNTIFS(工数管理!$AK$3:$AK$98,K$1,工数管理!$Q$3:$Q$98,"&lt;="&amp;$H269,工数管理!$R$3:$R$98,"&gt;="&amp;$H269)+COUNTIFS(工数管理!$AK$3:$AK$98,K$1,工数管理!$S$3:$S$98,"&lt;="&amp;$H269,工数管理!$T$3:$T$98,"&gt;="&amp;$H269)+COUNTIFS(工数管理!$AK$3:$AK$98,K$1,工数管理!$U$3:$U$98,"&lt;="&amp;$H269,工数管理!$V$3:$V$98,"&gt;="&amp;$H269)+COUNTIFS(工数管理!$AK$3:$AK$98,K$1,工数管理!$W$3:$W$98,"&lt;="&amp;$H269,工数管理!$X$3:$X$98,"&gt;="&amp;$H269)+COUNTIFS(工数管理!$AK$3:$AK$98,K$1,工数管理!$Y$3:$Y$98,"&lt;="&amp;$H269,工数管理!$Z$3:$Z$98,"&gt;="&amp;$H269)+COUNTIFS(工数管理!$AK$3:$AK$98,K$1,工数管理!$AA$3:$AA$98,"&lt;="&amp;$H269,工数管理!$AB$3:$AB$98,"&gt;="&amp;$H269)+COUNTIFS(工数管理!$AK$3:$AK$98,K$1,工数管理!$AC$3:$AC$98,"&lt;="&amp;$H269,工数管理!$AD$3:$AD$98,"&gt;="&amp;$H269)+COUNTIFS(工数管理!$AK$3:$AK$98,K$1,工数管理!$AE$3:$AE$98,"&lt;="&amp;$H269,工数管理!$AF$3:$AF$98,"&gt;="&amp;$H269)+COUNTIFS(工数管理!$AK$3:$AK$98,K$1,工数管理!$AG$3:$AG$98,"&lt;="&amp;$H269,工数管理!$AH$3:$AH$98,"&gt;="&amp;$H269)+(COUNTIFS(工数管理!$AK$3:$AK$98,K$1,工数管理!$K$3:$K$98,"&lt;="&amp;$H269,工数管理!$L$3:$L$98,"")+COUNTIFS(工数管理!$AK$3:$AK$98,K$1,工数管理!$M$3:$M$98,"&lt;="&amp;$H269,工数管理!$N$3:$N$98,"")+COUNTIFS(工数管理!$AK$3:$AK$98,K$1,工数管理!$O$3:$O$98,"&lt;="&amp;$H269,工数管理!$P$3:$P$98,"")+COUNTIFS(工数管理!$AK$3:$AK$98,K$1,工数管理!$Q$3:$Q$98,"&lt;="&amp;$H269,工数管理!$R$3:$R$98,"")+COUNTIFS(工数管理!$AK$3:$AK$98,K$1,工数管理!$S$3:$S$98,"&lt;="&amp;$H269,工数管理!$T$3:$T$98,"")+COUNTIFS(工数管理!$AK$3:$AK$98,K$1,工数管理!$U$3:$U$98,"&lt;="&amp;$H269,工数管理!$V$3:$V$98,"")+COUNTIFS(工数管理!$AK$3:$AK$98,K$1,工数管理!$W$3:$W$98,"&lt;="&amp;$H269,工数管理!$X$3:$X$98,"")+COUNTIFS(工数管理!$AK$3:$AK$98,K$1,工数管理!$Y$3:$Y$98,"&lt;="&amp;$H269,工数管理!$Z$3:$Z$98,"")+COUNTIFS(工数管理!$AK$3:$AK$98,K$1,工数管理!$AA$3:$AA$98,"&lt;="&amp;$H269,工数管理!$AB$3:$AB$98,"")+COUNTIFS(工数管理!$AK$3:$AK$98,K$1,工数管理!$AC$3:$AC$98,"&lt;="&amp;$H269,工数管理!$AD$3:$AD$98,"")+COUNTIFS(工数管理!$AK$3:$AK$98,K$1,工数管理!$AE$3:$AE$98,"&lt;="&amp;$H269,工数管理!$AF$3:$AF$98,"")+COUNTIFS(工数管理!$AK$3:$AK$98,K$1,工数管理!$AG$3:$AG$98,"&lt;="&amp;$H269,工数管理!$AH$3:$AH$98,""))*($H269&lt;=工数管理!$AI$1))</f>
        <v>0</v>
      </c>
      <c r="L269" s="42">
        <f ca="1">IF(L$1="",0,COUNTIFS(工数管理!$AK$3:$AK$98,L$1,工数管理!$K$3:$K$98,"&lt;="&amp;$H269,工数管理!$L$3:$L$98,"&gt;="&amp;$H269)+COUNTIFS(工数管理!$AK$3:$AK$98,L$1,工数管理!$M$3:$M$98,"&lt;="&amp;$H269,工数管理!$N$3:$N$98,"&gt;="&amp;$H269)+COUNTIFS(工数管理!$AK$3:$AK$98,L$1,工数管理!$O$3:$O$98,"&lt;="&amp;$H269,工数管理!$P$3:$P$98,"&gt;="&amp;$H269)+COUNTIFS(工数管理!$AK$3:$AK$98,L$1,工数管理!$Q$3:$Q$98,"&lt;="&amp;$H269,工数管理!$R$3:$R$98,"&gt;="&amp;$H269)+COUNTIFS(工数管理!$AK$3:$AK$98,L$1,工数管理!$S$3:$S$98,"&lt;="&amp;$H269,工数管理!$T$3:$T$98,"&gt;="&amp;$H269)+COUNTIFS(工数管理!$AK$3:$AK$98,L$1,工数管理!$U$3:$U$98,"&lt;="&amp;$H269,工数管理!$V$3:$V$98,"&gt;="&amp;$H269)+COUNTIFS(工数管理!$AK$3:$AK$98,L$1,工数管理!$W$3:$W$98,"&lt;="&amp;$H269,工数管理!$X$3:$X$98,"&gt;="&amp;$H269)+COUNTIFS(工数管理!$AK$3:$AK$98,L$1,工数管理!$Y$3:$Y$98,"&lt;="&amp;$H269,工数管理!$Z$3:$Z$98,"&gt;="&amp;$H269)+COUNTIFS(工数管理!$AK$3:$AK$98,L$1,工数管理!$AA$3:$AA$98,"&lt;="&amp;$H269,工数管理!$AB$3:$AB$98,"&gt;="&amp;$H269)+COUNTIFS(工数管理!$AK$3:$AK$98,L$1,工数管理!$AC$3:$AC$98,"&lt;="&amp;$H269,工数管理!$AD$3:$AD$98,"&gt;="&amp;$H269)+COUNTIFS(工数管理!$AK$3:$AK$98,L$1,工数管理!$AE$3:$AE$98,"&lt;="&amp;$H269,工数管理!$AF$3:$AF$98,"&gt;="&amp;$H269)+COUNTIFS(工数管理!$AK$3:$AK$98,L$1,工数管理!$AG$3:$AG$98,"&lt;="&amp;$H269,工数管理!$AH$3:$AH$98,"&gt;="&amp;$H269)+(COUNTIFS(工数管理!$AK$3:$AK$98,L$1,工数管理!$K$3:$K$98,"&lt;="&amp;$H269,工数管理!$L$3:$L$98,"")+COUNTIFS(工数管理!$AK$3:$AK$98,L$1,工数管理!$M$3:$M$98,"&lt;="&amp;$H269,工数管理!$N$3:$N$98,"")+COUNTIFS(工数管理!$AK$3:$AK$98,L$1,工数管理!$O$3:$O$98,"&lt;="&amp;$H269,工数管理!$P$3:$P$98,"")+COUNTIFS(工数管理!$AK$3:$AK$98,L$1,工数管理!$Q$3:$Q$98,"&lt;="&amp;$H269,工数管理!$R$3:$R$98,"")+COUNTIFS(工数管理!$AK$3:$AK$98,L$1,工数管理!$S$3:$S$98,"&lt;="&amp;$H269,工数管理!$T$3:$T$98,"")+COUNTIFS(工数管理!$AK$3:$AK$98,L$1,工数管理!$U$3:$U$98,"&lt;="&amp;$H269,工数管理!$V$3:$V$98,"")+COUNTIFS(工数管理!$AK$3:$AK$98,L$1,工数管理!$W$3:$W$98,"&lt;="&amp;$H269,工数管理!$X$3:$X$98,"")+COUNTIFS(工数管理!$AK$3:$AK$98,L$1,工数管理!$Y$3:$Y$98,"&lt;="&amp;$H269,工数管理!$Z$3:$Z$98,"")+COUNTIFS(工数管理!$AK$3:$AK$98,L$1,工数管理!$AA$3:$AA$98,"&lt;="&amp;$H269,工数管理!$AB$3:$AB$98,"")+COUNTIFS(工数管理!$AK$3:$AK$98,L$1,工数管理!$AC$3:$AC$98,"&lt;="&amp;$H269,工数管理!$AD$3:$AD$98,"")+COUNTIFS(工数管理!$AK$3:$AK$98,L$1,工数管理!$AE$3:$AE$98,"&lt;="&amp;$H269,工数管理!$AF$3:$AF$98,"")+COUNTIFS(工数管理!$AK$3:$AK$98,L$1,工数管理!$AG$3:$AG$98,"&lt;="&amp;$H269,工数管理!$AH$3:$AH$98,""))*($H269&lt;=工数管理!$AI$1))</f>
        <v>0</v>
      </c>
    </row>
    <row r="270" spans="8:12" x14ac:dyDescent="0.15">
      <c r="H270" s="41">
        <f t="shared" si="9"/>
        <v>46438</v>
      </c>
      <c r="I270" s="42">
        <f t="shared" si="8"/>
        <v>0</v>
      </c>
      <c r="J270" s="42">
        <f ca="1">IF(J$1="",0,COUNTIFS(工数管理!$AK$3:$AK$98,J$1,工数管理!$K$3:$K$98,"&lt;="&amp;$H270,工数管理!$L$3:$L$98,"&gt;="&amp;$H270)+COUNTIFS(工数管理!$AK$3:$AK$98,J$1,工数管理!$M$3:$M$98,"&lt;="&amp;$H270,工数管理!$N$3:$N$98,"&gt;="&amp;$H270)+COUNTIFS(工数管理!$AK$3:$AK$98,J$1,工数管理!$O$3:$O$98,"&lt;="&amp;$H270,工数管理!$P$3:$P$98,"&gt;="&amp;$H270)+COUNTIFS(工数管理!$AK$3:$AK$98,J$1,工数管理!$Q$3:$Q$98,"&lt;="&amp;$H270,工数管理!$R$3:$R$98,"&gt;="&amp;$H270)+COUNTIFS(工数管理!$AK$3:$AK$98,J$1,工数管理!$S$3:$S$98,"&lt;="&amp;$H270,工数管理!$T$3:$T$98,"&gt;="&amp;$H270)+COUNTIFS(工数管理!$AK$3:$AK$98,J$1,工数管理!$U$3:$U$98,"&lt;="&amp;$H270,工数管理!$V$3:$V$98,"&gt;="&amp;$H270)+COUNTIFS(工数管理!$AK$3:$AK$98,J$1,工数管理!$W$3:$W$98,"&lt;="&amp;$H270,工数管理!$X$3:$X$98,"&gt;="&amp;$H270)+COUNTIFS(工数管理!$AK$3:$AK$98,J$1,工数管理!$Y$3:$Y$98,"&lt;="&amp;$H270,工数管理!$Z$3:$Z$98,"&gt;="&amp;$H270)+COUNTIFS(工数管理!$AK$3:$AK$98,J$1,工数管理!$AA$3:$AA$98,"&lt;="&amp;$H270,工数管理!$AB$3:$AB$98,"&gt;="&amp;$H270)+COUNTIFS(工数管理!$AK$3:$AK$98,J$1,工数管理!$AC$3:$AC$98,"&lt;="&amp;$H270,工数管理!$AD$3:$AD$98,"&gt;="&amp;$H270)+COUNTIFS(工数管理!$AK$3:$AK$98,J$1,工数管理!$AE$3:$AE$98,"&lt;="&amp;$H270,工数管理!$AF$3:$AF$98,"&gt;="&amp;$H270)+COUNTIFS(工数管理!$AK$3:$AK$98,J$1,工数管理!$AG$3:$AG$98,"&lt;="&amp;$H270,工数管理!$AH$3:$AH$98,"&gt;="&amp;$H270)+(COUNTIFS(工数管理!$AK$3:$AK$98,J$1,工数管理!$K$3:$K$98,"&lt;="&amp;$H270,工数管理!$L$3:$L$98,"")+COUNTIFS(工数管理!$AK$3:$AK$98,J$1,工数管理!$M$3:$M$98,"&lt;="&amp;$H270,工数管理!$N$3:$N$98,"")+COUNTIFS(工数管理!$AK$3:$AK$98,J$1,工数管理!$O$3:$O$98,"&lt;="&amp;$H270,工数管理!$P$3:$P$98,"")+COUNTIFS(工数管理!$AK$3:$AK$98,J$1,工数管理!$Q$3:$Q$98,"&lt;="&amp;$H270,工数管理!$R$3:$R$98,"")+COUNTIFS(工数管理!$AK$3:$AK$98,J$1,工数管理!$S$3:$S$98,"&lt;="&amp;$H270,工数管理!$T$3:$T$98,"")+COUNTIFS(工数管理!$AK$3:$AK$98,J$1,工数管理!$U$3:$U$98,"&lt;="&amp;$H270,工数管理!$V$3:$V$98,"")+COUNTIFS(工数管理!$AK$3:$AK$98,J$1,工数管理!$W$3:$W$98,"&lt;="&amp;$H270,工数管理!$X$3:$X$98,"")+COUNTIFS(工数管理!$AK$3:$AK$98,J$1,工数管理!$Y$3:$Y$98,"&lt;="&amp;$H270,工数管理!$Z$3:$Z$98,"")+COUNTIFS(工数管理!$AK$3:$AK$98,J$1,工数管理!$AA$3:$AA$98,"&lt;="&amp;$H270,工数管理!$AB$3:$AB$98,"")+COUNTIFS(工数管理!$AK$3:$AK$98,J$1,工数管理!$AC$3:$AC$98,"&lt;="&amp;$H270,工数管理!$AD$3:$AD$98,"")+COUNTIFS(工数管理!$AK$3:$AK$98,J$1,工数管理!$AE$3:$AE$98,"&lt;="&amp;$H270,工数管理!$AF$3:$AF$98,"")+COUNTIFS(工数管理!$AK$3:$AK$98,J$1,工数管理!$AG$3:$AG$98,"&lt;="&amp;$H270,工数管理!$AH$3:$AH$98,""))*($H270&lt;=工数管理!$AI$1))</f>
        <v>0</v>
      </c>
      <c r="K270" s="42">
        <f ca="1">IF(K$1="",0,COUNTIFS(工数管理!$AK$3:$AK$98,K$1,工数管理!$K$3:$K$98,"&lt;="&amp;$H270,工数管理!$L$3:$L$98,"&gt;="&amp;$H270)+COUNTIFS(工数管理!$AK$3:$AK$98,K$1,工数管理!$M$3:$M$98,"&lt;="&amp;$H270,工数管理!$N$3:$N$98,"&gt;="&amp;$H270)+COUNTIFS(工数管理!$AK$3:$AK$98,K$1,工数管理!$O$3:$O$98,"&lt;="&amp;$H270,工数管理!$P$3:$P$98,"&gt;="&amp;$H270)+COUNTIFS(工数管理!$AK$3:$AK$98,K$1,工数管理!$Q$3:$Q$98,"&lt;="&amp;$H270,工数管理!$R$3:$R$98,"&gt;="&amp;$H270)+COUNTIFS(工数管理!$AK$3:$AK$98,K$1,工数管理!$S$3:$S$98,"&lt;="&amp;$H270,工数管理!$T$3:$T$98,"&gt;="&amp;$H270)+COUNTIFS(工数管理!$AK$3:$AK$98,K$1,工数管理!$U$3:$U$98,"&lt;="&amp;$H270,工数管理!$V$3:$V$98,"&gt;="&amp;$H270)+COUNTIFS(工数管理!$AK$3:$AK$98,K$1,工数管理!$W$3:$W$98,"&lt;="&amp;$H270,工数管理!$X$3:$X$98,"&gt;="&amp;$H270)+COUNTIFS(工数管理!$AK$3:$AK$98,K$1,工数管理!$Y$3:$Y$98,"&lt;="&amp;$H270,工数管理!$Z$3:$Z$98,"&gt;="&amp;$H270)+COUNTIFS(工数管理!$AK$3:$AK$98,K$1,工数管理!$AA$3:$AA$98,"&lt;="&amp;$H270,工数管理!$AB$3:$AB$98,"&gt;="&amp;$H270)+COUNTIFS(工数管理!$AK$3:$AK$98,K$1,工数管理!$AC$3:$AC$98,"&lt;="&amp;$H270,工数管理!$AD$3:$AD$98,"&gt;="&amp;$H270)+COUNTIFS(工数管理!$AK$3:$AK$98,K$1,工数管理!$AE$3:$AE$98,"&lt;="&amp;$H270,工数管理!$AF$3:$AF$98,"&gt;="&amp;$H270)+COUNTIFS(工数管理!$AK$3:$AK$98,K$1,工数管理!$AG$3:$AG$98,"&lt;="&amp;$H270,工数管理!$AH$3:$AH$98,"&gt;="&amp;$H270)+(COUNTIFS(工数管理!$AK$3:$AK$98,K$1,工数管理!$K$3:$K$98,"&lt;="&amp;$H270,工数管理!$L$3:$L$98,"")+COUNTIFS(工数管理!$AK$3:$AK$98,K$1,工数管理!$M$3:$M$98,"&lt;="&amp;$H270,工数管理!$N$3:$N$98,"")+COUNTIFS(工数管理!$AK$3:$AK$98,K$1,工数管理!$O$3:$O$98,"&lt;="&amp;$H270,工数管理!$P$3:$P$98,"")+COUNTIFS(工数管理!$AK$3:$AK$98,K$1,工数管理!$Q$3:$Q$98,"&lt;="&amp;$H270,工数管理!$R$3:$R$98,"")+COUNTIFS(工数管理!$AK$3:$AK$98,K$1,工数管理!$S$3:$S$98,"&lt;="&amp;$H270,工数管理!$T$3:$T$98,"")+COUNTIFS(工数管理!$AK$3:$AK$98,K$1,工数管理!$U$3:$U$98,"&lt;="&amp;$H270,工数管理!$V$3:$V$98,"")+COUNTIFS(工数管理!$AK$3:$AK$98,K$1,工数管理!$W$3:$W$98,"&lt;="&amp;$H270,工数管理!$X$3:$X$98,"")+COUNTIFS(工数管理!$AK$3:$AK$98,K$1,工数管理!$Y$3:$Y$98,"&lt;="&amp;$H270,工数管理!$Z$3:$Z$98,"")+COUNTIFS(工数管理!$AK$3:$AK$98,K$1,工数管理!$AA$3:$AA$98,"&lt;="&amp;$H270,工数管理!$AB$3:$AB$98,"")+COUNTIFS(工数管理!$AK$3:$AK$98,K$1,工数管理!$AC$3:$AC$98,"&lt;="&amp;$H270,工数管理!$AD$3:$AD$98,"")+COUNTIFS(工数管理!$AK$3:$AK$98,K$1,工数管理!$AE$3:$AE$98,"&lt;="&amp;$H270,工数管理!$AF$3:$AF$98,"")+COUNTIFS(工数管理!$AK$3:$AK$98,K$1,工数管理!$AG$3:$AG$98,"&lt;="&amp;$H270,工数管理!$AH$3:$AH$98,""))*($H270&lt;=工数管理!$AI$1))</f>
        <v>0</v>
      </c>
      <c r="L270" s="42">
        <f ca="1">IF(L$1="",0,COUNTIFS(工数管理!$AK$3:$AK$98,L$1,工数管理!$K$3:$K$98,"&lt;="&amp;$H270,工数管理!$L$3:$L$98,"&gt;="&amp;$H270)+COUNTIFS(工数管理!$AK$3:$AK$98,L$1,工数管理!$M$3:$M$98,"&lt;="&amp;$H270,工数管理!$N$3:$N$98,"&gt;="&amp;$H270)+COUNTIFS(工数管理!$AK$3:$AK$98,L$1,工数管理!$O$3:$O$98,"&lt;="&amp;$H270,工数管理!$P$3:$P$98,"&gt;="&amp;$H270)+COUNTIFS(工数管理!$AK$3:$AK$98,L$1,工数管理!$Q$3:$Q$98,"&lt;="&amp;$H270,工数管理!$R$3:$R$98,"&gt;="&amp;$H270)+COUNTIFS(工数管理!$AK$3:$AK$98,L$1,工数管理!$S$3:$S$98,"&lt;="&amp;$H270,工数管理!$T$3:$T$98,"&gt;="&amp;$H270)+COUNTIFS(工数管理!$AK$3:$AK$98,L$1,工数管理!$U$3:$U$98,"&lt;="&amp;$H270,工数管理!$V$3:$V$98,"&gt;="&amp;$H270)+COUNTIFS(工数管理!$AK$3:$AK$98,L$1,工数管理!$W$3:$W$98,"&lt;="&amp;$H270,工数管理!$X$3:$X$98,"&gt;="&amp;$H270)+COUNTIFS(工数管理!$AK$3:$AK$98,L$1,工数管理!$Y$3:$Y$98,"&lt;="&amp;$H270,工数管理!$Z$3:$Z$98,"&gt;="&amp;$H270)+COUNTIFS(工数管理!$AK$3:$AK$98,L$1,工数管理!$AA$3:$AA$98,"&lt;="&amp;$H270,工数管理!$AB$3:$AB$98,"&gt;="&amp;$H270)+COUNTIFS(工数管理!$AK$3:$AK$98,L$1,工数管理!$AC$3:$AC$98,"&lt;="&amp;$H270,工数管理!$AD$3:$AD$98,"&gt;="&amp;$H270)+COUNTIFS(工数管理!$AK$3:$AK$98,L$1,工数管理!$AE$3:$AE$98,"&lt;="&amp;$H270,工数管理!$AF$3:$AF$98,"&gt;="&amp;$H270)+COUNTIFS(工数管理!$AK$3:$AK$98,L$1,工数管理!$AG$3:$AG$98,"&lt;="&amp;$H270,工数管理!$AH$3:$AH$98,"&gt;="&amp;$H270)+(COUNTIFS(工数管理!$AK$3:$AK$98,L$1,工数管理!$K$3:$K$98,"&lt;="&amp;$H270,工数管理!$L$3:$L$98,"")+COUNTIFS(工数管理!$AK$3:$AK$98,L$1,工数管理!$M$3:$M$98,"&lt;="&amp;$H270,工数管理!$N$3:$N$98,"")+COUNTIFS(工数管理!$AK$3:$AK$98,L$1,工数管理!$O$3:$O$98,"&lt;="&amp;$H270,工数管理!$P$3:$P$98,"")+COUNTIFS(工数管理!$AK$3:$AK$98,L$1,工数管理!$Q$3:$Q$98,"&lt;="&amp;$H270,工数管理!$R$3:$R$98,"")+COUNTIFS(工数管理!$AK$3:$AK$98,L$1,工数管理!$S$3:$S$98,"&lt;="&amp;$H270,工数管理!$T$3:$T$98,"")+COUNTIFS(工数管理!$AK$3:$AK$98,L$1,工数管理!$U$3:$U$98,"&lt;="&amp;$H270,工数管理!$V$3:$V$98,"")+COUNTIFS(工数管理!$AK$3:$AK$98,L$1,工数管理!$W$3:$W$98,"&lt;="&amp;$H270,工数管理!$X$3:$X$98,"")+COUNTIFS(工数管理!$AK$3:$AK$98,L$1,工数管理!$Y$3:$Y$98,"&lt;="&amp;$H270,工数管理!$Z$3:$Z$98,"")+COUNTIFS(工数管理!$AK$3:$AK$98,L$1,工数管理!$AA$3:$AA$98,"&lt;="&amp;$H270,工数管理!$AB$3:$AB$98,"")+COUNTIFS(工数管理!$AK$3:$AK$98,L$1,工数管理!$AC$3:$AC$98,"&lt;="&amp;$H270,工数管理!$AD$3:$AD$98,"")+COUNTIFS(工数管理!$AK$3:$AK$98,L$1,工数管理!$AE$3:$AE$98,"&lt;="&amp;$H270,工数管理!$AF$3:$AF$98,"")+COUNTIFS(工数管理!$AK$3:$AK$98,L$1,工数管理!$AG$3:$AG$98,"&lt;="&amp;$H270,工数管理!$AH$3:$AH$98,""))*($H270&lt;=工数管理!$AI$1))</f>
        <v>0</v>
      </c>
    </row>
    <row r="271" spans="8:12" x14ac:dyDescent="0.15">
      <c r="H271" s="41">
        <f t="shared" si="9"/>
        <v>46439</v>
      </c>
      <c r="I271" s="42">
        <f t="shared" si="8"/>
        <v>0</v>
      </c>
      <c r="J271" s="42">
        <f ca="1">IF(J$1="",0,COUNTIFS(工数管理!$AK$3:$AK$98,J$1,工数管理!$K$3:$K$98,"&lt;="&amp;$H271,工数管理!$L$3:$L$98,"&gt;="&amp;$H271)+COUNTIFS(工数管理!$AK$3:$AK$98,J$1,工数管理!$M$3:$M$98,"&lt;="&amp;$H271,工数管理!$N$3:$N$98,"&gt;="&amp;$H271)+COUNTIFS(工数管理!$AK$3:$AK$98,J$1,工数管理!$O$3:$O$98,"&lt;="&amp;$H271,工数管理!$P$3:$P$98,"&gt;="&amp;$H271)+COUNTIFS(工数管理!$AK$3:$AK$98,J$1,工数管理!$Q$3:$Q$98,"&lt;="&amp;$H271,工数管理!$R$3:$R$98,"&gt;="&amp;$H271)+COUNTIFS(工数管理!$AK$3:$AK$98,J$1,工数管理!$S$3:$S$98,"&lt;="&amp;$H271,工数管理!$T$3:$T$98,"&gt;="&amp;$H271)+COUNTIFS(工数管理!$AK$3:$AK$98,J$1,工数管理!$U$3:$U$98,"&lt;="&amp;$H271,工数管理!$V$3:$V$98,"&gt;="&amp;$H271)+COUNTIFS(工数管理!$AK$3:$AK$98,J$1,工数管理!$W$3:$W$98,"&lt;="&amp;$H271,工数管理!$X$3:$X$98,"&gt;="&amp;$H271)+COUNTIFS(工数管理!$AK$3:$AK$98,J$1,工数管理!$Y$3:$Y$98,"&lt;="&amp;$H271,工数管理!$Z$3:$Z$98,"&gt;="&amp;$H271)+COUNTIFS(工数管理!$AK$3:$AK$98,J$1,工数管理!$AA$3:$AA$98,"&lt;="&amp;$H271,工数管理!$AB$3:$AB$98,"&gt;="&amp;$H271)+COUNTIFS(工数管理!$AK$3:$AK$98,J$1,工数管理!$AC$3:$AC$98,"&lt;="&amp;$H271,工数管理!$AD$3:$AD$98,"&gt;="&amp;$H271)+COUNTIFS(工数管理!$AK$3:$AK$98,J$1,工数管理!$AE$3:$AE$98,"&lt;="&amp;$H271,工数管理!$AF$3:$AF$98,"&gt;="&amp;$H271)+COUNTIFS(工数管理!$AK$3:$AK$98,J$1,工数管理!$AG$3:$AG$98,"&lt;="&amp;$H271,工数管理!$AH$3:$AH$98,"&gt;="&amp;$H271)+(COUNTIFS(工数管理!$AK$3:$AK$98,J$1,工数管理!$K$3:$K$98,"&lt;="&amp;$H271,工数管理!$L$3:$L$98,"")+COUNTIFS(工数管理!$AK$3:$AK$98,J$1,工数管理!$M$3:$M$98,"&lt;="&amp;$H271,工数管理!$N$3:$N$98,"")+COUNTIFS(工数管理!$AK$3:$AK$98,J$1,工数管理!$O$3:$O$98,"&lt;="&amp;$H271,工数管理!$P$3:$P$98,"")+COUNTIFS(工数管理!$AK$3:$AK$98,J$1,工数管理!$Q$3:$Q$98,"&lt;="&amp;$H271,工数管理!$R$3:$R$98,"")+COUNTIFS(工数管理!$AK$3:$AK$98,J$1,工数管理!$S$3:$S$98,"&lt;="&amp;$H271,工数管理!$T$3:$T$98,"")+COUNTIFS(工数管理!$AK$3:$AK$98,J$1,工数管理!$U$3:$U$98,"&lt;="&amp;$H271,工数管理!$V$3:$V$98,"")+COUNTIFS(工数管理!$AK$3:$AK$98,J$1,工数管理!$W$3:$W$98,"&lt;="&amp;$H271,工数管理!$X$3:$X$98,"")+COUNTIFS(工数管理!$AK$3:$AK$98,J$1,工数管理!$Y$3:$Y$98,"&lt;="&amp;$H271,工数管理!$Z$3:$Z$98,"")+COUNTIFS(工数管理!$AK$3:$AK$98,J$1,工数管理!$AA$3:$AA$98,"&lt;="&amp;$H271,工数管理!$AB$3:$AB$98,"")+COUNTIFS(工数管理!$AK$3:$AK$98,J$1,工数管理!$AC$3:$AC$98,"&lt;="&amp;$H271,工数管理!$AD$3:$AD$98,"")+COUNTIFS(工数管理!$AK$3:$AK$98,J$1,工数管理!$AE$3:$AE$98,"&lt;="&amp;$H271,工数管理!$AF$3:$AF$98,"")+COUNTIFS(工数管理!$AK$3:$AK$98,J$1,工数管理!$AG$3:$AG$98,"&lt;="&amp;$H271,工数管理!$AH$3:$AH$98,""))*($H271&lt;=工数管理!$AI$1))</f>
        <v>0</v>
      </c>
      <c r="K271" s="42">
        <f ca="1">IF(K$1="",0,COUNTIFS(工数管理!$AK$3:$AK$98,K$1,工数管理!$K$3:$K$98,"&lt;="&amp;$H271,工数管理!$L$3:$L$98,"&gt;="&amp;$H271)+COUNTIFS(工数管理!$AK$3:$AK$98,K$1,工数管理!$M$3:$M$98,"&lt;="&amp;$H271,工数管理!$N$3:$N$98,"&gt;="&amp;$H271)+COUNTIFS(工数管理!$AK$3:$AK$98,K$1,工数管理!$O$3:$O$98,"&lt;="&amp;$H271,工数管理!$P$3:$P$98,"&gt;="&amp;$H271)+COUNTIFS(工数管理!$AK$3:$AK$98,K$1,工数管理!$Q$3:$Q$98,"&lt;="&amp;$H271,工数管理!$R$3:$R$98,"&gt;="&amp;$H271)+COUNTIFS(工数管理!$AK$3:$AK$98,K$1,工数管理!$S$3:$S$98,"&lt;="&amp;$H271,工数管理!$T$3:$T$98,"&gt;="&amp;$H271)+COUNTIFS(工数管理!$AK$3:$AK$98,K$1,工数管理!$U$3:$U$98,"&lt;="&amp;$H271,工数管理!$V$3:$V$98,"&gt;="&amp;$H271)+COUNTIFS(工数管理!$AK$3:$AK$98,K$1,工数管理!$W$3:$W$98,"&lt;="&amp;$H271,工数管理!$X$3:$X$98,"&gt;="&amp;$H271)+COUNTIFS(工数管理!$AK$3:$AK$98,K$1,工数管理!$Y$3:$Y$98,"&lt;="&amp;$H271,工数管理!$Z$3:$Z$98,"&gt;="&amp;$H271)+COUNTIFS(工数管理!$AK$3:$AK$98,K$1,工数管理!$AA$3:$AA$98,"&lt;="&amp;$H271,工数管理!$AB$3:$AB$98,"&gt;="&amp;$H271)+COUNTIFS(工数管理!$AK$3:$AK$98,K$1,工数管理!$AC$3:$AC$98,"&lt;="&amp;$H271,工数管理!$AD$3:$AD$98,"&gt;="&amp;$H271)+COUNTIFS(工数管理!$AK$3:$AK$98,K$1,工数管理!$AE$3:$AE$98,"&lt;="&amp;$H271,工数管理!$AF$3:$AF$98,"&gt;="&amp;$H271)+COUNTIFS(工数管理!$AK$3:$AK$98,K$1,工数管理!$AG$3:$AG$98,"&lt;="&amp;$H271,工数管理!$AH$3:$AH$98,"&gt;="&amp;$H271)+(COUNTIFS(工数管理!$AK$3:$AK$98,K$1,工数管理!$K$3:$K$98,"&lt;="&amp;$H271,工数管理!$L$3:$L$98,"")+COUNTIFS(工数管理!$AK$3:$AK$98,K$1,工数管理!$M$3:$M$98,"&lt;="&amp;$H271,工数管理!$N$3:$N$98,"")+COUNTIFS(工数管理!$AK$3:$AK$98,K$1,工数管理!$O$3:$O$98,"&lt;="&amp;$H271,工数管理!$P$3:$P$98,"")+COUNTIFS(工数管理!$AK$3:$AK$98,K$1,工数管理!$Q$3:$Q$98,"&lt;="&amp;$H271,工数管理!$R$3:$R$98,"")+COUNTIFS(工数管理!$AK$3:$AK$98,K$1,工数管理!$S$3:$S$98,"&lt;="&amp;$H271,工数管理!$T$3:$T$98,"")+COUNTIFS(工数管理!$AK$3:$AK$98,K$1,工数管理!$U$3:$U$98,"&lt;="&amp;$H271,工数管理!$V$3:$V$98,"")+COUNTIFS(工数管理!$AK$3:$AK$98,K$1,工数管理!$W$3:$W$98,"&lt;="&amp;$H271,工数管理!$X$3:$X$98,"")+COUNTIFS(工数管理!$AK$3:$AK$98,K$1,工数管理!$Y$3:$Y$98,"&lt;="&amp;$H271,工数管理!$Z$3:$Z$98,"")+COUNTIFS(工数管理!$AK$3:$AK$98,K$1,工数管理!$AA$3:$AA$98,"&lt;="&amp;$H271,工数管理!$AB$3:$AB$98,"")+COUNTIFS(工数管理!$AK$3:$AK$98,K$1,工数管理!$AC$3:$AC$98,"&lt;="&amp;$H271,工数管理!$AD$3:$AD$98,"")+COUNTIFS(工数管理!$AK$3:$AK$98,K$1,工数管理!$AE$3:$AE$98,"&lt;="&amp;$H271,工数管理!$AF$3:$AF$98,"")+COUNTIFS(工数管理!$AK$3:$AK$98,K$1,工数管理!$AG$3:$AG$98,"&lt;="&amp;$H271,工数管理!$AH$3:$AH$98,""))*($H271&lt;=工数管理!$AI$1))</f>
        <v>0</v>
      </c>
      <c r="L271" s="42">
        <f ca="1">IF(L$1="",0,COUNTIFS(工数管理!$AK$3:$AK$98,L$1,工数管理!$K$3:$K$98,"&lt;="&amp;$H271,工数管理!$L$3:$L$98,"&gt;="&amp;$H271)+COUNTIFS(工数管理!$AK$3:$AK$98,L$1,工数管理!$M$3:$M$98,"&lt;="&amp;$H271,工数管理!$N$3:$N$98,"&gt;="&amp;$H271)+COUNTIFS(工数管理!$AK$3:$AK$98,L$1,工数管理!$O$3:$O$98,"&lt;="&amp;$H271,工数管理!$P$3:$P$98,"&gt;="&amp;$H271)+COUNTIFS(工数管理!$AK$3:$AK$98,L$1,工数管理!$Q$3:$Q$98,"&lt;="&amp;$H271,工数管理!$R$3:$R$98,"&gt;="&amp;$H271)+COUNTIFS(工数管理!$AK$3:$AK$98,L$1,工数管理!$S$3:$S$98,"&lt;="&amp;$H271,工数管理!$T$3:$T$98,"&gt;="&amp;$H271)+COUNTIFS(工数管理!$AK$3:$AK$98,L$1,工数管理!$U$3:$U$98,"&lt;="&amp;$H271,工数管理!$V$3:$V$98,"&gt;="&amp;$H271)+COUNTIFS(工数管理!$AK$3:$AK$98,L$1,工数管理!$W$3:$W$98,"&lt;="&amp;$H271,工数管理!$X$3:$X$98,"&gt;="&amp;$H271)+COUNTIFS(工数管理!$AK$3:$AK$98,L$1,工数管理!$Y$3:$Y$98,"&lt;="&amp;$H271,工数管理!$Z$3:$Z$98,"&gt;="&amp;$H271)+COUNTIFS(工数管理!$AK$3:$AK$98,L$1,工数管理!$AA$3:$AA$98,"&lt;="&amp;$H271,工数管理!$AB$3:$AB$98,"&gt;="&amp;$H271)+COUNTIFS(工数管理!$AK$3:$AK$98,L$1,工数管理!$AC$3:$AC$98,"&lt;="&amp;$H271,工数管理!$AD$3:$AD$98,"&gt;="&amp;$H271)+COUNTIFS(工数管理!$AK$3:$AK$98,L$1,工数管理!$AE$3:$AE$98,"&lt;="&amp;$H271,工数管理!$AF$3:$AF$98,"&gt;="&amp;$H271)+COUNTIFS(工数管理!$AK$3:$AK$98,L$1,工数管理!$AG$3:$AG$98,"&lt;="&amp;$H271,工数管理!$AH$3:$AH$98,"&gt;="&amp;$H271)+(COUNTIFS(工数管理!$AK$3:$AK$98,L$1,工数管理!$K$3:$K$98,"&lt;="&amp;$H271,工数管理!$L$3:$L$98,"")+COUNTIFS(工数管理!$AK$3:$AK$98,L$1,工数管理!$M$3:$M$98,"&lt;="&amp;$H271,工数管理!$N$3:$N$98,"")+COUNTIFS(工数管理!$AK$3:$AK$98,L$1,工数管理!$O$3:$O$98,"&lt;="&amp;$H271,工数管理!$P$3:$P$98,"")+COUNTIFS(工数管理!$AK$3:$AK$98,L$1,工数管理!$Q$3:$Q$98,"&lt;="&amp;$H271,工数管理!$R$3:$R$98,"")+COUNTIFS(工数管理!$AK$3:$AK$98,L$1,工数管理!$S$3:$S$98,"&lt;="&amp;$H271,工数管理!$T$3:$T$98,"")+COUNTIFS(工数管理!$AK$3:$AK$98,L$1,工数管理!$U$3:$U$98,"&lt;="&amp;$H271,工数管理!$V$3:$V$98,"")+COUNTIFS(工数管理!$AK$3:$AK$98,L$1,工数管理!$W$3:$W$98,"&lt;="&amp;$H271,工数管理!$X$3:$X$98,"")+COUNTIFS(工数管理!$AK$3:$AK$98,L$1,工数管理!$Y$3:$Y$98,"&lt;="&amp;$H271,工数管理!$Z$3:$Z$98,"")+COUNTIFS(工数管理!$AK$3:$AK$98,L$1,工数管理!$AA$3:$AA$98,"&lt;="&amp;$H271,工数管理!$AB$3:$AB$98,"")+COUNTIFS(工数管理!$AK$3:$AK$98,L$1,工数管理!$AC$3:$AC$98,"&lt;="&amp;$H271,工数管理!$AD$3:$AD$98,"")+COUNTIFS(工数管理!$AK$3:$AK$98,L$1,工数管理!$AE$3:$AE$98,"&lt;="&amp;$H271,工数管理!$AF$3:$AF$98,"")+COUNTIFS(工数管理!$AK$3:$AK$98,L$1,工数管理!$AG$3:$AG$98,"&lt;="&amp;$H271,工数管理!$AH$3:$AH$98,""))*($H271&lt;=工数管理!$AI$1))</f>
        <v>0</v>
      </c>
    </row>
    <row r="272" spans="8:12" x14ac:dyDescent="0.15">
      <c r="H272" s="41">
        <f t="shared" si="9"/>
        <v>46440</v>
      </c>
      <c r="I272" s="42">
        <f t="shared" si="8"/>
        <v>1</v>
      </c>
      <c r="J272" s="42">
        <f ca="1">IF(J$1="",0,COUNTIFS(工数管理!$AK$3:$AK$98,J$1,工数管理!$K$3:$K$98,"&lt;="&amp;$H272,工数管理!$L$3:$L$98,"&gt;="&amp;$H272)+COUNTIFS(工数管理!$AK$3:$AK$98,J$1,工数管理!$M$3:$M$98,"&lt;="&amp;$H272,工数管理!$N$3:$N$98,"&gt;="&amp;$H272)+COUNTIFS(工数管理!$AK$3:$AK$98,J$1,工数管理!$O$3:$O$98,"&lt;="&amp;$H272,工数管理!$P$3:$P$98,"&gt;="&amp;$H272)+COUNTIFS(工数管理!$AK$3:$AK$98,J$1,工数管理!$Q$3:$Q$98,"&lt;="&amp;$H272,工数管理!$R$3:$R$98,"&gt;="&amp;$H272)+COUNTIFS(工数管理!$AK$3:$AK$98,J$1,工数管理!$S$3:$S$98,"&lt;="&amp;$H272,工数管理!$T$3:$T$98,"&gt;="&amp;$H272)+COUNTIFS(工数管理!$AK$3:$AK$98,J$1,工数管理!$U$3:$U$98,"&lt;="&amp;$H272,工数管理!$V$3:$V$98,"&gt;="&amp;$H272)+COUNTIFS(工数管理!$AK$3:$AK$98,J$1,工数管理!$W$3:$W$98,"&lt;="&amp;$H272,工数管理!$X$3:$X$98,"&gt;="&amp;$H272)+COUNTIFS(工数管理!$AK$3:$AK$98,J$1,工数管理!$Y$3:$Y$98,"&lt;="&amp;$H272,工数管理!$Z$3:$Z$98,"&gt;="&amp;$H272)+COUNTIFS(工数管理!$AK$3:$AK$98,J$1,工数管理!$AA$3:$AA$98,"&lt;="&amp;$H272,工数管理!$AB$3:$AB$98,"&gt;="&amp;$H272)+COUNTIFS(工数管理!$AK$3:$AK$98,J$1,工数管理!$AC$3:$AC$98,"&lt;="&amp;$H272,工数管理!$AD$3:$AD$98,"&gt;="&amp;$H272)+COUNTIFS(工数管理!$AK$3:$AK$98,J$1,工数管理!$AE$3:$AE$98,"&lt;="&amp;$H272,工数管理!$AF$3:$AF$98,"&gt;="&amp;$H272)+COUNTIFS(工数管理!$AK$3:$AK$98,J$1,工数管理!$AG$3:$AG$98,"&lt;="&amp;$H272,工数管理!$AH$3:$AH$98,"&gt;="&amp;$H272)+(COUNTIFS(工数管理!$AK$3:$AK$98,J$1,工数管理!$K$3:$K$98,"&lt;="&amp;$H272,工数管理!$L$3:$L$98,"")+COUNTIFS(工数管理!$AK$3:$AK$98,J$1,工数管理!$M$3:$M$98,"&lt;="&amp;$H272,工数管理!$N$3:$N$98,"")+COUNTIFS(工数管理!$AK$3:$AK$98,J$1,工数管理!$O$3:$O$98,"&lt;="&amp;$H272,工数管理!$P$3:$P$98,"")+COUNTIFS(工数管理!$AK$3:$AK$98,J$1,工数管理!$Q$3:$Q$98,"&lt;="&amp;$H272,工数管理!$R$3:$R$98,"")+COUNTIFS(工数管理!$AK$3:$AK$98,J$1,工数管理!$S$3:$S$98,"&lt;="&amp;$H272,工数管理!$T$3:$T$98,"")+COUNTIFS(工数管理!$AK$3:$AK$98,J$1,工数管理!$U$3:$U$98,"&lt;="&amp;$H272,工数管理!$V$3:$V$98,"")+COUNTIFS(工数管理!$AK$3:$AK$98,J$1,工数管理!$W$3:$W$98,"&lt;="&amp;$H272,工数管理!$X$3:$X$98,"")+COUNTIFS(工数管理!$AK$3:$AK$98,J$1,工数管理!$Y$3:$Y$98,"&lt;="&amp;$H272,工数管理!$Z$3:$Z$98,"")+COUNTIFS(工数管理!$AK$3:$AK$98,J$1,工数管理!$AA$3:$AA$98,"&lt;="&amp;$H272,工数管理!$AB$3:$AB$98,"")+COUNTIFS(工数管理!$AK$3:$AK$98,J$1,工数管理!$AC$3:$AC$98,"&lt;="&amp;$H272,工数管理!$AD$3:$AD$98,"")+COUNTIFS(工数管理!$AK$3:$AK$98,J$1,工数管理!$AE$3:$AE$98,"&lt;="&amp;$H272,工数管理!$AF$3:$AF$98,"")+COUNTIFS(工数管理!$AK$3:$AK$98,J$1,工数管理!$AG$3:$AG$98,"&lt;="&amp;$H272,工数管理!$AH$3:$AH$98,""))*($H272&lt;=工数管理!$AI$1))</f>
        <v>0</v>
      </c>
      <c r="K272" s="42">
        <f ca="1">IF(K$1="",0,COUNTIFS(工数管理!$AK$3:$AK$98,K$1,工数管理!$K$3:$K$98,"&lt;="&amp;$H272,工数管理!$L$3:$L$98,"&gt;="&amp;$H272)+COUNTIFS(工数管理!$AK$3:$AK$98,K$1,工数管理!$M$3:$M$98,"&lt;="&amp;$H272,工数管理!$N$3:$N$98,"&gt;="&amp;$H272)+COUNTIFS(工数管理!$AK$3:$AK$98,K$1,工数管理!$O$3:$O$98,"&lt;="&amp;$H272,工数管理!$P$3:$P$98,"&gt;="&amp;$H272)+COUNTIFS(工数管理!$AK$3:$AK$98,K$1,工数管理!$Q$3:$Q$98,"&lt;="&amp;$H272,工数管理!$R$3:$R$98,"&gt;="&amp;$H272)+COUNTIFS(工数管理!$AK$3:$AK$98,K$1,工数管理!$S$3:$S$98,"&lt;="&amp;$H272,工数管理!$T$3:$T$98,"&gt;="&amp;$H272)+COUNTIFS(工数管理!$AK$3:$AK$98,K$1,工数管理!$U$3:$U$98,"&lt;="&amp;$H272,工数管理!$V$3:$V$98,"&gt;="&amp;$H272)+COUNTIFS(工数管理!$AK$3:$AK$98,K$1,工数管理!$W$3:$W$98,"&lt;="&amp;$H272,工数管理!$X$3:$X$98,"&gt;="&amp;$H272)+COUNTIFS(工数管理!$AK$3:$AK$98,K$1,工数管理!$Y$3:$Y$98,"&lt;="&amp;$H272,工数管理!$Z$3:$Z$98,"&gt;="&amp;$H272)+COUNTIFS(工数管理!$AK$3:$AK$98,K$1,工数管理!$AA$3:$AA$98,"&lt;="&amp;$H272,工数管理!$AB$3:$AB$98,"&gt;="&amp;$H272)+COUNTIFS(工数管理!$AK$3:$AK$98,K$1,工数管理!$AC$3:$AC$98,"&lt;="&amp;$H272,工数管理!$AD$3:$AD$98,"&gt;="&amp;$H272)+COUNTIFS(工数管理!$AK$3:$AK$98,K$1,工数管理!$AE$3:$AE$98,"&lt;="&amp;$H272,工数管理!$AF$3:$AF$98,"&gt;="&amp;$H272)+COUNTIFS(工数管理!$AK$3:$AK$98,K$1,工数管理!$AG$3:$AG$98,"&lt;="&amp;$H272,工数管理!$AH$3:$AH$98,"&gt;="&amp;$H272)+(COUNTIFS(工数管理!$AK$3:$AK$98,K$1,工数管理!$K$3:$K$98,"&lt;="&amp;$H272,工数管理!$L$3:$L$98,"")+COUNTIFS(工数管理!$AK$3:$AK$98,K$1,工数管理!$M$3:$M$98,"&lt;="&amp;$H272,工数管理!$N$3:$N$98,"")+COUNTIFS(工数管理!$AK$3:$AK$98,K$1,工数管理!$O$3:$O$98,"&lt;="&amp;$H272,工数管理!$P$3:$P$98,"")+COUNTIFS(工数管理!$AK$3:$AK$98,K$1,工数管理!$Q$3:$Q$98,"&lt;="&amp;$H272,工数管理!$R$3:$R$98,"")+COUNTIFS(工数管理!$AK$3:$AK$98,K$1,工数管理!$S$3:$S$98,"&lt;="&amp;$H272,工数管理!$T$3:$T$98,"")+COUNTIFS(工数管理!$AK$3:$AK$98,K$1,工数管理!$U$3:$U$98,"&lt;="&amp;$H272,工数管理!$V$3:$V$98,"")+COUNTIFS(工数管理!$AK$3:$AK$98,K$1,工数管理!$W$3:$W$98,"&lt;="&amp;$H272,工数管理!$X$3:$X$98,"")+COUNTIFS(工数管理!$AK$3:$AK$98,K$1,工数管理!$Y$3:$Y$98,"&lt;="&amp;$H272,工数管理!$Z$3:$Z$98,"")+COUNTIFS(工数管理!$AK$3:$AK$98,K$1,工数管理!$AA$3:$AA$98,"&lt;="&amp;$H272,工数管理!$AB$3:$AB$98,"")+COUNTIFS(工数管理!$AK$3:$AK$98,K$1,工数管理!$AC$3:$AC$98,"&lt;="&amp;$H272,工数管理!$AD$3:$AD$98,"")+COUNTIFS(工数管理!$AK$3:$AK$98,K$1,工数管理!$AE$3:$AE$98,"&lt;="&amp;$H272,工数管理!$AF$3:$AF$98,"")+COUNTIFS(工数管理!$AK$3:$AK$98,K$1,工数管理!$AG$3:$AG$98,"&lt;="&amp;$H272,工数管理!$AH$3:$AH$98,""))*($H272&lt;=工数管理!$AI$1))</f>
        <v>0</v>
      </c>
      <c r="L272" s="42">
        <f ca="1">IF(L$1="",0,COUNTIFS(工数管理!$AK$3:$AK$98,L$1,工数管理!$K$3:$K$98,"&lt;="&amp;$H272,工数管理!$L$3:$L$98,"&gt;="&amp;$H272)+COUNTIFS(工数管理!$AK$3:$AK$98,L$1,工数管理!$M$3:$M$98,"&lt;="&amp;$H272,工数管理!$N$3:$N$98,"&gt;="&amp;$H272)+COUNTIFS(工数管理!$AK$3:$AK$98,L$1,工数管理!$O$3:$O$98,"&lt;="&amp;$H272,工数管理!$P$3:$P$98,"&gt;="&amp;$H272)+COUNTIFS(工数管理!$AK$3:$AK$98,L$1,工数管理!$Q$3:$Q$98,"&lt;="&amp;$H272,工数管理!$R$3:$R$98,"&gt;="&amp;$H272)+COUNTIFS(工数管理!$AK$3:$AK$98,L$1,工数管理!$S$3:$S$98,"&lt;="&amp;$H272,工数管理!$T$3:$T$98,"&gt;="&amp;$H272)+COUNTIFS(工数管理!$AK$3:$AK$98,L$1,工数管理!$U$3:$U$98,"&lt;="&amp;$H272,工数管理!$V$3:$V$98,"&gt;="&amp;$H272)+COUNTIFS(工数管理!$AK$3:$AK$98,L$1,工数管理!$W$3:$W$98,"&lt;="&amp;$H272,工数管理!$X$3:$X$98,"&gt;="&amp;$H272)+COUNTIFS(工数管理!$AK$3:$AK$98,L$1,工数管理!$Y$3:$Y$98,"&lt;="&amp;$H272,工数管理!$Z$3:$Z$98,"&gt;="&amp;$H272)+COUNTIFS(工数管理!$AK$3:$AK$98,L$1,工数管理!$AA$3:$AA$98,"&lt;="&amp;$H272,工数管理!$AB$3:$AB$98,"&gt;="&amp;$H272)+COUNTIFS(工数管理!$AK$3:$AK$98,L$1,工数管理!$AC$3:$AC$98,"&lt;="&amp;$H272,工数管理!$AD$3:$AD$98,"&gt;="&amp;$H272)+COUNTIFS(工数管理!$AK$3:$AK$98,L$1,工数管理!$AE$3:$AE$98,"&lt;="&amp;$H272,工数管理!$AF$3:$AF$98,"&gt;="&amp;$H272)+COUNTIFS(工数管理!$AK$3:$AK$98,L$1,工数管理!$AG$3:$AG$98,"&lt;="&amp;$H272,工数管理!$AH$3:$AH$98,"&gt;="&amp;$H272)+(COUNTIFS(工数管理!$AK$3:$AK$98,L$1,工数管理!$K$3:$K$98,"&lt;="&amp;$H272,工数管理!$L$3:$L$98,"")+COUNTIFS(工数管理!$AK$3:$AK$98,L$1,工数管理!$M$3:$M$98,"&lt;="&amp;$H272,工数管理!$N$3:$N$98,"")+COUNTIFS(工数管理!$AK$3:$AK$98,L$1,工数管理!$O$3:$O$98,"&lt;="&amp;$H272,工数管理!$P$3:$P$98,"")+COUNTIFS(工数管理!$AK$3:$AK$98,L$1,工数管理!$Q$3:$Q$98,"&lt;="&amp;$H272,工数管理!$R$3:$R$98,"")+COUNTIFS(工数管理!$AK$3:$AK$98,L$1,工数管理!$S$3:$S$98,"&lt;="&amp;$H272,工数管理!$T$3:$T$98,"")+COUNTIFS(工数管理!$AK$3:$AK$98,L$1,工数管理!$U$3:$U$98,"&lt;="&amp;$H272,工数管理!$V$3:$V$98,"")+COUNTIFS(工数管理!$AK$3:$AK$98,L$1,工数管理!$W$3:$W$98,"&lt;="&amp;$H272,工数管理!$X$3:$X$98,"")+COUNTIFS(工数管理!$AK$3:$AK$98,L$1,工数管理!$Y$3:$Y$98,"&lt;="&amp;$H272,工数管理!$Z$3:$Z$98,"")+COUNTIFS(工数管理!$AK$3:$AK$98,L$1,工数管理!$AA$3:$AA$98,"&lt;="&amp;$H272,工数管理!$AB$3:$AB$98,"")+COUNTIFS(工数管理!$AK$3:$AK$98,L$1,工数管理!$AC$3:$AC$98,"&lt;="&amp;$H272,工数管理!$AD$3:$AD$98,"")+COUNTIFS(工数管理!$AK$3:$AK$98,L$1,工数管理!$AE$3:$AE$98,"&lt;="&amp;$H272,工数管理!$AF$3:$AF$98,"")+COUNTIFS(工数管理!$AK$3:$AK$98,L$1,工数管理!$AG$3:$AG$98,"&lt;="&amp;$H272,工数管理!$AH$3:$AH$98,""))*($H272&lt;=工数管理!$AI$1))</f>
        <v>0</v>
      </c>
    </row>
    <row r="273" spans="8:12" x14ac:dyDescent="0.15">
      <c r="H273" s="41">
        <f t="shared" si="9"/>
        <v>46441</v>
      </c>
      <c r="I273" s="42">
        <f t="shared" si="8"/>
        <v>0</v>
      </c>
      <c r="J273" s="42">
        <f ca="1">IF(J$1="",0,COUNTIFS(工数管理!$AK$3:$AK$98,J$1,工数管理!$K$3:$K$98,"&lt;="&amp;$H273,工数管理!$L$3:$L$98,"&gt;="&amp;$H273)+COUNTIFS(工数管理!$AK$3:$AK$98,J$1,工数管理!$M$3:$M$98,"&lt;="&amp;$H273,工数管理!$N$3:$N$98,"&gt;="&amp;$H273)+COUNTIFS(工数管理!$AK$3:$AK$98,J$1,工数管理!$O$3:$O$98,"&lt;="&amp;$H273,工数管理!$P$3:$P$98,"&gt;="&amp;$H273)+COUNTIFS(工数管理!$AK$3:$AK$98,J$1,工数管理!$Q$3:$Q$98,"&lt;="&amp;$H273,工数管理!$R$3:$R$98,"&gt;="&amp;$H273)+COUNTIFS(工数管理!$AK$3:$AK$98,J$1,工数管理!$S$3:$S$98,"&lt;="&amp;$H273,工数管理!$T$3:$T$98,"&gt;="&amp;$H273)+COUNTIFS(工数管理!$AK$3:$AK$98,J$1,工数管理!$U$3:$U$98,"&lt;="&amp;$H273,工数管理!$V$3:$V$98,"&gt;="&amp;$H273)+COUNTIFS(工数管理!$AK$3:$AK$98,J$1,工数管理!$W$3:$W$98,"&lt;="&amp;$H273,工数管理!$X$3:$X$98,"&gt;="&amp;$H273)+COUNTIFS(工数管理!$AK$3:$AK$98,J$1,工数管理!$Y$3:$Y$98,"&lt;="&amp;$H273,工数管理!$Z$3:$Z$98,"&gt;="&amp;$H273)+COUNTIFS(工数管理!$AK$3:$AK$98,J$1,工数管理!$AA$3:$AA$98,"&lt;="&amp;$H273,工数管理!$AB$3:$AB$98,"&gt;="&amp;$H273)+COUNTIFS(工数管理!$AK$3:$AK$98,J$1,工数管理!$AC$3:$AC$98,"&lt;="&amp;$H273,工数管理!$AD$3:$AD$98,"&gt;="&amp;$H273)+COUNTIFS(工数管理!$AK$3:$AK$98,J$1,工数管理!$AE$3:$AE$98,"&lt;="&amp;$H273,工数管理!$AF$3:$AF$98,"&gt;="&amp;$H273)+COUNTIFS(工数管理!$AK$3:$AK$98,J$1,工数管理!$AG$3:$AG$98,"&lt;="&amp;$H273,工数管理!$AH$3:$AH$98,"&gt;="&amp;$H273)+(COUNTIFS(工数管理!$AK$3:$AK$98,J$1,工数管理!$K$3:$K$98,"&lt;="&amp;$H273,工数管理!$L$3:$L$98,"")+COUNTIFS(工数管理!$AK$3:$AK$98,J$1,工数管理!$M$3:$M$98,"&lt;="&amp;$H273,工数管理!$N$3:$N$98,"")+COUNTIFS(工数管理!$AK$3:$AK$98,J$1,工数管理!$O$3:$O$98,"&lt;="&amp;$H273,工数管理!$P$3:$P$98,"")+COUNTIFS(工数管理!$AK$3:$AK$98,J$1,工数管理!$Q$3:$Q$98,"&lt;="&amp;$H273,工数管理!$R$3:$R$98,"")+COUNTIFS(工数管理!$AK$3:$AK$98,J$1,工数管理!$S$3:$S$98,"&lt;="&amp;$H273,工数管理!$T$3:$T$98,"")+COUNTIFS(工数管理!$AK$3:$AK$98,J$1,工数管理!$U$3:$U$98,"&lt;="&amp;$H273,工数管理!$V$3:$V$98,"")+COUNTIFS(工数管理!$AK$3:$AK$98,J$1,工数管理!$W$3:$W$98,"&lt;="&amp;$H273,工数管理!$X$3:$X$98,"")+COUNTIFS(工数管理!$AK$3:$AK$98,J$1,工数管理!$Y$3:$Y$98,"&lt;="&amp;$H273,工数管理!$Z$3:$Z$98,"")+COUNTIFS(工数管理!$AK$3:$AK$98,J$1,工数管理!$AA$3:$AA$98,"&lt;="&amp;$H273,工数管理!$AB$3:$AB$98,"")+COUNTIFS(工数管理!$AK$3:$AK$98,J$1,工数管理!$AC$3:$AC$98,"&lt;="&amp;$H273,工数管理!$AD$3:$AD$98,"")+COUNTIFS(工数管理!$AK$3:$AK$98,J$1,工数管理!$AE$3:$AE$98,"&lt;="&amp;$H273,工数管理!$AF$3:$AF$98,"")+COUNTIFS(工数管理!$AK$3:$AK$98,J$1,工数管理!$AG$3:$AG$98,"&lt;="&amp;$H273,工数管理!$AH$3:$AH$98,""))*($H273&lt;=工数管理!$AI$1))</f>
        <v>0</v>
      </c>
      <c r="K273" s="42">
        <f ca="1">IF(K$1="",0,COUNTIFS(工数管理!$AK$3:$AK$98,K$1,工数管理!$K$3:$K$98,"&lt;="&amp;$H273,工数管理!$L$3:$L$98,"&gt;="&amp;$H273)+COUNTIFS(工数管理!$AK$3:$AK$98,K$1,工数管理!$M$3:$M$98,"&lt;="&amp;$H273,工数管理!$N$3:$N$98,"&gt;="&amp;$H273)+COUNTIFS(工数管理!$AK$3:$AK$98,K$1,工数管理!$O$3:$O$98,"&lt;="&amp;$H273,工数管理!$P$3:$P$98,"&gt;="&amp;$H273)+COUNTIFS(工数管理!$AK$3:$AK$98,K$1,工数管理!$Q$3:$Q$98,"&lt;="&amp;$H273,工数管理!$R$3:$R$98,"&gt;="&amp;$H273)+COUNTIFS(工数管理!$AK$3:$AK$98,K$1,工数管理!$S$3:$S$98,"&lt;="&amp;$H273,工数管理!$T$3:$T$98,"&gt;="&amp;$H273)+COUNTIFS(工数管理!$AK$3:$AK$98,K$1,工数管理!$U$3:$U$98,"&lt;="&amp;$H273,工数管理!$V$3:$V$98,"&gt;="&amp;$H273)+COUNTIFS(工数管理!$AK$3:$AK$98,K$1,工数管理!$W$3:$W$98,"&lt;="&amp;$H273,工数管理!$X$3:$X$98,"&gt;="&amp;$H273)+COUNTIFS(工数管理!$AK$3:$AK$98,K$1,工数管理!$Y$3:$Y$98,"&lt;="&amp;$H273,工数管理!$Z$3:$Z$98,"&gt;="&amp;$H273)+COUNTIFS(工数管理!$AK$3:$AK$98,K$1,工数管理!$AA$3:$AA$98,"&lt;="&amp;$H273,工数管理!$AB$3:$AB$98,"&gt;="&amp;$H273)+COUNTIFS(工数管理!$AK$3:$AK$98,K$1,工数管理!$AC$3:$AC$98,"&lt;="&amp;$H273,工数管理!$AD$3:$AD$98,"&gt;="&amp;$H273)+COUNTIFS(工数管理!$AK$3:$AK$98,K$1,工数管理!$AE$3:$AE$98,"&lt;="&amp;$H273,工数管理!$AF$3:$AF$98,"&gt;="&amp;$H273)+COUNTIFS(工数管理!$AK$3:$AK$98,K$1,工数管理!$AG$3:$AG$98,"&lt;="&amp;$H273,工数管理!$AH$3:$AH$98,"&gt;="&amp;$H273)+(COUNTIFS(工数管理!$AK$3:$AK$98,K$1,工数管理!$K$3:$K$98,"&lt;="&amp;$H273,工数管理!$L$3:$L$98,"")+COUNTIFS(工数管理!$AK$3:$AK$98,K$1,工数管理!$M$3:$M$98,"&lt;="&amp;$H273,工数管理!$N$3:$N$98,"")+COUNTIFS(工数管理!$AK$3:$AK$98,K$1,工数管理!$O$3:$O$98,"&lt;="&amp;$H273,工数管理!$P$3:$P$98,"")+COUNTIFS(工数管理!$AK$3:$AK$98,K$1,工数管理!$Q$3:$Q$98,"&lt;="&amp;$H273,工数管理!$R$3:$R$98,"")+COUNTIFS(工数管理!$AK$3:$AK$98,K$1,工数管理!$S$3:$S$98,"&lt;="&amp;$H273,工数管理!$T$3:$T$98,"")+COUNTIFS(工数管理!$AK$3:$AK$98,K$1,工数管理!$U$3:$U$98,"&lt;="&amp;$H273,工数管理!$V$3:$V$98,"")+COUNTIFS(工数管理!$AK$3:$AK$98,K$1,工数管理!$W$3:$W$98,"&lt;="&amp;$H273,工数管理!$X$3:$X$98,"")+COUNTIFS(工数管理!$AK$3:$AK$98,K$1,工数管理!$Y$3:$Y$98,"&lt;="&amp;$H273,工数管理!$Z$3:$Z$98,"")+COUNTIFS(工数管理!$AK$3:$AK$98,K$1,工数管理!$AA$3:$AA$98,"&lt;="&amp;$H273,工数管理!$AB$3:$AB$98,"")+COUNTIFS(工数管理!$AK$3:$AK$98,K$1,工数管理!$AC$3:$AC$98,"&lt;="&amp;$H273,工数管理!$AD$3:$AD$98,"")+COUNTIFS(工数管理!$AK$3:$AK$98,K$1,工数管理!$AE$3:$AE$98,"&lt;="&amp;$H273,工数管理!$AF$3:$AF$98,"")+COUNTIFS(工数管理!$AK$3:$AK$98,K$1,工数管理!$AG$3:$AG$98,"&lt;="&amp;$H273,工数管理!$AH$3:$AH$98,""))*($H273&lt;=工数管理!$AI$1))</f>
        <v>0</v>
      </c>
      <c r="L273" s="42">
        <f ca="1">IF(L$1="",0,COUNTIFS(工数管理!$AK$3:$AK$98,L$1,工数管理!$K$3:$K$98,"&lt;="&amp;$H273,工数管理!$L$3:$L$98,"&gt;="&amp;$H273)+COUNTIFS(工数管理!$AK$3:$AK$98,L$1,工数管理!$M$3:$M$98,"&lt;="&amp;$H273,工数管理!$N$3:$N$98,"&gt;="&amp;$H273)+COUNTIFS(工数管理!$AK$3:$AK$98,L$1,工数管理!$O$3:$O$98,"&lt;="&amp;$H273,工数管理!$P$3:$P$98,"&gt;="&amp;$H273)+COUNTIFS(工数管理!$AK$3:$AK$98,L$1,工数管理!$Q$3:$Q$98,"&lt;="&amp;$H273,工数管理!$R$3:$R$98,"&gt;="&amp;$H273)+COUNTIFS(工数管理!$AK$3:$AK$98,L$1,工数管理!$S$3:$S$98,"&lt;="&amp;$H273,工数管理!$T$3:$T$98,"&gt;="&amp;$H273)+COUNTIFS(工数管理!$AK$3:$AK$98,L$1,工数管理!$U$3:$U$98,"&lt;="&amp;$H273,工数管理!$V$3:$V$98,"&gt;="&amp;$H273)+COUNTIFS(工数管理!$AK$3:$AK$98,L$1,工数管理!$W$3:$W$98,"&lt;="&amp;$H273,工数管理!$X$3:$X$98,"&gt;="&amp;$H273)+COUNTIFS(工数管理!$AK$3:$AK$98,L$1,工数管理!$Y$3:$Y$98,"&lt;="&amp;$H273,工数管理!$Z$3:$Z$98,"&gt;="&amp;$H273)+COUNTIFS(工数管理!$AK$3:$AK$98,L$1,工数管理!$AA$3:$AA$98,"&lt;="&amp;$H273,工数管理!$AB$3:$AB$98,"&gt;="&amp;$H273)+COUNTIFS(工数管理!$AK$3:$AK$98,L$1,工数管理!$AC$3:$AC$98,"&lt;="&amp;$H273,工数管理!$AD$3:$AD$98,"&gt;="&amp;$H273)+COUNTIFS(工数管理!$AK$3:$AK$98,L$1,工数管理!$AE$3:$AE$98,"&lt;="&amp;$H273,工数管理!$AF$3:$AF$98,"&gt;="&amp;$H273)+COUNTIFS(工数管理!$AK$3:$AK$98,L$1,工数管理!$AG$3:$AG$98,"&lt;="&amp;$H273,工数管理!$AH$3:$AH$98,"&gt;="&amp;$H273)+(COUNTIFS(工数管理!$AK$3:$AK$98,L$1,工数管理!$K$3:$K$98,"&lt;="&amp;$H273,工数管理!$L$3:$L$98,"")+COUNTIFS(工数管理!$AK$3:$AK$98,L$1,工数管理!$M$3:$M$98,"&lt;="&amp;$H273,工数管理!$N$3:$N$98,"")+COUNTIFS(工数管理!$AK$3:$AK$98,L$1,工数管理!$O$3:$O$98,"&lt;="&amp;$H273,工数管理!$P$3:$P$98,"")+COUNTIFS(工数管理!$AK$3:$AK$98,L$1,工数管理!$Q$3:$Q$98,"&lt;="&amp;$H273,工数管理!$R$3:$R$98,"")+COUNTIFS(工数管理!$AK$3:$AK$98,L$1,工数管理!$S$3:$S$98,"&lt;="&amp;$H273,工数管理!$T$3:$T$98,"")+COUNTIFS(工数管理!$AK$3:$AK$98,L$1,工数管理!$U$3:$U$98,"&lt;="&amp;$H273,工数管理!$V$3:$V$98,"")+COUNTIFS(工数管理!$AK$3:$AK$98,L$1,工数管理!$W$3:$W$98,"&lt;="&amp;$H273,工数管理!$X$3:$X$98,"")+COUNTIFS(工数管理!$AK$3:$AK$98,L$1,工数管理!$Y$3:$Y$98,"&lt;="&amp;$H273,工数管理!$Z$3:$Z$98,"")+COUNTIFS(工数管理!$AK$3:$AK$98,L$1,工数管理!$AA$3:$AA$98,"&lt;="&amp;$H273,工数管理!$AB$3:$AB$98,"")+COUNTIFS(工数管理!$AK$3:$AK$98,L$1,工数管理!$AC$3:$AC$98,"&lt;="&amp;$H273,工数管理!$AD$3:$AD$98,"")+COUNTIFS(工数管理!$AK$3:$AK$98,L$1,工数管理!$AE$3:$AE$98,"&lt;="&amp;$H273,工数管理!$AF$3:$AF$98,"")+COUNTIFS(工数管理!$AK$3:$AK$98,L$1,工数管理!$AG$3:$AG$98,"&lt;="&amp;$H273,工数管理!$AH$3:$AH$98,""))*($H273&lt;=工数管理!$AI$1))</f>
        <v>0</v>
      </c>
    </row>
    <row r="274" spans="8:12" x14ac:dyDescent="0.15">
      <c r="H274" s="41">
        <f t="shared" si="9"/>
        <v>46442</v>
      </c>
      <c r="I274" s="42">
        <f t="shared" si="8"/>
        <v>1</v>
      </c>
      <c r="J274" s="42">
        <f ca="1">IF(J$1="",0,COUNTIFS(工数管理!$AK$3:$AK$98,J$1,工数管理!$K$3:$K$98,"&lt;="&amp;$H274,工数管理!$L$3:$L$98,"&gt;="&amp;$H274)+COUNTIFS(工数管理!$AK$3:$AK$98,J$1,工数管理!$M$3:$M$98,"&lt;="&amp;$H274,工数管理!$N$3:$N$98,"&gt;="&amp;$H274)+COUNTIFS(工数管理!$AK$3:$AK$98,J$1,工数管理!$O$3:$O$98,"&lt;="&amp;$H274,工数管理!$P$3:$P$98,"&gt;="&amp;$H274)+COUNTIFS(工数管理!$AK$3:$AK$98,J$1,工数管理!$Q$3:$Q$98,"&lt;="&amp;$H274,工数管理!$R$3:$R$98,"&gt;="&amp;$H274)+COUNTIFS(工数管理!$AK$3:$AK$98,J$1,工数管理!$S$3:$S$98,"&lt;="&amp;$H274,工数管理!$T$3:$T$98,"&gt;="&amp;$H274)+COUNTIFS(工数管理!$AK$3:$AK$98,J$1,工数管理!$U$3:$U$98,"&lt;="&amp;$H274,工数管理!$V$3:$V$98,"&gt;="&amp;$H274)+COUNTIFS(工数管理!$AK$3:$AK$98,J$1,工数管理!$W$3:$W$98,"&lt;="&amp;$H274,工数管理!$X$3:$X$98,"&gt;="&amp;$H274)+COUNTIFS(工数管理!$AK$3:$AK$98,J$1,工数管理!$Y$3:$Y$98,"&lt;="&amp;$H274,工数管理!$Z$3:$Z$98,"&gt;="&amp;$H274)+COUNTIFS(工数管理!$AK$3:$AK$98,J$1,工数管理!$AA$3:$AA$98,"&lt;="&amp;$H274,工数管理!$AB$3:$AB$98,"&gt;="&amp;$H274)+COUNTIFS(工数管理!$AK$3:$AK$98,J$1,工数管理!$AC$3:$AC$98,"&lt;="&amp;$H274,工数管理!$AD$3:$AD$98,"&gt;="&amp;$H274)+COUNTIFS(工数管理!$AK$3:$AK$98,J$1,工数管理!$AE$3:$AE$98,"&lt;="&amp;$H274,工数管理!$AF$3:$AF$98,"&gt;="&amp;$H274)+COUNTIFS(工数管理!$AK$3:$AK$98,J$1,工数管理!$AG$3:$AG$98,"&lt;="&amp;$H274,工数管理!$AH$3:$AH$98,"&gt;="&amp;$H274)+(COUNTIFS(工数管理!$AK$3:$AK$98,J$1,工数管理!$K$3:$K$98,"&lt;="&amp;$H274,工数管理!$L$3:$L$98,"")+COUNTIFS(工数管理!$AK$3:$AK$98,J$1,工数管理!$M$3:$M$98,"&lt;="&amp;$H274,工数管理!$N$3:$N$98,"")+COUNTIFS(工数管理!$AK$3:$AK$98,J$1,工数管理!$O$3:$O$98,"&lt;="&amp;$H274,工数管理!$P$3:$P$98,"")+COUNTIFS(工数管理!$AK$3:$AK$98,J$1,工数管理!$Q$3:$Q$98,"&lt;="&amp;$H274,工数管理!$R$3:$R$98,"")+COUNTIFS(工数管理!$AK$3:$AK$98,J$1,工数管理!$S$3:$S$98,"&lt;="&amp;$H274,工数管理!$T$3:$T$98,"")+COUNTIFS(工数管理!$AK$3:$AK$98,J$1,工数管理!$U$3:$U$98,"&lt;="&amp;$H274,工数管理!$V$3:$V$98,"")+COUNTIFS(工数管理!$AK$3:$AK$98,J$1,工数管理!$W$3:$W$98,"&lt;="&amp;$H274,工数管理!$X$3:$X$98,"")+COUNTIFS(工数管理!$AK$3:$AK$98,J$1,工数管理!$Y$3:$Y$98,"&lt;="&amp;$H274,工数管理!$Z$3:$Z$98,"")+COUNTIFS(工数管理!$AK$3:$AK$98,J$1,工数管理!$AA$3:$AA$98,"&lt;="&amp;$H274,工数管理!$AB$3:$AB$98,"")+COUNTIFS(工数管理!$AK$3:$AK$98,J$1,工数管理!$AC$3:$AC$98,"&lt;="&amp;$H274,工数管理!$AD$3:$AD$98,"")+COUNTIFS(工数管理!$AK$3:$AK$98,J$1,工数管理!$AE$3:$AE$98,"&lt;="&amp;$H274,工数管理!$AF$3:$AF$98,"")+COUNTIFS(工数管理!$AK$3:$AK$98,J$1,工数管理!$AG$3:$AG$98,"&lt;="&amp;$H274,工数管理!$AH$3:$AH$98,""))*($H274&lt;=工数管理!$AI$1))</f>
        <v>0</v>
      </c>
      <c r="K274" s="42">
        <f ca="1">IF(K$1="",0,COUNTIFS(工数管理!$AK$3:$AK$98,K$1,工数管理!$K$3:$K$98,"&lt;="&amp;$H274,工数管理!$L$3:$L$98,"&gt;="&amp;$H274)+COUNTIFS(工数管理!$AK$3:$AK$98,K$1,工数管理!$M$3:$M$98,"&lt;="&amp;$H274,工数管理!$N$3:$N$98,"&gt;="&amp;$H274)+COUNTIFS(工数管理!$AK$3:$AK$98,K$1,工数管理!$O$3:$O$98,"&lt;="&amp;$H274,工数管理!$P$3:$P$98,"&gt;="&amp;$H274)+COUNTIFS(工数管理!$AK$3:$AK$98,K$1,工数管理!$Q$3:$Q$98,"&lt;="&amp;$H274,工数管理!$R$3:$R$98,"&gt;="&amp;$H274)+COUNTIFS(工数管理!$AK$3:$AK$98,K$1,工数管理!$S$3:$S$98,"&lt;="&amp;$H274,工数管理!$T$3:$T$98,"&gt;="&amp;$H274)+COUNTIFS(工数管理!$AK$3:$AK$98,K$1,工数管理!$U$3:$U$98,"&lt;="&amp;$H274,工数管理!$V$3:$V$98,"&gt;="&amp;$H274)+COUNTIFS(工数管理!$AK$3:$AK$98,K$1,工数管理!$W$3:$W$98,"&lt;="&amp;$H274,工数管理!$X$3:$X$98,"&gt;="&amp;$H274)+COUNTIFS(工数管理!$AK$3:$AK$98,K$1,工数管理!$Y$3:$Y$98,"&lt;="&amp;$H274,工数管理!$Z$3:$Z$98,"&gt;="&amp;$H274)+COUNTIFS(工数管理!$AK$3:$AK$98,K$1,工数管理!$AA$3:$AA$98,"&lt;="&amp;$H274,工数管理!$AB$3:$AB$98,"&gt;="&amp;$H274)+COUNTIFS(工数管理!$AK$3:$AK$98,K$1,工数管理!$AC$3:$AC$98,"&lt;="&amp;$H274,工数管理!$AD$3:$AD$98,"&gt;="&amp;$H274)+COUNTIFS(工数管理!$AK$3:$AK$98,K$1,工数管理!$AE$3:$AE$98,"&lt;="&amp;$H274,工数管理!$AF$3:$AF$98,"&gt;="&amp;$H274)+COUNTIFS(工数管理!$AK$3:$AK$98,K$1,工数管理!$AG$3:$AG$98,"&lt;="&amp;$H274,工数管理!$AH$3:$AH$98,"&gt;="&amp;$H274)+(COUNTIFS(工数管理!$AK$3:$AK$98,K$1,工数管理!$K$3:$K$98,"&lt;="&amp;$H274,工数管理!$L$3:$L$98,"")+COUNTIFS(工数管理!$AK$3:$AK$98,K$1,工数管理!$M$3:$M$98,"&lt;="&amp;$H274,工数管理!$N$3:$N$98,"")+COUNTIFS(工数管理!$AK$3:$AK$98,K$1,工数管理!$O$3:$O$98,"&lt;="&amp;$H274,工数管理!$P$3:$P$98,"")+COUNTIFS(工数管理!$AK$3:$AK$98,K$1,工数管理!$Q$3:$Q$98,"&lt;="&amp;$H274,工数管理!$R$3:$R$98,"")+COUNTIFS(工数管理!$AK$3:$AK$98,K$1,工数管理!$S$3:$S$98,"&lt;="&amp;$H274,工数管理!$T$3:$T$98,"")+COUNTIFS(工数管理!$AK$3:$AK$98,K$1,工数管理!$U$3:$U$98,"&lt;="&amp;$H274,工数管理!$V$3:$V$98,"")+COUNTIFS(工数管理!$AK$3:$AK$98,K$1,工数管理!$W$3:$W$98,"&lt;="&amp;$H274,工数管理!$X$3:$X$98,"")+COUNTIFS(工数管理!$AK$3:$AK$98,K$1,工数管理!$Y$3:$Y$98,"&lt;="&amp;$H274,工数管理!$Z$3:$Z$98,"")+COUNTIFS(工数管理!$AK$3:$AK$98,K$1,工数管理!$AA$3:$AA$98,"&lt;="&amp;$H274,工数管理!$AB$3:$AB$98,"")+COUNTIFS(工数管理!$AK$3:$AK$98,K$1,工数管理!$AC$3:$AC$98,"&lt;="&amp;$H274,工数管理!$AD$3:$AD$98,"")+COUNTIFS(工数管理!$AK$3:$AK$98,K$1,工数管理!$AE$3:$AE$98,"&lt;="&amp;$H274,工数管理!$AF$3:$AF$98,"")+COUNTIFS(工数管理!$AK$3:$AK$98,K$1,工数管理!$AG$3:$AG$98,"&lt;="&amp;$H274,工数管理!$AH$3:$AH$98,""))*($H274&lt;=工数管理!$AI$1))</f>
        <v>0</v>
      </c>
      <c r="L274" s="42">
        <f ca="1">IF(L$1="",0,COUNTIFS(工数管理!$AK$3:$AK$98,L$1,工数管理!$K$3:$K$98,"&lt;="&amp;$H274,工数管理!$L$3:$L$98,"&gt;="&amp;$H274)+COUNTIFS(工数管理!$AK$3:$AK$98,L$1,工数管理!$M$3:$M$98,"&lt;="&amp;$H274,工数管理!$N$3:$N$98,"&gt;="&amp;$H274)+COUNTIFS(工数管理!$AK$3:$AK$98,L$1,工数管理!$O$3:$O$98,"&lt;="&amp;$H274,工数管理!$P$3:$P$98,"&gt;="&amp;$H274)+COUNTIFS(工数管理!$AK$3:$AK$98,L$1,工数管理!$Q$3:$Q$98,"&lt;="&amp;$H274,工数管理!$R$3:$R$98,"&gt;="&amp;$H274)+COUNTIFS(工数管理!$AK$3:$AK$98,L$1,工数管理!$S$3:$S$98,"&lt;="&amp;$H274,工数管理!$T$3:$T$98,"&gt;="&amp;$H274)+COUNTIFS(工数管理!$AK$3:$AK$98,L$1,工数管理!$U$3:$U$98,"&lt;="&amp;$H274,工数管理!$V$3:$V$98,"&gt;="&amp;$H274)+COUNTIFS(工数管理!$AK$3:$AK$98,L$1,工数管理!$W$3:$W$98,"&lt;="&amp;$H274,工数管理!$X$3:$X$98,"&gt;="&amp;$H274)+COUNTIFS(工数管理!$AK$3:$AK$98,L$1,工数管理!$Y$3:$Y$98,"&lt;="&amp;$H274,工数管理!$Z$3:$Z$98,"&gt;="&amp;$H274)+COUNTIFS(工数管理!$AK$3:$AK$98,L$1,工数管理!$AA$3:$AA$98,"&lt;="&amp;$H274,工数管理!$AB$3:$AB$98,"&gt;="&amp;$H274)+COUNTIFS(工数管理!$AK$3:$AK$98,L$1,工数管理!$AC$3:$AC$98,"&lt;="&amp;$H274,工数管理!$AD$3:$AD$98,"&gt;="&amp;$H274)+COUNTIFS(工数管理!$AK$3:$AK$98,L$1,工数管理!$AE$3:$AE$98,"&lt;="&amp;$H274,工数管理!$AF$3:$AF$98,"&gt;="&amp;$H274)+COUNTIFS(工数管理!$AK$3:$AK$98,L$1,工数管理!$AG$3:$AG$98,"&lt;="&amp;$H274,工数管理!$AH$3:$AH$98,"&gt;="&amp;$H274)+(COUNTIFS(工数管理!$AK$3:$AK$98,L$1,工数管理!$K$3:$K$98,"&lt;="&amp;$H274,工数管理!$L$3:$L$98,"")+COUNTIFS(工数管理!$AK$3:$AK$98,L$1,工数管理!$M$3:$M$98,"&lt;="&amp;$H274,工数管理!$N$3:$N$98,"")+COUNTIFS(工数管理!$AK$3:$AK$98,L$1,工数管理!$O$3:$O$98,"&lt;="&amp;$H274,工数管理!$P$3:$P$98,"")+COUNTIFS(工数管理!$AK$3:$AK$98,L$1,工数管理!$Q$3:$Q$98,"&lt;="&amp;$H274,工数管理!$R$3:$R$98,"")+COUNTIFS(工数管理!$AK$3:$AK$98,L$1,工数管理!$S$3:$S$98,"&lt;="&amp;$H274,工数管理!$T$3:$T$98,"")+COUNTIFS(工数管理!$AK$3:$AK$98,L$1,工数管理!$U$3:$U$98,"&lt;="&amp;$H274,工数管理!$V$3:$V$98,"")+COUNTIFS(工数管理!$AK$3:$AK$98,L$1,工数管理!$W$3:$W$98,"&lt;="&amp;$H274,工数管理!$X$3:$X$98,"")+COUNTIFS(工数管理!$AK$3:$AK$98,L$1,工数管理!$Y$3:$Y$98,"&lt;="&amp;$H274,工数管理!$Z$3:$Z$98,"")+COUNTIFS(工数管理!$AK$3:$AK$98,L$1,工数管理!$AA$3:$AA$98,"&lt;="&amp;$H274,工数管理!$AB$3:$AB$98,"")+COUNTIFS(工数管理!$AK$3:$AK$98,L$1,工数管理!$AC$3:$AC$98,"&lt;="&amp;$H274,工数管理!$AD$3:$AD$98,"")+COUNTIFS(工数管理!$AK$3:$AK$98,L$1,工数管理!$AE$3:$AE$98,"&lt;="&amp;$H274,工数管理!$AF$3:$AF$98,"")+COUNTIFS(工数管理!$AK$3:$AK$98,L$1,工数管理!$AG$3:$AG$98,"&lt;="&amp;$H274,工数管理!$AH$3:$AH$98,""))*($H274&lt;=工数管理!$AI$1))</f>
        <v>0</v>
      </c>
    </row>
    <row r="275" spans="8:12" x14ac:dyDescent="0.15">
      <c r="H275" s="41">
        <f t="shared" si="9"/>
        <v>46443</v>
      </c>
      <c r="I275" s="42">
        <f t="shared" si="8"/>
        <v>1</v>
      </c>
      <c r="J275" s="42">
        <f ca="1">IF(J$1="",0,COUNTIFS(工数管理!$AK$3:$AK$98,J$1,工数管理!$K$3:$K$98,"&lt;="&amp;$H275,工数管理!$L$3:$L$98,"&gt;="&amp;$H275)+COUNTIFS(工数管理!$AK$3:$AK$98,J$1,工数管理!$M$3:$M$98,"&lt;="&amp;$H275,工数管理!$N$3:$N$98,"&gt;="&amp;$H275)+COUNTIFS(工数管理!$AK$3:$AK$98,J$1,工数管理!$O$3:$O$98,"&lt;="&amp;$H275,工数管理!$P$3:$P$98,"&gt;="&amp;$H275)+COUNTIFS(工数管理!$AK$3:$AK$98,J$1,工数管理!$Q$3:$Q$98,"&lt;="&amp;$H275,工数管理!$R$3:$R$98,"&gt;="&amp;$H275)+COUNTIFS(工数管理!$AK$3:$AK$98,J$1,工数管理!$S$3:$S$98,"&lt;="&amp;$H275,工数管理!$T$3:$T$98,"&gt;="&amp;$H275)+COUNTIFS(工数管理!$AK$3:$AK$98,J$1,工数管理!$U$3:$U$98,"&lt;="&amp;$H275,工数管理!$V$3:$V$98,"&gt;="&amp;$H275)+COUNTIFS(工数管理!$AK$3:$AK$98,J$1,工数管理!$W$3:$W$98,"&lt;="&amp;$H275,工数管理!$X$3:$X$98,"&gt;="&amp;$H275)+COUNTIFS(工数管理!$AK$3:$AK$98,J$1,工数管理!$Y$3:$Y$98,"&lt;="&amp;$H275,工数管理!$Z$3:$Z$98,"&gt;="&amp;$H275)+COUNTIFS(工数管理!$AK$3:$AK$98,J$1,工数管理!$AA$3:$AA$98,"&lt;="&amp;$H275,工数管理!$AB$3:$AB$98,"&gt;="&amp;$H275)+COUNTIFS(工数管理!$AK$3:$AK$98,J$1,工数管理!$AC$3:$AC$98,"&lt;="&amp;$H275,工数管理!$AD$3:$AD$98,"&gt;="&amp;$H275)+COUNTIFS(工数管理!$AK$3:$AK$98,J$1,工数管理!$AE$3:$AE$98,"&lt;="&amp;$H275,工数管理!$AF$3:$AF$98,"&gt;="&amp;$H275)+COUNTIFS(工数管理!$AK$3:$AK$98,J$1,工数管理!$AG$3:$AG$98,"&lt;="&amp;$H275,工数管理!$AH$3:$AH$98,"&gt;="&amp;$H275)+(COUNTIFS(工数管理!$AK$3:$AK$98,J$1,工数管理!$K$3:$K$98,"&lt;="&amp;$H275,工数管理!$L$3:$L$98,"")+COUNTIFS(工数管理!$AK$3:$AK$98,J$1,工数管理!$M$3:$M$98,"&lt;="&amp;$H275,工数管理!$N$3:$N$98,"")+COUNTIFS(工数管理!$AK$3:$AK$98,J$1,工数管理!$O$3:$O$98,"&lt;="&amp;$H275,工数管理!$P$3:$P$98,"")+COUNTIFS(工数管理!$AK$3:$AK$98,J$1,工数管理!$Q$3:$Q$98,"&lt;="&amp;$H275,工数管理!$R$3:$R$98,"")+COUNTIFS(工数管理!$AK$3:$AK$98,J$1,工数管理!$S$3:$S$98,"&lt;="&amp;$H275,工数管理!$T$3:$T$98,"")+COUNTIFS(工数管理!$AK$3:$AK$98,J$1,工数管理!$U$3:$U$98,"&lt;="&amp;$H275,工数管理!$V$3:$V$98,"")+COUNTIFS(工数管理!$AK$3:$AK$98,J$1,工数管理!$W$3:$W$98,"&lt;="&amp;$H275,工数管理!$X$3:$X$98,"")+COUNTIFS(工数管理!$AK$3:$AK$98,J$1,工数管理!$Y$3:$Y$98,"&lt;="&amp;$H275,工数管理!$Z$3:$Z$98,"")+COUNTIFS(工数管理!$AK$3:$AK$98,J$1,工数管理!$AA$3:$AA$98,"&lt;="&amp;$H275,工数管理!$AB$3:$AB$98,"")+COUNTIFS(工数管理!$AK$3:$AK$98,J$1,工数管理!$AC$3:$AC$98,"&lt;="&amp;$H275,工数管理!$AD$3:$AD$98,"")+COUNTIFS(工数管理!$AK$3:$AK$98,J$1,工数管理!$AE$3:$AE$98,"&lt;="&amp;$H275,工数管理!$AF$3:$AF$98,"")+COUNTIFS(工数管理!$AK$3:$AK$98,J$1,工数管理!$AG$3:$AG$98,"&lt;="&amp;$H275,工数管理!$AH$3:$AH$98,""))*($H275&lt;=工数管理!$AI$1))</f>
        <v>0</v>
      </c>
      <c r="K275" s="42">
        <f ca="1">IF(K$1="",0,COUNTIFS(工数管理!$AK$3:$AK$98,K$1,工数管理!$K$3:$K$98,"&lt;="&amp;$H275,工数管理!$L$3:$L$98,"&gt;="&amp;$H275)+COUNTIFS(工数管理!$AK$3:$AK$98,K$1,工数管理!$M$3:$M$98,"&lt;="&amp;$H275,工数管理!$N$3:$N$98,"&gt;="&amp;$H275)+COUNTIFS(工数管理!$AK$3:$AK$98,K$1,工数管理!$O$3:$O$98,"&lt;="&amp;$H275,工数管理!$P$3:$P$98,"&gt;="&amp;$H275)+COUNTIFS(工数管理!$AK$3:$AK$98,K$1,工数管理!$Q$3:$Q$98,"&lt;="&amp;$H275,工数管理!$R$3:$R$98,"&gt;="&amp;$H275)+COUNTIFS(工数管理!$AK$3:$AK$98,K$1,工数管理!$S$3:$S$98,"&lt;="&amp;$H275,工数管理!$T$3:$T$98,"&gt;="&amp;$H275)+COUNTIFS(工数管理!$AK$3:$AK$98,K$1,工数管理!$U$3:$U$98,"&lt;="&amp;$H275,工数管理!$V$3:$V$98,"&gt;="&amp;$H275)+COUNTIFS(工数管理!$AK$3:$AK$98,K$1,工数管理!$W$3:$W$98,"&lt;="&amp;$H275,工数管理!$X$3:$X$98,"&gt;="&amp;$H275)+COUNTIFS(工数管理!$AK$3:$AK$98,K$1,工数管理!$Y$3:$Y$98,"&lt;="&amp;$H275,工数管理!$Z$3:$Z$98,"&gt;="&amp;$H275)+COUNTIFS(工数管理!$AK$3:$AK$98,K$1,工数管理!$AA$3:$AA$98,"&lt;="&amp;$H275,工数管理!$AB$3:$AB$98,"&gt;="&amp;$H275)+COUNTIFS(工数管理!$AK$3:$AK$98,K$1,工数管理!$AC$3:$AC$98,"&lt;="&amp;$H275,工数管理!$AD$3:$AD$98,"&gt;="&amp;$H275)+COUNTIFS(工数管理!$AK$3:$AK$98,K$1,工数管理!$AE$3:$AE$98,"&lt;="&amp;$H275,工数管理!$AF$3:$AF$98,"&gt;="&amp;$H275)+COUNTIFS(工数管理!$AK$3:$AK$98,K$1,工数管理!$AG$3:$AG$98,"&lt;="&amp;$H275,工数管理!$AH$3:$AH$98,"&gt;="&amp;$H275)+(COUNTIFS(工数管理!$AK$3:$AK$98,K$1,工数管理!$K$3:$K$98,"&lt;="&amp;$H275,工数管理!$L$3:$L$98,"")+COUNTIFS(工数管理!$AK$3:$AK$98,K$1,工数管理!$M$3:$M$98,"&lt;="&amp;$H275,工数管理!$N$3:$N$98,"")+COUNTIFS(工数管理!$AK$3:$AK$98,K$1,工数管理!$O$3:$O$98,"&lt;="&amp;$H275,工数管理!$P$3:$P$98,"")+COUNTIFS(工数管理!$AK$3:$AK$98,K$1,工数管理!$Q$3:$Q$98,"&lt;="&amp;$H275,工数管理!$R$3:$R$98,"")+COUNTIFS(工数管理!$AK$3:$AK$98,K$1,工数管理!$S$3:$S$98,"&lt;="&amp;$H275,工数管理!$T$3:$T$98,"")+COUNTIFS(工数管理!$AK$3:$AK$98,K$1,工数管理!$U$3:$U$98,"&lt;="&amp;$H275,工数管理!$V$3:$V$98,"")+COUNTIFS(工数管理!$AK$3:$AK$98,K$1,工数管理!$W$3:$W$98,"&lt;="&amp;$H275,工数管理!$X$3:$X$98,"")+COUNTIFS(工数管理!$AK$3:$AK$98,K$1,工数管理!$Y$3:$Y$98,"&lt;="&amp;$H275,工数管理!$Z$3:$Z$98,"")+COUNTIFS(工数管理!$AK$3:$AK$98,K$1,工数管理!$AA$3:$AA$98,"&lt;="&amp;$H275,工数管理!$AB$3:$AB$98,"")+COUNTIFS(工数管理!$AK$3:$AK$98,K$1,工数管理!$AC$3:$AC$98,"&lt;="&amp;$H275,工数管理!$AD$3:$AD$98,"")+COUNTIFS(工数管理!$AK$3:$AK$98,K$1,工数管理!$AE$3:$AE$98,"&lt;="&amp;$H275,工数管理!$AF$3:$AF$98,"")+COUNTIFS(工数管理!$AK$3:$AK$98,K$1,工数管理!$AG$3:$AG$98,"&lt;="&amp;$H275,工数管理!$AH$3:$AH$98,""))*($H275&lt;=工数管理!$AI$1))</f>
        <v>0</v>
      </c>
      <c r="L275" s="42">
        <f ca="1">IF(L$1="",0,COUNTIFS(工数管理!$AK$3:$AK$98,L$1,工数管理!$K$3:$K$98,"&lt;="&amp;$H275,工数管理!$L$3:$L$98,"&gt;="&amp;$H275)+COUNTIFS(工数管理!$AK$3:$AK$98,L$1,工数管理!$M$3:$M$98,"&lt;="&amp;$H275,工数管理!$N$3:$N$98,"&gt;="&amp;$H275)+COUNTIFS(工数管理!$AK$3:$AK$98,L$1,工数管理!$O$3:$O$98,"&lt;="&amp;$H275,工数管理!$P$3:$P$98,"&gt;="&amp;$H275)+COUNTIFS(工数管理!$AK$3:$AK$98,L$1,工数管理!$Q$3:$Q$98,"&lt;="&amp;$H275,工数管理!$R$3:$R$98,"&gt;="&amp;$H275)+COUNTIFS(工数管理!$AK$3:$AK$98,L$1,工数管理!$S$3:$S$98,"&lt;="&amp;$H275,工数管理!$T$3:$T$98,"&gt;="&amp;$H275)+COUNTIFS(工数管理!$AK$3:$AK$98,L$1,工数管理!$U$3:$U$98,"&lt;="&amp;$H275,工数管理!$V$3:$V$98,"&gt;="&amp;$H275)+COUNTIFS(工数管理!$AK$3:$AK$98,L$1,工数管理!$W$3:$W$98,"&lt;="&amp;$H275,工数管理!$X$3:$X$98,"&gt;="&amp;$H275)+COUNTIFS(工数管理!$AK$3:$AK$98,L$1,工数管理!$Y$3:$Y$98,"&lt;="&amp;$H275,工数管理!$Z$3:$Z$98,"&gt;="&amp;$H275)+COUNTIFS(工数管理!$AK$3:$AK$98,L$1,工数管理!$AA$3:$AA$98,"&lt;="&amp;$H275,工数管理!$AB$3:$AB$98,"&gt;="&amp;$H275)+COUNTIFS(工数管理!$AK$3:$AK$98,L$1,工数管理!$AC$3:$AC$98,"&lt;="&amp;$H275,工数管理!$AD$3:$AD$98,"&gt;="&amp;$H275)+COUNTIFS(工数管理!$AK$3:$AK$98,L$1,工数管理!$AE$3:$AE$98,"&lt;="&amp;$H275,工数管理!$AF$3:$AF$98,"&gt;="&amp;$H275)+COUNTIFS(工数管理!$AK$3:$AK$98,L$1,工数管理!$AG$3:$AG$98,"&lt;="&amp;$H275,工数管理!$AH$3:$AH$98,"&gt;="&amp;$H275)+(COUNTIFS(工数管理!$AK$3:$AK$98,L$1,工数管理!$K$3:$K$98,"&lt;="&amp;$H275,工数管理!$L$3:$L$98,"")+COUNTIFS(工数管理!$AK$3:$AK$98,L$1,工数管理!$M$3:$M$98,"&lt;="&amp;$H275,工数管理!$N$3:$N$98,"")+COUNTIFS(工数管理!$AK$3:$AK$98,L$1,工数管理!$O$3:$O$98,"&lt;="&amp;$H275,工数管理!$P$3:$P$98,"")+COUNTIFS(工数管理!$AK$3:$AK$98,L$1,工数管理!$Q$3:$Q$98,"&lt;="&amp;$H275,工数管理!$R$3:$R$98,"")+COUNTIFS(工数管理!$AK$3:$AK$98,L$1,工数管理!$S$3:$S$98,"&lt;="&amp;$H275,工数管理!$T$3:$T$98,"")+COUNTIFS(工数管理!$AK$3:$AK$98,L$1,工数管理!$U$3:$U$98,"&lt;="&amp;$H275,工数管理!$V$3:$V$98,"")+COUNTIFS(工数管理!$AK$3:$AK$98,L$1,工数管理!$W$3:$W$98,"&lt;="&amp;$H275,工数管理!$X$3:$X$98,"")+COUNTIFS(工数管理!$AK$3:$AK$98,L$1,工数管理!$Y$3:$Y$98,"&lt;="&amp;$H275,工数管理!$Z$3:$Z$98,"")+COUNTIFS(工数管理!$AK$3:$AK$98,L$1,工数管理!$AA$3:$AA$98,"&lt;="&amp;$H275,工数管理!$AB$3:$AB$98,"")+COUNTIFS(工数管理!$AK$3:$AK$98,L$1,工数管理!$AC$3:$AC$98,"&lt;="&amp;$H275,工数管理!$AD$3:$AD$98,"")+COUNTIFS(工数管理!$AK$3:$AK$98,L$1,工数管理!$AE$3:$AE$98,"&lt;="&amp;$H275,工数管理!$AF$3:$AF$98,"")+COUNTIFS(工数管理!$AK$3:$AK$98,L$1,工数管理!$AG$3:$AG$98,"&lt;="&amp;$H275,工数管理!$AH$3:$AH$98,""))*($H275&lt;=工数管理!$AI$1))</f>
        <v>0</v>
      </c>
    </row>
    <row r="276" spans="8:12" x14ac:dyDescent="0.15">
      <c r="H276" s="41">
        <f t="shared" si="9"/>
        <v>46444</v>
      </c>
      <c r="I276" s="42">
        <f t="shared" si="8"/>
        <v>1</v>
      </c>
      <c r="J276" s="42">
        <f ca="1">IF(J$1="",0,COUNTIFS(工数管理!$AK$3:$AK$98,J$1,工数管理!$K$3:$K$98,"&lt;="&amp;$H276,工数管理!$L$3:$L$98,"&gt;="&amp;$H276)+COUNTIFS(工数管理!$AK$3:$AK$98,J$1,工数管理!$M$3:$M$98,"&lt;="&amp;$H276,工数管理!$N$3:$N$98,"&gt;="&amp;$H276)+COUNTIFS(工数管理!$AK$3:$AK$98,J$1,工数管理!$O$3:$O$98,"&lt;="&amp;$H276,工数管理!$P$3:$P$98,"&gt;="&amp;$H276)+COUNTIFS(工数管理!$AK$3:$AK$98,J$1,工数管理!$Q$3:$Q$98,"&lt;="&amp;$H276,工数管理!$R$3:$R$98,"&gt;="&amp;$H276)+COUNTIFS(工数管理!$AK$3:$AK$98,J$1,工数管理!$S$3:$S$98,"&lt;="&amp;$H276,工数管理!$T$3:$T$98,"&gt;="&amp;$H276)+COUNTIFS(工数管理!$AK$3:$AK$98,J$1,工数管理!$U$3:$U$98,"&lt;="&amp;$H276,工数管理!$V$3:$V$98,"&gt;="&amp;$H276)+COUNTIFS(工数管理!$AK$3:$AK$98,J$1,工数管理!$W$3:$W$98,"&lt;="&amp;$H276,工数管理!$X$3:$X$98,"&gt;="&amp;$H276)+COUNTIFS(工数管理!$AK$3:$AK$98,J$1,工数管理!$Y$3:$Y$98,"&lt;="&amp;$H276,工数管理!$Z$3:$Z$98,"&gt;="&amp;$H276)+COUNTIFS(工数管理!$AK$3:$AK$98,J$1,工数管理!$AA$3:$AA$98,"&lt;="&amp;$H276,工数管理!$AB$3:$AB$98,"&gt;="&amp;$H276)+COUNTIFS(工数管理!$AK$3:$AK$98,J$1,工数管理!$AC$3:$AC$98,"&lt;="&amp;$H276,工数管理!$AD$3:$AD$98,"&gt;="&amp;$H276)+COUNTIFS(工数管理!$AK$3:$AK$98,J$1,工数管理!$AE$3:$AE$98,"&lt;="&amp;$H276,工数管理!$AF$3:$AF$98,"&gt;="&amp;$H276)+COUNTIFS(工数管理!$AK$3:$AK$98,J$1,工数管理!$AG$3:$AG$98,"&lt;="&amp;$H276,工数管理!$AH$3:$AH$98,"&gt;="&amp;$H276)+(COUNTIFS(工数管理!$AK$3:$AK$98,J$1,工数管理!$K$3:$K$98,"&lt;="&amp;$H276,工数管理!$L$3:$L$98,"")+COUNTIFS(工数管理!$AK$3:$AK$98,J$1,工数管理!$M$3:$M$98,"&lt;="&amp;$H276,工数管理!$N$3:$N$98,"")+COUNTIFS(工数管理!$AK$3:$AK$98,J$1,工数管理!$O$3:$O$98,"&lt;="&amp;$H276,工数管理!$P$3:$P$98,"")+COUNTIFS(工数管理!$AK$3:$AK$98,J$1,工数管理!$Q$3:$Q$98,"&lt;="&amp;$H276,工数管理!$R$3:$R$98,"")+COUNTIFS(工数管理!$AK$3:$AK$98,J$1,工数管理!$S$3:$S$98,"&lt;="&amp;$H276,工数管理!$T$3:$T$98,"")+COUNTIFS(工数管理!$AK$3:$AK$98,J$1,工数管理!$U$3:$U$98,"&lt;="&amp;$H276,工数管理!$V$3:$V$98,"")+COUNTIFS(工数管理!$AK$3:$AK$98,J$1,工数管理!$W$3:$W$98,"&lt;="&amp;$H276,工数管理!$X$3:$X$98,"")+COUNTIFS(工数管理!$AK$3:$AK$98,J$1,工数管理!$Y$3:$Y$98,"&lt;="&amp;$H276,工数管理!$Z$3:$Z$98,"")+COUNTIFS(工数管理!$AK$3:$AK$98,J$1,工数管理!$AA$3:$AA$98,"&lt;="&amp;$H276,工数管理!$AB$3:$AB$98,"")+COUNTIFS(工数管理!$AK$3:$AK$98,J$1,工数管理!$AC$3:$AC$98,"&lt;="&amp;$H276,工数管理!$AD$3:$AD$98,"")+COUNTIFS(工数管理!$AK$3:$AK$98,J$1,工数管理!$AE$3:$AE$98,"&lt;="&amp;$H276,工数管理!$AF$3:$AF$98,"")+COUNTIFS(工数管理!$AK$3:$AK$98,J$1,工数管理!$AG$3:$AG$98,"&lt;="&amp;$H276,工数管理!$AH$3:$AH$98,""))*($H276&lt;=工数管理!$AI$1))</f>
        <v>0</v>
      </c>
      <c r="K276" s="42">
        <f ca="1">IF(K$1="",0,COUNTIFS(工数管理!$AK$3:$AK$98,K$1,工数管理!$K$3:$K$98,"&lt;="&amp;$H276,工数管理!$L$3:$L$98,"&gt;="&amp;$H276)+COUNTIFS(工数管理!$AK$3:$AK$98,K$1,工数管理!$M$3:$M$98,"&lt;="&amp;$H276,工数管理!$N$3:$N$98,"&gt;="&amp;$H276)+COUNTIFS(工数管理!$AK$3:$AK$98,K$1,工数管理!$O$3:$O$98,"&lt;="&amp;$H276,工数管理!$P$3:$P$98,"&gt;="&amp;$H276)+COUNTIFS(工数管理!$AK$3:$AK$98,K$1,工数管理!$Q$3:$Q$98,"&lt;="&amp;$H276,工数管理!$R$3:$R$98,"&gt;="&amp;$H276)+COUNTIFS(工数管理!$AK$3:$AK$98,K$1,工数管理!$S$3:$S$98,"&lt;="&amp;$H276,工数管理!$T$3:$T$98,"&gt;="&amp;$H276)+COUNTIFS(工数管理!$AK$3:$AK$98,K$1,工数管理!$U$3:$U$98,"&lt;="&amp;$H276,工数管理!$V$3:$V$98,"&gt;="&amp;$H276)+COUNTIFS(工数管理!$AK$3:$AK$98,K$1,工数管理!$W$3:$W$98,"&lt;="&amp;$H276,工数管理!$X$3:$X$98,"&gt;="&amp;$H276)+COUNTIFS(工数管理!$AK$3:$AK$98,K$1,工数管理!$Y$3:$Y$98,"&lt;="&amp;$H276,工数管理!$Z$3:$Z$98,"&gt;="&amp;$H276)+COUNTIFS(工数管理!$AK$3:$AK$98,K$1,工数管理!$AA$3:$AA$98,"&lt;="&amp;$H276,工数管理!$AB$3:$AB$98,"&gt;="&amp;$H276)+COUNTIFS(工数管理!$AK$3:$AK$98,K$1,工数管理!$AC$3:$AC$98,"&lt;="&amp;$H276,工数管理!$AD$3:$AD$98,"&gt;="&amp;$H276)+COUNTIFS(工数管理!$AK$3:$AK$98,K$1,工数管理!$AE$3:$AE$98,"&lt;="&amp;$H276,工数管理!$AF$3:$AF$98,"&gt;="&amp;$H276)+COUNTIFS(工数管理!$AK$3:$AK$98,K$1,工数管理!$AG$3:$AG$98,"&lt;="&amp;$H276,工数管理!$AH$3:$AH$98,"&gt;="&amp;$H276)+(COUNTIFS(工数管理!$AK$3:$AK$98,K$1,工数管理!$K$3:$K$98,"&lt;="&amp;$H276,工数管理!$L$3:$L$98,"")+COUNTIFS(工数管理!$AK$3:$AK$98,K$1,工数管理!$M$3:$M$98,"&lt;="&amp;$H276,工数管理!$N$3:$N$98,"")+COUNTIFS(工数管理!$AK$3:$AK$98,K$1,工数管理!$O$3:$O$98,"&lt;="&amp;$H276,工数管理!$P$3:$P$98,"")+COUNTIFS(工数管理!$AK$3:$AK$98,K$1,工数管理!$Q$3:$Q$98,"&lt;="&amp;$H276,工数管理!$R$3:$R$98,"")+COUNTIFS(工数管理!$AK$3:$AK$98,K$1,工数管理!$S$3:$S$98,"&lt;="&amp;$H276,工数管理!$T$3:$T$98,"")+COUNTIFS(工数管理!$AK$3:$AK$98,K$1,工数管理!$U$3:$U$98,"&lt;="&amp;$H276,工数管理!$V$3:$V$98,"")+COUNTIFS(工数管理!$AK$3:$AK$98,K$1,工数管理!$W$3:$W$98,"&lt;="&amp;$H276,工数管理!$X$3:$X$98,"")+COUNTIFS(工数管理!$AK$3:$AK$98,K$1,工数管理!$Y$3:$Y$98,"&lt;="&amp;$H276,工数管理!$Z$3:$Z$98,"")+COUNTIFS(工数管理!$AK$3:$AK$98,K$1,工数管理!$AA$3:$AA$98,"&lt;="&amp;$H276,工数管理!$AB$3:$AB$98,"")+COUNTIFS(工数管理!$AK$3:$AK$98,K$1,工数管理!$AC$3:$AC$98,"&lt;="&amp;$H276,工数管理!$AD$3:$AD$98,"")+COUNTIFS(工数管理!$AK$3:$AK$98,K$1,工数管理!$AE$3:$AE$98,"&lt;="&amp;$H276,工数管理!$AF$3:$AF$98,"")+COUNTIFS(工数管理!$AK$3:$AK$98,K$1,工数管理!$AG$3:$AG$98,"&lt;="&amp;$H276,工数管理!$AH$3:$AH$98,""))*($H276&lt;=工数管理!$AI$1))</f>
        <v>0</v>
      </c>
      <c r="L276" s="42">
        <f ca="1">IF(L$1="",0,COUNTIFS(工数管理!$AK$3:$AK$98,L$1,工数管理!$K$3:$K$98,"&lt;="&amp;$H276,工数管理!$L$3:$L$98,"&gt;="&amp;$H276)+COUNTIFS(工数管理!$AK$3:$AK$98,L$1,工数管理!$M$3:$M$98,"&lt;="&amp;$H276,工数管理!$N$3:$N$98,"&gt;="&amp;$H276)+COUNTIFS(工数管理!$AK$3:$AK$98,L$1,工数管理!$O$3:$O$98,"&lt;="&amp;$H276,工数管理!$P$3:$P$98,"&gt;="&amp;$H276)+COUNTIFS(工数管理!$AK$3:$AK$98,L$1,工数管理!$Q$3:$Q$98,"&lt;="&amp;$H276,工数管理!$R$3:$R$98,"&gt;="&amp;$H276)+COUNTIFS(工数管理!$AK$3:$AK$98,L$1,工数管理!$S$3:$S$98,"&lt;="&amp;$H276,工数管理!$T$3:$T$98,"&gt;="&amp;$H276)+COUNTIFS(工数管理!$AK$3:$AK$98,L$1,工数管理!$U$3:$U$98,"&lt;="&amp;$H276,工数管理!$V$3:$V$98,"&gt;="&amp;$H276)+COUNTIFS(工数管理!$AK$3:$AK$98,L$1,工数管理!$W$3:$W$98,"&lt;="&amp;$H276,工数管理!$X$3:$X$98,"&gt;="&amp;$H276)+COUNTIFS(工数管理!$AK$3:$AK$98,L$1,工数管理!$Y$3:$Y$98,"&lt;="&amp;$H276,工数管理!$Z$3:$Z$98,"&gt;="&amp;$H276)+COUNTIFS(工数管理!$AK$3:$AK$98,L$1,工数管理!$AA$3:$AA$98,"&lt;="&amp;$H276,工数管理!$AB$3:$AB$98,"&gt;="&amp;$H276)+COUNTIFS(工数管理!$AK$3:$AK$98,L$1,工数管理!$AC$3:$AC$98,"&lt;="&amp;$H276,工数管理!$AD$3:$AD$98,"&gt;="&amp;$H276)+COUNTIFS(工数管理!$AK$3:$AK$98,L$1,工数管理!$AE$3:$AE$98,"&lt;="&amp;$H276,工数管理!$AF$3:$AF$98,"&gt;="&amp;$H276)+COUNTIFS(工数管理!$AK$3:$AK$98,L$1,工数管理!$AG$3:$AG$98,"&lt;="&amp;$H276,工数管理!$AH$3:$AH$98,"&gt;="&amp;$H276)+(COUNTIFS(工数管理!$AK$3:$AK$98,L$1,工数管理!$K$3:$K$98,"&lt;="&amp;$H276,工数管理!$L$3:$L$98,"")+COUNTIFS(工数管理!$AK$3:$AK$98,L$1,工数管理!$M$3:$M$98,"&lt;="&amp;$H276,工数管理!$N$3:$N$98,"")+COUNTIFS(工数管理!$AK$3:$AK$98,L$1,工数管理!$O$3:$O$98,"&lt;="&amp;$H276,工数管理!$P$3:$P$98,"")+COUNTIFS(工数管理!$AK$3:$AK$98,L$1,工数管理!$Q$3:$Q$98,"&lt;="&amp;$H276,工数管理!$R$3:$R$98,"")+COUNTIFS(工数管理!$AK$3:$AK$98,L$1,工数管理!$S$3:$S$98,"&lt;="&amp;$H276,工数管理!$T$3:$T$98,"")+COUNTIFS(工数管理!$AK$3:$AK$98,L$1,工数管理!$U$3:$U$98,"&lt;="&amp;$H276,工数管理!$V$3:$V$98,"")+COUNTIFS(工数管理!$AK$3:$AK$98,L$1,工数管理!$W$3:$W$98,"&lt;="&amp;$H276,工数管理!$X$3:$X$98,"")+COUNTIFS(工数管理!$AK$3:$AK$98,L$1,工数管理!$Y$3:$Y$98,"&lt;="&amp;$H276,工数管理!$Z$3:$Z$98,"")+COUNTIFS(工数管理!$AK$3:$AK$98,L$1,工数管理!$AA$3:$AA$98,"&lt;="&amp;$H276,工数管理!$AB$3:$AB$98,"")+COUNTIFS(工数管理!$AK$3:$AK$98,L$1,工数管理!$AC$3:$AC$98,"&lt;="&amp;$H276,工数管理!$AD$3:$AD$98,"")+COUNTIFS(工数管理!$AK$3:$AK$98,L$1,工数管理!$AE$3:$AE$98,"&lt;="&amp;$H276,工数管理!$AF$3:$AF$98,"")+COUNTIFS(工数管理!$AK$3:$AK$98,L$1,工数管理!$AG$3:$AG$98,"&lt;="&amp;$H276,工数管理!$AH$3:$AH$98,""))*($H276&lt;=工数管理!$AI$1))</f>
        <v>0</v>
      </c>
    </row>
    <row r="277" spans="8:12" x14ac:dyDescent="0.15">
      <c r="H277" s="41">
        <f t="shared" si="9"/>
        <v>46445</v>
      </c>
      <c r="I277" s="42">
        <f t="shared" si="8"/>
        <v>0</v>
      </c>
      <c r="J277" s="42">
        <f ca="1">IF(J$1="",0,COUNTIFS(工数管理!$AK$3:$AK$98,J$1,工数管理!$K$3:$K$98,"&lt;="&amp;$H277,工数管理!$L$3:$L$98,"&gt;="&amp;$H277)+COUNTIFS(工数管理!$AK$3:$AK$98,J$1,工数管理!$M$3:$M$98,"&lt;="&amp;$H277,工数管理!$N$3:$N$98,"&gt;="&amp;$H277)+COUNTIFS(工数管理!$AK$3:$AK$98,J$1,工数管理!$O$3:$O$98,"&lt;="&amp;$H277,工数管理!$P$3:$P$98,"&gt;="&amp;$H277)+COUNTIFS(工数管理!$AK$3:$AK$98,J$1,工数管理!$Q$3:$Q$98,"&lt;="&amp;$H277,工数管理!$R$3:$R$98,"&gt;="&amp;$H277)+COUNTIFS(工数管理!$AK$3:$AK$98,J$1,工数管理!$S$3:$S$98,"&lt;="&amp;$H277,工数管理!$T$3:$T$98,"&gt;="&amp;$H277)+COUNTIFS(工数管理!$AK$3:$AK$98,J$1,工数管理!$U$3:$U$98,"&lt;="&amp;$H277,工数管理!$V$3:$V$98,"&gt;="&amp;$H277)+COUNTIFS(工数管理!$AK$3:$AK$98,J$1,工数管理!$W$3:$W$98,"&lt;="&amp;$H277,工数管理!$X$3:$X$98,"&gt;="&amp;$H277)+COUNTIFS(工数管理!$AK$3:$AK$98,J$1,工数管理!$Y$3:$Y$98,"&lt;="&amp;$H277,工数管理!$Z$3:$Z$98,"&gt;="&amp;$H277)+COUNTIFS(工数管理!$AK$3:$AK$98,J$1,工数管理!$AA$3:$AA$98,"&lt;="&amp;$H277,工数管理!$AB$3:$AB$98,"&gt;="&amp;$H277)+COUNTIFS(工数管理!$AK$3:$AK$98,J$1,工数管理!$AC$3:$AC$98,"&lt;="&amp;$H277,工数管理!$AD$3:$AD$98,"&gt;="&amp;$H277)+COUNTIFS(工数管理!$AK$3:$AK$98,J$1,工数管理!$AE$3:$AE$98,"&lt;="&amp;$H277,工数管理!$AF$3:$AF$98,"&gt;="&amp;$H277)+COUNTIFS(工数管理!$AK$3:$AK$98,J$1,工数管理!$AG$3:$AG$98,"&lt;="&amp;$H277,工数管理!$AH$3:$AH$98,"&gt;="&amp;$H277)+(COUNTIFS(工数管理!$AK$3:$AK$98,J$1,工数管理!$K$3:$K$98,"&lt;="&amp;$H277,工数管理!$L$3:$L$98,"")+COUNTIFS(工数管理!$AK$3:$AK$98,J$1,工数管理!$M$3:$M$98,"&lt;="&amp;$H277,工数管理!$N$3:$N$98,"")+COUNTIFS(工数管理!$AK$3:$AK$98,J$1,工数管理!$O$3:$O$98,"&lt;="&amp;$H277,工数管理!$P$3:$P$98,"")+COUNTIFS(工数管理!$AK$3:$AK$98,J$1,工数管理!$Q$3:$Q$98,"&lt;="&amp;$H277,工数管理!$R$3:$R$98,"")+COUNTIFS(工数管理!$AK$3:$AK$98,J$1,工数管理!$S$3:$S$98,"&lt;="&amp;$H277,工数管理!$T$3:$T$98,"")+COUNTIFS(工数管理!$AK$3:$AK$98,J$1,工数管理!$U$3:$U$98,"&lt;="&amp;$H277,工数管理!$V$3:$V$98,"")+COUNTIFS(工数管理!$AK$3:$AK$98,J$1,工数管理!$W$3:$W$98,"&lt;="&amp;$H277,工数管理!$X$3:$X$98,"")+COUNTIFS(工数管理!$AK$3:$AK$98,J$1,工数管理!$Y$3:$Y$98,"&lt;="&amp;$H277,工数管理!$Z$3:$Z$98,"")+COUNTIFS(工数管理!$AK$3:$AK$98,J$1,工数管理!$AA$3:$AA$98,"&lt;="&amp;$H277,工数管理!$AB$3:$AB$98,"")+COUNTIFS(工数管理!$AK$3:$AK$98,J$1,工数管理!$AC$3:$AC$98,"&lt;="&amp;$H277,工数管理!$AD$3:$AD$98,"")+COUNTIFS(工数管理!$AK$3:$AK$98,J$1,工数管理!$AE$3:$AE$98,"&lt;="&amp;$H277,工数管理!$AF$3:$AF$98,"")+COUNTIFS(工数管理!$AK$3:$AK$98,J$1,工数管理!$AG$3:$AG$98,"&lt;="&amp;$H277,工数管理!$AH$3:$AH$98,""))*($H277&lt;=工数管理!$AI$1))</f>
        <v>0</v>
      </c>
      <c r="K277" s="42">
        <f ca="1">IF(K$1="",0,COUNTIFS(工数管理!$AK$3:$AK$98,K$1,工数管理!$K$3:$K$98,"&lt;="&amp;$H277,工数管理!$L$3:$L$98,"&gt;="&amp;$H277)+COUNTIFS(工数管理!$AK$3:$AK$98,K$1,工数管理!$M$3:$M$98,"&lt;="&amp;$H277,工数管理!$N$3:$N$98,"&gt;="&amp;$H277)+COUNTIFS(工数管理!$AK$3:$AK$98,K$1,工数管理!$O$3:$O$98,"&lt;="&amp;$H277,工数管理!$P$3:$P$98,"&gt;="&amp;$H277)+COUNTIFS(工数管理!$AK$3:$AK$98,K$1,工数管理!$Q$3:$Q$98,"&lt;="&amp;$H277,工数管理!$R$3:$R$98,"&gt;="&amp;$H277)+COUNTIFS(工数管理!$AK$3:$AK$98,K$1,工数管理!$S$3:$S$98,"&lt;="&amp;$H277,工数管理!$T$3:$T$98,"&gt;="&amp;$H277)+COUNTIFS(工数管理!$AK$3:$AK$98,K$1,工数管理!$U$3:$U$98,"&lt;="&amp;$H277,工数管理!$V$3:$V$98,"&gt;="&amp;$H277)+COUNTIFS(工数管理!$AK$3:$AK$98,K$1,工数管理!$W$3:$W$98,"&lt;="&amp;$H277,工数管理!$X$3:$X$98,"&gt;="&amp;$H277)+COUNTIFS(工数管理!$AK$3:$AK$98,K$1,工数管理!$Y$3:$Y$98,"&lt;="&amp;$H277,工数管理!$Z$3:$Z$98,"&gt;="&amp;$H277)+COUNTIFS(工数管理!$AK$3:$AK$98,K$1,工数管理!$AA$3:$AA$98,"&lt;="&amp;$H277,工数管理!$AB$3:$AB$98,"&gt;="&amp;$H277)+COUNTIFS(工数管理!$AK$3:$AK$98,K$1,工数管理!$AC$3:$AC$98,"&lt;="&amp;$H277,工数管理!$AD$3:$AD$98,"&gt;="&amp;$H277)+COUNTIFS(工数管理!$AK$3:$AK$98,K$1,工数管理!$AE$3:$AE$98,"&lt;="&amp;$H277,工数管理!$AF$3:$AF$98,"&gt;="&amp;$H277)+COUNTIFS(工数管理!$AK$3:$AK$98,K$1,工数管理!$AG$3:$AG$98,"&lt;="&amp;$H277,工数管理!$AH$3:$AH$98,"&gt;="&amp;$H277)+(COUNTIFS(工数管理!$AK$3:$AK$98,K$1,工数管理!$K$3:$K$98,"&lt;="&amp;$H277,工数管理!$L$3:$L$98,"")+COUNTIFS(工数管理!$AK$3:$AK$98,K$1,工数管理!$M$3:$M$98,"&lt;="&amp;$H277,工数管理!$N$3:$N$98,"")+COUNTIFS(工数管理!$AK$3:$AK$98,K$1,工数管理!$O$3:$O$98,"&lt;="&amp;$H277,工数管理!$P$3:$P$98,"")+COUNTIFS(工数管理!$AK$3:$AK$98,K$1,工数管理!$Q$3:$Q$98,"&lt;="&amp;$H277,工数管理!$R$3:$R$98,"")+COUNTIFS(工数管理!$AK$3:$AK$98,K$1,工数管理!$S$3:$S$98,"&lt;="&amp;$H277,工数管理!$T$3:$T$98,"")+COUNTIFS(工数管理!$AK$3:$AK$98,K$1,工数管理!$U$3:$U$98,"&lt;="&amp;$H277,工数管理!$V$3:$V$98,"")+COUNTIFS(工数管理!$AK$3:$AK$98,K$1,工数管理!$W$3:$W$98,"&lt;="&amp;$H277,工数管理!$X$3:$X$98,"")+COUNTIFS(工数管理!$AK$3:$AK$98,K$1,工数管理!$Y$3:$Y$98,"&lt;="&amp;$H277,工数管理!$Z$3:$Z$98,"")+COUNTIFS(工数管理!$AK$3:$AK$98,K$1,工数管理!$AA$3:$AA$98,"&lt;="&amp;$H277,工数管理!$AB$3:$AB$98,"")+COUNTIFS(工数管理!$AK$3:$AK$98,K$1,工数管理!$AC$3:$AC$98,"&lt;="&amp;$H277,工数管理!$AD$3:$AD$98,"")+COUNTIFS(工数管理!$AK$3:$AK$98,K$1,工数管理!$AE$3:$AE$98,"&lt;="&amp;$H277,工数管理!$AF$3:$AF$98,"")+COUNTIFS(工数管理!$AK$3:$AK$98,K$1,工数管理!$AG$3:$AG$98,"&lt;="&amp;$H277,工数管理!$AH$3:$AH$98,""))*($H277&lt;=工数管理!$AI$1))</f>
        <v>0</v>
      </c>
      <c r="L277" s="42">
        <f ca="1">IF(L$1="",0,COUNTIFS(工数管理!$AK$3:$AK$98,L$1,工数管理!$K$3:$K$98,"&lt;="&amp;$H277,工数管理!$L$3:$L$98,"&gt;="&amp;$H277)+COUNTIFS(工数管理!$AK$3:$AK$98,L$1,工数管理!$M$3:$M$98,"&lt;="&amp;$H277,工数管理!$N$3:$N$98,"&gt;="&amp;$H277)+COUNTIFS(工数管理!$AK$3:$AK$98,L$1,工数管理!$O$3:$O$98,"&lt;="&amp;$H277,工数管理!$P$3:$P$98,"&gt;="&amp;$H277)+COUNTIFS(工数管理!$AK$3:$AK$98,L$1,工数管理!$Q$3:$Q$98,"&lt;="&amp;$H277,工数管理!$R$3:$R$98,"&gt;="&amp;$H277)+COUNTIFS(工数管理!$AK$3:$AK$98,L$1,工数管理!$S$3:$S$98,"&lt;="&amp;$H277,工数管理!$T$3:$T$98,"&gt;="&amp;$H277)+COUNTIFS(工数管理!$AK$3:$AK$98,L$1,工数管理!$U$3:$U$98,"&lt;="&amp;$H277,工数管理!$V$3:$V$98,"&gt;="&amp;$H277)+COUNTIFS(工数管理!$AK$3:$AK$98,L$1,工数管理!$W$3:$W$98,"&lt;="&amp;$H277,工数管理!$X$3:$X$98,"&gt;="&amp;$H277)+COUNTIFS(工数管理!$AK$3:$AK$98,L$1,工数管理!$Y$3:$Y$98,"&lt;="&amp;$H277,工数管理!$Z$3:$Z$98,"&gt;="&amp;$H277)+COUNTIFS(工数管理!$AK$3:$AK$98,L$1,工数管理!$AA$3:$AA$98,"&lt;="&amp;$H277,工数管理!$AB$3:$AB$98,"&gt;="&amp;$H277)+COUNTIFS(工数管理!$AK$3:$AK$98,L$1,工数管理!$AC$3:$AC$98,"&lt;="&amp;$H277,工数管理!$AD$3:$AD$98,"&gt;="&amp;$H277)+COUNTIFS(工数管理!$AK$3:$AK$98,L$1,工数管理!$AE$3:$AE$98,"&lt;="&amp;$H277,工数管理!$AF$3:$AF$98,"&gt;="&amp;$H277)+COUNTIFS(工数管理!$AK$3:$AK$98,L$1,工数管理!$AG$3:$AG$98,"&lt;="&amp;$H277,工数管理!$AH$3:$AH$98,"&gt;="&amp;$H277)+(COUNTIFS(工数管理!$AK$3:$AK$98,L$1,工数管理!$K$3:$K$98,"&lt;="&amp;$H277,工数管理!$L$3:$L$98,"")+COUNTIFS(工数管理!$AK$3:$AK$98,L$1,工数管理!$M$3:$M$98,"&lt;="&amp;$H277,工数管理!$N$3:$N$98,"")+COUNTIFS(工数管理!$AK$3:$AK$98,L$1,工数管理!$O$3:$O$98,"&lt;="&amp;$H277,工数管理!$P$3:$P$98,"")+COUNTIFS(工数管理!$AK$3:$AK$98,L$1,工数管理!$Q$3:$Q$98,"&lt;="&amp;$H277,工数管理!$R$3:$R$98,"")+COUNTIFS(工数管理!$AK$3:$AK$98,L$1,工数管理!$S$3:$S$98,"&lt;="&amp;$H277,工数管理!$T$3:$T$98,"")+COUNTIFS(工数管理!$AK$3:$AK$98,L$1,工数管理!$U$3:$U$98,"&lt;="&amp;$H277,工数管理!$V$3:$V$98,"")+COUNTIFS(工数管理!$AK$3:$AK$98,L$1,工数管理!$W$3:$W$98,"&lt;="&amp;$H277,工数管理!$X$3:$X$98,"")+COUNTIFS(工数管理!$AK$3:$AK$98,L$1,工数管理!$Y$3:$Y$98,"&lt;="&amp;$H277,工数管理!$Z$3:$Z$98,"")+COUNTIFS(工数管理!$AK$3:$AK$98,L$1,工数管理!$AA$3:$AA$98,"&lt;="&amp;$H277,工数管理!$AB$3:$AB$98,"")+COUNTIFS(工数管理!$AK$3:$AK$98,L$1,工数管理!$AC$3:$AC$98,"&lt;="&amp;$H277,工数管理!$AD$3:$AD$98,"")+COUNTIFS(工数管理!$AK$3:$AK$98,L$1,工数管理!$AE$3:$AE$98,"&lt;="&amp;$H277,工数管理!$AF$3:$AF$98,"")+COUNTIFS(工数管理!$AK$3:$AK$98,L$1,工数管理!$AG$3:$AG$98,"&lt;="&amp;$H277,工数管理!$AH$3:$AH$98,""))*($H277&lt;=工数管理!$AI$1))</f>
        <v>0</v>
      </c>
    </row>
    <row r="278" spans="8:12" x14ac:dyDescent="0.15">
      <c r="H278" s="41">
        <f t="shared" si="9"/>
        <v>46446</v>
      </c>
      <c r="I278" s="42">
        <f t="shared" si="8"/>
        <v>0</v>
      </c>
      <c r="J278" s="42">
        <f ca="1">IF(J$1="",0,COUNTIFS(工数管理!$AK$3:$AK$98,J$1,工数管理!$K$3:$K$98,"&lt;="&amp;$H278,工数管理!$L$3:$L$98,"&gt;="&amp;$H278)+COUNTIFS(工数管理!$AK$3:$AK$98,J$1,工数管理!$M$3:$M$98,"&lt;="&amp;$H278,工数管理!$N$3:$N$98,"&gt;="&amp;$H278)+COUNTIFS(工数管理!$AK$3:$AK$98,J$1,工数管理!$O$3:$O$98,"&lt;="&amp;$H278,工数管理!$P$3:$P$98,"&gt;="&amp;$H278)+COUNTIFS(工数管理!$AK$3:$AK$98,J$1,工数管理!$Q$3:$Q$98,"&lt;="&amp;$H278,工数管理!$R$3:$R$98,"&gt;="&amp;$H278)+COUNTIFS(工数管理!$AK$3:$AK$98,J$1,工数管理!$S$3:$S$98,"&lt;="&amp;$H278,工数管理!$T$3:$T$98,"&gt;="&amp;$H278)+COUNTIFS(工数管理!$AK$3:$AK$98,J$1,工数管理!$U$3:$U$98,"&lt;="&amp;$H278,工数管理!$V$3:$V$98,"&gt;="&amp;$H278)+COUNTIFS(工数管理!$AK$3:$AK$98,J$1,工数管理!$W$3:$W$98,"&lt;="&amp;$H278,工数管理!$X$3:$X$98,"&gt;="&amp;$H278)+COUNTIFS(工数管理!$AK$3:$AK$98,J$1,工数管理!$Y$3:$Y$98,"&lt;="&amp;$H278,工数管理!$Z$3:$Z$98,"&gt;="&amp;$H278)+COUNTIFS(工数管理!$AK$3:$AK$98,J$1,工数管理!$AA$3:$AA$98,"&lt;="&amp;$H278,工数管理!$AB$3:$AB$98,"&gt;="&amp;$H278)+COUNTIFS(工数管理!$AK$3:$AK$98,J$1,工数管理!$AC$3:$AC$98,"&lt;="&amp;$H278,工数管理!$AD$3:$AD$98,"&gt;="&amp;$H278)+COUNTIFS(工数管理!$AK$3:$AK$98,J$1,工数管理!$AE$3:$AE$98,"&lt;="&amp;$H278,工数管理!$AF$3:$AF$98,"&gt;="&amp;$H278)+COUNTIFS(工数管理!$AK$3:$AK$98,J$1,工数管理!$AG$3:$AG$98,"&lt;="&amp;$H278,工数管理!$AH$3:$AH$98,"&gt;="&amp;$H278)+(COUNTIFS(工数管理!$AK$3:$AK$98,J$1,工数管理!$K$3:$K$98,"&lt;="&amp;$H278,工数管理!$L$3:$L$98,"")+COUNTIFS(工数管理!$AK$3:$AK$98,J$1,工数管理!$M$3:$M$98,"&lt;="&amp;$H278,工数管理!$N$3:$N$98,"")+COUNTIFS(工数管理!$AK$3:$AK$98,J$1,工数管理!$O$3:$O$98,"&lt;="&amp;$H278,工数管理!$P$3:$P$98,"")+COUNTIFS(工数管理!$AK$3:$AK$98,J$1,工数管理!$Q$3:$Q$98,"&lt;="&amp;$H278,工数管理!$R$3:$R$98,"")+COUNTIFS(工数管理!$AK$3:$AK$98,J$1,工数管理!$S$3:$S$98,"&lt;="&amp;$H278,工数管理!$T$3:$T$98,"")+COUNTIFS(工数管理!$AK$3:$AK$98,J$1,工数管理!$U$3:$U$98,"&lt;="&amp;$H278,工数管理!$V$3:$V$98,"")+COUNTIFS(工数管理!$AK$3:$AK$98,J$1,工数管理!$W$3:$W$98,"&lt;="&amp;$H278,工数管理!$X$3:$X$98,"")+COUNTIFS(工数管理!$AK$3:$AK$98,J$1,工数管理!$Y$3:$Y$98,"&lt;="&amp;$H278,工数管理!$Z$3:$Z$98,"")+COUNTIFS(工数管理!$AK$3:$AK$98,J$1,工数管理!$AA$3:$AA$98,"&lt;="&amp;$H278,工数管理!$AB$3:$AB$98,"")+COUNTIFS(工数管理!$AK$3:$AK$98,J$1,工数管理!$AC$3:$AC$98,"&lt;="&amp;$H278,工数管理!$AD$3:$AD$98,"")+COUNTIFS(工数管理!$AK$3:$AK$98,J$1,工数管理!$AE$3:$AE$98,"&lt;="&amp;$H278,工数管理!$AF$3:$AF$98,"")+COUNTIFS(工数管理!$AK$3:$AK$98,J$1,工数管理!$AG$3:$AG$98,"&lt;="&amp;$H278,工数管理!$AH$3:$AH$98,""))*($H278&lt;=工数管理!$AI$1))</f>
        <v>0</v>
      </c>
      <c r="K278" s="42">
        <f ca="1">IF(K$1="",0,COUNTIFS(工数管理!$AK$3:$AK$98,K$1,工数管理!$K$3:$K$98,"&lt;="&amp;$H278,工数管理!$L$3:$L$98,"&gt;="&amp;$H278)+COUNTIFS(工数管理!$AK$3:$AK$98,K$1,工数管理!$M$3:$M$98,"&lt;="&amp;$H278,工数管理!$N$3:$N$98,"&gt;="&amp;$H278)+COUNTIFS(工数管理!$AK$3:$AK$98,K$1,工数管理!$O$3:$O$98,"&lt;="&amp;$H278,工数管理!$P$3:$P$98,"&gt;="&amp;$H278)+COUNTIFS(工数管理!$AK$3:$AK$98,K$1,工数管理!$Q$3:$Q$98,"&lt;="&amp;$H278,工数管理!$R$3:$R$98,"&gt;="&amp;$H278)+COUNTIFS(工数管理!$AK$3:$AK$98,K$1,工数管理!$S$3:$S$98,"&lt;="&amp;$H278,工数管理!$T$3:$T$98,"&gt;="&amp;$H278)+COUNTIFS(工数管理!$AK$3:$AK$98,K$1,工数管理!$U$3:$U$98,"&lt;="&amp;$H278,工数管理!$V$3:$V$98,"&gt;="&amp;$H278)+COUNTIFS(工数管理!$AK$3:$AK$98,K$1,工数管理!$W$3:$W$98,"&lt;="&amp;$H278,工数管理!$X$3:$X$98,"&gt;="&amp;$H278)+COUNTIFS(工数管理!$AK$3:$AK$98,K$1,工数管理!$Y$3:$Y$98,"&lt;="&amp;$H278,工数管理!$Z$3:$Z$98,"&gt;="&amp;$H278)+COUNTIFS(工数管理!$AK$3:$AK$98,K$1,工数管理!$AA$3:$AA$98,"&lt;="&amp;$H278,工数管理!$AB$3:$AB$98,"&gt;="&amp;$H278)+COUNTIFS(工数管理!$AK$3:$AK$98,K$1,工数管理!$AC$3:$AC$98,"&lt;="&amp;$H278,工数管理!$AD$3:$AD$98,"&gt;="&amp;$H278)+COUNTIFS(工数管理!$AK$3:$AK$98,K$1,工数管理!$AE$3:$AE$98,"&lt;="&amp;$H278,工数管理!$AF$3:$AF$98,"&gt;="&amp;$H278)+COUNTIFS(工数管理!$AK$3:$AK$98,K$1,工数管理!$AG$3:$AG$98,"&lt;="&amp;$H278,工数管理!$AH$3:$AH$98,"&gt;="&amp;$H278)+(COUNTIFS(工数管理!$AK$3:$AK$98,K$1,工数管理!$K$3:$K$98,"&lt;="&amp;$H278,工数管理!$L$3:$L$98,"")+COUNTIFS(工数管理!$AK$3:$AK$98,K$1,工数管理!$M$3:$M$98,"&lt;="&amp;$H278,工数管理!$N$3:$N$98,"")+COUNTIFS(工数管理!$AK$3:$AK$98,K$1,工数管理!$O$3:$O$98,"&lt;="&amp;$H278,工数管理!$P$3:$P$98,"")+COUNTIFS(工数管理!$AK$3:$AK$98,K$1,工数管理!$Q$3:$Q$98,"&lt;="&amp;$H278,工数管理!$R$3:$R$98,"")+COUNTIFS(工数管理!$AK$3:$AK$98,K$1,工数管理!$S$3:$S$98,"&lt;="&amp;$H278,工数管理!$T$3:$T$98,"")+COUNTIFS(工数管理!$AK$3:$AK$98,K$1,工数管理!$U$3:$U$98,"&lt;="&amp;$H278,工数管理!$V$3:$V$98,"")+COUNTIFS(工数管理!$AK$3:$AK$98,K$1,工数管理!$W$3:$W$98,"&lt;="&amp;$H278,工数管理!$X$3:$X$98,"")+COUNTIFS(工数管理!$AK$3:$AK$98,K$1,工数管理!$Y$3:$Y$98,"&lt;="&amp;$H278,工数管理!$Z$3:$Z$98,"")+COUNTIFS(工数管理!$AK$3:$AK$98,K$1,工数管理!$AA$3:$AA$98,"&lt;="&amp;$H278,工数管理!$AB$3:$AB$98,"")+COUNTIFS(工数管理!$AK$3:$AK$98,K$1,工数管理!$AC$3:$AC$98,"&lt;="&amp;$H278,工数管理!$AD$3:$AD$98,"")+COUNTIFS(工数管理!$AK$3:$AK$98,K$1,工数管理!$AE$3:$AE$98,"&lt;="&amp;$H278,工数管理!$AF$3:$AF$98,"")+COUNTIFS(工数管理!$AK$3:$AK$98,K$1,工数管理!$AG$3:$AG$98,"&lt;="&amp;$H278,工数管理!$AH$3:$AH$98,""))*($H278&lt;=工数管理!$AI$1))</f>
        <v>0</v>
      </c>
      <c r="L278" s="42">
        <f ca="1">IF(L$1="",0,COUNTIFS(工数管理!$AK$3:$AK$98,L$1,工数管理!$K$3:$K$98,"&lt;="&amp;$H278,工数管理!$L$3:$L$98,"&gt;="&amp;$H278)+COUNTIFS(工数管理!$AK$3:$AK$98,L$1,工数管理!$M$3:$M$98,"&lt;="&amp;$H278,工数管理!$N$3:$N$98,"&gt;="&amp;$H278)+COUNTIFS(工数管理!$AK$3:$AK$98,L$1,工数管理!$O$3:$O$98,"&lt;="&amp;$H278,工数管理!$P$3:$P$98,"&gt;="&amp;$H278)+COUNTIFS(工数管理!$AK$3:$AK$98,L$1,工数管理!$Q$3:$Q$98,"&lt;="&amp;$H278,工数管理!$R$3:$R$98,"&gt;="&amp;$H278)+COUNTIFS(工数管理!$AK$3:$AK$98,L$1,工数管理!$S$3:$S$98,"&lt;="&amp;$H278,工数管理!$T$3:$T$98,"&gt;="&amp;$H278)+COUNTIFS(工数管理!$AK$3:$AK$98,L$1,工数管理!$U$3:$U$98,"&lt;="&amp;$H278,工数管理!$V$3:$V$98,"&gt;="&amp;$H278)+COUNTIFS(工数管理!$AK$3:$AK$98,L$1,工数管理!$W$3:$W$98,"&lt;="&amp;$H278,工数管理!$X$3:$X$98,"&gt;="&amp;$H278)+COUNTIFS(工数管理!$AK$3:$AK$98,L$1,工数管理!$Y$3:$Y$98,"&lt;="&amp;$H278,工数管理!$Z$3:$Z$98,"&gt;="&amp;$H278)+COUNTIFS(工数管理!$AK$3:$AK$98,L$1,工数管理!$AA$3:$AA$98,"&lt;="&amp;$H278,工数管理!$AB$3:$AB$98,"&gt;="&amp;$H278)+COUNTIFS(工数管理!$AK$3:$AK$98,L$1,工数管理!$AC$3:$AC$98,"&lt;="&amp;$H278,工数管理!$AD$3:$AD$98,"&gt;="&amp;$H278)+COUNTIFS(工数管理!$AK$3:$AK$98,L$1,工数管理!$AE$3:$AE$98,"&lt;="&amp;$H278,工数管理!$AF$3:$AF$98,"&gt;="&amp;$H278)+COUNTIFS(工数管理!$AK$3:$AK$98,L$1,工数管理!$AG$3:$AG$98,"&lt;="&amp;$H278,工数管理!$AH$3:$AH$98,"&gt;="&amp;$H278)+(COUNTIFS(工数管理!$AK$3:$AK$98,L$1,工数管理!$K$3:$K$98,"&lt;="&amp;$H278,工数管理!$L$3:$L$98,"")+COUNTIFS(工数管理!$AK$3:$AK$98,L$1,工数管理!$M$3:$M$98,"&lt;="&amp;$H278,工数管理!$N$3:$N$98,"")+COUNTIFS(工数管理!$AK$3:$AK$98,L$1,工数管理!$O$3:$O$98,"&lt;="&amp;$H278,工数管理!$P$3:$P$98,"")+COUNTIFS(工数管理!$AK$3:$AK$98,L$1,工数管理!$Q$3:$Q$98,"&lt;="&amp;$H278,工数管理!$R$3:$R$98,"")+COUNTIFS(工数管理!$AK$3:$AK$98,L$1,工数管理!$S$3:$S$98,"&lt;="&amp;$H278,工数管理!$T$3:$T$98,"")+COUNTIFS(工数管理!$AK$3:$AK$98,L$1,工数管理!$U$3:$U$98,"&lt;="&amp;$H278,工数管理!$V$3:$V$98,"")+COUNTIFS(工数管理!$AK$3:$AK$98,L$1,工数管理!$W$3:$W$98,"&lt;="&amp;$H278,工数管理!$X$3:$X$98,"")+COUNTIFS(工数管理!$AK$3:$AK$98,L$1,工数管理!$Y$3:$Y$98,"&lt;="&amp;$H278,工数管理!$Z$3:$Z$98,"")+COUNTIFS(工数管理!$AK$3:$AK$98,L$1,工数管理!$AA$3:$AA$98,"&lt;="&amp;$H278,工数管理!$AB$3:$AB$98,"")+COUNTIFS(工数管理!$AK$3:$AK$98,L$1,工数管理!$AC$3:$AC$98,"&lt;="&amp;$H278,工数管理!$AD$3:$AD$98,"")+COUNTIFS(工数管理!$AK$3:$AK$98,L$1,工数管理!$AE$3:$AE$98,"&lt;="&amp;$H278,工数管理!$AF$3:$AF$98,"")+COUNTIFS(工数管理!$AK$3:$AK$98,L$1,工数管理!$AG$3:$AG$98,"&lt;="&amp;$H278,工数管理!$AH$3:$AH$98,""))*($H278&lt;=工数管理!$AI$1))</f>
        <v>0</v>
      </c>
    </row>
    <row r="279" spans="8:12" x14ac:dyDescent="0.15">
      <c r="H279" s="41">
        <f t="shared" si="9"/>
        <v>46447</v>
      </c>
      <c r="I279" s="42">
        <f t="shared" si="8"/>
        <v>1</v>
      </c>
      <c r="J279" s="42">
        <f ca="1">IF(J$1="",0,COUNTIFS(工数管理!$AK$3:$AK$98,J$1,工数管理!$K$3:$K$98,"&lt;="&amp;$H279,工数管理!$L$3:$L$98,"&gt;="&amp;$H279)+COUNTIFS(工数管理!$AK$3:$AK$98,J$1,工数管理!$M$3:$M$98,"&lt;="&amp;$H279,工数管理!$N$3:$N$98,"&gt;="&amp;$H279)+COUNTIFS(工数管理!$AK$3:$AK$98,J$1,工数管理!$O$3:$O$98,"&lt;="&amp;$H279,工数管理!$P$3:$P$98,"&gt;="&amp;$H279)+COUNTIFS(工数管理!$AK$3:$AK$98,J$1,工数管理!$Q$3:$Q$98,"&lt;="&amp;$H279,工数管理!$R$3:$R$98,"&gt;="&amp;$H279)+COUNTIFS(工数管理!$AK$3:$AK$98,J$1,工数管理!$S$3:$S$98,"&lt;="&amp;$H279,工数管理!$T$3:$T$98,"&gt;="&amp;$H279)+COUNTIFS(工数管理!$AK$3:$AK$98,J$1,工数管理!$U$3:$U$98,"&lt;="&amp;$H279,工数管理!$V$3:$V$98,"&gt;="&amp;$H279)+COUNTIFS(工数管理!$AK$3:$AK$98,J$1,工数管理!$W$3:$W$98,"&lt;="&amp;$H279,工数管理!$X$3:$X$98,"&gt;="&amp;$H279)+COUNTIFS(工数管理!$AK$3:$AK$98,J$1,工数管理!$Y$3:$Y$98,"&lt;="&amp;$H279,工数管理!$Z$3:$Z$98,"&gt;="&amp;$H279)+COUNTIFS(工数管理!$AK$3:$AK$98,J$1,工数管理!$AA$3:$AA$98,"&lt;="&amp;$H279,工数管理!$AB$3:$AB$98,"&gt;="&amp;$H279)+COUNTIFS(工数管理!$AK$3:$AK$98,J$1,工数管理!$AC$3:$AC$98,"&lt;="&amp;$H279,工数管理!$AD$3:$AD$98,"&gt;="&amp;$H279)+COUNTIFS(工数管理!$AK$3:$AK$98,J$1,工数管理!$AE$3:$AE$98,"&lt;="&amp;$H279,工数管理!$AF$3:$AF$98,"&gt;="&amp;$H279)+COUNTIFS(工数管理!$AK$3:$AK$98,J$1,工数管理!$AG$3:$AG$98,"&lt;="&amp;$H279,工数管理!$AH$3:$AH$98,"&gt;="&amp;$H279)+(COUNTIFS(工数管理!$AK$3:$AK$98,J$1,工数管理!$K$3:$K$98,"&lt;="&amp;$H279,工数管理!$L$3:$L$98,"")+COUNTIFS(工数管理!$AK$3:$AK$98,J$1,工数管理!$M$3:$M$98,"&lt;="&amp;$H279,工数管理!$N$3:$N$98,"")+COUNTIFS(工数管理!$AK$3:$AK$98,J$1,工数管理!$O$3:$O$98,"&lt;="&amp;$H279,工数管理!$P$3:$P$98,"")+COUNTIFS(工数管理!$AK$3:$AK$98,J$1,工数管理!$Q$3:$Q$98,"&lt;="&amp;$H279,工数管理!$R$3:$R$98,"")+COUNTIFS(工数管理!$AK$3:$AK$98,J$1,工数管理!$S$3:$S$98,"&lt;="&amp;$H279,工数管理!$T$3:$T$98,"")+COUNTIFS(工数管理!$AK$3:$AK$98,J$1,工数管理!$U$3:$U$98,"&lt;="&amp;$H279,工数管理!$V$3:$V$98,"")+COUNTIFS(工数管理!$AK$3:$AK$98,J$1,工数管理!$W$3:$W$98,"&lt;="&amp;$H279,工数管理!$X$3:$X$98,"")+COUNTIFS(工数管理!$AK$3:$AK$98,J$1,工数管理!$Y$3:$Y$98,"&lt;="&amp;$H279,工数管理!$Z$3:$Z$98,"")+COUNTIFS(工数管理!$AK$3:$AK$98,J$1,工数管理!$AA$3:$AA$98,"&lt;="&amp;$H279,工数管理!$AB$3:$AB$98,"")+COUNTIFS(工数管理!$AK$3:$AK$98,J$1,工数管理!$AC$3:$AC$98,"&lt;="&amp;$H279,工数管理!$AD$3:$AD$98,"")+COUNTIFS(工数管理!$AK$3:$AK$98,J$1,工数管理!$AE$3:$AE$98,"&lt;="&amp;$H279,工数管理!$AF$3:$AF$98,"")+COUNTIFS(工数管理!$AK$3:$AK$98,J$1,工数管理!$AG$3:$AG$98,"&lt;="&amp;$H279,工数管理!$AH$3:$AH$98,""))*($H279&lt;=工数管理!$AI$1))</f>
        <v>0</v>
      </c>
      <c r="K279" s="42">
        <f ca="1">IF(K$1="",0,COUNTIFS(工数管理!$AK$3:$AK$98,K$1,工数管理!$K$3:$K$98,"&lt;="&amp;$H279,工数管理!$L$3:$L$98,"&gt;="&amp;$H279)+COUNTIFS(工数管理!$AK$3:$AK$98,K$1,工数管理!$M$3:$M$98,"&lt;="&amp;$H279,工数管理!$N$3:$N$98,"&gt;="&amp;$H279)+COUNTIFS(工数管理!$AK$3:$AK$98,K$1,工数管理!$O$3:$O$98,"&lt;="&amp;$H279,工数管理!$P$3:$P$98,"&gt;="&amp;$H279)+COUNTIFS(工数管理!$AK$3:$AK$98,K$1,工数管理!$Q$3:$Q$98,"&lt;="&amp;$H279,工数管理!$R$3:$R$98,"&gt;="&amp;$H279)+COUNTIFS(工数管理!$AK$3:$AK$98,K$1,工数管理!$S$3:$S$98,"&lt;="&amp;$H279,工数管理!$T$3:$T$98,"&gt;="&amp;$H279)+COUNTIFS(工数管理!$AK$3:$AK$98,K$1,工数管理!$U$3:$U$98,"&lt;="&amp;$H279,工数管理!$V$3:$V$98,"&gt;="&amp;$H279)+COUNTIFS(工数管理!$AK$3:$AK$98,K$1,工数管理!$W$3:$W$98,"&lt;="&amp;$H279,工数管理!$X$3:$X$98,"&gt;="&amp;$H279)+COUNTIFS(工数管理!$AK$3:$AK$98,K$1,工数管理!$Y$3:$Y$98,"&lt;="&amp;$H279,工数管理!$Z$3:$Z$98,"&gt;="&amp;$H279)+COUNTIFS(工数管理!$AK$3:$AK$98,K$1,工数管理!$AA$3:$AA$98,"&lt;="&amp;$H279,工数管理!$AB$3:$AB$98,"&gt;="&amp;$H279)+COUNTIFS(工数管理!$AK$3:$AK$98,K$1,工数管理!$AC$3:$AC$98,"&lt;="&amp;$H279,工数管理!$AD$3:$AD$98,"&gt;="&amp;$H279)+COUNTIFS(工数管理!$AK$3:$AK$98,K$1,工数管理!$AE$3:$AE$98,"&lt;="&amp;$H279,工数管理!$AF$3:$AF$98,"&gt;="&amp;$H279)+COUNTIFS(工数管理!$AK$3:$AK$98,K$1,工数管理!$AG$3:$AG$98,"&lt;="&amp;$H279,工数管理!$AH$3:$AH$98,"&gt;="&amp;$H279)+(COUNTIFS(工数管理!$AK$3:$AK$98,K$1,工数管理!$K$3:$K$98,"&lt;="&amp;$H279,工数管理!$L$3:$L$98,"")+COUNTIFS(工数管理!$AK$3:$AK$98,K$1,工数管理!$M$3:$M$98,"&lt;="&amp;$H279,工数管理!$N$3:$N$98,"")+COUNTIFS(工数管理!$AK$3:$AK$98,K$1,工数管理!$O$3:$O$98,"&lt;="&amp;$H279,工数管理!$P$3:$P$98,"")+COUNTIFS(工数管理!$AK$3:$AK$98,K$1,工数管理!$Q$3:$Q$98,"&lt;="&amp;$H279,工数管理!$R$3:$R$98,"")+COUNTIFS(工数管理!$AK$3:$AK$98,K$1,工数管理!$S$3:$S$98,"&lt;="&amp;$H279,工数管理!$T$3:$T$98,"")+COUNTIFS(工数管理!$AK$3:$AK$98,K$1,工数管理!$U$3:$U$98,"&lt;="&amp;$H279,工数管理!$V$3:$V$98,"")+COUNTIFS(工数管理!$AK$3:$AK$98,K$1,工数管理!$W$3:$W$98,"&lt;="&amp;$H279,工数管理!$X$3:$X$98,"")+COUNTIFS(工数管理!$AK$3:$AK$98,K$1,工数管理!$Y$3:$Y$98,"&lt;="&amp;$H279,工数管理!$Z$3:$Z$98,"")+COUNTIFS(工数管理!$AK$3:$AK$98,K$1,工数管理!$AA$3:$AA$98,"&lt;="&amp;$H279,工数管理!$AB$3:$AB$98,"")+COUNTIFS(工数管理!$AK$3:$AK$98,K$1,工数管理!$AC$3:$AC$98,"&lt;="&amp;$H279,工数管理!$AD$3:$AD$98,"")+COUNTIFS(工数管理!$AK$3:$AK$98,K$1,工数管理!$AE$3:$AE$98,"&lt;="&amp;$H279,工数管理!$AF$3:$AF$98,"")+COUNTIFS(工数管理!$AK$3:$AK$98,K$1,工数管理!$AG$3:$AG$98,"&lt;="&amp;$H279,工数管理!$AH$3:$AH$98,""))*($H279&lt;=工数管理!$AI$1))</f>
        <v>0</v>
      </c>
      <c r="L279" s="42">
        <f ca="1">IF(L$1="",0,COUNTIFS(工数管理!$AK$3:$AK$98,L$1,工数管理!$K$3:$K$98,"&lt;="&amp;$H279,工数管理!$L$3:$L$98,"&gt;="&amp;$H279)+COUNTIFS(工数管理!$AK$3:$AK$98,L$1,工数管理!$M$3:$M$98,"&lt;="&amp;$H279,工数管理!$N$3:$N$98,"&gt;="&amp;$H279)+COUNTIFS(工数管理!$AK$3:$AK$98,L$1,工数管理!$O$3:$O$98,"&lt;="&amp;$H279,工数管理!$P$3:$P$98,"&gt;="&amp;$H279)+COUNTIFS(工数管理!$AK$3:$AK$98,L$1,工数管理!$Q$3:$Q$98,"&lt;="&amp;$H279,工数管理!$R$3:$R$98,"&gt;="&amp;$H279)+COUNTIFS(工数管理!$AK$3:$AK$98,L$1,工数管理!$S$3:$S$98,"&lt;="&amp;$H279,工数管理!$T$3:$T$98,"&gt;="&amp;$H279)+COUNTIFS(工数管理!$AK$3:$AK$98,L$1,工数管理!$U$3:$U$98,"&lt;="&amp;$H279,工数管理!$V$3:$V$98,"&gt;="&amp;$H279)+COUNTIFS(工数管理!$AK$3:$AK$98,L$1,工数管理!$W$3:$W$98,"&lt;="&amp;$H279,工数管理!$X$3:$X$98,"&gt;="&amp;$H279)+COUNTIFS(工数管理!$AK$3:$AK$98,L$1,工数管理!$Y$3:$Y$98,"&lt;="&amp;$H279,工数管理!$Z$3:$Z$98,"&gt;="&amp;$H279)+COUNTIFS(工数管理!$AK$3:$AK$98,L$1,工数管理!$AA$3:$AA$98,"&lt;="&amp;$H279,工数管理!$AB$3:$AB$98,"&gt;="&amp;$H279)+COUNTIFS(工数管理!$AK$3:$AK$98,L$1,工数管理!$AC$3:$AC$98,"&lt;="&amp;$H279,工数管理!$AD$3:$AD$98,"&gt;="&amp;$H279)+COUNTIFS(工数管理!$AK$3:$AK$98,L$1,工数管理!$AE$3:$AE$98,"&lt;="&amp;$H279,工数管理!$AF$3:$AF$98,"&gt;="&amp;$H279)+COUNTIFS(工数管理!$AK$3:$AK$98,L$1,工数管理!$AG$3:$AG$98,"&lt;="&amp;$H279,工数管理!$AH$3:$AH$98,"&gt;="&amp;$H279)+(COUNTIFS(工数管理!$AK$3:$AK$98,L$1,工数管理!$K$3:$K$98,"&lt;="&amp;$H279,工数管理!$L$3:$L$98,"")+COUNTIFS(工数管理!$AK$3:$AK$98,L$1,工数管理!$M$3:$M$98,"&lt;="&amp;$H279,工数管理!$N$3:$N$98,"")+COUNTIFS(工数管理!$AK$3:$AK$98,L$1,工数管理!$O$3:$O$98,"&lt;="&amp;$H279,工数管理!$P$3:$P$98,"")+COUNTIFS(工数管理!$AK$3:$AK$98,L$1,工数管理!$Q$3:$Q$98,"&lt;="&amp;$H279,工数管理!$R$3:$R$98,"")+COUNTIFS(工数管理!$AK$3:$AK$98,L$1,工数管理!$S$3:$S$98,"&lt;="&amp;$H279,工数管理!$T$3:$T$98,"")+COUNTIFS(工数管理!$AK$3:$AK$98,L$1,工数管理!$U$3:$U$98,"&lt;="&amp;$H279,工数管理!$V$3:$V$98,"")+COUNTIFS(工数管理!$AK$3:$AK$98,L$1,工数管理!$W$3:$W$98,"&lt;="&amp;$H279,工数管理!$X$3:$X$98,"")+COUNTIFS(工数管理!$AK$3:$AK$98,L$1,工数管理!$Y$3:$Y$98,"&lt;="&amp;$H279,工数管理!$Z$3:$Z$98,"")+COUNTIFS(工数管理!$AK$3:$AK$98,L$1,工数管理!$AA$3:$AA$98,"&lt;="&amp;$H279,工数管理!$AB$3:$AB$98,"")+COUNTIFS(工数管理!$AK$3:$AK$98,L$1,工数管理!$AC$3:$AC$98,"&lt;="&amp;$H279,工数管理!$AD$3:$AD$98,"")+COUNTIFS(工数管理!$AK$3:$AK$98,L$1,工数管理!$AE$3:$AE$98,"&lt;="&amp;$H279,工数管理!$AF$3:$AF$98,"")+COUNTIFS(工数管理!$AK$3:$AK$98,L$1,工数管理!$AG$3:$AG$98,"&lt;="&amp;$H279,工数管理!$AH$3:$AH$98,""))*($H279&lt;=工数管理!$AI$1))</f>
        <v>0</v>
      </c>
    </row>
    <row r="280" spans="8:12" x14ac:dyDescent="0.15">
      <c r="H280" s="41">
        <f t="shared" si="9"/>
        <v>46448</v>
      </c>
      <c r="I280" s="42">
        <f t="shared" si="8"/>
        <v>1</v>
      </c>
      <c r="J280" s="42">
        <f ca="1">IF(J$1="",0,COUNTIFS(工数管理!$AK$3:$AK$98,J$1,工数管理!$K$3:$K$98,"&lt;="&amp;$H280,工数管理!$L$3:$L$98,"&gt;="&amp;$H280)+COUNTIFS(工数管理!$AK$3:$AK$98,J$1,工数管理!$M$3:$M$98,"&lt;="&amp;$H280,工数管理!$N$3:$N$98,"&gt;="&amp;$H280)+COUNTIFS(工数管理!$AK$3:$AK$98,J$1,工数管理!$O$3:$O$98,"&lt;="&amp;$H280,工数管理!$P$3:$P$98,"&gt;="&amp;$H280)+COUNTIFS(工数管理!$AK$3:$AK$98,J$1,工数管理!$Q$3:$Q$98,"&lt;="&amp;$H280,工数管理!$R$3:$R$98,"&gt;="&amp;$H280)+COUNTIFS(工数管理!$AK$3:$AK$98,J$1,工数管理!$S$3:$S$98,"&lt;="&amp;$H280,工数管理!$T$3:$T$98,"&gt;="&amp;$H280)+COUNTIFS(工数管理!$AK$3:$AK$98,J$1,工数管理!$U$3:$U$98,"&lt;="&amp;$H280,工数管理!$V$3:$V$98,"&gt;="&amp;$H280)+COUNTIFS(工数管理!$AK$3:$AK$98,J$1,工数管理!$W$3:$W$98,"&lt;="&amp;$H280,工数管理!$X$3:$X$98,"&gt;="&amp;$H280)+COUNTIFS(工数管理!$AK$3:$AK$98,J$1,工数管理!$Y$3:$Y$98,"&lt;="&amp;$H280,工数管理!$Z$3:$Z$98,"&gt;="&amp;$H280)+COUNTIFS(工数管理!$AK$3:$AK$98,J$1,工数管理!$AA$3:$AA$98,"&lt;="&amp;$H280,工数管理!$AB$3:$AB$98,"&gt;="&amp;$H280)+COUNTIFS(工数管理!$AK$3:$AK$98,J$1,工数管理!$AC$3:$AC$98,"&lt;="&amp;$H280,工数管理!$AD$3:$AD$98,"&gt;="&amp;$H280)+COUNTIFS(工数管理!$AK$3:$AK$98,J$1,工数管理!$AE$3:$AE$98,"&lt;="&amp;$H280,工数管理!$AF$3:$AF$98,"&gt;="&amp;$H280)+COUNTIFS(工数管理!$AK$3:$AK$98,J$1,工数管理!$AG$3:$AG$98,"&lt;="&amp;$H280,工数管理!$AH$3:$AH$98,"&gt;="&amp;$H280)+(COUNTIFS(工数管理!$AK$3:$AK$98,J$1,工数管理!$K$3:$K$98,"&lt;="&amp;$H280,工数管理!$L$3:$L$98,"")+COUNTIFS(工数管理!$AK$3:$AK$98,J$1,工数管理!$M$3:$M$98,"&lt;="&amp;$H280,工数管理!$N$3:$N$98,"")+COUNTIFS(工数管理!$AK$3:$AK$98,J$1,工数管理!$O$3:$O$98,"&lt;="&amp;$H280,工数管理!$P$3:$P$98,"")+COUNTIFS(工数管理!$AK$3:$AK$98,J$1,工数管理!$Q$3:$Q$98,"&lt;="&amp;$H280,工数管理!$R$3:$R$98,"")+COUNTIFS(工数管理!$AK$3:$AK$98,J$1,工数管理!$S$3:$S$98,"&lt;="&amp;$H280,工数管理!$T$3:$T$98,"")+COUNTIFS(工数管理!$AK$3:$AK$98,J$1,工数管理!$U$3:$U$98,"&lt;="&amp;$H280,工数管理!$V$3:$V$98,"")+COUNTIFS(工数管理!$AK$3:$AK$98,J$1,工数管理!$W$3:$W$98,"&lt;="&amp;$H280,工数管理!$X$3:$X$98,"")+COUNTIFS(工数管理!$AK$3:$AK$98,J$1,工数管理!$Y$3:$Y$98,"&lt;="&amp;$H280,工数管理!$Z$3:$Z$98,"")+COUNTIFS(工数管理!$AK$3:$AK$98,J$1,工数管理!$AA$3:$AA$98,"&lt;="&amp;$H280,工数管理!$AB$3:$AB$98,"")+COUNTIFS(工数管理!$AK$3:$AK$98,J$1,工数管理!$AC$3:$AC$98,"&lt;="&amp;$H280,工数管理!$AD$3:$AD$98,"")+COUNTIFS(工数管理!$AK$3:$AK$98,J$1,工数管理!$AE$3:$AE$98,"&lt;="&amp;$H280,工数管理!$AF$3:$AF$98,"")+COUNTIFS(工数管理!$AK$3:$AK$98,J$1,工数管理!$AG$3:$AG$98,"&lt;="&amp;$H280,工数管理!$AH$3:$AH$98,""))*($H280&lt;=工数管理!$AI$1))</f>
        <v>0</v>
      </c>
      <c r="K280" s="42">
        <f ca="1">IF(K$1="",0,COUNTIFS(工数管理!$AK$3:$AK$98,K$1,工数管理!$K$3:$K$98,"&lt;="&amp;$H280,工数管理!$L$3:$L$98,"&gt;="&amp;$H280)+COUNTIFS(工数管理!$AK$3:$AK$98,K$1,工数管理!$M$3:$M$98,"&lt;="&amp;$H280,工数管理!$N$3:$N$98,"&gt;="&amp;$H280)+COUNTIFS(工数管理!$AK$3:$AK$98,K$1,工数管理!$O$3:$O$98,"&lt;="&amp;$H280,工数管理!$P$3:$P$98,"&gt;="&amp;$H280)+COUNTIFS(工数管理!$AK$3:$AK$98,K$1,工数管理!$Q$3:$Q$98,"&lt;="&amp;$H280,工数管理!$R$3:$R$98,"&gt;="&amp;$H280)+COUNTIFS(工数管理!$AK$3:$AK$98,K$1,工数管理!$S$3:$S$98,"&lt;="&amp;$H280,工数管理!$T$3:$T$98,"&gt;="&amp;$H280)+COUNTIFS(工数管理!$AK$3:$AK$98,K$1,工数管理!$U$3:$U$98,"&lt;="&amp;$H280,工数管理!$V$3:$V$98,"&gt;="&amp;$H280)+COUNTIFS(工数管理!$AK$3:$AK$98,K$1,工数管理!$W$3:$W$98,"&lt;="&amp;$H280,工数管理!$X$3:$X$98,"&gt;="&amp;$H280)+COUNTIFS(工数管理!$AK$3:$AK$98,K$1,工数管理!$Y$3:$Y$98,"&lt;="&amp;$H280,工数管理!$Z$3:$Z$98,"&gt;="&amp;$H280)+COUNTIFS(工数管理!$AK$3:$AK$98,K$1,工数管理!$AA$3:$AA$98,"&lt;="&amp;$H280,工数管理!$AB$3:$AB$98,"&gt;="&amp;$H280)+COUNTIFS(工数管理!$AK$3:$AK$98,K$1,工数管理!$AC$3:$AC$98,"&lt;="&amp;$H280,工数管理!$AD$3:$AD$98,"&gt;="&amp;$H280)+COUNTIFS(工数管理!$AK$3:$AK$98,K$1,工数管理!$AE$3:$AE$98,"&lt;="&amp;$H280,工数管理!$AF$3:$AF$98,"&gt;="&amp;$H280)+COUNTIFS(工数管理!$AK$3:$AK$98,K$1,工数管理!$AG$3:$AG$98,"&lt;="&amp;$H280,工数管理!$AH$3:$AH$98,"&gt;="&amp;$H280)+(COUNTIFS(工数管理!$AK$3:$AK$98,K$1,工数管理!$K$3:$K$98,"&lt;="&amp;$H280,工数管理!$L$3:$L$98,"")+COUNTIFS(工数管理!$AK$3:$AK$98,K$1,工数管理!$M$3:$M$98,"&lt;="&amp;$H280,工数管理!$N$3:$N$98,"")+COUNTIFS(工数管理!$AK$3:$AK$98,K$1,工数管理!$O$3:$O$98,"&lt;="&amp;$H280,工数管理!$P$3:$P$98,"")+COUNTIFS(工数管理!$AK$3:$AK$98,K$1,工数管理!$Q$3:$Q$98,"&lt;="&amp;$H280,工数管理!$R$3:$R$98,"")+COUNTIFS(工数管理!$AK$3:$AK$98,K$1,工数管理!$S$3:$S$98,"&lt;="&amp;$H280,工数管理!$T$3:$T$98,"")+COUNTIFS(工数管理!$AK$3:$AK$98,K$1,工数管理!$U$3:$U$98,"&lt;="&amp;$H280,工数管理!$V$3:$V$98,"")+COUNTIFS(工数管理!$AK$3:$AK$98,K$1,工数管理!$W$3:$W$98,"&lt;="&amp;$H280,工数管理!$X$3:$X$98,"")+COUNTIFS(工数管理!$AK$3:$AK$98,K$1,工数管理!$Y$3:$Y$98,"&lt;="&amp;$H280,工数管理!$Z$3:$Z$98,"")+COUNTIFS(工数管理!$AK$3:$AK$98,K$1,工数管理!$AA$3:$AA$98,"&lt;="&amp;$H280,工数管理!$AB$3:$AB$98,"")+COUNTIFS(工数管理!$AK$3:$AK$98,K$1,工数管理!$AC$3:$AC$98,"&lt;="&amp;$H280,工数管理!$AD$3:$AD$98,"")+COUNTIFS(工数管理!$AK$3:$AK$98,K$1,工数管理!$AE$3:$AE$98,"&lt;="&amp;$H280,工数管理!$AF$3:$AF$98,"")+COUNTIFS(工数管理!$AK$3:$AK$98,K$1,工数管理!$AG$3:$AG$98,"&lt;="&amp;$H280,工数管理!$AH$3:$AH$98,""))*($H280&lt;=工数管理!$AI$1))</f>
        <v>0</v>
      </c>
      <c r="L280" s="42">
        <f ca="1">IF(L$1="",0,COUNTIFS(工数管理!$AK$3:$AK$98,L$1,工数管理!$K$3:$K$98,"&lt;="&amp;$H280,工数管理!$L$3:$L$98,"&gt;="&amp;$H280)+COUNTIFS(工数管理!$AK$3:$AK$98,L$1,工数管理!$M$3:$M$98,"&lt;="&amp;$H280,工数管理!$N$3:$N$98,"&gt;="&amp;$H280)+COUNTIFS(工数管理!$AK$3:$AK$98,L$1,工数管理!$O$3:$O$98,"&lt;="&amp;$H280,工数管理!$P$3:$P$98,"&gt;="&amp;$H280)+COUNTIFS(工数管理!$AK$3:$AK$98,L$1,工数管理!$Q$3:$Q$98,"&lt;="&amp;$H280,工数管理!$R$3:$R$98,"&gt;="&amp;$H280)+COUNTIFS(工数管理!$AK$3:$AK$98,L$1,工数管理!$S$3:$S$98,"&lt;="&amp;$H280,工数管理!$T$3:$T$98,"&gt;="&amp;$H280)+COUNTIFS(工数管理!$AK$3:$AK$98,L$1,工数管理!$U$3:$U$98,"&lt;="&amp;$H280,工数管理!$V$3:$V$98,"&gt;="&amp;$H280)+COUNTIFS(工数管理!$AK$3:$AK$98,L$1,工数管理!$W$3:$W$98,"&lt;="&amp;$H280,工数管理!$X$3:$X$98,"&gt;="&amp;$H280)+COUNTIFS(工数管理!$AK$3:$AK$98,L$1,工数管理!$Y$3:$Y$98,"&lt;="&amp;$H280,工数管理!$Z$3:$Z$98,"&gt;="&amp;$H280)+COUNTIFS(工数管理!$AK$3:$AK$98,L$1,工数管理!$AA$3:$AA$98,"&lt;="&amp;$H280,工数管理!$AB$3:$AB$98,"&gt;="&amp;$H280)+COUNTIFS(工数管理!$AK$3:$AK$98,L$1,工数管理!$AC$3:$AC$98,"&lt;="&amp;$H280,工数管理!$AD$3:$AD$98,"&gt;="&amp;$H280)+COUNTIFS(工数管理!$AK$3:$AK$98,L$1,工数管理!$AE$3:$AE$98,"&lt;="&amp;$H280,工数管理!$AF$3:$AF$98,"&gt;="&amp;$H280)+COUNTIFS(工数管理!$AK$3:$AK$98,L$1,工数管理!$AG$3:$AG$98,"&lt;="&amp;$H280,工数管理!$AH$3:$AH$98,"&gt;="&amp;$H280)+(COUNTIFS(工数管理!$AK$3:$AK$98,L$1,工数管理!$K$3:$K$98,"&lt;="&amp;$H280,工数管理!$L$3:$L$98,"")+COUNTIFS(工数管理!$AK$3:$AK$98,L$1,工数管理!$M$3:$M$98,"&lt;="&amp;$H280,工数管理!$N$3:$N$98,"")+COUNTIFS(工数管理!$AK$3:$AK$98,L$1,工数管理!$O$3:$O$98,"&lt;="&amp;$H280,工数管理!$P$3:$P$98,"")+COUNTIFS(工数管理!$AK$3:$AK$98,L$1,工数管理!$Q$3:$Q$98,"&lt;="&amp;$H280,工数管理!$R$3:$R$98,"")+COUNTIFS(工数管理!$AK$3:$AK$98,L$1,工数管理!$S$3:$S$98,"&lt;="&amp;$H280,工数管理!$T$3:$T$98,"")+COUNTIFS(工数管理!$AK$3:$AK$98,L$1,工数管理!$U$3:$U$98,"&lt;="&amp;$H280,工数管理!$V$3:$V$98,"")+COUNTIFS(工数管理!$AK$3:$AK$98,L$1,工数管理!$W$3:$W$98,"&lt;="&amp;$H280,工数管理!$X$3:$X$98,"")+COUNTIFS(工数管理!$AK$3:$AK$98,L$1,工数管理!$Y$3:$Y$98,"&lt;="&amp;$H280,工数管理!$Z$3:$Z$98,"")+COUNTIFS(工数管理!$AK$3:$AK$98,L$1,工数管理!$AA$3:$AA$98,"&lt;="&amp;$H280,工数管理!$AB$3:$AB$98,"")+COUNTIFS(工数管理!$AK$3:$AK$98,L$1,工数管理!$AC$3:$AC$98,"&lt;="&amp;$H280,工数管理!$AD$3:$AD$98,"")+COUNTIFS(工数管理!$AK$3:$AK$98,L$1,工数管理!$AE$3:$AE$98,"&lt;="&amp;$H280,工数管理!$AF$3:$AF$98,"")+COUNTIFS(工数管理!$AK$3:$AK$98,L$1,工数管理!$AG$3:$AG$98,"&lt;="&amp;$H280,工数管理!$AH$3:$AH$98,""))*($H280&lt;=工数管理!$AI$1))</f>
        <v>0</v>
      </c>
    </row>
    <row r="281" spans="8:12" x14ac:dyDescent="0.15">
      <c r="H281" s="41">
        <f t="shared" si="9"/>
        <v>46449</v>
      </c>
      <c r="I281" s="42">
        <f t="shared" si="8"/>
        <v>1</v>
      </c>
      <c r="J281" s="42">
        <f ca="1">IF(J$1="",0,COUNTIFS(工数管理!$AK$3:$AK$98,J$1,工数管理!$K$3:$K$98,"&lt;="&amp;$H281,工数管理!$L$3:$L$98,"&gt;="&amp;$H281)+COUNTIFS(工数管理!$AK$3:$AK$98,J$1,工数管理!$M$3:$M$98,"&lt;="&amp;$H281,工数管理!$N$3:$N$98,"&gt;="&amp;$H281)+COUNTIFS(工数管理!$AK$3:$AK$98,J$1,工数管理!$O$3:$O$98,"&lt;="&amp;$H281,工数管理!$P$3:$P$98,"&gt;="&amp;$H281)+COUNTIFS(工数管理!$AK$3:$AK$98,J$1,工数管理!$Q$3:$Q$98,"&lt;="&amp;$H281,工数管理!$R$3:$R$98,"&gt;="&amp;$H281)+COUNTIFS(工数管理!$AK$3:$AK$98,J$1,工数管理!$S$3:$S$98,"&lt;="&amp;$H281,工数管理!$T$3:$T$98,"&gt;="&amp;$H281)+COUNTIFS(工数管理!$AK$3:$AK$98,J$1,工数管理!$U$3:$U$98,"&lt;="&amp;$H281,工数管理!$V$3:$V$98,"&gt;="&amp;$H281)+COUNTIFS(工数管理!$AK$3:$AK$98,J$1,工数管理!$W$3:$W$98,"&lt;="&amp;$H281,工数管理!$X$3:$X$98,"&gt;="&amp;$H281)+COUNTIFS(工数管理!$AK$3:$AK$98,J$1,工数管理!$Y$3:$Y$98,"&lt;="&amp;$H281,工数管理!$Z$3:$Z$98,"&gt;="&amp;$H281)+COUNTIFS(工数管理!$AK$3:$AK$98,J$1,工数管理!$AA$3:$AA$98,"&lt;="&amp;$H281,工数管理!$AB$3:$AB$98,"&gt;="&amp;$H281)+COUNTIFS(工数管理!$AK$3:$AK$98,J$1,工数管理!$AC$3:$AC$98,"&lt;="&amp;$H281,工数管理!$AD$3:$AD$98,"&gt;="&amp;$H281)+COUNTIFS(工数管理!$AK$3:$AK$98,J$1,工数管理!$AE$3:$AE$98,"&lt;="&amp;$H281,工数管理!$AF$3:$AF$98,"&gt;="&amp;$H281)+COUNTIFS(工数管理!$AK$3:$AK$98,J$1,工数管理!$AG$3:$AG$98,"&lt;="&amp;$H281,工数管理!$AH$3:$AH$98,"&gt;="&amp;$H281)+(COUNTIFS(工数管理!$AK$3:$AK$98,J$1,工数管理!$K$3:$K$98,"&lt;="&amp;$H281,工数管理!$L$3:$L$98,"")+COUNTIFS(工数管理!$AK$3:$AK$98,J$1,工数管理!$M$3:$M$98,"&lt;="&amp;$H281,工数管理!$N$3:$N$98,"")+COUNTIFS(工数管理!$AK$3:$AK$98,J$1,工数管理!$O$3:$O$98,"&lt;="&amp;$H281,工数管理!$P$3:$P$98,"")+COUNTIFS(工数管理!$AK$3:$AK$98,J$1,工数管理!$Q$3:$Q$98,"&lt;="&amp;$H281,工数管理!$R$3:$R$98,"")+COUNTIFS(工数管理!$AK$3:$AK$98,J$1,工数管理!$S$3:$S$98,"&lt;="&amp;$H281,工数管理!$T$3:$T$98,"")+COUNTIFS(工数管理!$AK$3:$AK$98,J$1,工数管理!$U$3:$U$98,"&lt;="&amp;$H281,工数管理!$V$3:$V$98,"")+COUNTIFS(工数管理!$AK$3:$AK$98,J$1,工数管理!$W$3:$W$98,"&lt;="&amp;$H281,工数管理!$X$3:$X$98,"")+COUNTIFS(工数管理!$AK$3:$AK$98,J$1,工数管理!$Y$3:$Y$98,"&lt;="&amp;$H281,工数管理!$Z$3:$Z$98,"")+COUNTIFS(工数管理!$AK$3:$AK$98,J$1,工数管理!$AA$3:$AA$98,"&lt;="&amp;$H281,工数管理!$AB$3:$AB$98,"")+COUNTIFS(工数管理!$AK$3:$AK$98,J$1,工数管理!$AC$3:$AC$98,"&lt;="&amp;$H281,工数管理!$AD$3:$AD$98,"")+COUNTIFS(工数管理!$AK$3:$AK$98,J$1,工数管理!$AE$3:$AE$98,"&lt;="&amp;$H281,工数管理!$AF$3:$AF$98,"")+COUNTIFS(工数管理!$AK$3:$AK$98,J$1,工数管理!$AG$3:$AG$98,"&lt;="&amp;$H281,工数管理!$AH$3:$AH$98,""))*($H281&lt;=工数管理!$AI$1))</f>
        <v>0</v>
      </c>
      <c r="K281" s="42">
        <f ca="1">IF(K$1="",0,COUNTIFS(工数管理!$AK$3:$AK$98,K$1,工数管理!$K$3:$K$98,"&lt;="&amp;$H281,工数管理!$L$3:$L$98,"&gt;="&amp;$H281)+COUNTIFS(工数管理!$AK$3:$AK$98,K$1,工数管理!$M$3:$M$98,"&lt;="&amp;$H281,工数管理!$N$3:$N$98,"&gt;="&amp;$H281)+COUNTIFS(工数管理!$AK$3:$AK$98,K$1,工数管理!$O$3:$O$98,"&lt;="&amp;$H281,工数管理!$P$3:$P$98,"&gt;="&amp;$H281)+COUNTIFS(工数管理!$AK$3:$AK$98,K$1,工数管理!$Q$3:$Q$98,"&lt;="&amp;$H281,工数管理!$R$3:$R$98,"&gt;="&amp;$H281)+COUNTIFS(工数管理!$AK$3:$AK$98,K$1,工数管理!$S$3:$S$98,"&lt;="&amp;$H281,工数管理!$T$3:$T$98,"&gt;="&amp;$H281)+COUNTIFS(工数管理!$AK$3:$AK$98,K$1,工数管理!$U$3:$U$98,"&lt;="&amp;$H281,工数管理!$V$3:$V$98,"&gt;="&amp;$H281)+COUNTIFS(工数管理!$AK$3:$AK$98,K$1,工数管理!$W$3:$W$98,"&lt;="&amp;$H281,工数管理!$X$3:$X$98,"&gt;="&amp;$H281)+COUNTIFS(工数管理!$AK$3:$AK$98,K$1,工数管理!$Y$3:$Y$98,"&lt;="&amp;$H281,工数管理!$Z$3:$Z$98,"&gt;="&amp;$H281)+COUNTIFS(工数管理!$AK$3:$AK$98,K$1,工数管理!$AA$3:$AA$98,"&lt;="&amp;$H281,工数管理!$AB$3:$AB$98,"&gt;="&amp;$H281)+COUNTIFS(工数管理!$AK$3:$AK$98,K$1,工数管理!$AC$3:$AC$98,"&lt;="&amp;$H281,工数管理!$AD$3:$AD$98,"&gt;="&amp;$H281)+COUNTIFS(工数管理!$AK$3:$AK$98,K$1,工数管理!$AE$3:$AE$98,"&lt;="&amp;$H281,工数管理!$AF$3:$AF$98,"&gt;="&amp;$H281)+COUNTIFS(工数管理!$AK$3:$AK$98,K$1,工数管理!$AG$3:$AG$98,"&lt;="&amp;$H281,工数管理!$AH$3:$AH$98,"&gt;="&amp;$H281)+(COUNTIFS(工数管理!$AK$3:$AK$98,K$1,工数管理!$K$3:$K$98,"&lt;="&amp;$H281,工数管理!$L$3:$L$98,"")+COUNTIFS(工数管理!$AK$3:$AK$98,K$1,工数管理!$M$3:$M$98,"&lt;="&amp;$H281,工数管理!$N$3:$N$98,"")+COUNTIFS(工数管理!$AK$3:$AK$98,K$1,工数管理!$O$3:$O$98,"&lt;="&amp;$H281,工数管理!$P$3:$P$98,"")+COUNTIFS(工数管理!$AK$3:$AK$98,K$1,工数管理!$Q$3:$Q$98,"&lt;="&amp;$H281,工数管理!$R$3:$R$98,"")+COUNTIFS(工数管理!$AK$3:$AK$98,K$1,工数管理!$S$3:$S$98,"&lt;="&amp;$H281,工数管理!$T$3:$T$98,"")+COUNTIFS(工数管理!$AK$3:$AK$98,K$1,工数管理!$U$3:$U$98,"&lt;="&amp;$H281,工数管理!$V$3:$V$98,"")+COUNTIFS(工数管理!$AK$3:$AK$98,K$1,工数管理!$W$3:$W$98,"&lt;="&amp;$H281,工数管理!$X$3:$X$98,"")+COUNTIFS(工数管理!$AK$3:$AK$98,K$1,工数管理!$Y$3:$Y$98,"&lt;="&amp;$H281,工数管理!$Z$3:$Z$98,"")+COUNTIFS(工数管理!$AK$3:$AK$98,K$1,工数管理!$AA$3:$AA$98,"&lt;="&amp;$H281,工数管理!$AB$3:$AB$98,"")+COUNTIFS(工数管理!$AK$3:$AK$98,K$1,工数管理!$AC$3:$AC$98,"&lt;="&amp;$H281,工数管理!$AD$3:$AD$98,"")+COUNTIFS(工数管理!$AK$3:$AK$98,K$1,工数管理!$AE$3:$AE$98,"&lt;="&amp;$H281,工数管理!$AF$3:$AF$98,"")+COUNTIFS(工数管理!$AK$3:$AK$98,K$1,工数管理!$AG$3:$AG$98,"&lt;="&amp;$H281,工数管理!$AH$3:$AH$98,""))*($H281&lt;=工数管理!$AI$1))</f>
        <v>0</v>
      </c>
      <c r="L281" s="42">
        <f ca="1">IF(L$1="",0,COUNTIFS(工数管理!$AK$3:$AK$98,L$1,工数管理!$K$3:$K$98,"&lt;="&amp;$H281,工数管理!$L$3:$L$98,"&gt;="&amp;$H281)+COUNTIFS(工数管理!$AK$3:$AK$98,L$1,工数管理!$M$3:$M$98,"&lt;="&amp;$H281,工数管理!$N$3:$N$98,"&gt;="&amp;$H281)+COUNTIFS(工数管理!$AK$3:$AK$98,L$1,工数管理!$O$3:$O$98,"&lt;="&amp;$H281,工数管理!$P$3:$P$98,"&gt;="&amp;$H281)+COUNTIFS(工数管理!$AK$3:$AK$98,L$1,工数管理!$Q$3:$Q$98,"&lt;="&amp;$H281,工数管理!$R$3:$R$98,"&gt;="&amp;$H281)+COUNTIFS(工数管理!$AK$3:$AK$98,L$1,工数管理!$S$3:$S$98,"&lt;="&amp;$H281,工数管理!$T$3:$T$98,"&gt;="&amp;$H281)+COUNTIFS(工数管理!$AK$3:$AK$98,L$1,工数管理!$U$3:$U$98,"&lt;="&amp;$H281,工数管理!$V$3:$V$98,"&gt;="&amp;$H281)+COUNTIFS(工数管理!$AK$3:$AK$98,L$1,工数管理!$W$3:$W$98,"&lt;="&amp;$H281,工数管理!$X$3:$X$98,"&gt;="&amp;$H281)+COUNTIFS(工数管理!$AK$3:$AK$98,L$1,工数管理!$Y$3:$Y$98,"&lt;="&amp;$H281,工数管理!$Z$3:$Z$98,"&gt;="&amp;$H281)+COUNTIFS(工数管理!$AK$3:$AK$98,L$1,工数管理!$AA$3:$AA$98,"&lt;="&amp;$H281,工数管理!$AB$3:$AB$98,"&gt;="&amp;$H281)+COUNTIFS(工数管理!$AK$3:$AK$98,L$1,工数管理!$AC$3:$AC$98,"&lt;="&amp;$H281,工数管理!$AD$3:$AD$98,"&gt;="&amp;$H281)+COUNTIFS(工数管理!$AK$3:$AK$98,L$1,工数管理!$AE$3:$AE$98,"&lt;="&amp;$H281,工数管理!$AF$3:$AF$98,"&gt;="&amp;$H281)+COUNTIFS(工数管理!$AK$3:$AK$98,L$1,工数管理!$AG$3:$AG$98,"&lt;="&amp;$H281,工数管理!$AH$3:$AH$98,"&gt;="&amp;$H281)+(COUNTIFS(工数管理!$AK$3:$AK$98,L$1,工数管理!$K$3:$K$98,"&lt;="&amp;$H281,工数管理!$L$3:$L$98,"")+COUNTIFS(工数管理!$AK$3:$AK$98,L$1,工数管理!$M$3:$M$98,"&lt;="&amp;$H281,工数管理!$N$3:$N$98,"")+COUNTIFS(工数管理!$AK$3:$AK$98,L$1,工数管理!$O$3:$O$98,"&lt;="&amp;$H281,工数管理!$P$3:$P$98,"")+COUNTIFS(工数管理!$AK$3:$AK$98,L$1,工数管理!$Q$3:$Q$98,"&lt;="&amp;$H281,工数管理!$R$3:$R$98,"")+COUNTIFS(工数管理!$AK$3:$AK$98,L$1,工数管理!$S$3:$S$98,"&lt;="&amp;$H281,工数管理!$T$3:$T$98,"")+COUNTIFS(工数管理!$AK$3:$AK$98,L$1,工数管理!$U$3:$U$98,"&lt;="&amp;$H281,工数管理!$V$3:$V$98,"")+COUNTIFS(工数管理!$AK$3:$AK$98,L$1,工数管理!$W$3:$W$98,"&lt;="&amp;$H281,工数管理!$X$3:$X$98,"")+COUNTIFS(工数管理!$AK$3:$AK$98,L$1,工数管理!$Y$3:$Y$98,"&lt;="&amp;$H281,工数管理!$Z$3:$Z$98,"")+COUNTIFS(工数管理!$AK$3:$AK$98,L$1,工数管理!$AA$3:$AA$98,"&lt;="&amp;$H281,工数管理!$AB$3:$AB$98,"")+COUNTIFS(工数管理!$AK$3:$AK$98,L$1,工数管理!$AC$3:$AC$98,"&lt;="&amp;$H281,工数管理!$AD$3:$AD$98,"")+COUNTIFS(工数管理!$AK$3:$AK$98,L$1,工数管理!$AE$3:$AE$98,"&lt;="&amp;$H281,工数管理!$AF$3:$AF$98,"")+COUNTIFS(工数管理!$AK$3:$AK$98,L$1,工数管理!$AG$3:$AG$98,"&lt;="&amp;$H281,工数管理!$AH$3:$AH$98,""))*($H281&lt;=工数管理!$AI$1))</f>
        <v>0</v>
      </c>
    </row>
    <row r="282" spans="8:12" x14ac:dyDescent="0.15">
      <c r="H282" s="41">
        <f t="shared" si="9"/>
        <v>46450</v>
      </c>
      <c r="I282" s="42">
        <f t="shared" si="8"/>
        <v>1</v>
      </c>
      <c r="J282" s="42">
        <f ca="1">IF(J$1="",0,COUNTIFS(工数管理!$AK$3:$AK$98,J$1,工数管理!$K$3:$K$98,"&lt;="&amp;$H282,工数管理!$L$3:$L$98,"&gt;="&amp;$H282)+COUNTIFS(工数管理!$AK$3:$AK$98,J$1,工数管理!$M$3:$M$98,"&lt;="&amp;$H282,工数管理!$N$3:$N$98,"&gt;="&amp;$H282)+COUNTIFS(工数管理!$AK$3:$AK$98,J$1,工数管理!$O$3:$O$98,"&lt;="&amp;$H282,工数管理!$P$3:$P$98,"&gt;="&amp;$H282)+COUNTIFS(工数管理!$AK$3:$AK$98,J$1,工数管理!$Q$3:$Q$98,"&lt;="&amp;$H282,工数管理!$R$3:$R$98,"&gt;="&amp;$H282)+COUNTIFS(工数管理!$AK$3:$AK$98,J$1,工数管理!$S$3:$S$98,"&lt;="&amp;$H282,工数管理!$T$3:$T$98,"&gt;="&amp;$H282)+COUNTIFS(工数管理!$AK$3:$AK$98,J$1,工数管理!$U$3:$U$98,"&lt;="&amp;$H282,工数管理!$V$3:$V$98,"&gt;="&amp;$H282)+COUNTIFS(工数管理!$AK$3:$AK$98,J$1,工数管理!$W$3:$W$98,"&lt;="&amp;$H282,工数管理!$X$3:$X$98,"&gt;="&amp;$H282)+COUNTIFS(工数管理!$AK$3:$AK$98,J$1,工数管理!$Y$3:$Y$98,"&lt;="&amp;$H282,工数管理!$Z$3:$Z$98,"&gt;="&amp;$H282)+COUNTIFS(工数管理!$AK$3:$AK$98,J$1,工数管理!$AA$3:$AA$98,"&lt;="&amp;$H282,工数管理!$AB$3:$AB$98,"&gt;="&amp;$H282)+COUNTIFS(工数管理!$AK$3:$AK$98,J$1,工数管理!$AC$3:$AC$98,"&lt;="&amp;$H282,工数管理!$AD$3:$AD$98,"&gt;="&amp;$H282)+COUNTIFS(工数管理!$AK$3:$AK$98,J$1,工数管理!$AE$3:$AE$98,"&lt;="&amp;$H282,工数管理!$AF$3:$AF$98,"&gt;="&amp;$H282)+COUNTIFS(工数管理!$AK$3:$AK$98,J$1,工数管理!$AG$3:$AG$98,"&lt;="&amp;$H282,工数管理!$AH$3:$AH$98,"&gt;="&amp;$H282)+(COUNTIFS(工数管理!$AK$3:$AK$98,J$1,工数管理!$K$3:$K$98,"&lt;="&amp;$H282,工数管理!$L$3:$L$98,"")+COUNTIFS(工数管理!$AK$3:$AK$98,J$1,工数管理!$M$3:$M$98,"&lt;="&amp;$H282,工数管理!$N$3:$N$98,"")+COUNTIFS(工数管理!$AK$3:$AK$98,J$1,工数管理!$O$3:$O$98,"&lt;="&amp;$H282,工数管理!$P$3:$P$98,"")+COUNTIFS(工数管理!$AK$3:$AK$98,J$1,工数管理!$Q$3:$Q$98,"&lt;="&amp;$H282,工数管理!$R$3:$R$98,"")+COUNTIFS(工数管理!$AK$3:$AK$98,J$1,工数管理!$S$3:$S$98,"&lt;="&amp;$H282,工数管理!$T$3:$T$98,"")+COUNTIFS(工数管理!$AK$3:$AK$98,J$1,工数管理!$U$3:$U$98,"&lt;="&amp;$H282,工数管理!$V$3:$V$98,"")+COUNTIFS(工数管理!$AK$3:$AK$98,J$1,工数管理!$W$3:$W$98,"&lt;="&amp;$H282,工数管理!$X$3:$X$98,"")+COUNTIFS(工数管理!$AK$3:$AK$98,J$1,工数管理!$Y$3:$Y$98,"&lt;="&amp;$H282,工数管理!$Z$3:$Z$98,"")+COUNTIFS(工数管理!$AK$3:$AK$98,J$1,工数管理!$AA$3:$AA$98,"&lt;="&amp;$H282,工数管理!$AB$3:$AB$98,"")+COUNTIFS(工数管理!$AK$3:$AK$98,J$1,工数管理!$AC$3:$AC$98,"&lt;="&amp;$H282,工数管理!$AD$3:$AD$98,"")+COUNTIFS(工数管理!$AK$3:$AK$98,J$1,工数管理!$AE$3:$AE$98,"&lt;="&amp;$H282,工数管理!$AF$3:$AF$98,"")+COUNTIFS(工数管理!$AK$3:$AK$98,J$1,工数管理!$AG$3:$AG$98,"&lt;="&amp;$H282,工数管理!$AH$3:$AH$98,""))*($H282&lt;=工数管理!$AI$1))</f>
        <v>0</v>
      </c>
      <c r="K282" s="42">
        <f ca="1">IF(K$1="",0,COUNTIFS(工数管理!$AK$3:$AK$98,K$1,工数管理!$K$3:$K$98,"&lt;="&amp;$H282,工数管理!$L$3:$L$98,"&gt;="&amp;$H282)+COUNTIFS(工数管理!$AK$3:$AK$98,K$1,工数管理!$M$3:$M$98,"&lt;="&amp;$H282,工数管理!$N$3:$N$98,"&gt;="&amp;$H282)+COUNTIFS(工数管理!$AK$3:$AK$98,K$1,工数管理!$O$3:$O$98,"&lt;="&amp;$H282,工数管理!$P$3:$P$98,"&gt;="&amp;$H282)+COUNTIFS(工数管理!$AK$3:$AK$98,K$1,工数管理!$Q$3:$Q$98,"&lt;="&amp;$H282,工数管理!$R$3:$R$98,"&gt;="&amp;$H282)+COUNTIFS(工数管理!$AK$3:$AK$98,K$1,工数管理!$S$3:$S$98,"&lt;="&amp;$H282,工数管理!$T$3:$T$98,"&gt;="&amp;$H282)+COUNTIFS(工数管理!$AK$3:$AK$98,K$1,工数管理!$U$3:$U$98,"&lt;="&amp;$H282,工数管理!$V$3:$V$98,"&gt;="&amp;$H282)+COUNTIFS(工数管理!$AK$3:$AK$98,K$1,工数管理!$W$3:$W$98,"&lt;="&amp;$H282,工数管理!$X$3:$X$98,"&gt;="&amp;$H282)+COUNTIFS(工数管理!$AK$3:$AK$98,K$1,工数管理!$Y$3:$Y$98,"&lt;="&amp;$H282,工数管理!$Z$3:$Z$98,"&gt;="&amp;$H282)+COUNTIFS(工数管理!$AK$3:$AK$98,K$1,工数管理!$AA$3:$AA$98,"&lt;="&amp;$H282,工数管理!$AB$3:$AB$98,"&gt;="&amp;$H282)+COUNTIFS(工数管理!$AK$3:$AK$98,K$1,工数管理!$AC$3:$AC$98,"&lt;="&amp;$H282,工数管理!$AD$3:$AD$98,"&gt;="&amp;$H282)+COUNTIFS(工数管理!$AK$3:$AK$98,K$1,工数管理!$AE$3:$AE$98,"&lt;="&amp;$H282,工数管理!$AF$3:$AF$98,"&gt;="&amp;$H282)+COUNTIFS(工数管理!$AK$3:$AK$98,K$1,工数管理!$AG$3:$AG$98,"&lt;="&amp;$H282,工数管理!$AH$3:$AH$98,"&gt;="&amp;$H282)+(COUNTIFS(工数管理!$AK$3:$AK$98,K$1,工数管理!$K$3:$K$98,"&lt;="&amp;$H282,工数管理!$L$3:$L$98,"")+COUNTIFS(工数管理!$AK$3:$AK$98,K$1,工数管理!$M$3:$M$98,"&lt;="&amp;$H282,工数管理!$N$3:$N$98,"")+COUNTIFS(工数管理!$AK$3:$AK$98,K$1,工数管理!$O$3:$O$98,"&lt;="&amp;$H282,工数管理!$P$3:$P$98,"")+COUNTIFS(工数管理!$AK$3:$AK$98,K$1,工数管理!$Q$3:$Q$98,"&lt;="&amp;$H282,工数管理!$R$3:$R$98,"")+COUNTIFS(工数管理!$AK$3:$AK$98,K$1,工数管理!$S$3:$S$98,"&lt;="&amp;$H282,工数管理!$T$3:$T$98,"")+COUNTIFS(工数管理!$AK$3:$AK$98,K$1,工数管理!$U$3:$U$98,"&lt;="&amp;$H282,工数管理!$V$3:$V$98,"")+COUNTIFS(工数管理!$AK$3:$AK$98,K$1,工数管理!$W$3:$W$98,"&lt;="&amp;$H282,工数管理!$X$3:$X$98,"")+COUNTIFS(工数管理!$AK$3:$AK$98,K$1,工数管理!$Y$3:$Y$98,"&lt;="&amp;$H282,工数管理!$Z$3:$Z$98,"")+COUNTIFS(工数管理!$AK$3:$AK$98,K$1,工数管理!$AA$3:$AA$98,"&lt;="&amp;$H282,工数管理!$AB$3:$AB$98,"")+COUNTIFS(工数管理!$AK$3:$AK$98,K$1,工数管理!$AC$3:$AC$98,"&lt;="&amp;$H282,工数管理!$AD$3:$AD$98,"")+COUNTIFS(工数管理!$AK$3:$AK$98,K$1,工数管理!$AE$3:$AE$98,"&lt;="&amp;$H282,工数管理!$AF$3:$AF$98,"")+COUNTIFS(工数管理!$AK$3:$AK$98,K$1,工数管理!$AG$3:$AG$98,"&lt;="&amp;$H282,工数管理!$AH$3:$AH$98,""))*($H282&lt;=工数管理!$AI$1))</f>
        <v>0</v>
      </c>
      <c r="L282" s="42">
        <f ca="1">IF(L$1="",0,COUNTIFS(工数管理!$AK$3:$AK$98,L$1,工数管理!$K$3:$K$98,"&lt;="&amp;$H282,工数管理!$L$3:$L$98,"&gt;="&amp;$H282)+COUNTIFS(工数管理!$AK$3:$AK$98,L$1,工数管理!$M$3:$M$98,"&lt;="&amp;$H282,工数管理!$N$3:$N$98,"&gt;="&amp;$H282)+COUNTIFS(工数管理!$AK$3:$AK$98,L$1,工数管理!$O$3:$O$98,"&lt;="&amp;$H282,工数管理!$P$3:$P$98,"&gt;="&amp;$H282)+COUNTIFS(工数管理!$AK$3:$AK$98,L$1,工数管理!$Q$3:$Q$98,"&lt;="&amp;$H282,工数管理!$R$3:$R$98,"&gt;="&amp;$H282)+COUNTIFS(工数管理!$AK$3:$AK$98,L$1,工数管理!$S$3:$S$98,"&lt;="&amp;$H282,工数管理!$T$3:$T$98,"&gt;="&amp;$H282)+COUNTIFS(工数管理!$AK$3:$AK$98,L$1,工数管理!$U$3:$U$98,"&lt;="&amp;$H282,工数管理!$V$3:$V$98,"&gt;="&amp;$H282)+COUNTIFS(工数管理!$AK$3:$AK$98,L$1,工数管理!$W$3:$W$98,"&lt;="&amp;$H282,工数管理!$X$3:$X$98,"&gt;="&amp;$H282)+COUNTIFS(工数管理!$AK$3:$AK$98,L$1,工数管理!$Y$3:$Y$98,"&lt;="&amp;$H282,工数管理!$Z$3:$Z$98,"&gt;="&amp;$H282)+COUNTIFS(工数管理!$AK$3:$AK$98,L$1,工数管理!$AA$3:$AA$98,"&lt;="&amp;$H282,工数管理!$AB$3:$AB$98,"&gt;="&amp;$H282)+COUNTIFS(工数管理!$AK$3:$AK$98,L$1,工数管理!$AC$3:$AC$98,"&lt;="&amp;$H282,工数管理!$AD$3:$AD$98,"&gt;="&amp;$H282)+COUNTIFS(工数管理!$AK$3:$AK$98,L$1,工数管理!$AE$3:$AE$98,"&lt;="&amp;$H282,工数管理!$AF$3:$AF$98,"&gt;="&amp;$H282)+COUNTIFS(工数管理!$AK$3:$AK$98,L$1,工数管理!$AG$3:$AG$98,"&lt;="&amp;$H282,工数管理!$AH$3:$AH$98,"&gt;="&amp;$H282)+(COUNTIFS(工数管理!$AK$3:$AK$98,L$1,工数管理!$K$3:$K$98,"&lt;="&amp;$H282,工数管理!$L$3:$L$98,"")+COUNTIFS(工数管理!$AK$3:$AK$98,L$1,工数管理!$M$3:$M$98,"&lt;="&amp;$H282,工数管理!$N$3:$N$98,"")+COUNTIFS(工数管理!$AK$3:$AK$98,L$1,工数管理!$O$3:$O$98,"&lt;="&amp;$H282,工数管理!$P$3:$P$98,"")+COUNTIFS(工数管理!$AK$3:$AK$98,L$1,工数管理!$Q$3:$Q$98,"&lt;="&amp;$H282,工数管理!$R$3:$R$98,"")+COUNTIFS(工数管理!$AK$3:$AK$98,L$1,工数管理!$S$3:$S$98,"&lt;="&amp;$H282,工数管理!$T$3:$T$98,"")+COUNTIFS(工数管理!$AK$3:$AK$98,L$1,工数管理!$U$3:$U$98,"&lt;="&amp;$H282,工数管理!$V$3:$V$98,"")+COUNTIFS(工数管理!$AK$3:$AK$98,L$1,工数管理!$W$3:$W$98,"&lt;="&amp;$H282,工数管理!$X$3:$X$98,"")+COUNTIFS(工数管理!$AK$3:$AK$98,L$1,工数管理!$Y$3:$Y$98,"&lt;="&amp;$H282,工数管理!$Z$3:$Z$98,"")+COUNTIFS(工数管理!$AK$3:$AK$98,L$1,工数管理!$AA$3:$AA$98,"&lt;="&amp;$H282,工数管理!$AB$3:$AB$98,"")+COUNTIFS(工数管理!$AK$3:$AK$98,L$1,工数管理!$AC$3:$AC$98,"&lt;="&amp;$H282,工数管理!$AD$3:$AD$98,"")+COUNTIFS(工数管理!$AK$3:$AK$98,L$1,工数管理!$AE$3:$AE$98,"&lt;="&amp;$H282,工数管理!$AF$3:$AF$98,"")+COUNTIFS(工数管理!$AK$3:$AK$98,L$1,工数管理!$AG$3:$AG$98,"&lt;="&amp;$H282,工数管理!$AH$3:$AH$98,""))*($H282&lt;=工数管理!$AI$1))</f>
        <v>0</v>
      </c>
    </row>
    <row r="283" spans="8:12" x14ac:dyDescent="0.15">
      <c r="H283" s="41">
        <f t="shared" si="9"/>
        <v>46451</v>
      </c>
      <c r="I283" s="42">
        <f t="shared" si="8"/>
        <v>1</v>
      </c>
      <c r="J283" s="42">
        <f ca="1">IF(J$1="",0,COUNTIFS(工数管理!$AK$3:$AK$98,J$1,工数管理!$K$3:$K$98,"&lt;="&amp;$H283,工数管理!$L$3:$L$98,"&gt;="&amp;$H283)+COUNTIFS(工数管理!$AK$3:$AK$98,J$1,工数管理!$M$3:$M$98,"&lt;="&amp;$H283,工数管理!$N$3:$N$98,"&gt;="&amp;$H283)+COUNTIFS(工数管理!$AK$3:$AK$98,J$1,工数管理!$O$3:$O$98,"&lt;="&amp;$H283,工数管理!$P$3:$P$98,"&gt;="&amp;$H283)+COUNTIFS(工数管理!$AK$3:$AK$98,J$1,工数管理!$Q$3:$Q$98,"&lt;="&amp;$H283,工数管理!$R$3:$R$98,"&gt;="&amp;$H283)+COUNTIFS(工数管理!$AK$3:$AK$98,J$1,工数管理!$S$3:$S$98,"&lt;="&amp;$H283,工数管理!$T$3:$T$98,"&gt;="&amp;$H283)+COUNTIFS(工数管理!$AK$3:$AK$98,J$1,工数管理!$U$3:$U$98,"&lt;="&amp;$H283,工数管理!$V$3:$V$98,"&gt;="&amp;$H283)+COUNTIFS(工数管理!$AK$3:$AK$98,J$1,工数管理!$W$3:$W$98,"&lt;="&amp;$H283,工数管理!$X$3:$X$98,"&gt;="&amp;$H283)+COUNTIFS(工数管理!$AK$3:$AK$98,J$1,工数管理!$Y$3:$Y$98,"&lt;="&amp;$H283,工数管理!$Z$3:$Z$98,"&gt;="&amp;$H283)+COUNTIFS(工数管理!$AK$3:$AK$98,J$1,工数管理!$AA$3:$AA$98,"&lt;="&amp;$H283,工数管理!$AB$3:$AB$98,"&gt;="&amp;$H283)+COUNTIFS(工数管理!$AK$3:$AK$98,J$1,工数管理!$AC$3:$AC$98,"&lt;="&amp;$H283,工数管理!$AD$3:$AD$98,"&gt;="&amp;$H283)+COUNTIFS(工数管理!$AK$3:$AK$98,J$1,工数管理!$AE$3:$AE$98,"&lt;="&amp;$H283,工数管理!$AF$3:$AF$98,"&gt;="&amp;$H283)+COUNTIFS(工数管理!$AK$3:$AK$98,J$1,工数管理!$AG$3:$AG$98,"&lt;="&amp;$H283,工数管理!$AH$3:$AH$98,"&gt;="&amp;$H283)+(COUNTIFS(工数管理!$AK$3:$AK$98,J$1,工数管理!$K$3:$K$98,"&lt;="&amp;$H283,工数管理!$L$3:$L$98,"")+COUNTIFS(工数管理!$AK$3:$AK$98,J$1,工数管理!$M$3:$M$98,"&lt;="&amp;$H283,工数管理!$N$3:$N$98,"")+COUNTIFS(工数管理!$AK$3:$AK$98,J$1,工数管理!$O$3:$O$98,"&lt;="&amp;$H283,工数管理!$P$3:$P$98,"")+COUNTIFS(工数管理!$AK$3:$AK$98,J$1,工数管理!$Q$3:$Q$98,"&lt;="&amp;$H283,工数管理!$R$3:$R$98,"")+COUNTIFS(工数管理!$AK$3:$AK$98,J$1,工数管理!$S$3:$S$98,"&lt;="&amp;$H283,工数管理!$T$3:$T$98,"")+COUNTIFS(工数管理!$AK$3:$AK$98,J$1,工数管理!$U$3:$U$98,"&lt;="&amp;$H283,工数管理!$V$3:$V$98,"")+COUNTIFS(工数管理!$AK$3:$AK$98,J$1,工数管理!$W$3:$W$98,"&lt;="&amp;$H283,工数管理!$X$3:$X$98,"")+COUNTIFS(工数管理!$AK$3:$AK$98,J$1,工数管理!$Y$3:$Y$98,"&lt;="&amp;$H283,工数管理!$Z$3:$Z$98,"")+COUNTIFS(工数管理!$AK$3:$AK$98,J$1,工数管理!$AA$3:$AA$98,"&lt;="&amp;$H283,工数管理!$AB$3:$AB$98,"")+COUNTIFS(工数管理!$AK$3:$AK$98,J$1,工数管理!$AC$3:$AC$98,"&lt;="&amp;$H283,工数管理!$AD$3:$AD$98,"")+COUNTIFS(工数管理!$AK$3:$AK$98,J$1,工数管理!$AE$3:$AE$98,"&lt;="&amp;$H283,工数管理!$AF$3:$AF$98,"")+COUNTIFS(工数管理!$AK$3:$AK$98,J$1,工数管理!$AG$3:$AG$98,"&lt;="&amp;$H283,工数管理!$AH$3:$AH$98,""))*($H283&lt;=工数管理!$AI$1))</f>
        <v>0</v>
      </c>
      <c r="K283" s="42">
        <f ca="1">IF(K$1="",0,COUNTIFS(工数管理!$AK$3:$AK$98,K$1,工数管理!$K$3:$K$98,"&lt;="&amp;$H283,工数管理!$L$3:$L$98,"&gt;="&amp;$H283)+COUNTIFS(工数管理!$AK$3:$AK$98,K$1,工数管理!$M$3:$M$98,"&lt;="&amp;$H283,工数管理!$N$3:$N$98,"&gt;="&amp;$H283)+COUNTIFS(工数管理!$AK$3:$AK$98,K$1,工数管理!$O$3:$O$98,"&lt;="&amp;$H283,工数管理!$P$3:$P$98,"&gt;="&amp;$H283)+COUNTIFS(工数管理!$AK$3:$AK$98,K$1,工数管理!$Q$3:$Q$98,"&lt;="&amp;$H283,工数管理!$R$3:$R$98,"&gt;="&amp;$H283)+COUNTIFS(工数管理!$AK$3:$AK$98,K$1,工数管理!$S$3:$S$98,"&lt;="&amp;$H283,工数管理!$T$3:$T$98,"&gt;="&amp;$H283)+COUNTIFS(工数管理!$AK$3:$AK$98,K$1,工数管理!$U$3:$U$98,"&lt;="&amp;$H283,工数管理!$V$3:$V$98,"&gt;="&amp;$H283)+COUNTIFS(工数管理!$AK$3:$AK$98,K$1,工数管理!$W$3:$W$98,"&lt;="&amp;$H283,工数管理!$X$3:$X$98,"&gt;="&amp;$H283)+COUNTIFS(工数管理!$AK$3:$AK$98,K$1,工数管理!$Y$3:$Y$98,"&lt;="&amp;$H283,工数管理!$Z$3:$Z$98,"&gt;="&amp;$H283)+COUNTIFS(工数管理!$AK$3:$AK$98,K$1,工数管理!$AA$3:$AA$98,"&lt;="&amp;$H283,工数管理!$AB$3:$AB$98,"&gt;="&amp;$H283)+COUNTIFS(工数管理!$AK$3:$AK$98,K$1,工数管理!$AC$3:$AC$98,"&lt;="&amp;$H283,工数管理!$AD$3:$AD$98,"&gt;="&amp;$H283)+COUNTIFS(工数管理!$AK$3:$AK$98,K$1,工数管理!$AE$3:$AE$98,"&lt;="&amp;$H283,工数管理!$AF$3:$AF$98,"&gt;="&amp;$H283)+COUNTIFS(工数管理!$AK$3:$AK$98,K$1,工数管理!$AG$3:$AG$98,"&lt;="&amp;$H283,工数管理!$AH$3:$AH$98,"&gt;="&amp;$H283)+(COUNTIFS(工数管理!$AK$3:$AK$98,K$1,工数管理!$K$3:$K$98,"&lt;="&amp;$H283,工数管理!$L$3:$L$98,"")+COUNTIFS(工数管理!$AK$3:$AK$98,K$1,工数管理!$M$3:$M$98,"&lt;="&amp;$H283,工数管理!$N$3:$N$98,"")+COUNTIFS(工数管理!$AK$3:$AK$98,K$1,工数管理!$O$3:$O$98,"&lt;="&amp;$H283,工数管理!$P$3:$P$98,"")+COUNTIFS(工数管理!$AK$3:$AK$98,K$1,工数管理!$Q$3:$Q$98,"&lt;="&amp;$H283,工数管理!$R$3:$R$98,"")+COUNTIFS(工数管理!$AK$3:$AK$98,K$1,工数管理!$S$3:$S$98,"&lt;="&amp;$H283,工数管理!$T$3:$T$98,"")+COUNTIFS(工数管理!$AK$3:$AK$98,K$1,工数管理!$U$3:$U$98,"&lt;="&amp;$H283,工数管理!$V$3:$V$98,"")+COUNTIFS(工数管理!$AK$3:$AK$98,K$1,工数管理!$W$3:$W$98,"&lt;="&amp;$H283,工数管理!$X$3:$X$98,"")+COUNTIFS(工数管理!$AK$3:$AK$98,K$1,工数管理!$Y$3:$Y$98,"&lt;="&amp;$H283,工数管理!$Z$3:$Z$98,"")+COUNTIFS(工数管理!$AK$3:$AK$98,K$1,工数管理!$AA$3:$AA$98,"&lt;="&amp;$H283,工数管理!$AB$3:$AB$98,"")+COUNTIFS(工数管理!$AK$3:$AK$98,K$1,工数管理!$AC$3:$AC$98,"&lt;="&amp;$H283,工数管理!$AD$3:$AD$98,"")+COUNTIFS(工数管理!$AK$3:$AK$98,K$1,工数管理!$AE$3:$AE$98,"&lt;="&amp;$H283,工数管理!$AF$3:$AF$98,"")+COUNTIFS(工数管理!$AK$3:$AK$98,K$1,工数管理!$AG$3:$AG$98,"&lt;="&amp;$H283,工数管理!$AH$3:$AH$98,""))*($H283&lt;=工数管理!$AI$1))</f>
        <v>0</v>
      </c>
      <c r="L283" s="42">
        <f ca="1">IF(L$1="",0,COUNTIFS(工数管理!$AK$3:$AK$98,L$1,工数管理!$K$3:$K$98,"&lt;="&amp;$H283,工数管理!$L$3:$L$98,"&gt;="&amp;$H283)+COUNTIFS(工数管理!$AK$3:$AK$98,L$1,工数管理!$M$3:$M$98,"&lt;="&amp;$H283,工数管理!$N$3:$N$98,"&gt;="&amp;$H283)+COUNTIFS(工数管理!$AK$3:$AK$98,L$1,工数管理!$O$3:$O$98,"&lt;="&amp;$H283,工数管理!$P$3:$P$98,"&gt;="&amp;$H283)+COUNTIFS(工数管理!$AK$3:$AK$98,L$1,工数管理!$Q$3:$Q$98,"&lt;="&amp;$H283,工数管理!$R$3:$R$98,"&gt;="&amp;$H283)+COUNTIFS(工数管理!$AK$3:$AK$98,L$1,工数管理!$S$3:$S$98,"&lt;="&amp;$H283,工数管理!$T$3:$T$98,"&gt;="&amp;$H283)+COUNTIFS(工数管理!$AK$3:$AK$98,L$1,工数管理!$U$3:$U$98,"&lt;="&amp;$H283,工数管理!$V$3:$V$98,"&gt;="&amp;$H283)+COUNTIFS(工数管理!$AK$3:$AK$98,L$1,工数管理!$W$3:$W$98,"&lt;="&amp;$H283,工数管理!$X$3:$X$98,"&gt;="&amp;$H283)+COUNTIFS(工数管理!$AK$3:$AK$98,L$1,工数管理!$Y$3:$Y$98,"&lt;="&amp;$H283,工数管理!$Z$3:$Z$98,"&gt;="&amp;$H283)+COUNTIFS(工数管理!$AK$3:$AK$98,L$1,工数管理!$AA$3:$AA$98,"&lt;="&amp;$H283,工数管理!$AB$3:$AB$98,"&gt;="&amp;$H283)+COUNTIFS(工数管理!$AK$3:$AK$98,L$1,工数管理!$AC$3:$AC$98,"&lt;="&amp;$H283,工数管理!$AD$3:$AD$98,"&gt;="&amp;$H283)+COUNTIFS(工数管理!$AK$3:$AK$98,L$1,工数管理!$AE$3:$AE$98,"&lt;="&amp;$H283,工数管理!$AF$3:$AF$98,"&gt;="&amp;$H283)+COUNTIFS(工数管理!$AK$3:$AK$98,L$1,工数管理!$AG$3:$AG$98,"&lt;="&amp;$H283,工数管理!$AH$3:$AH$98,"&gt;="&amp;$H283)+(COUNTIFS(工数管理!$AK$3:$AK$98,L$1,工数管理!$K$3:$K$98,"&lt;="&amp;$H283,工数管理!$L$3:$L$98,"")+COUNTIFS(工数管理!$AK$3:$AK$98,L$1,工数管理!$M$3:$M$98,"&lt;="&amp;$H283,工数管理!$N$3:$N$98,"")+COUNTIFS(工数管理!$AK$3:$AK$98,L$1,工数管理!$O$3:$O$98,"&lt;="&amp;$H283,工数管理!$P$3:$P$98,"")+COUNTIFS(工数管理!$AK$3:$AK$98,L$1,工数管理!$Q$3:$Q$98,"&lt;="&amp;$H283,工数管理!$R$3:$R$98,"")+COUNTIFS(工数管理!$AK$3:$AK$98,L$1,工数管理!$S$3:$S$98,"&lt;="&amp;$H283,工数管理!$T$3:$T$98,"")+COUNTIFS(工数管理!$AK$3:$AK$98,L$1,工数管理!$U$3:$U$98,"&lt;="&amp;$H283,工数管理!$V$3:$V$98,"")+COUNTIFS(工数管理!$AK$3:$AK$98,L$1,工数管理!$W$3:$W$98,"&lt;="&amp;$H283,工数管理!$X$3:$X$98,"")+COUNTIFS(工数管理!$AK$3:$AK$98,L$1,工数管理!$Y$3:$Y$98,"&lt;="&amp;$H283,工数管理!$Z$3:$Z$98,"")+COUNTIFS(工数管理!$AK$3:$AK$98,L$1,工数管理!$AA$3:$AA$98,"&lt;="&amp;$H283,工数管理!$AB$3:$AB$98,"")+COUNTIFS(工数管理!$AK$3:$AK$98,L$1,工数管理!$AC$3:$AC$98,"&lt;="&amp;$H283,工数管理!$AD$3:$AD$98,"")+COUNTIFS(工数管理!$AK$3:$AK$98,L$1,工数管理!$AE$3:$AE$98,"&lt;="&amp;$H283,工数管理!$AF$3:$AF$98,"")+COUNTIFS(工数管理!$AK$3:$AK$98,L$1,工数管理!$AG$3:$AG$98,"&lt;="&amp;$H283,工数管理!$AH$3:$AH$98,""))*($H283&lt;=工数管理!$AI$1))</f>
        <v>0</v>
      </c>
    </row>
    <row r="284" spans="8:12" x14ac:dyDescent="0.15">
      <c r="H284" s="41">
        <f t="shared" si="9"/>
        <v>46452</v>
      </c>
      <c r="I284" s="42">
        <f t="shared" si="8"/>
        <v>0</v>
      </c>
      <c r="J284" s="42">
        <f ca="1">IF(J$1="",0,COUNTIFS(工数管理!$AK$3:$AK$98,J$1,工数管理!$K$3:$K$98,"&lt;="&amp;$H284,工数管理!$L$3:$L$98,"&gt;="&amp;$H284)+COUNTIFS(工数管理!$AK$3:$AK$98,J$1,工数管理!$M$3:$M$98,"&lt;="&amp;$H284,工数管理!$N$3:$N$98,"&gt;="&amp;$H284)+COUNTIFS(工数管理!$AK$3:$AK$98,J$1,工数管理!$O$3:$O$98,"&lt;="&amp;$H284,工数管理!$P$3:$P$98,"&gt;="&amp;$H284)+COUNTIFS(工数管理!$AK$3:$AK$98,J$1,工数管理!$Q$3:$Q$98,"&lt;="&amp;$H284,工数管理!$R$3:$R$98,"&gt;="&amp;$H284)+COUNTIFS(工数管理!$AK$3:$AK$98,J$1,工数管理!$S$3:$S$98,"&lt;="&amp;$H284,工数管理!$T$3:$T$98,"&gt;="&amp;$H284)+COUNTIFS(工数管理!$AK$3:$AK$98,J$1,工数管理!$U$3:$U$98,"&lt;="&amp;$H284,工数管理!$V$3:$V$98,"&gt;="&amp;$H284)+COUNTIFS(工数管理!$AK$3:$AK$98,J$1,工数管理!$W$3:$W$98,"&lt;="&amp;$H284,工数管理!$X$3:$X$98,"&gt;="&amp;$H284)+COUNTIFS(工数管理!$AK$3:$AK$98,J$1,工数管理!$Y$3:$Y$98,"&lt;="&amp;$H284,工数管理!$Z$3:$Z$98,"&gt;="&amp;$H284)+COUNTIFS(工数管理!$AK$3:$AK$98,J$1,工数管理!$AA$3:$AA$98,"&lt;="&amp;$H284,工数管理!$AB$3:$AB$98,"&gt;="&amp;$H284)+COUNTIFS(工数管理!$AK$3:$AK$98,J$1,工数管理!$AC$3:$AC$98,"&lt;="&amp;$H284,工数管理!$AD$3:$AD$98,"&gt;="&amp;$H284)+COUNTIFS(工数管理!$AK$3:$AK$98,J$1,工数管理!$AE$3:$AE$98,"&lt;="&amp;$H284,工数管理!$AF$3:$AF$98,"&gt;="&amp;$H284)+COUNTIFS(工数管理!$AK$3:$AK$98,J$1,工数管理!$AG$3:$AG$98,"&lt;="&amp;$H284,工数管理!$AH$3:$AH$98,"&gt;="&amp;$H284)+(COUNTIFS(工数管理!$AK$3:$AK$98,J$1,工数管理!$K$3:$K$98,"&lt;="&amp;$H284,工数管理!$L$3:$L$98,"")+COUNTIFS(工数管理!$AK$3:$AK$98,J$1,工数管理!$M$3:$M$98,"&lt;="&amp;$H284,工数管理!$N$3:$N$98,"")+COUNTIFS(工数管理!$AK$3:$AK$98,J$1,工数管理!$O$3:$O$98,"&lt;="&amp;$H284,工数管理!$P$3:$P$98,"")+COUNTIFS(工数管理!$AK$3:$AK$98,J$1,工数管理!$Q$3:$Q$98,"&lt;="&amp;$H284,工数管理!$R$3:$R$98,"")+COUNTIFS(工数管理!$AK$3:$AK$98,J$1,工数管理!$S$3:$S$98,"&lt;="&amp;$H284,工数管理!$T$3:$T$98,"")+COUNTIFS(工数管理!$AK$3:$AK$98,J$1,工数管理!$U$3:$U$98,"&lt;="&amp;$H284,工数管理!$V$3:$V$98,"")+COUNTIFS(工数管理!$AK$3:$AK$98,J$1,工数管理!$W$3:$W$98,"&lt;="&amp;$H284,工数管理!$X$3:$X$98,"")+COUNTIFS(工数管理!$AK$3:$AK$98,J$1,工数管理!$Y$3:$Y$98,"&lt;="&amp;$H284,工数管理!$Z$3:$Z$98,"")+COUNTIFS(工数管理!$AK$3:$AK$98,J$1,工数管理!$AA$3:$AA$98,"&lt;="&amp;$H284,工数管理!$AB$3:$AB$98,"")+COUNTIFS(工数管理!$AK$3:$AK$98,J$1,工数管理!$AC$3:$AC$98,"&lt;="&amp;$H284,工数管理!$AD$3:$AD$98,"")+COUNTIFS(工数管理!$AK$3:$AK$98,J$1,工数管理!$AE$3:$AE$98,"&lt;="&amp;$H284,工数管理!$AF$3:$AF$98,"")+COUNTIFS(工数管理!$AK$3:$AK$98,J$1,工数管理!$AG$3:$AG$98,"&lt;="&amp;$H284,工数管理!$AH$3:$AH$98,""))*($H284&lt;=工数管理!$AI$1))</f>
        <v>0</v>
      </c>
      <c r="K284" s="42">
        <f ca="1">IF(K$1="",0,COUNTIFS(工数管理!$AK$3:$AK$98,K$1,工数管理!$K$3:$K$98,"&lt;="&amp;$H284,工数管理!$L$3:$L$98,"&gt;="&amp;$H284)+COUNTIFS(工数管理!$AK$3:$AK$98,K$1,工数管理!$M$3:$M$98,"&lt;="&amp;$H284,工数管理!$N$3:$N$98,"&gt;="&amp;$H284)+COUNTIFS(工数管理!$AK$3:$AK$98,K$1,工数管理!$O$3:$O$98,"&lt;="&amp;$H284,工数管理!$P$3:$P$98,"&gt;="&amp;$H284)+COUNTIFS(工数管理!$AK$3:$AK$98,K$1,工数管理!$Q$3:$Q$98,"&lt;="&amp;$H284,工数管理!$R$3:$R$98,"&gt;="&amp;$H284)+COUNTIFS(工数管理!$AK$3:$AK$98,K$1,工数管理!$S$3:$S$98,"&lt;="&amp;$H284,工数管理!$T$3:$T$98,"&gt;="&amp;$H284)+COUNTIFS(工数管理!$AK$3:$AK$98,K$1,工数管理!$U$3:$U$98,"&lt;="&amp;$H284,工数管理!$V$3:$V$98,"&gt;="&amp;$H284)+COUNTIFS(工数管理!$AK$3:$AK$98,K$1,工数管理!$W$3:$W$98,"&lt;="&amp;$H284,工数管理!$X$3:$X$98,"&gt;="&amp;$H284)+COUNTIFS(工数管理!$AK$3:$AK$98,K$1,工数管理!$Y$3:$Y$98,"&lt;="&amp;$H284,工数管理!$Z$3:$Z$98,"&gt;="&amp;$H284)+COUNTIFS(工数管理!$AK$3:$AK$98,K$1,工数管理!$AA$3:$AA$98,"&lt;="&amp;$H284,工数管理!$AB$3:$AB$98,"&gt;="&amp;$H284)+COUNTIFS(工数管理!$AK$3:$AK$98,K$1,工数管理!$AC$3:$AC$98,"&lt;="&amp;$H284,工数管理!$AD$3:$AD$98,"&gt;="&amp;$H284)+COUNTIFS(工数管理!$AK$3:$AK$98,K$1,工数管理!$AE$3:$AE$98,"&lt;="&amp;$H284,工数管理!$AF$3:$AF$98,"&gt;="&amp;$H284)+COUNTIFS(工数管理!$AK$3:$AK$98,K$1,工数管理!$AG$3:$AG$98,"&lt;="&amp;$H284,工数管理!$AH$3:$AH$98,"&gt;="&amp;$H284)+(COUNTIFS(工数管理!$AK$3:$AK$98,K$1,工数管理!$K$3:$K$98,"&lt;="&amp;$H284,工数管理!$L$3:$L$98,"")+COUNTIFS(工数管理!$AK$3:$AK$98,K$1,工数管理!$M$3:$M$98,"&lt;="&amp;$H284,工数管理!$N$3:$N$98,"")+COUNTIFS(工数管理!$AK$3:$AK$98,K$1,工数管理!$O$3:$O$98,"&lt;="&amp;$H284,工数管理!$P$3:$P$98,"")+COUNTIFS(工数管理!$AK$3:$AK$98,K$1,工数管理!$Q$3:$Q$98,"&lt;="&amp;$H284,工数管理!$R$3:$R$98,"")+COUNTIFS(工数管理!$AK$3:$AK$98,K$1,工数管理!$S$3:$S$98,"&lt;="&amp;$H284,工数管理!$T$3:$T$98,"")+COUNTIFS(工数管理!$AK$3:$AK$98,K$1,工数管理!$U$3:$U$98,"&lt;="&amp;$H284,工数管理!$V$3:$V$98,"")+COUNTIFS(工数管理!$AK$3:$AK$98,K$1,工数管理!$W$3:$W$98,"&lt;="&amp;$H284,工数管理!$X$3:$X$98,"")+COUNTIFS(工数管理!$AK$3:$AK$98,K$1,工数管理!$Y$3:$Y$98,"&lt;="&amp;$H284,工数管理!$Z$3:$Z$98,"")+COUNTIFS(工数管理!$AK$3:$AK$98,K$1,工数管理!$AA$3:$AA$98,"&lt;="&amp;$H284,工数管理!$AB$3:$AB$98,"")+COUNTIFS(工数管理!$AK$3:$AK$98,K$1,工数管理!$AC$3:$AC$98,"&lt;="&amp;$H284,工数管理!$AD$3:$AD$98,"")+COUNTIFS(工数管理!$AK$3:$AK$98,K$1,工数管理!$AE$3:$AE$98,"&lt;="&amp;$H284,工数管理!$AF$3:$AF$98,"")+COUNTIFS(工数管理!$AK$3:$AK$98,K$1,工数管理!$AG$3:$AG$98,"&lt;="&amp;$H284,工数管理!$AH$3:$AH$98,""))*($H284&lt;=工数管理!$AI$1))</f>
        <v>0</v>
      </c>
      <c r="L284" s="42">
        <f ca="1">IF(L$1="",0,COUNTIFS(工数管理!$AK$3:$AK$98,L$1,工数管理!$K$3:$K$98,"&lt;="&amp;$H284,工数管理!$L$3:$L$98,"&gt;="&amp;$H284)+COUNTIFS(工数管理!$AK$3:$AK$98,L$1,工数管理!$M$3:$M$98,"&lt;="&amp;$H284,工数管理!$N$3:$N$98,"&gt;="&amp;$H284)+COUNTIFS(工数管理!$AK$3:$AK$98,L$1,工数管理!$O$3:$O$98,"&lt;="&amp;$H284,工数管理!$P$3:$P$98,"&gt;="&amp;$H284)+COUNTIFS(工数管理!$AK$3:$AK$98,L$1,工数管理!$Q$3:$Q$98,"&lt;="&amp;$H284,工数管理!$R$3:$R$98,"&gt;="&amp;$H284)+COUNTIFS(工数管理!$AK$3:$AK$98,L$1,工数管理!$S$3:$S$98,"&lt;="&amp;$H284,工数管理!$T$3:$T$98,"&gt;="&amp;$H284)+COUNTIFS(工数管理!$AK$3:$AK$98,L$1,工数管理!$U$3:$U$98,"&lt;="&amp;$H284,工数管理!$V$3:$V$98,"&gt;="&amp;$H284)+COUNTIFS(工数管理!$AK$3:$AK$98,L$1,工数管理!$W$3:$W$98,"&lt;="&amp;$H284,工数管理!$X$3:$X$98,"&gt;="&amp;$H284)+COUNTIFS(工数管理!$AK$3:$AK$98,L$1,工数管理!$Y$3:$Y$98,"&lt;="&amp;$H284,工数管理!$Z$3:$Z$98,"&gt;="&amp;$H284)+COUNTIFS(工数管理!$AK$3:$AK$98,L$1,工数管理!$AA$3:$AA$98,"&lt;="&amp;$H284,工数管理!$AB$3:$AB$98,"&gt;="&amp;$H284)+COUNTIFS(工数管理!$AK$3:$AK$98,L$1,工数管理!$AC$3:$AC$98,"&lt;="&amp;$H284,工数管理!$AD$3:$AD$98,"&gt;="&amp;$H284)+COUNTIFS(工数管理!$AK$3:$AK$98,L$1,工数管理!$AE$3:$AE$98,"&lt;="&amp;$H284,工数管理!$AF$3:$AF$98,"&gt;="&amp;$H284)+COUNTIFS(工数管理!$AK$3:$AK$98,L$1,工数管理!$AG$3:$AG$98,"&lt;="&amp;$H284,工数管理!$AH$3:$AH$98,"&gt;="&amp;$H284)+(COUNTIFS(工数管理!$AK$3:$AK$98,L$1,工数管理!$K$3:$K$98,"&lt;="&amp;$H284,工数管理!$L$3:$L$98,"")+COUNTIFS(工数管理!$AK$3:$AK$98,L$1,工数管理!$M$3:$M$98,"&lt;="&amp;$H284,工数管理!$N$3:$N$98,"")+COUNTIFS(工数管理!$AK$3:$AK$98,L$1,工数管理!$O$3:$O$98,"&lt;="&amp;$H284,工数管理!$P$3:$P$98,"")+COUNTIFS(工数管理!$AK$3:$AK$98,L$1,工数管理!$Q$3:$Q$98,"&lt;="&amp;$H284,工数管理!$R$3:$R$98,"")+COUNTIFS(工数管理!$AK$3:$AK$98,L$1,工数管理!$S$3:$S$98,"&lt;="&amp;$H284,工数管理!$T$3:$T$98,"")+COUNTIFS(工数管理!$AK$3:$AK$98,L$1,工数管理!$U$3:$U$98,"&lt;="&amp;$H284,工数管理!$V$3:$V$98,"")+COUNTIFS(工数管理!$AK$3:$AK$98,L$1,工数管理!$W$3:$W$98,"&lt;="&amp;$H284,工数管理!$X$3:$X$98,"")+COUNTIFS(工数管理!$AK$3:$AK$98,L$1,工数管理!$Y$3:$Y$98,"&lt;="&amp;$H284,工数管理!$Z$3:$Z$98,"")+COUNTIFS(工数管理!$AK$3:$AK$98,L$1,工数管理!$AA$3:$AA$98,"&lt;="&amp;$H284,工数管理!$AB$3:$AB$98,"")+COUNTIFS(工数管理!$AK$3:$AK$98,L$1,工数管理!$AC$3:$AC$98,"&lt;="&amp;$H284,工数管理!$AD$3:$AD$98,"")+COUNTIFS(工数管理!$AK$3:$AK$98,L$1,工数管理!$AE$3:$AE$98,"&lt;="&amp;$H284,工数管理!$AF$3:$AF$98,"")+COUNTIFS(工数管理!$AK$3:$AK$98,L$1,工数管理!$AG$3:$AG$98,"&lt;="&amp;$H284,工数管理!$AH$3:$AH$98,""))*($H284&lt;=工数管理!$AI$1))</f>
        <v>0</v>
      </c>
    </row>
    <row r="285" spans="8:12" x14ac:dyDescent="0.15">
      <c r="H285" s="41">
        <f t="shared" si="9"/>
        <v>46453</v>
      </c>
      <c r="I285" s="42">
        <f t="shared" si="8"/>
        <v>0</v>
      </c>
      <c r="J285" s="42">
        <f ca="1">IF(J$1="",0,COUNTIFS(工数管理!$AK$3:$AK$98,J$1,工数管理!$K$3:$K$98,"&lt;="&amp;$H285,工数管理!$L$3:$L$98,"&gt;="&amp;$H285)+COUNTIFS(工数管理!$AK$3:$AK$98,J$1,工数管理!$M$3:$M$98,"&lt;="&amp;$H285,工数管理!$N$3:$N$98,"&gt;="&amp;$H285)+COUNTIFS(工数管理!$AK$3:$AK$98,J$1,工数管理!$O$3:$O$98,"&lt;="&amp;$H285,工数管理!$P$3:$P$98,"&gt;="&amp;$H285)+COUNTIFS(工数管理!$AK$3:$AK$98,J$1,工数管理!$Q$3:$Q$98,"&lt;="&amp;$H285,工数管理!$R$3:$R$98,"&gt;="&amp;$H285)+COUNTIFS(工数管理!$AK$3:$AK$98,J$1,工数管理!$S$3:$S$98,"&lt;="&amp;$H285,工数管理!$T$3:$T$98,"&gt;="&amp;$H285)+COUNTIFS(工数管理!$AK$3:$AK$98,J$1,工数管理!$U$3:$U$98,"&lt;="&amp;$H285,工数管理!$V$3:$V$98,"&gt;="&amp;$H285)+COUNTIFS(工数管理!$AK$3:$AK$98,J$1,工数管理!$W$3:$W$98,"&lt;="&amp;$H285,工数管理!$X$3:$X$98,"&gt;="&amp;$H285)+COUNTIFS(工数管理!$AK$3:$AK$98,J$1,工数管理!$Y$3:$Y$98,"&lt;="&amp;$H285,工数管理!$Z$3:$Z$98,"&gt;="&amp;$H285)+COUNTIFS(工数管理!$AK$3:$AK$98,J$1,工数管理!$AA$3:$AA$98,"&lt;="&amp;$H285,工数管理!$AB$3:$AB$98,"&gt;="&amp;$H285)+COUNTIFS(工数管理!$AK$3:$AK$98,J$1,工数管理!$AC$3:$AC$98,"&lt;="&amp;$H285,工数管理!$AD$3:$AD$98,"&gt;="&amp;$H285)+COUNTIFS(工数管理!$AK$3:$AK$98,J$1,工数管理!$AE$3:$AE$98,"&lt;="&amp;$H285,工数管理!$AF$3:$AF$98,"&gt;="&amp;$H285)+COUNTIFS(工数管理!$AK$3:$AK$98,J$1,工数管理!$AG$3:$AG$98,"&lt;="&amp;$H285,工数管理!$AH$3:$AH$98,"&gt;="&amp;$H285)+(COUNTIFS(工数管理!$AK$3:$AK$98,J$1,工数管理!$K$3:$K$98,"&lt;="&amp;$H285,工数管理!$L$3:$L$98,"")+COUNTIFS(工数管理!$AK$3:$AK$98,J$1,工数管理!$M$3:$M$98,"&lt;="&amp;$H285,工数管理!$N$3:$N$98,"")+COUNTIFS(工数管理!$AK$3:$AK$98,J$1,工数管理!$O$3:$O$98,"&lt;="&amp;$H285,工数管理!$P$3:$P$98,"")+COUNTIFS(工数管理!$AK$3:$AK$98,J$1,工数管理!$Q$3:$Q$98,"&lt;="&amp;$H285,工数管理!$R$3:$R$98,"")+COUNTIFS(工数管理!$AK$3:$AK$98,J$1,工数管理!$S$3:$S$98,"&lt;="&amp;$H285,工数管理!$T$3:$T$98,"")+COUNTIFS(工数管理!$AK$3:$AK$98,J$1,工数管理!$U$3:$U$98,"&lt;="&amp;$H285,工数管理!$V$3:$V$98,"")+COUNTIFS(工数管理!$AK$3:$AK$98,J$1,工数管理!$W$3:$W$98,"&lt;="&amp;$H285,工数管理!$X$3:$X$98,"")+COUNTIFS(工数管理!$AK$3:$AK$98,J$1,工数管理!$Y$3:$Y$98,"&lt;="&amp;$H285,工数管理!$Z$3:$Z$98,"")+COUNTIFS(工数管理!$AK$3:$AK$98,J$1,工数管理!$AA$3:$AA$98,"&lt;="&amp;$H285,工数管理!$AB$3:$AB$98,"")+COUNTIFS(工数管理!$AK$3:$AK$98,J$1,工数管理!$AC$3:$AC$98,"&lt;="&amp;$H285,工数管理!$AD$3:$AD$98,"")+COUNTIFS(工数管理!$AK$3:$AK$98,J$1,工数管理!$AE$3:$AE$98,"&lt;="&amp;$H285,工数管理!$AF$3:$AF$98,"")+COUNTIFS(工数管理!$AK$3:$AK$98,J$1,工数管理!$AG$3:$AG$98,"&lt;="&amp;$H285,工数管理!$AH$3:$AH$98,""))*($H285&lt;=工数管理!$AI$1))</f>
        <v>0</v>
      </c>
      <c r="K285" s="42">
        <f ca="1">IF(K$1="",0,COUNTIFS(工数管理!$AK$3:$AK$98,K$1,工数管理!$K$3:$K$98,"&lt;="&amp;$H285,工数管理!$L$3:$L$98,"&gt;="&amp;$H285)+COUNTIFS(工数管理!$AK$3:$AK$98,K$1,工数管理!$M$3:$M$98,"&lt;="&amp;$H285,工数管理!$N$3:$N$98,"&gt;="&amp;$H285)+COUNTIFS(工数管理!$AK$3:$AK$98,K$1,工数管理!$O$3:$O$98,"&lt;="&amp;$H285,工数管理!$P$3:$P$98,"&gt;="&amp;$H285)+COUNTIFS(工数管理!$AK$3:$AK$98,K$1,工数管理!$Q$3:$Q$98,"&lt;="&amp;$H285,工数管理!$R$3:$R$98,"&gt;="&amp;$H285)+COUNTIFS(工数管理!$AK$3:$AK$98,K$1,工数管理!$S$3:$S$98,"&lt;="&amp;$H285,工数管理!$T$3:$T$98,"&gt;="&amp;$H285)+COUNTIFS(工数管理!$AK$3:$AK$98,K$1,工数管理!$U$3:$U$98,"&lt;="&amp;$H285,工数管理!$V$3:$V$98,"&gt;="&amp;$H285)+COUNTIFS(工数管理!$AK$3:$AK$98,K$1,工数管理!$W$3:$W$98,"&lt;="&amp;$H285,工数管理!$X$3:$X$98,"&gt;="&amp;$H285)+COUNTIFS(工数管理!$AK$3:$AK$98,K$1,工数管理!$Y$3:$Y$98,"&lt;="&amp;$H285,工数管理!$Z$3:$Z$98,"&gt;="&amp;$H285)+COUNTIFS(工数管理!$AK$3:$AK$98,K$1,工数管理!$AA$3:$AA$98,"&lt;="&amp;$H285,工数管理!$AB$3:$AB$98,"&gt;="&amp;$H285)+COUNTIFS(工数管理!$AK$3:$AK$98,K$1,工数管理!$AC$3:$AC$98,"&lt;="&amp;$H285,工数管理!$AD$3:$AD$98,"&gt;="&amp;$H285)+COUNTIFS(工数管理!$AK$3:$AK$98,K$1,工数管理!$AE$3:$AE$98,"&lt;="&amp;$H285,工数管理!$AF$3:$AF$98,"&gt;="&amp;$H285)+COUNTIFS(工数管理!$AK$3:$AK$98,K$1,工数管理!$AG$3:$AG$98,"&lt;="&amp;$H285,工数管理!$AH$3:$AH$98,"&gt;="&amp;$H285)+(COUNTIFS(工数管理!$AK$3:$AK$98,K$1,工数管理!$K$3:$K$98,"&lt;="&amp;$H285,工数管理!$L$3:$L$98,"")+COUNTIFS(工数管理!$AK$3:$AK$98,K$1,工数管理!$M$3:$M$98,"&lt;="&amp;$H285,工数管理!$N$3:$N$98,"")+COUNTIFS(工数管理!$AK$3:$AK$98,K$1,工数管理!$O$3:$O$98,"&lt;="&amp;$H285,工数管理!$P$3:$P$98,"")+COUNTIFS(工数管理!$AK$3:$AK$98,K$1,工数管理!$Q$3:$Q$98,"&lt;="&amp;$H285,工数管理!$R$3:$R$98,"")+COUNTIFS(工数管理!$AK$3:$AK$98,K$1,工数管理!$S$3:$S$98,"&lt;="&amp;$H285,工数管理!$T$3:$T$98,"")+COUNTIFS(工数管理!$AK$3:$AK$98,K$1,工数管理!$U$3:$U$98,"&lt;="&amp;$H285,工数管理!$V$3:$V$98,"")+COUNTIFS(工数管理!$AK$3:$AK$98,K$1,工数管理!$W$3:$W$98,"&lt;="&amp;$H285,工数管理!$X$3:$X$98,"")+COUNTIFS(工数管理!$AK$3:$AK$98,K$1,工数管理!$Y$3:$Y$98,"&lt;="&amp;$H285,工数管理!$Z$3:$Z$98,"")+COUNTIFS(工数管理!$AK$3:$AK$98,K$1,工数管理!$AA$3:$AA$98,"&lt;="&amp;$H285,工数管理!$AB$3:$AB$98,"")+COUNTIFS(工数管理!$AK$3:$AK$98,K$1,工数管理!$AC$3:$AC$98,"&lt;="&amp;$H285,工数管理!$AD$3:$AD$98,"")+COUNTIFS(工数管理!$AK$3:$AK$98,K$1,工数管理!$AE$3:$AE$98,"&lt;="&amp;$H285,工数管理!$AF$3:$AF$98,"")+COUNTIFS(工数管理!$AK$3:$AK$98,K$1,工数管理!$AG$3:$AG$98,"&lt;="&amp;$H285,工数管理!$AH$3:$AH$98,""))*($H285&lt;=工数管理!$AI$1))</f>
        <v>0</v>
      </c>
      <c r="L285" s="42">
        <f ca="1">IF(L$1="",0,COUNTIFS(工数管理!$AK$3:$AK$98,L$1,工数管理!$K$3:$K$98,"&lt;="&amp;$H285,工数管理!$L$3:$L$98,"&gt;="&amp;$H285)+COUNTIFS(工数管理!$AK$3:$AK$98,L$1,工数管理!$M$3:$M$98,"&lt;="&amp;$H285,工数管理!$N$3:$N$98,"&gt;="&amp;$H285)+COUNTIFS(工数管理!$AK$3:$AK$98,L$1,工数管理!$O$3:$O$98,"&lt;="&amp;$H285,工数管理!$P$3:$P$98,"&gt;="&amp;$H285)+COUNTIFS(工数管理!$AK$3:$AK$98,L$1,工数管理!$Q$3:$Q$98,"&lt;="&amp;$H285,工数管理!$R$3:$R$98,"&gt;="&amp;$H285)+COUNTIFS(工数管理!$AK$3:$AK$98,L$1,工数管理!$S$3:$S$98,"&lt;="&amp;$H285,工数管理!$T$3:$T$98,"&gt;="&amp;$H285)+COUNTIFS(工数管理!$AK$3:$AK$98,L$1,工数管理!$U$3:$U$98,"&lt;="&amp;$H285,工数管理!$V$3:$V$98,"&gt;="&amp;$H285)+COUNTIFS(工数管理!$AK$3:$AK$98,L$1,工数管理!$W$3:$W$98,"&lt;="&amp;$H285,工数管理!$X$3:$X$98,"&gt;="&amp;$H285)+COUNTIFS(工数管理!$AK$3:$AK$98,L$1,工数管理!$Y$3:$Y$98,"&lt;="&amp;$H285,工数管理!$Z$3:$Z$98,"&gt;="&amp;$H285)+COUNTIFS(工数管理!$AK$3:$AK$98,L$1,工数管理!$AA$3:$AA$98,"&lt;="&amp;$H285,工数管理!$AB$3:$AB$98,"&gt;="&amp;$H285)+COUNTIFS(工数管理!$AK$3:$AK$98,L$1,工数管理!$AC$3:$AC$98,"&lt;="&amp;$H285,工数管理!$AD$3:$AD$98,"&gt;="&amp;$H285)+COUNTIFS(工数管理!$AK$3:$AK$98,L$1,工数管理!$AE$3:$AE$98,"&lt;="&amp;$H285,工数管理!$AF$3:$AF$98,"&gt;="&amp;$H285)+COUNTIFS(工数管理!$AK$3:$AK$98,L$1,工数管理!$AG$3:$AG$98,"&lt;="&amp;$H285,工数管理!$AH$3:$AH$98,"&gt;="&amp;$H285)+(COUNTIFS(工数管理!$AK$3:$AK$98,L$1,工数管理!$K$3:$K$98,"&lt;="&amp;$H285,工数管理!$L$3:$L$98,"")+COUNTIFS(工数管理!$AK$3:$AK$98,L$1,工数管理!$M$3:$M$98,"&lt;="&amp;$H285,工数管理!$N$3:$N$98,"")+COUNTIFS(工数管理!$AK$3:$AK$98,L$1,工数管理!$O$3:$O$98,"&lt;="&amp;$H285,工数管理!$P$3:$P$98,"")+COUNTIFS(工数管理!$AK$3:$AK$98,L$1,工数管理!$Q$3:$Q$98,"&lt;="&amp;$H285,工数管理!$R$3:$R$98,"")+COUNTIFS(工数管理!$AK$3:$AK$98,L$1,工数管理!$S$3:$S$98,"&lt;="&amp;$H285,工数管理!$T$3:$T$98,"")+COUNTIFS(工数管理!$AK$3:$AK$98,L$1,工数管理!$U$3:$U$98,"&lt;="&amp;$H285,工数管理!$V$3:$V$98,"")+COUNTIFS(工数管理!$AK$3:$AK$98,L$1,工数管理!$W$3:$W$98,"&lt;="&amp;$H285,工数管理!$X$3:$X$98,"")+COUNTIFS(工数管理!$AK$3:$AK$98,L$1,工数管理!$Y$3:$Y$98,"&lt;="&amp;$H285,工数管理!$Z$3:$Z$98,"")+COUNTIFS(工数管理!$AK$3:$AK$98,L$1,工数管理!$AA$3:$AA$98,"&lt;="&amp;$H285,工数管理!$AB$3:$AB$98,"")+COUNTIFS(工数管理!$AK$3:$AK$98,L$1,工数管理!$AC$3:$AC$98,"&lt;="&amp;$H285,工数管理!$AD$3:$AD$98,"")+COUNTIFS(工数管理!$AK$3:$AK$98,L$1,工数管理!$AE$3:$AE$98,"&lt;="&amp;$H285,工数管理!$AF$3:$AF$98,"")+COUNTIFS(工数管理!$AK$3:$AK$98,L$1,工数管理!$AG$3:$AG$98,"&lt;="&amp;$H285,工数管理!$AH$3:$AH$98,""))*($H285&lt;=工数管理!$AI$1))</f>
        <v>0</v>
      </c>
    </row>
    <row r="286" spans="8:12" x14ac:dyDescent="0.15">
      <c r="H286" s="41">
        <f t="shared" si="9"/>
        <v>46454</v>
      </c>
      <c r="I286" s="42">
        <f t="shared" si="8"/>
        <v>1</v>
      </c>
      <c r="J286" s="42">
        <f ca="1">IF(J$1="",0,COUNTIFS(工数管理!$AK$3:$AK$98,J$1,工数管理!$K$3:$K$98,"&lt;="&amp;$H286,工数管理!$L$3:$L$98,"&gt;="&amp;$H286)+COUNTIFS(工数管理!$AK$3:$AK$98,J$1,工数管理!$M$3:$M$98,"&lt;="&amp;$H286,工数管理!$N$3:$N$98,"&gt;="&amp;$H286)+COUNTIFS(工数管理!$AK$3:$AK$98,J$1,工数管理!$O$3:$O$98,"&lt;="&amp;$H286,工数管理!$P$3:$P$98,"&gt;="&amp;$H286)+COUNTIFS(工数管理!$AK$3:$AK$98,J$1,工数管理!$Q$3:$Q$98,"&lt;="&amp;$H286,工数管理!$R$3:$R$98,"&gt;="&amp;$H286)+COUNTIFS(工数管理!$AK$3:$AK$98,J$1,工数管理!$S$3:$S$98,"&lt;="&amp;$H286,工数管理!$T$3:$T$98,"&gt;="&amp;$H286)+COUNTIFS(工数管理!$AK$3:$AK$98,J$1,工数管理!$U$3:$U$98,"&lt;="&amp;$H286,工数管理!$V$3:$V$98,"&gt;="&amp;$H286)+COUNTIFS(工数管理!$AK$3:$AK$98,J$1,工数管理!$W$3:$W$98,"&lt;="&amp;$H286,工数管理!$X$3:$X$98,"&gt;="&amp;$H286)+COUNTIFS(工数管理!$AK$3:$AK$98,J$1,工数管理!$Y$3:$Y$98,"&lt;="&amp;$H286,工数管理!$Z$3:$Z$98,"&gt;="&amp;$H286)+COUNTIFS(工数管理!$AK$3:$AK$98,J$1,工数管理!$AA$3:$AA$98,"&lt;="&amp;$H286,工数管理!$AB$3:$AB$98,"&gt;="&amp;$H286)+COUNTIFS(工数管理!$AK$3:$AK$98,J$1,工数管理!$AC$3:$AC$98,"&lt;="&amp;$H286,工数管理!$AD$3:$AD$98,"&gt;="&amp;$H286)+COUNTIFS(工数管理!$AK$3:$AK$98,J$1,工数管理!$AE$3:$AE$98,"&lt;="&amp;$H286,工数管理!$AF$3:$AF$98,"&gt;="&amp;$H286)+COUNTIFS(工数管理!$AK$3:$AK$98,J$1,工数管理!$AG$3:$AG$98,"&lt;="&amp;$H286,工数管理!$AH$3:$AH$98,"&gt;="&amp;$H286)+(COUNTIFS(工数管理!$AK$3:$AK$98,J$1,工数管理!$K$3:$K$98,"&lt;="&amp;$H286,工数管理!$L$3:$L$98,"")+COUNTIFS(工数管理!$AK$3:$AK$98,J$1,工数管理!$M$3:$M$98,"&lt;="&amp;$H286,工数管理!$N$3:$N$98,"")+COUNTIFS(工数管理!$AK$3:$AK$98,J$1,工数管理!$O$3:$O$98,"&lt;="&amp;$H286,工数管理!$P$3:$P$98,"")+COUNTIFS(工数管理!$AK$3:$AK$98,J$1,工数管理!$Q$3:$Q$98,"&lt;="&amp;$H286,工数管理!$R$3:$R$98,"")+COUNTIFS(工数管理!$AK$3:$AK$98,J$1,工数管理!$S$3:$S$98,"&lt;="&amp;$H286,工数管理!$T$3:$T$98,"")+COUNTIFS(工数管理!$AK$3:$AK$98,J$1,工数管理!$U$3:$U$98,"&lt;="&amp;$H286,工数管理!$V$3:$V$98,"")+COUNTIFS(工数管理!$AK$3:$AK$98,J$1,工数管理!$W$3:$W$98,"&lt;="&amp;$H286,工数管理!$X$3:$X$98,"")+COUNTIFS(工数管理!$AK$3:$AK$98,J$1,工数管理!$Y$3:$Y$98,"&lt;="&amp;$H286,工数管理!$Z$3:$Z$98,"")+COUNTIFS(工数管理!$AK$3:$AK$98,J$1,工数管理!$AA$3:$AA$98,"&lt;="&amp;$H286,工数管理!$AB$3:$AB$98,"")+COUNTIFS(工数管理!$AK$3:$AK$98,J$1,工数管理!$AC$3:$AC$98,"&lt;="&amp;$H286,工数管理!$AD$3:$AD$98,"")+COUNTIFS(工数管理!$AK$3:$AK$98,J$1,工数管理!$AE$3:$AE$98,"&lt;="&amp;$H286,工数管理!$AF$3:$AF$98,"")+COUNTIFS(工数管理!$AK$3:$AK$98,J$1,工数管理!$AG$3:$AG$98,"&lt;="&amp;$H286,工数管理!$AH$3:$AH$98,""))*($H286&lt;=工数管理!$AI$1))</f>
        <v>0</v>
      </c>
      <c r="K286" s="42">
        <f ca="1">IF(K$1="",0,COUNTIFS(工数管理!$AK$3:$AK$98,K$1,工数管理!$K$3:$K$98,"&lt;="&amp;$H286,工数管理!$L$3:$L$98,"&gt;="&amp;$H286)+COUNTIFS(工数管理!$AK$3:$AK$98,K$1,工数管理!$M$3:$M$98,"&lt;="&amp;$H286,工数管理!$N$3:$N$98,"&gt;="&amp;$H286)+COUNTIFS(工数管理!$AK$3:$AK$98,K$1,工数管理!$O$3:$O$98,"&lt;="&amp;$H286,工数管理!$P$3:$P$98,"&gt;="&amp;$H286)+COUNTIFS(工数管理!$AK$3:$AK$98,K$1,工数管理!$Q$3:$Q$98,"&lt;="&amp;$H286,工数管理!$R$3:$R$98,"&gt;="&amp;$H286)+COUNTIFS(工数管理!$AK$3:$AK$98,K$1,工数管理!$S$3:$S$98,"&lt;="&amp;$H286,工数管理!$T$3:$T$98,"&gt;="&amp;$H286)+COUNTIFS(工数管理!$AK$3:$AK$98,K$1,工数管理!$U$3:$U$98,"&lt;="&amp;$H286,工数管理!$V$3:$V$98,"&gt;="&amp;$H286)+COUNTIFS(工数管理!$AK$3:$AK$98,K$1,工数管理!$W$3:$W$98,"&lt;="&amp;$H286,工数管理!$X$3:$X$98,"&gt;="&amp;$H286)+COUNTIFS(工数管理!$AK$3:$AK$98,K$1,工数管理!$Y$3:$Y$98,"&lt;="&amp;$H286,工数管理!$Z$3:$Z$98,"&gt;="&amp;$H286)+COUNTIFS(工数管理!$AK$3:$AK$98,K$1,工数管理!$AA$3:$AA$98,"&lt;="&amp;$H286,工数管理!$AB$3:$AB$98,"&gt;="&amp;$H286)+COUNTIFS(工数管理!$AK$3:$AK$98,K$1,工数管理!$AC$3:$AC$98,"&lt;="&amp;$H286,工数管理!$AD$3:$AD$98,"&gt;="&amp;$H286)+COUNTIFS(工数管理!$AK$3:$AK$98,K$1,工数管理!$AE$3:$AE$98,"&lt;="&amp;$H286,工数管理!$AF$3:$AF$98,"&gt;="&amp;$H286)+COUNTIFS(工数管理!$AK$3:$AK$98,K$1,工数管理!$AG$3:$AG$98,"&lt;="&amp;$H286,工数管理!$AH$3:$AH$98,"&gt;="&amp;$H286)+(COUNTIFS(工数管理!$AK$3:$AK$98,K$1,工数管理!$K$3:$K$98,"&lt;="&amp;$H286,工数管理!$L$3:$L$98,"")+COUNTIFS(工数管理!$AK$3:$AK$98,K$1,工数管理!$M$3:$M$98,"&lt;="&amp;$H286,工数管理!$N$3:$N$98,"")+COUNTIFS(工数管理!$AK$3:$AK$98,K$1,工数管理!$O$3:$O$98,"&lt;="&amp;$H286,工数管理!$P$3:$P$98,"")+COUNTIFS(工数管理!$AK$3:$AK$98,K$1,工数管理!$Q$3:$Q$98,"&lt;="&amp;$H286,工数管理!$R$3:$R$98,"")+COUNTIFS(工数管理!$AK$3:$AK$98,K$1,工数管理!$S$3:$S$98,"&lt;="&amp;$H286,工数管理!$T$3:$T$98,"")+COUNTIFS(工数管理!$AK$3:$AK$98,K$1,工数管理!$U$3:$U$98,"&lt;="&amp;$H286,工数管理!$V$3:$V$98,"")+COUNTIFS(工数管理!$AK$3:$AK$98,K$1,工数管理!$W$3:$W$98,"&lt;="&amp;$H286,工数管理!$X$3:$X$98,"")+COUNTIFS(工数管理!$AK$3:$AK$98,K$1,工数管理!$Y$3:$Y$98,"&lt;="&amp;$H286,工数管理!$Z$3:$Z$98,"")+COUNTIFS(工数管理!$AK$3:$AK$98,K$1,工数管理!$AA$3:$AA$98,"&lt;="&amp;$H286,工数管理!$AB$3:$AB$98,"")+COUNTIFS(工数管理!$AK$3:$AK$98,K$1,工数管理!$AC$3:$AC$98,"&lt;="&amp;$H286,工数管理!$AD$3:$AD$98,"")+COUNTIFS(工数管理!$AK$3:$AK$98,K$1,工数管理!$AE$3:$AE$98,"&lt;="&amp;$H286,工数管理!$AF$3:$AF$98,"")+COUNTIFS(工数管理!$AK$3:$AK$98,K$1,工数管理!$AG$3:$AG$98,"&lt;="&amp;$H286,工数管理!$AH$3:$AH$98,""))*($H286&lt;=工数管理!$AI$1))</f>
        <v>0</v>
      </c>
      <c r="L286" s="42">
        <f ca="1">IF(L$1="",0,COUNTIFS(工数管理!$AK$3:$AK$98,L$1,工数管理!$K$3:$K$98,"&lt;="&amp;$H286,工数管理!$L$3:$L$98,"&gt;="&amp;$H286)+COUNTIFS(工数管理!$AK$3:$AK$98,L$1,工数管理!$M$3:$M$98,"&lt;="&amp;$H286,工数管理!$N$3:$N$98,"&gt;="&amp;$H286)+COUNTIFS(工数管理!$AK$3:$AK$98,L$1,工数管理!$O$3:$O$98,"&lt;="&amp;$H286,工数管理!$P$3:$P$98,"&gt;="&amp;$H286)+COUNTIFS(工数管理!$AK$3:$AK$98,L$1,工数管理!$Q$3:$Q$98,"&lt;="&amp;$H286,工数管理!$R$3:$R$98,"&gt;="&amp;$H286)+COUNTIFS(工数管理!$AK$3:$AK$98,L$1,工数管理!$S$3:$S$98,"&lt;="&amp;$H286,工数管理!$T$3:$T$98,"&gt;="&amp;$H286)+COUNTIFS(工数管理!$AK$3:$AK$98,L$1,工数管理!$U$3:$U$98,"&lt;="&amp;$H286,工数管理!$V$3:$V$98,"&gt;="&amp;$H286)+COUNTIFS(工数管理!$AK$3:$AK$98,L$1,工数管理!$W$3:$W$98,"&lt;="&amp;$H286,工数管理!$X$3:$X$98,"&gt;="&amp;$H286)+COUNTIFS(工数管理!$AK$3:$AK$98,L$1,工数管理!$Y$3:$Y$98,"&lt;="&amp;$H286,工数管理!$Z$3:$Z$98,"&gt;="&amp;$H286)+COUNTIFS(工数管理!$AK$3:$AK$98,L$1,工数管理!$AA$3:$AA$98,"&lt;="&amp;$H286,工数管理!$AB$3:$AB$98,"&gt;="&amp;$H286)+COUNTIFS(工数管理!$AK$3:$AK$98,L$1,工数管理!$AC$3:$AC$98,"&lt;="&amp;$H286,工数管理!$AD$3:$AD$98,"&gt;="&amp;$H286)+COUNTIFS(工数管理!$AK$3:$AK$98,L$1,工数管理!$AE$3:$AE$98,"&lt;="&amp;$H286,工数管理!$AF$3:$AF$98,"&gt;="&amp;$H286)+COUNTIFS(工数管理!$AK$3:$AK$98,L$1,工数管理!$AG$3:$AG$98,"&lt;="&amp;$H286,工数管理!$AH$3:$AH$98,"&gt;="&amp;$H286)+(COUNTIFS(工数管理!$AK$3:$AK$98,L$1,工数管理!$K$3:$K$98,"&lt;="&amp;$H286,工数管理!$L$3:$L$98,"")+COUNTIFS(工数管理!$AK$3:$AK$98,L$1,工数管理!$M$3:$M$98,"&lt;="&amp;$H286,工数管理!$N$3:$N$98,"")+COUNTIFS(工数管理!$AK$3:$AK$98,L$1,工数管理!$O$3:$O$98,"&lt;="&amp;$H286,工数管理!$P$3:$P$98,"")+COUNTIFS(工数管理!$AK$3:$AK$98,L$1,工数管理!$Q$3:$Q$98,"&lt;="&amp;$H286,工数管理!$R$3:$R$98,"")+COUNTIFS(工数管理!$AK$3:$AK$98,L$1,工数管理!$S$3:$S$98,"&lt;="&amp;$H286,工数管理!$T$3:$T$98,"")+COUNTIFS(工数管理!$AK$3:$AK$98,L$1,工数管理!$U$3:$U$98,"&lt;="&amp;$H286,工数管理!$V$3:$V$98,"")+COUNTIFS(工数管理!$AK$3:$AK$98,L$1,工数管理!$W$3:$W$98,"&lt;="&amp;$H286,工数管理!$X$3:$X$98,"")+COUNTIFS(工数管理!$AK$3:$AK$98,L$1,工数管理!$Y$3:$Y$98,"&lt;="&amp;$H286,工数管理!$Z$3:$Z$98,"")+COUNTIFS(工数管理!$AK$3:$AK$98,L$1,工数管理!$AA$3:$AA$98,"&lt;="&amp;$H286,工数管理!$AB$3:$AB$98,"")+COUNTIFS(工数管理!$AK$3:$AK$98,L$1,工数管理!$AC$3:$AC$98,"&lt;="&amp;$H286,工数管理!$AD$3:$AD$98,"")+COUNTIFS(工数管理!$AK$3:$AK$98,L$1,工数管理!$AE$3:$AE$98,"&lt;="&amp;$H286,工数管理!$AF$3:$AF$98,"")+COUNTIFS(工数管理!$AK$3:$AK$98,L$1,工数管理!$AG$3:$AG$98,"&lt;="&amp;$H286,工数管理!$AH$3:$AH$98,""))*($H286&lt;=工数管理!$AI$1))</f>
        <v>0</v>
      </c>
    </row>
    <row r="287" spans="8:12" x14ac:dyDescent="0.15">
      <c r="H287" s="41">
        <f t="shared" si="9"/>
        <v>46455</v>
      </c>
      <c r="I287" s="42">
        <f t="shared" si="8"/>
        <v>1</v>
      </c>
      <c r="J287" s="42">
        <f ca="1">IF(J$1="",0,COUNTIFS(工数管理!$AK$3:$AK$98,J$1,工数管理!$K$3:$K$98,"&lt;="&amp;$H287,工数管理!$L$3:$L$98,"&gt;="&amp;$H287)+COUNTIFS(工数管理!$AK$3:$AK$98,J$1,工数管理!$M$3:$M$98,"&lt;="&amp;$H287,工数管理!$N$3:$N$98,"&gt;="&amp;$H287)+COUNTIFS(工数管理!$AK$3:$AK$98,J$1,工数管理!$O$3:$O$98,"&lt;="&amp;$H287,工数管理!$P$3:$P$98,"&gt;="&amp;$H287)+COUNTIFS(工数管理!$AK$3:$AK$98,J$1,工数管理!$Q$3:$Q$98,"&lt;="&amp;$H287,工数管理!$R$3:$R$98,"&gt;="&amp;$H287)+COUNTIFS(工数管理!$AK$3:$AK$98,J$1,工数管理!$S$3:$S$98,"&lt;="&amp;$H287,工数管理!$T$3:$T$98,"&gt;="&amp;$H287)+COUNTIFS(工数管理!$AK$3:$AK$98,J$1,工数管理!$U$3:$U$98,"&lt;="&amp;$H287,工数管理!$V$3:$V$98,"&gt;="&amp;$H287)+COUNTIFS(工数管理!$AK$3:$AK$98,J$1,工数管理!$W$3:$W$98,"&lt;="&amp;$H287,工数管理!$X$3:$X$98,"&gt;="&amp;$H287)+COUNTIFS(工数管理!$AK$3:$AK$98,J$1,工数管理!$Y$3:$Y$98,"&lt;="&amp;$H287,工数管理!$Z$3:$Z$98,"&gt;="&amp;$H287)+COUNTIFS(工数管理!$AK$3:$AK$98,J$1,工数管理!$AA$3:$AA$98,"&lt;="&amp;$H287,工数管理!$AB$3:$AB$98,"&gt;="&amp;$H287)+COUNTIFS(工数管理!$AK$3:$AK$98,J$1,工数管理!$AC$3:$AC$98,"&lt;="&amp;$H287,工数管理!$AD$3:$AD$98,"&gt;="&amp;$H287)+COUNTIFS(工数管理!$AK$3:$AK$98,J$1,工数管理!$AE$3:$AE$98,"&lt;="&amp;$H287,工数管理!$AF$3:$AF$98,"&gt;="&amp;$H287)+COUNTIFS(工数管理!$AK$3:$AK$98,J$1,工数管理!$AG$3:$AG$98,"&lt;="&amp;$H287,工数管理!$AH$3:$AH$98,"&gt;="&amp;$H287)+(COUNTIFS(工数管理!$AK$3:$AK$98,J$1,工数管理!$K$3:$K$98,"&lt;="&amp;$H287,工数管理!$L$3:$L$98,"")+COUNTIFS(工数管理!$AK$3:$AK$98,J$1,工数管理!$M$3:$M$98,"&lt;="&amp;$H287,工数管理!$N$3:$N$98,"")+COUNTIFS(工数管理!$AK$3:$AK$98,J$1,工数管理!$O$3:$O$98,"&lt;="&amp;$H287,工数管理!$P$3:$P$98,"")+COUNTIFS(工数管理!$AK$3:$AK$98,J$1,工数管理!$Q$3:$Q$98,"&lt;="&amp;$H287,工数管理!$R$3:$R$98,"")+COUNTIFS(工数管理!$AK$3:$AK$98,J$1,工数管理!$S$3:$S$98,"&lt;="&amp;$H287,工数管理!$T$3:$T$98,"")+COUNTIFS(工数管理!$AK$3:$AK$98,J$1,工数管理!$U$3:$U$98,"&lt;="&amp;$H287,工数管理!$V$3:$V$98,"")+COUNTIFS(工数管理!$AK$3:$AK$98,J$1,工数管理!$W$3:$W$98,"&lt;="&amp;$H287,工数管理!$X$3:$X$98,"")+COUNTIFS(工数管理!$AK$3:$AK$98,J$1,工数管理!$Y$3:$Y$98,"&lt;="&amp;$H287,工数管理!$Z$3:$Z$98,"")+COUNTIFS(工数管理!$AK$3:$AK$98,J$1,工数管理!$AA$3:$AA$98,"&lt;="&amp;$H287,工数管理!$AB$3:$AB$98,"")+COUNTIFS(工数管理!$AK$3:$AK$98,J$1,工数管理!$AC$3:$AC$98,"&lt;="&amp;$H287,工数管理!$AD$3:$AD$98,"")+COUNTIFS(工数管理!$AK$3:$AK$98,J$1,工数管理!$AE$3:$AE$98,"&lt;="&amp;$H287,工数管理!$AF$3:$AF$98,"")+COUNTIFS(工数管理!$AK$3:$AK$98,J$1,工数管理!$AG$3:$AG$98,"&lt;="&amp;$H287,工数管理!$AH$3:$AH$98,""))*($H287&lt;=工数管理!$AI$1))</f>
        <v>0</v>
      </c>
      <c r="K287" s="42">
        <f ca="1">IF(K$1="",0,COUNTIFS(工数管理!$AK$3:$AK$98,K$1,工数管理!$K$3:$K$98,"&lt;="&amp;$H287,工数管理!$L$3:$L$98,"&gt;="&amp;$H287)+COUNTIFS(工数管理!$AK$3:$AK$98,K$1,工数管理!$M$3:$M$98,"&lt;="&amp;$H287,工数管理!$N$3:$N$98,"&gt;="&amp;$H287)+COUNTIFS(工数管理!$AK$3:$AK$98,K$1,工数管理!$O$3:$O$98,"&lt;="&amp;$H287,工数管理!$P$3:$P$98,"&gt;="&amp;$H287)+COUNTIFS(工数管理!$AK$3:$AK$98,K$1,工数管理!$Q$3:$Q$98,"&lt;="&amp;$H287,工数管理!$R$3:$R$98,"&gt;="&amp;$H287)+COUNTIFS(工数管理!$AK$3:$AK$98,K$1,工数管理!$S$3:$S$98,"&lt;="&amp;$H287,工数管理!$T$3:$T$98,"&gt;="&amp;$H287)+COUNTIFS(工数管理!$AK$3:$AK$98,K$1,工数管理!$U$3:$U$98,"&lt;="&amp;$H287,工数管理!$V$3:$V$98,"&gt;="&amp;$H287)+COUNTIFS(工数管理!$AK$3:$AK$98,K$1,工数管理!$W$3:$W$98,"&lt;="&amp;$H287,工数管理!$X$3:$X$98,"&gt;="&amp;$H287)+COUNTIFS(工数管理!$AK$3:$AK$98,K$1,工数管理!$Y$3:$Y$98,"&lt;="&amp;$H287,工数管理!$Z$3:$Z$98,"&gt;="&amp;$H287)+COUNTIFS(工数管理!$AK$3:$AK$98,K$1,工数管理!$AA$3:$AA$98,"&lt;="&amp;$H287,工数管理!$AB$3:$AB$98,"&gt;="&amp;$H287)+COUNTIFS(工数管理!$AK$3:$AK$98,K$1,工数管理!$AC$3:$AC$98,"&lt;="&amp;$H287,工数管理!$AD$3:$AD$98,"&gt;="&amp;$H287)+COUNTIFS(工数管理!$AK$3:$AK$98,K$1,工数管理!$AE$3:$AE$98,"&lt;="&amp;$H287,工数管理!$AF$3:$AF$98,"&gt;="&amp;$H287)+COUNTIFS(工数管理!$AK$3:$AK$98,K$1,工数管理!$AG$3:$AG$98,"&lt;="&amp;$H287,工数管理!$AH$3:$AH$98,"&gt;="&amp;$H287)+(COUNTIFS(工数管理!$AK$3:$AK$98,K$1,工数管理!$K$3:$K$98,"&lt;="&amp;$H287,工数管理!$L$3:$L$98,"")+COUNTIFS(工数管理!$AK$3:$AK$98,K$1,工数管理!$M$3:$M$98,"&lt;="&amp;$H287,工数管理!$N$3:$N$98,"")+COUNTIFS(工数管理!$AK$3:$AK$98,K$1,工数管理!$O$3:$O$98,"&lt;="&amp;$H287,工数管理!$P$3:$P$98,"")+COUNTIFS(工数管理!$AK$3:$AK$98,K$1,工数管理!$Q$3:$Q$98,"&lt;="&amp;$H287,工数管理!$R$3:$R$98,"")+COUNTIFS(工数管理!$AK$3:$AK$98,K$1,工数管理!$S$3:$S$98,"&lt;="&amp;$H287,工数管理!$T$3:$T$98,"")+COUNTIFS(工数管理!$AK$3:$AK$98,K$1,工数管理!$U$3:$U$98,"&lt;="&amp;$H287,工数管理!$V$3:$V$98,"")+COUNTIFS(工数管理!$AK$3:$AK$98,K$1,工数管理!$W$3:$W$98,"&lt;="&amp;$H287,工数管理!$X$3:$X$98,"")+COUNTIFS(工数管理!$AK$3:$AK$98,K$1,工数管理!$Y$3:$Y$98,"&lt;="&amp;$H287,工数管理!$Z$3:$Z$98,"")+COUNTIFS(工数管理!$AK$3:$AK$98,K$1,工数管理!$AA$3:$AA$98,"&lt;="&amp;$H287,工数管理!$AB$3:$AB$98,"")+COUNTIFS(工数管理!$AK$3:$AK$98,K$1,工数管理!$AC$3:$AC$98,"&lt;="&amp;$H287,工数管理!$AD$3:$AD$98,"")+COUNTIFS(工数管理!$AK$3:$AK$98,K$1,工数管理!$AE$3:$AE$98,"&lt;="&amp;$H287,工数管理!$AF$3:$AF$98,"")+COUNTIFS(工数管理!$AK$3:$AK$98,K$1,工数管理!$AG$3:$AG$98,"&lt;="&amp;$H287,工数管理!$AH$3:$AH$98,""))*($H287&lt;=工数管理!$AI$1))</f>
        <v>0</v>
      </c>
      <c r="L287" s="42">
        <f ca="1">IF(L$1="",0,COUNTIFS(工数管理!$AK$3:$AK$98,L$1,工数管理!$K$3:$K$98,"&lt;="&amp;$H287,工数管理!$L$3:$L$98,"&gt;="&amp;$H287)+COUNTIFS(工数管理!$AK$3:$AK$98,L$1,工数管理!$M$3:$M$98,"&lt;="&amp;$H287,工数管理!$N$3:$N$98,"&gt;="&amp;$H287)+COUNTIFS(工数管理!$AK$3:$AK$98,L$1,工数管理!$O$3:$O$98,"&lt;="&amp;$H287,工数管理!$P$3:$P$98,"&gt;="&amp;$H287)+COUNTIFS(工数管理!$AK$3:$AK$98,L$1,工数管理!$Q$3:$Q$98,"&lt;="&amp;$H287,工数管理!$R$3:$R$98,"&gt;="&amp;$H287)+COUNTIFS(工数管理!$AK$3:$AK$98,L$1,工数管理!$S$3:$S$98,"&lt;="&amp;$H287,工数管理!$T$3:$T$98,"&gt;="&amp;$H287)+COUNTIFS(工数管理!$AK$3:$AK$98,L$1,工数管理!$U$3:$U$98,"&lt;="&amp;$H287,工数管理!$V$3:$V$98,"&gt;="&amp;$H287)+COUNTIFS(工数管理!$AK$3:$AK$98,L$1,工数管理!$W$3:$W$98,"&lt;="&amp;$H287,工数管理!$X$3:$X$98,"&gt;="&amp;$H287)+COUNTIFS(工数管理!$AK$3:$AK$98,L$1,工数管理!$Y$3:$Y$98,"&lt;="&amp;$H287,工数管理!$Z$3:$Z$98,"&gt;="&amp;$H287)+COUNTIFS(工数管理!$AK$3:$AK$98,L$1,工数管理!$AA$3:$AA$98,"&lt;="&amp;$H287,工数管理!$AB$3:$AB$98,"&gt;="&amp;$H287)+COUNTIFS(工数管理!$AK$3:$AK$98,L$1,工数管理!$AC$3:$AC$98,"&lt;="&amp;$H287,工数管理!$AD$3:$AD$98,"&gt;="&amp;$H287)+COUNTIFS(工数管理!$AK$3:$AK$98,L$1,工数管理!$AE$3:$AE$98,"&lt;="&amp;$H287,工数管理!$AF$3:$AF$98,"&gt;="&amp;$H287)+COUNTIFS(工数管理!$AK$3:$AK$98,L$1,工数管理!$AG$3:$AG$98,"&lt;="&amp;$H287,工数管理!$AH$3:$AH$98,"&gt;="&amp;$H287)+(COUNTIFS(工数管理!$AK$3:$AK$98,L$1,工数管理!$K$3:$K$98,"&lt;="&amp;$H287,工数管理!$L$3:$L$98,"")+COUNTIFS(工数管理!$AK$3:$AK$98,L$1,工数管理!$M$3:$M$98,"&lt;="&amp;$H287,工数管理!$N$3:$N$98,"")+COUNTIFS(工数管理!$AK$3:$AK$98,L$1,工数管理!$O$3:$O$98,"&lt;="&amp;$H287,工数管理!$P$3:$P$98,"")+COUNTIFS(工数管理!$AK$3:$AK$98,L$1,工数管理!$Q$3:$Q$98,"&lt;="&amp;$H287,工数管理!$R$3:$R$98,"")+COUNTIFS(工数管理!$AK$3:$AK$98,L$1,工数管理!$S$3:$S$98,"&lt;="&amp;$H287,工数管理!$T$3:$T$98,"")+COUNTIFS(工数管理!$AK$3:$AK$98,L$1,工数管理!$U$3:$U$98,"&lt;="&amp;$H287,工数管理!$V$3:$V$98,"")+COUNTIFS(工数管理!$AK$3:$AK$98,L$1,工数管理!$W$3:$W$98,"&lt;="&amp;$H287,工数管理!$X$3:$X$98,"")+COUNTIFS(工数管理!$AK$3:$AK$98,L$1,工数管理!$Y$3:$Y$98,"&lt;="&amp;$H287,工数管理!$Z$3:$Z$98,"")+COUNTIFS(工数管理!$AK$3:$AK$98,L$1,工数管理!$AA$3:$AA$98,"&lt;="&amp;$H287,工数管理!$AB$3:$AB$98,"")+COUNTIFS(工数管理!$AK$3:$AK$98,L$1,工数管理!$AC$3:$AC$98,"&lt;="&amp;$H287,工数管理!$AD$3:$AD$98,"")+COUNTIFS(工数管理!$AK$3:$AK$98,L$1,工数管理!$AE$3:$AE$98,"&lt;="&amp;$H287,工数管理!$AF$3:$AF$98,"")+COUNTIFS(工数管理!$AK$3:$AK$98,L$1,工数管理!$AG$3:$AG$98,"&lt;="&amp;$H287,工数管理!$AH$3:$AH$98,""))*($H287&lt;=工数管理!$AI$1))</f>
        <v>0</v>
      </c>
    </row>
    <row r="288" spans="8:12" x14ac:dyDescent="0.15">
      <c r="H288" s="41">
        <f t="shared" si="9"/>
        <v>46456</v>
      </c>
      <c r="I288" s="42">
        <f t="shared" si="8"/>
        <v>1</v>
      </c>
      <c r="J288" s="42">
        <f ca="1">IF(J$1="",0,COUNTIFS(工数管理!$AK$3:$AK$98,J$1,工数管理!$K$3:$K$98,"&lt;="&amp;$H288,工数管理!$L$3:$L$98,"&gt;="&amp;$H288)+COUNTIFS(工数管理!$AK$3:$AK$98,J$1,工数管理!$M$3:$M$98,"&lt;="&amp;$H288,工数管理!$N$3:$N$98,"&gt;="&amp;$H288)+COUNTIFS(工数管理!$AK$3:$AK$98,J$1,工数管理!$O$3:$O$98,"&lt;="&amp;$H288,工数管理!$P$3:$P$98,"&gt;="&amp;$H288)+COUNTIFS(工数管理!$AK$3:$AK$98,J$1,工数管理!$Q$3:$Q$98,"&lt;="&amp;$H288,工数管理!$R$3:$R$98,"&gt;="&amp;$H288)+COUNTIFS(工数管理!$AK$3:$AK$98,J$1,工数管理!$S$3:$S$98,"&lt;="&amp;$H288,工数管理!$T$3:$T$98,"&gt;="&amp;$H288)+COUNTIFS(工数管理!$AK$3:$AK$98,J$1,工数管理!$U$3:$U$98,"&lt;="&amp;$H288,工数管理!$V$3:$V$98,"&gt;="&amp;$H288)+COUNTIFS(工数管理!$AK$3:$AK$98,J$1,工数管理!$W$3:$W$98,"&lt;="&amp;$H288,工数管理!$X$3:$X$98,"&gt;="&amp;$H288)+COUNTIFS(工数管理!$AK$3:$AK$98,J$1,工数管理!$Y$3:$Y$98,"&lt;="&amp;$H288,工数管理!$Z$3:$Z$98,"&gt;="&amp;$H288)+COUNTIFS(工数管理!$AK$3:$AK$98,J$1,工数管理!$AA$3:$AA$98,"&lt;="&amp;$H288,工数管理!$AB$3:$AB$98,"&gt;="&amp;$H288)+COUNTIFS(工数管理!$AK$3:$AK$98,J$1,工数管理!$AC$3:$AC$98,"&lt;="&amp;$H288,工数管理!$AD$3:$AD$98,"&gt;="&amp;$H288)+COUNTIFS(工数管理!$AK$3:$AK$98,J$1,工数管理!$AE$3:$AE$98,"&lt;="&amp;$H288,工数管理!$AF$3:$AF$98,"&gt;="&amp;$H288)+COUNTIFS(工数管理!$AK$3:$AK$98,J$1,工数管理!$AG$3:$AG$98,"&lt;="&amp;$H288,工数管理!$AH$3:$AH$98,"&gt;="&amp;$H288)+(COUNTIFS(工数管理!$AK$3:$AK$98,J$1,工数管理!$K$3:$K$98,"&lt;="&amp;$H288,工数管理!$L$3:$L$98,"")+COUNTIFS(工数管理!$AK$3:$AK$98,J$1,工数管理!$M$3:$M$98,"&lt;="&amp;$H288,工数管理!$N$3:$N$98,"")+COUNTIFS(工数管理!$AK$3:$AK$98,J$1,工数管理!$O$3:$O$98,"&lt;="&amp;$H288,工数管理!$P$3:$P$98,"")+COUNTIFS(工数管理!$AK$3:$AK$98,J$1,工数管理!$Q$3:$Q$98,"&lt;="&amp;$H288,工数管理!$R$3:$R$98,"")+COUNTIFS(工数管理!$AK$3:$AK$98,J$1,工数管理!$S$3:$S$98,"&lt;="&amp;$H288,工数管理!$T$3:$T$98,"")+COUNTIFS(工数管理!$AK$3:$AK$98,J$1,工数管理!$U$3:$U$98,"&lt;="&amp;$H288,工数管理!$V$3:$V$98,"")+COUNTIFS(工数管理!$AK$3:$AK$98,J$1,工数管理!$W$3:$W$98,"&lt;="&amp;$H288,工数管理!$X$3:$X$98,"")+COUNTIFS(工数管理!$AK$3:$AK$98,J$1,工数管理!$Y$3:$Y$98,"&lt;="&amp;$H288,工数管理!$Z$3:$Z$98,"")+COUNTIFS(工数管理!$AK$3:$AK$98,J$1,工数管理!$AA$3:$AA$98,"&lt;="&amp;$H288,工数管理!$AB$3:$AB$98,"")+COUNTIFS(工数管理!$AK$3:$AK$98,J$1,工数管理!$AC$3:$AC$98,"&lt;="&amp;$H288,工数管理!$AD$3:$AD$98,"")+COUNTIFS(工数管理!$AK$3:$AK$98,J$1,工数管理!$AE$3:$AE$98,"&lt;="&amp;$H288,工数管理!$AF$3:$AF$98,"")+COUNTIFS(工数管理!$AK$3:$AK$98,J$1,工数管理!$AG$3:$AG$98,"&lt;="&amp;$H288,工数管理!$AH$3:$AH$98,""))*($H288&lt;=工数管理!$AI$1))</f>
        <v>0</v>
      </c>
      <c r="K288" s="42">
        <f ca="1">IF(K$1="",0,COUNTIFS(工数管理!$AK$3:$AK$98,K$1,工数管理!$K$3:$K$98,"&lt;="&amp;$H288,工数管理!$L$3:$L$98,"&gt;="&amp;$H288)+COUNTIFS(工数管理!$AK$3:$AK$98,K$1,工数管理!$M$3:$M$98,"&lt;="&amp;$H288,工数管理!$N$3:$N$98,"&gt;="&amp;$H288)+COUNTIFS(工数管理!$AK$3:$AK$98,K$1,工数管理!$O$3:$O$98,"&lt;="&amp;$H288,工数管理!$P$3:$P$98,"&gt;="&amp;$H288)+COUNTIFS(工数管理!$AK$3:$AK$98,K$1,工数管理!$Q$3:$Q$98,"&lt;="&amp;$H288,工数管理!$R$3:$R$98,"&gt;="&amp;$H288)+COUNTIFS(工数管理!$AK$3:$AK$98,K$1,工数管理!$S$3:$S$98,"&lt;="&amp;$H288,工数管理!$T$3:$T$98,"&gt;="&amp;$H288)+COUNTIFS(工数管理!$AK$3:$AK$98,K$1,工数管理!$U$3:$U$98,"&lt;="&amp;$H288,工数管理!$V$3:$V$98,"&gt;="&amp;$H288)+COUNTIFS(工数管理!$AK$3:$AK$98,K$1,工数管理!$W$3:$W$98,"&lt;="&amp;$H288,工数管理!$X$3:$X$98,"&gt;="&amp;$H288)+COUNTIFS(工数管理!$AK$3:$AK$98,K$1,工数管理!$Y$3:$Y$98,"&lt;="&amp;$H288,工数管理!$Z$3:$Z$98,"&gt;="&amp;$H288)+COUNTIFS(工数管理!$AK$3:$AK$98,K$1,工数管理!$AA$3:$AA$98,"&lt;="&amp;$H288,工数管理!$AB$3:$AB$98,"&gt;="&amp;$H288)+COUNTIFS(工数管理!$AK$3:$AK$98,K$1,工数管理!$AC$3:$AC$98,"&lt;="&amp;$H288,工数管理!$AD$3:$AD$98,"&gt;="&amp;$H288)+COUNTIFS(工数管理!$AK$3:$AK$98,K$1,工数管理!$AE$3:$AE$98,"&lt;="&amp;$H288,工数管理!$AF$3:$AF$98,"&gt;="&amp;$H288)+COUNTIFS(工数管理!$AK$3:$AK$98,K$1,工数管理!$AG$3:$AG$98,"&lt;="&amp;$H288,工数管理!$AH$3:$AH$98,"&gt;="&amp;$H288)+(COUNTIFS(工数管理!$AK$3:$AK$98,K$1,工数管理!$K$3:$K$98,"&lt;="&amp;$H288,工数管理!$L$3:$L$98,"")+COUNTIFS(工数管理!$AK$3:$AK$98,K$1,工数管理!$M$3:$M$98,"&lt;="&amp;$H288,工数管理!$N$3:$N$98,"")+COUNTIFS(工数管理!$AK$3:$AK$98,K$1,工数管理!$O$3:$O$98,"&lt;="&amp;$H288,工数管理!$P$3:$P$98,"")+COUNTIFS(工数管理!$AK$3:$AK$98,K$1,工数管理!$Q$3:$Q$98,"&lt;="&amp;$H288,工数管理!$R$3:$R$98,"")+COUNTIFS(工数管理!$AK$3:$AK$98,K$1,工数管理!$S$3:$S$98,"&lt;="&amp;$H288,工数管理!$T$3:$T$98,"")+COUNTIFS(工数管理!$AK$3:$AK$98,K$1,工数管理!$U$3:$U$98,"&lt;="&amp;$H288,工数管理!$V$3:$V$98,"")+COUNTIFS(工数管理!$AK$3:$AK$98,K$1,工数管理!$W$3:$W$98,"&lt;="&amp;$H288,工数管理!$X$3:$X$98,"")+COUNTIFS(工数管理!$AK$3:$AK$98,K$1,工数管理!$Y$3:$Y$98,"&lt;="&amp;$H288,工数管理!$Z$3:$Z$98,"")+COUNTIFS(工数管理!$AK$3:$AK$98,K$1,工数管理!$AA$3:$AA$98,"&lt;="&amp;$H288,工数管理!$AB$3:$AB$98,"")+COUNTIFS(工数管理!$AK$3:$AK$98,K$1,工数管理!$AC$3:$AC$98,"&lt;="&amp;$H288,工数管理!$AD$3:$AD$98,"")+COUNTIFS(工数管理!$AK$3:$AK$98,K$1,工数管理!$AE$3:$AE$98,"&lt;="&amp;$H288,工数管理!$AF$3:$AF$98,"")+COUNTIFS(工数管理!$AK$3:$AK$98,K$1,工数管理!$AG$3:$AG$98,"&lt;="&amp;$H288,工数管理!$AH$3:$AH$98,""))*($H288&lt;=工数管理!$AI$1))</f>
        <v>0</v>
      </c>
      <c r="L288" s="42">
        <f ca="1">IF(L$1="",0,COUNTIFS(工数管理!$AK$3:$AK$98,L$1,工数管理!$K$3:$K$98,"&lt;="&amp;$H288,工数管理!$L$3:$L$98,"&gt;="&amp;$H288)+COUNTIFS(工数管理!$AK$3:$AK$98,L$1,工数管理!$M$3:$M$98,"&lt;="&amp;$H288,工数管理!$N$3:$N$98,"&gt;="&amp;$H288)+COUNTIFS(工数管理!$AK$3:$AK$98,L$1,工数管理!$O$3:$O$98,"&lt;="&amp;$H288,工数管理!$P$3:$P$98,"&gt;="&amp;$H288)+COUNTIFS(工数管理!$AK$3:$AK$98,L$1,工数管理!$Q$3:$Q$98,"&lt;="&amp;$H288,工数管理!$R$3:$R$98,"&gt;="&amp;$H288)+COUNTIFS(工数管理!$AK$3:$AK$98,L$1,工数管理!$S$3:$S$98,"&lt;="&amp;$H288,工数管理!$T$3:$T$98,"&gt;="&amp;$H288)+COUNTIFS(工数管理!$AK$3:$AK$98,L$1,工数管理!$U$3:$U$98,"&lt;="&amp;$H288,工数管理!$V$3:$V$98,"&gt;="&amp;$H288)+COUNTIFS(工数管理!$AK$3:$AK$98,L$1,工数管理!$W$3:$W$98,"&lt;="&amp;$H288,工数管理!$X$3:$X$98,"&gt;="&amp;$H288)+COUNTIFS(工数管理!$AK$3:$AK$98,L$1,工数管理!$Y$3:$Y$98,"&lt;="&amp;$H288,工数管理!$Z$3:$Z$98,"&gt;="&amp;$H288)+COUNTIFS(工数管理!$AK$3:$AK$98,L$1,工数管理!$AA$3:$AA$98,"&lt;="&amp;$H288,工数管理!$AB$3:$AB$98,"&gt;="&amp;$H288)+COUNTIFS(工数管理!$AK$3:$AK$98,L$1,工数管理!$AC$3:$AC$98,"&lt;="&amp;$H288,工数管理!$AD$3:$AD$98,"&gt;="&amp;$H288)+COUNTIFS(工数管理!$AK$3:$AK$98,L$1,工数管理!$AE$3:$AE$98,"&lt;="&amp;$H288,工数管理!$AF$3:$AF$98,"&gt;="&amp;$H288)+COUNTIFS(工数管理!$AK$3:$AK$98,L$1,工数管理!$AG$3:$AG$98,"&lt;="&amp;$H288,工数管理!$AH$3:$AH$98,"&gt;="&amp;$H288)+(COUNTIFS(工数管理!$AK$3:$AK$98,L$1,工数管理!$K$3:$K$98,"&lt;="&amp;$H288,工数管理!$L$3:$L$98,"")+COUNTIFS(工数管理!$AK$3:$AK$98,L$1,工数管理!$M$3:$M$98,"&lt;="&amp;$H288,工数管理!$N$3:$N$98,"")+COUNTIFS(工数管理!$AK$3:$AK$98,L$1,工数管理!$O$3:$O$98,"&lt;="&amp;$H288,工数管理!$P$3:$P$98,"")+COUNTIFS(工数管理!$AK$3:$AK$98,L$1,工数管理!$Q$3:$Q$98,"&lt;="&amp;$H288,工数管理!$R$3:$R$98,"")+COUNTIFS(工数管理!$AK$3:$AK$98,L$1,工数管理!$S$3:$S$98,"&lt;="&amp;$H288,工数管理!$T$3:$T$98,"")+COUNTIFS(工数管理!$AK$3:$AK$98,L$1,工数管理!$U$3:$U$98,"&lt;="&amp;$H288,工数管理!$V$3:$V$98,"")+COUNTIFS(工数管理!$AK$3:$AK$98,L$1,工数管理!$W$3:$W$98,"&lt;="&amp;$H288,工数管理!$X$3:$X$98,"")+COUNTIFS(工数管理!$AK$3:$AK$98,L$1,工数管理!$Y$3:$Y$98,"&lt;="&amp;$H288,工数管理!$Z$3:$Z$98,"")+COUNTIFS(工数管理!$AK$3:$AK$98,L$1,工数管理!$AA$3:$AA$98,"&lt;="&amp;$H288,工数管理!$AB$3:$AB$98,"")+COUNTIFS(工数管理!$AK$3:$AK$98,L$1,工数管理!$AC$3:$AC$98,"&lt;="&amp;$H288,工数管理!$AD$3:$AD$98,"")+COUNTIFS(工数管理!$AK$3:$AK$98,L$1,工数管理!$AE$3:$AE$98,"&lt;="&amp;$H288,工数管理!$AF$3:$AF$98,"")+COUNTIFS(工数管理!$AK$3:$AK$98,L$1,工数管理!$AG$3:$AG$98,"&lt;="&amp;$H288,工数管理!$AH$3:$AH$98,""))*($H288&lt;=工数管理!$AI$1))</f>
        <v>0</v>
      </c>
    </row>
    <row r="289" spans="8:12" x14ac:dyDescent="0.15">
      <c r="H289" s="41">
        <f t="shared" si="9"/>
        <v>46457</v>
      </c>
      <c r="I289" s="42">
        <f t="shared" si="8"/>
        <v>1</v>
      </c>
      <c r="J289" s="42">
        <f ca="1">IF(J$1="",0,COUNTIFS(工数管理!$AK$3:$AK$98,J$1,工数管理!$K$3:$K$98,"&lt;="&amp;$H289,工数管理!$L$3:$L$98,"&gt;="&amp;$H289)+COUNTIFS(工数管理!$AK$3:$AK$98,J$1,工数管理!$M$3:$M$98,"&lt;="&amp;$H289,工数管理!$N$3:$N$98,"&gt;="&amp;$H289)+COUNTIFS(工数管理!$AK$3:$AK$98,J$1,工数管理!$O$3:$O$98,"&lt;="&amp;$H289,工数管理!$P$3:$P$98,"&gt;="&amp;$H289)+COUNTIFS(工数管理!$AK$3:$AK$98,J$1,工数管理!$Q$3:$Q$98,"&lt;="&amp;$H289,工数管理!$R$3:$R$98,"&gt;="&amp;$H289)+COUNTIFS(工数管理!$AK$3:$AK$98,J$1,工数管理!$S$3:$S$98,"&lt;="&amp;$H289,工数管理!$T$3:$T$98,"&gt;="&amp;$H289)+COUNTIFS(工数管理!$AK$3:$AK$98,J$1,工数管理!$U$3:$U$98,"&lt;="&amp;$H289,工数管理!$V$3:$V$98,"&gt;="&amp;$H289)+COUNTIFS(工数管理!$AK$3:$AK$98,J$1,工数管理!$W$3:$W$98,"&lt;="&amp;$H289,工数管理!$X$3:$X$98,"&gt;="&amp;$H289)+COUNTIFS(工数管理!$AK$3:$AK$98,J$1,工数管理!$Y$3:$Y$98,"&lt;="&amp;$H289,工数管理!$Z$3:$Z$98,"&gt;="&amp;$H289)+COUNTIFS(工数管理!$AK$3:$AK$98,J$1,工数管理!$AA$3:$AA$98,"&lt;="&amp;$H289,工数管理!$AB$3:$AB$98,"&gt;="&amp;$H289)+COUNTIFS(工数管理!$AK$3:$AK$98,J$1,工数管理!$AC$3:$AC$98,"&lt;="&amp;$H289,工数管理!$AD$3:$AD$98,"&gt;="&amp;$H289)+COUNTIFS(工数管理!$AK$3:$AK$98,J$1,工数管理!$AE$3:$AE$98,"&lt;="&amp;$H289,工数管理!$AF$3:$AF$98,"&gt;="&amp;$H289)+COUNTIFS(工数管理!$AK$3:$AK$98,J$1,工数管理!$AG$3:$AG$98,"&lt;="&amp;$H289,工数管理!$AH$3:$AH$98,"&gt;="&amp;$H289)+(COUNTIFS(工数管理!$AK$3:$AK$98,J$1,工数管理!$K$3:$K$98,"&lt;="&amp;$H289,工数管理!$L$3:$L$98,"")+COUNTIFS(工数管理!$AK$3:$AK$98,J$1,工数管理!$M$3:$M$98,"&lt;="&amp;$H289,工数管理!$N$3:$N$98,"")+COUNTIFS(工数管理!$AK$3:$AK$98,J$1,工数管理!$O$3:$O$98,"&lt;="&amp;$H289,工数管理!$P$3:$P$98,"")+COUNTIFS(工数管理!$AK$3:$AK$98,J$1,工数管理!$Q$3:$Q$98,"&lt;="&amp;$H289,工数管理!$R$3:$R$98,"")+COUNTIFS(工数管理!$AK$3:$AK$98,J$1,工数管理!$S$3:$S$98,"&lt;="&amp;$H289,工数管理!$T$3:$T$98,"")+COUNTIFS(工数管理!$AK$3:$AK$98,J$1,工数管理!$U$3:$U$98,"&lt;="&amp;$H289,工数管理!$V$3:$V$98,"")+COUNTIFS(工数管理!$AK$3:$AK$98,J$1,工数管理!$W$3:$W$98,"&lt;="&amp;$H289,工数管理!$X$3:$X$98,"")+COUNTIFS(工数管理!$AK$3:$AK$98,J$1,工数管理!$Y$3:$Y$98,"&lt;="&amp;$H289,工数管理!$Z$3:$Z$98,"")+COUNTIFS(工数管理!$AK$3:$AK$98,J$1,工数管理!$AA$3:$AA$98,"&lt;="&amp;$H289,工数管理!$AB$3:$AB$98,"")+COUNTIFS(工数管理!$AK$3:$AK$98,J$1,工数管理!$AC$3:$AC$98,"&lt;="&amp;$H289,工数管理!$AD$3:$AD$98,"")+COUNTIFS(工数管理!$AK$3:$AK$98,J$1,工数管理!$AE$3:$AE$98,"&lt;="&amp;$H289,工数管理!$AF$3:$AF$98,"")+COUNTIFS(工数管理!$AK$3:$AK$98,J$1,工数管理!$AG$3:$AG$98,"&lt;="&amp;$H289,工数管理!$AH$3:$AH$98,""))*($H289&lt;=工数管理!$AI$1))</f>
        <v>0</v>
      </c>
      <c r="K289" s="42">
        <f ca="1">IF(K$1="",0,COUNTIFS(工数管理!$AK$3:$AK$98,K$1,工数管理!$K$3:$K$98,"&lt;="&amp;$H289,工数管理!$L$3:$L$98,"&gt;="&amp;$H289)+COUNTIFS(工数管理!$AK$3:$AK$98,K$1,工数管理!$M$3:$M$98,"&lt;="&amp;$H289,工数管理!$N$3:$N$98,"&gt;="&amp;$H289)+COUNTIFS(工数管理!$AK$3:$AK$98,K$1,工数管理!$O$3:$O$98,"&lt;="&amp;$H289,工数管理!$P$3:$P$98,"&gt;="&amp;$H289)+COUNTIFS(工数管理!$AK$3:$AK$98,K$1,工数管理!$Q$3:$Q$98,"&lt;="&amp;$H289,工数管理!$R$3:$R$98,"&gt;="&amp;$H289)+COUNTIFS(工数管理!$AK$3:$AK$98,K$1,工数管理!$S$3:$S$98,"&lt;="&amp;$H289,工数管理!$T$3:$T$98,"&gt;="&amp;$H289)+COUNTIFS(工数管理!$AK$3:$AK$98,K$1,工数管理!$U$3:$U$98,"&lt;="&amp;$H289,工数管理!$V$3:$V$98,"&gt;="&amp;$H289)+COUNTIFS(工数管理!$AK$3:$AK$98,K$1,工数管理!$W$3:$W$98,"&lt;="&amp;$H289,工数管理!$X$3:$X$98,"&gt;="&amp;$H289)+COUNTIFS(工数管理!$AK$3:$AK$98,K$1,工数管理!$Y$3:$Y$98,"&lt;="&amp;$H289,工数管理!$Z$3:$Z$98,"&gt;="&amp;$H289)+COUNTIFS(工数管理!$AK$3:$AK$98,K$1,工数管理!$AA$3:$AA$98,"&lt;="&amp;$H289,工数管理!$AB$3:$AB$98,"&gt;="&amp;$H289)+COUNTIFS(工数管理!$AK$3:$AK$98,K$1,工数管理!$AC$3:$AC$98,"&lt;="&amp;$H289,工数管理!$AD$3:$AD$98,"&gt;="&amp;$H289)+COUNTIFS(工数管理!$AK$3:$AK$98,K$1,工数管理!$AE$3:$AE$98,"&lt;="&amp;$H289,工数管理!$AF$3:$AF$98,"&gt;="&amp;$H289)+COUNTIFS(工数管理!$AK$3:$AK$98,K$1,工数管理!$AG$3:$AG$98,"&lt;="&amp;$H289,工数管理!$AH$3:$AH$98,"&gt;="&amp;$H289)+(COUNTIFS(工数管理!$AK$3:$AK$98,K$1,工数管理!$K$3:$K$98,"&lt;="&amp;$H289,工数管理!$L$3:$L$98,"")+COUNTIFS(工数管理!$AK$3:$AK$98,K$1,工数管理!$M$3:$M$98,"&lt;="&amp;$H289,工数管理!$N$3:$N$98,"")+COUNTIFS(工数管理!$AK$3:$AK$98,K$1,工数管理!$O$3:$O$98,"&lt;="&amp;$H289,工数管理!$P$3:$P$98,"")+COUNTIFS(工数管理!$AK$3:$AK$98,K$1,工数管理!$Q$3:$Q$98,"&lt;="&amp;$H289,工数管理!$R$3:$R$98,"")+COUNTIFS(工数管理!$AK$3:$AK$98,K$1,工数管理!$S$3:$S$98,"&lt;="&amp;$H289,工数管理!$T$3:$T$98,"")+COUNTIFS(工数管理!$AK$3:$AK$98,K$1,工数管理!$U$3:$U$98,"&lt;="&amp;$H289,工数管理!$V$3:$V$98,"")+COUNTIFS(工数管理!$AK$3:$AK$98,K$1,工数管理!$W$3:$W$98,"&lt;="&amp;$H289,工数管理!$X$3:$X$98,"")+COUNTIFS(工数管理!$AK$3:$AK$98,K$1,工数管理!$Y$3:$Y$98,"&lt;="&amp;$H289,工数管理!$Z$3:$Z$98,"")+COUNTIFS(工数管理!$AK$3:$AK$98,K$1,工数管理!$AA$3:$AA$98,"&lt;="&amp;$H289,工数管理!$AB$3:$AB$98,"")+COUNTIFS(工数管理!$AK$3:$AK$98,K$1,工数管理!$AC$3:$AC$98,"&lt;="&amp;$H289,工数管理!$AD$3:$AD$98,"")+COUNTIFS(工数管理!$AK$3:$AK$98,K$1,工数管理!$AE$3:$AE$98,"&lt;="&amp;$H289,工数管理!$AF$3:$AF$98,"")+COUNTIFS(工数管理!$AK$3:$AK$98,K$1,工数管理!$AG$3:$AG$98,"&lt;="&amp;$H289,工数管理!$AH$3:$AH$98,""))*($H289&lt;=工数管理!$AI$1))</f>
        <v>0</v>
      </c>
      <c r="L289" s="42">
        <f ca="1">IF(L$1="",0,COUNTIFS(工数管理!$AK$3:$AK$98,L$1,工数管理!$K$3:$K$98,"&lt;="&amp;$H289,工数管理!$L$3:$L$98,"&gt;="&amp;$H289)+COUNTIFS(工数管理!$AK$3:$AK$98,L$1,工数管理!$M$3:$M$98,"&lt;="&amp;$H289,工数管理!$N$3:$N$98,"&gt;="&amp;$H289)+COUNTIFS(工数管理!$AK$3:$AK$98,L$1,工数管理!$O$3:$O$98,"&lt;="&amp;$H289,工数管理!$P$3:$P$98,"&gt;="&amp;$H289)+COUNTIFS(工数管理!$AK$3:$AK$98,L$1,工数管理!$Q$3:$Q$98,"&lt;="&amp;$H289,工数管理!$R$3:$R$98,"&gt;="&amp;$H289)+COUNTIFS(工数管理!$AK$3:$AK$98,L$1,工数管理!$S$3:$S$98,"&lt;="&amp;$H289,工数管理!$T$3:$T$98,"&gt;="&amp;$H289)+COUNTIFS(工数管理!$AK$3:$AK$98,L$1,工数管理!$U$3:$U$98,"&lt;="&amp;$H289,工数管理!$V$3:$V$98,"&gt;="&amp;$H289)+COUNTIFS(工数管理!$AK$3:$AK$98,L$1,工数管理!$W$3:$W$98,"&lt;="&amp;$H289,工数管理!$X$3:$X$98,"&gt;="&amp;$H289)+COUNTIFS(工数管理!$AK$3:$AK$98,L$1,工数管理!$Y$3:$Y$98,"&lt;="&amp;$H289,工数管理!$Z$3:$Z$98,"&gt;="&amp;$H289)+COUNTIFS(工数管理!$AK$3:$AK$98,L$1,工数管理!$AA$3:$AA$98,"&lt;="&amp;$H289,工数管理!$AB$3:$AB$98,"&gt;="&amp;$H289)+COUNTIFS(工数管理!$AK$3:$AK$98,L$1,工数管理!$AC$3:$AC$98,"&lt;="&amp;$H289,工数管理!$AD$3:$AD$98,"&gt;="&amp;$H289)+COUNTIFS(工数管理!$AK$3:$AK$98,L$1,工数管理!$AE$3:$AE$98,"&lt;="&amp;$H289,工数管理!$AF$3:$AF$98,"&gt;="&amp;$H289)+COUNTIFS(工数管理!$AK$3:$AK$98,L$1,工数管理!$AG$3:$AG$98,"&lt;="&amp;$H289,工数管理!$AH$3:$AH$98,"&gt;="&amp;$H289)+(COUNTIFS(工数管理!$AK$3:$AK$98,L$1,工数管理!$K$3:$K$98,"&lt;="&amp;$H289,工数管理!$L$3:$L$98,"")+COUNTIFS(工数管理!$AK$3:$AK$98,L$1,工数管理!$M$3:$M$98,"&lt;="&amp;$H289,工数管理!$N$3:$N$98,"")+COUNTIFS(工数管理!$AK$3:$AK$98,L$1,工数管理!$O$3:$O$98,"&lt;="&amp;$H289,工数管理!$P$3:$P$98,"")+COUNTIFS(工数管理!$AK$3:$AK$98,L$1,工数管理!$Q$3:$Q$98,"&lt;="&amp;$H289,工数管理!$R$3:$R$98,"")+COUNTIFS(工数管理!$AK$3:$AK$98,L$1,工数管理!$S$3:$S$98,"&lt;="&amp;$H289,工数管理!$T$3:$T$98,"")+COUNTIFS(工数管理!$AK$3:$AK$98,L$1,工数管理!$U$3:$U$98,"&lt;="&amp;$H289,工数管理!$V$3:$V$98,"")+COUNTIFS(工数管理!$AK$3:$AK$98,L$1,工数管理!$W$3:$W$98,"&lt;="&amp;$H289,工数管理!$X$3:$X$98,"")+COUNTIFS(工数管理!$AK$3:$AK$98,L$1,工数管理!$Y$3:$Y$98,"&lt;="&amp;$H289,工数管理!$Z$3:$Z$98,"")+COUNTIFS(工数管理!$AK$3:$AK$98,L$1,工数管理!$AA$3:$AA$98,"&lt;="&amp;$H289,工数管理!$AB$3:$AB$98,"")+COUNTIFS(工数管理!$AK$3:$AK$98,L$1,工数管理!$AC$3:$AC$98,"&lt;="&amp;$H289,工数管理!$AD$3:$AD$98,"")+COUNTIFS(工数管理!$AK$3:$AK$98,L$1,工数管理!$AE$3:$AE$98,"&lt;="&amp;$H289,工数管理!$AF$3:$AF$98,"")+COUNTIFS(工数管理!$AK$3:$AK$98,L$1,工数管理!$AG$3:$AG$98,"&lt;="&amp;$H289,工数管理!$AH$3:$AH$98,""))*($H289&lt;=工数管理!$AI$1))</f>
        <v>0</v>
      </c>
    </row>
    <row r="290" spans="8:12" x14ac:dyDescent="0.15">
      <c r="H290" s="41">
        <f t="shared" si="9"/>
        <v>46458</v>
      </c>
      <c r="I290" s="42">
        <f t="shared" si="8"/>
        <v>1</v>
      </c>
      <c r="J290" s="42">
        <f ca="1">IF(J$1="",0,COUNTIFS(工数管理!$AK$3:$AK$98,J$1,工数管理!$K$3:$K$98,"&lt;="&amp;$H290,工数管理!$L$3:$L$98,"&gt;="&amp;$H290)+COUNTIFS(工数管理!$AK$3:$AK$98,J$1,工数管理!$M$3:$M$98,"&lt;="&amp;$H290,工数管理!$N$3:$N$98,"&gt;="&amp;$H290)+COUNTIFS(工数管理!$AK$3:$AK$98,J$1,工数管理!$O$3:$O$98,"&lt;="&amp;$H290,工数管理!$P$3:$P$98,"&gt;="&amp;$H290)+COUNTIFS(工数管理!$AK$3:$AK$98,J$1,工数管理!$Q$3:$Q$98,"&lt;="&amp;$H290,工数管理!$R$3:$R$98,"&gt;="&amp;$H290)+COUNTIFS(工数管理!$AK$3:$AK$98,J$1,工数管理!$S$3:$S$98,"&lt;="&amp;$H290,工数管理!$T$3:$T$98,"&gt;="&amp;$H290)+COUNTIFS(工数管理!$AK$3:$AK$98,J$1,工数管理!$U$3:$U$98,"&lt;="&amp;$H290,工数管理!$V$3:$V$98,"&gt;="&amp;$H290)+COUNTIFS(工数管理!$AK$3:$AK$98,J$1,工数管理!$W$3:$W$98,"&lt;="&amp;$H290,工数管理!$X$3:$X$98,"&gt;="&amp;$H290)+COUNTIFS(工数管理!$AK$3:$AK$98,J$1,工数管理!$Y$3:$Y$98,"&lt;="&amp;$H290,工数管理!$Z$3:$Z$98,"&gt;="&amp;$H290)+COUNTIFS(工数管理!$AK$3:$AK$98,J$1,工数管理!$AA$3:$AA$98,"&lt;="&amp;$H290,工数管理!$AB$3:$AB$98,"&gt;="&amp;$H290)+COUNTIFS(工数管理!$AK$3:$AK$98,J$1,工数管理!$AC$3:$AC$98,"&lt;="&amp;$H290,工数管理!$AD$3:$AD$98,"&gt;="&amp;$H290)+COUNTIFS(工数管理!$AK$3:$AK$98,J$1,工数管理!$AE$3:$AE$98,"&lt;="&amp;$H290,工数管理!$AF$3:$AF$98,"&gt;="&amp;$H290)+COUNTIFS(工数管理!$AK$3:$AK$98,J$1,工数管理!$AG$3:$AG$98,"&lt;="&amp;$H290,工数管理!$AH$3:$AH$98,"&gt;="&amp;$H290)+(COUNTIFS(工数管理!$AK$3:$AK$98,J$1,工数管理!$K$3:$K$98,"&lt;="&amp;$H290,工数管理!$L$3:$L$98,"")+COUNTIFS(工数管理!$AK$3:$AK$98,J$1,工数管理!$M$3:$M$98,"&lt;="&amp;$H290,工数管理!$N$3:$N$98,"")+COUNTIFS(工数管理!$AK$3:$AK$98,J$1,工数管理!$O$3:$O$98,"&lt;="&amp;$H290,工数管理!$P$3:$P$98,"")+COUNTIFS(工数管理!$AK$3:$AK$98,J$1,工数管理!$Q$3:$Q$98,"&lt;="&amp;$H290,工数管理!$R$3:$R$98,"")+COUNTIFS(工数管理!$AK$3:$AK$98,J$1,工数管理!$S$3:$S$98,"&lt;="&amp;$H290,工数管理!$T$3:$T$98,"")+COUNTIFS(工数管理!$AK$3:$AK$98,J$1,工数管理!$U$3:$U$98,"&lt;="&amp;$H290,工数管理!$V$3:$V$98,"")+COUNTIFS(工数管理!$AK$3:$AK$98,J$1,工数管理!$W$3:$W$98,"&lt;="&amp;$H290,工数管理!$X$3:$X$98,"")+COUNTIFS(工数管理!$AK$3:$AK$98,J$1,工数管理!$Y$3:$Y$98,"&lt;="&amp;$H290,工数管理!$Z$3:$Z$98,"")+COUNTIFS(工数管理!$AK$3:$AK$98,J$1,工数管理!$AA$3:$AA$98,"&lt;="&amp;$H290,工数管理!$AB$3:$AB$98,"")+COUNTIFS(工数管理!$AK$3:$AK$98,J$1,工数管理!$AC$3:$AC$98,"&lt;="&amp;$H290,工数管理!$AD$3:$AD$98,"")+COUNTIFS(工数管理!$AK$3:$AK$98,J$1,工数管理!$AE$3:$AE$98,"&lt;="&amp;$H290,工数管理!$AF$3:$AF$98,"")+COUNTIFS(工数管理!$AK$3:$AK$98,J$1,工数管理!$AG$3:$AG$98,"&lt;="&amp;$H290,工数管理!$AH$3:$AH$98,""))*($H290&lt;=工数管理!$AI$1))</f>
        <v>0</v>
      </c>
      <c r="K290" s="42">
        <f ca="1">IF(K$1="",0,COUNTIFS(工数管理!$AK$3:$AK$98,K$1,工数管理!$K$3:$K$98,"&lt;="&amp;$H290,工数管理!$L$3:$L$98,"&gt;="&amp;$H290)+COUNTIFS(工数管理!$AK$3:$AK$98,K$1,工数管理!$M$3:$M$98,"&lt;="&amp;$H290,工数管理!$N$3:$N$98,"&gt;="&amp;$H290)+COUNTIFS(工数管理!$AK$3:$AK$98,K$1,工数管理!$O$3:$O$98,"&lt;="&amp;$H290,工数管理!$P$3:$P$98,"&gt;="&amp;$H290)+COUNTIFS(工数管理!$AK$3:$AK$98,K$1,工数管理!$Q$3:$Q$98,"&lt;="&amp;$H290,工数管理!$R$3:$R$98,"&gt;="&amp;$H290)+COUNTIFS(工数管理!$AK$3:$AK$98,K$1,工数管理!$S$3:$S$98,"&lt;="&amp;$H290,工数管理!$T$3:$T$98,"&gt;="&amp;$H290)+COUNTIFS(工数管理!$AK$3:$AK$98,K$1,工数管理!$U$3:$U$98,"&lt;="&amp;$H290,工数管理!$V$3:$V$98,"&gt;="&amp;$H290)+COUNTIFS(工数管理!$AK$3:$AK$98,K$1,工数管理!$W$3:$W$98,"&lt;="&amp;$H290,工数管理!$X$3:$X$98,"&gt;="&amp;$H290)+COUNTIFS(工数管理!$AK$3:$AK$98,K$1,工数管理!$Y$3:$Y$98,"&lt;="&amp;$H290,工数管理!$Z$3:$Z$98,"&gt;="&amp;$H290)+COUNTIFS(工数管理!$AK$3:$AK$98,K$1,工数管理!$AA$3:$AA$98,"&lt;="&amp;$H290,工数管理!$AB$3:$AB$98,"&gt;="&amp;$H290)+COUNTIFS(工数管理!$AK$3:$AK$98,K$1,工数管理!$AC$3:$AC$98,"&lt;="&amp;$H290,工数管理!$AD$3:$AD$98,"&gt;="&amp;$H290)+COUNTIFS(工数管理!$AK$3:$AK$98,K$1,工数管理!$AE$3:$AE$98,"&lt;="&amp;$H290,工数管理!$AF$3:$AF$98,"&gt;="&amp;$H290)+COUNTIFS(工数管理!$AK$3:$AK$98,K$1,工数管理!$AG$3:$AG$98,"&lt;="&amp;$H290,工数管理!$AH$3:$AH$98,"&gt;="&amp;$H290)+(COUNTIFS(工数管理!$AK$3:$AK$98,K$1,工数管理!$K$3:$K$98,"&lt;="&amp;$H290,工数管理!$L$3:$L$98,"")+COUNTIFS(工数管理!$AK$3:$AK$98,K$1,工数管理!$M$3:$M$98,"&lt;="&amp;$H290,工数管理!$N$3:$N$98,"")+COUNTIFS(工数管理!$AK$3:$AK$98,K$1,工数管理!$O$3:$O$98,"&lt;="&amp;$H290,工数管理!$P$3:$P$98,"")+COUNTIFS(工数管理!$AK$3:$AK$98,K$1,工数管理!$Q$3:$Q$98,"&lt;="&amp;$H290,工数管理!$R$3:$R$98,"")+COUNTIFS(工数管理!$AK$3:$AK$98,K$1,工数管理!$S$3:$S$98,"&lt;="&amp;$H290,工数管理!$T$3:$T$98,"")+COUNTIFS(工数管理!$AK$3:$AK$98,K$1,工数管理!$U$3:$U$98,"&lt;="&amp;$H290,工数管理!$V$3:$V$98,"")+COUNTIFS(工数管理!$AK$3:$AK$98,K$1,工数管理!$W$3:$W$98,"&lt;="&amp;$H290,工数管理!$X$3:$X$98,"")+COUNTIFS(工数管理!$AK$3:$AK$98,K$1,工数管理!$Y$3:$Y$98,"&lt;="&amp;$H290,工数管理!$Z$3:$Z$98,"")+COUNTIFS(工数管理!$AK$3:$AK$98,K$1,工数管理!$AA$3:$AA$98,"&lt;="&amp;$H290,工数管理!$AB$3:$AB$98,"")+COUNTIFS(工数管理!$AK$3:$AK$98,K$1,工数管理!$AC$3:$AC$98,"&lt;="&amp;$H290,工数管理!$AD$3:$AD$98,"")+COUNTIFS(工数管理!$AK$3:$AK$98,K$1,工数管理!$AE$3:$AE$98,"&lt;="&amp;$H290,工数管理!$AF$3:$AF$98,"")+COUNTIFS(工数管理!$AK$3:$AK$98,K$1,工数管理!$AG$3:$AG$98,"&lt;="&amp;$H290,工数管理!$AH$3:$AH$98,""))*($H290&lt;=工数管理!$AI$1))</f>
        <v>0</v>
      </c>
      <c r="L290" s="42">
        <f ca="1">IF(L$1="",0,COUNTIFS(工数管理!$AK$3:$AK$98,L$1,工数管理!$K$3:$K$98,"&lt;="&amp;$H290,工数管理!$L$3:$L$98,"&gt;="&amp;$H290)+COUNTIFS(工数管理!$AK$3:$AK$98,L$1,工数管理!$M$3:$M$98,"&lt;="&amp;$H290,工数管理!$N$3:$N$98,"&gt;="&amp;$H290)+COUNTIFS(工数管理!$AK$3:$AK$98,L$1,工数管理!$O$3:$O$98,"&lt;="&amp;$H290,工数管理!$P$3:$P$98,"&gt;="&amp;$H290)+COUNTIFS(工数管理!$AK$3:$AK$98,L$1,工数管理!$Q$3:$Q$98,"&lt;="&amp;$H290,工数管理!$R$3:$R$98,"&gt;="&amp;$H290)+COUNTIFS(工数管理!$AK$3:$AK$98,L$1,工数管理!$S$3:$S$98,"&lt;="&amp;$H290,工数管理!$T$3:$T$98,"&gt;="&amp;$H290)+COUNTIFS(工数管理!$AK$3:$AK$98,L$1,工数管理!$U$3:$U$98,"&lt;="&amp;$H290,工数管理!$V$3:$V$98,"&gt;="&amp;$H290)+COUNTIFS(工数管理!$AK$3:$AK$98,L$1,工数管理!$W$3:$W$98,"&lt;="&amp;$H290,工数管理!$X$3:$X$98,"&gt;="&amp;$H290)+COUNTIFS(工数管理!$AK$3:$AK$98,L$1,工数管理!$Y$3:$Y$98,"&lt;="&amp;$H290,工数管理!$Z$3:$Z$98,"&gt;="&amp;$H290)+COUNTIFS(工数管理!$AK$3:$AK$98,L$1,工数管理!$AA$3:$AA$98,"&lt;="&amp;$H290,工数管理!$AB$3:$AB$98,"&gt;="&amp;$H290)+COUNTIFS(工数管理!$AK$3:$AK$98,L$1,工数管理!$AC$3:$AC$98,"&lt;="&amp;$H290,工数管理!$AD$3:$AD$98,"&gt;="&amp;$H290)+COUNTIFS(工数管理!$AK$3:$AK$98,L$1,工数管理!$AE$3:$AE$98,"&lt;="&amp;$H290,工数管理!$AF$3:$AF$98,"&gt;="&amp;$H290)+COUNTIFS(工数管理!$AK$3:$AK$98,L$1,工数管理!$AG$3:$AG$98,"&lt;="&amp;$H290,工数管理!$AH$3:$AH$98,"&gt;="&amp;$H290)+(COUNTIFS(工数管理!$AK$3:$AK$98,L$1,工数管理!$K$3:$K$98,"&lt;="&amp;$H290,工数管理!$L$3:$L$98,"")+COUNTIFS(工数管理!$AK$3:$AK$98,L$1,工数管理!$M$3:$M$98,"&lt;="&amp;$H290,工数管理!$N$3:$N$98,"")+COUNTIFS(工数管理!$AK$3:$AK$98,L$1,工数管理!$O$3:$O$98,"&lt;="&amp;$H290,工数管理!$P$3:$P$98,"")+COUNTIFS(工数管理!$AK$3:$AK$98,L$1,工数管理!$Q$3:$Q$98,"&lt;="&amp;$H290,工数管理!$R$3:$R$98,"")+COUNTIFS(工数管理!$AK$3:$AK$98,L$1,工数管理!$S$3:$S$98,"&lt;="&amp;$H290,工数管理!$T$3:$T$98,"")+COUNTIFS(工数管理!$AK$3:$AK$98,L$1,工数管理!$U$3:$U$98,"&lt;="&amp;$H290,工数管理!$V$3:$V$98,"")+COUNTIFS(工数管理!$AK$3:$AK$98,L$1,工数管理!$W$3:$W$98,"&lt;="&amp;$H290,工数管理!$X$3:$X$98,"")+COUNTIFS(工数管理!$AK$3:$AK$98,L$1,工数管理!$Y$3:$Y$98,"&lt;="&amp;$H290,工数管理!$Z$3:$Z$98,"")+COUNTIFS(工数管理!$AK$3:$AK$98,L$1,工数管理!$AA$3:$AA$98,"&lt;="&amp;$H290,工数管理!$AB$3:$AB$98,"")+COUNTIFS(工数管理!$AK$3:$AK$98,L$1,工数管理!$AC$3:$AC$98,"&lt;="&amp;$H290,工数管理!$AD$3:$AD$98,"")+COUNTIFS(工数管理!$AK$3:$AK$98,L$1,工数管理!$AE$3:$AE$98,"&lt;="&amp;$H290,工数管理!$AF$3:$AF$98,"")+COUNTIFS(工数管理!$AK$3:$AK$98,L$1,工数管理!$AG$3:$AG$98,"&lt;="&amp;$H290,工数管理!$AH$3:$AH$98,""))*($H290&lt;=工数管理!$AI$1))</f>
        <v>0</v>
      </c>
    </row>
    <row r="291" spans="8:12" x14ac:dyDescent="0.15">
      <c r="H291" s="41">
        <f t="shared" si="9"/>
        <v>46459</v>
      </c>
      <c r="I291" s="42">
        <f t="shared" si="8"/>
        <v>0</v>
      </c>
      <c r="J291" s="42">
        <f ca="1">IF(J$1="",0,COUNTIFS(工数管理!$AK$3:$AK$98,J$1,工数管理!$K$3:$K$98,"&lt;="&amp;$H291,工数管理!$L$3:$L$98,"&gt;="&amp;$H291)+COUNTIFS(工数管理!$AK$3:$AK$98,J$1,工数管理!$M$3:$M$98,"&lt;="&amp;$H291,工数管理!$N$3:$N$98,"&gt;="&amp;$H291)+COUNTIFS(工数管理!$AK$3:$AK$98,J$1,工数管理!$O$3:$O$98,"&lt;="&amp;$H291,工数管理!$P$3:$P$98,"&gt;="&amp;$H291)+COUNTIFS(工数管理!$AK$3:$AK$98,J$1,工数管理!$Q$3:$Q$98,"&lt;="&amp;$H291,工数管理!$R$3:$R$98,"&gt;="&amp;$H291)+COUNTIFS(工数管理!$AK$3:$AK$98,J$1,工数管理!$S$3:$S$98,"&lt;="&amp;$H291,工数管理!$T$3:$T$98,"&gt;="&amp;$H291)+COUNTIFS(工数管理!$AK$3:$AK$98,J$1,工数管理!$U$3:$U$98,"&lt;="&amp;$H291,工数管理!$V$3:$V$98,"&gt;="&amp;$H291)+COUNTIFS(工数管理!$AK$3:$AK$98,J$1,工数管理!$W$3:$W$98,"&lt;="&amp;$H291,工数管理!$X$3:$X$98,"&gt;="&amp;$H291)+COUNTIFS(工数管理!$AK$3:$AK$98,J$1,工数管理!$Y$3:$Y$98,"&lt;="&amp;$H291,工数管理!$Z$3:$Z$98,"&gt;="&amp;$H291)+COUNTIFS(工数管理!$AK$3:$AK$98,J$1,工数管理!$AA$3:$AA$98,"&lt;="&amp;$H291,工数管理!$AB$3:$AB$98,"&gt;="&amp;$H291)+COUNTIFS(工数管理!$AK$3:$AK$98,J$1,工数管理!$AC$3:$AC$98,"&lt;="&amp;$H291,工数管理!$AD$3:$AD$98,"&gt;="&amp;$H291)+COUNTIFS(工数管理!$AK$3:$AK$98,J$1,工数管理!$AE$3:$AE$98,"&lt;="&amp;$H291,工数管理!$AF$3:$AF$98,"&gt;="&amp;$H291)+COUNTIFS(工数管理!$AK$3:$AK$98,J$1,工数管理!$AG$3:$AG$98,"&lt;="&amp;$H291,工数管理!$AH$3:$AH$98,"&gt;="&amp;$H291)+(COUNTIFS(工数管理!$AK$3:$AK$98,J$1,工数管理!$K$3:$K$98,"&lt;="&amp;$H291,工数管理!$L$3:$L$98,"")+COUNTIFS(工数管理!$AK$3:$AK$98,J$1,工数管理!$M$3:$M$98,"&lt;="&amp;$H291,工数管理!$N$3:$N$98,"")+COUNTIFS(工数管理!$AK$3:$AK$98,J$1,工数管理!$O$3:$O$98,"&lt;="&amp;$H291,工数管理!$P$3:$P$98,"")+COUNTIFS(工数管理!$AK$3:$AK$98,J$1,工数管理!$Q$3:$Q$98,"&lt;="&amp;$H291,工数管理!$R$3:$R$98,"")+COUNTIFS(工数管理!$AK$3:$AK$98,J$1,工数管理!$S$3:$S$98,"&lt;="&amp;$H291,工数管理!$T$3:$T$98,"")+COUNTIFS(工数管理!$AK$3:$AK$98,J$1,工数管理!$U$3:$U$98,"&lt;="&amp;$H291,工数管理!$V$3:$V$98,"")+COUNTIFS(工数管理!$AK$3:$AK$98,J$1,工数管理!$W$3:$W$98,"&lt;="&amp;$H291,工数管理!$X$3:$X$98,"")+COUNTIFS(工数管理!$AK$3:$AK$98,J$1,工数管理!$Y$3:$Y$98,"&lt;="&amp;$H291,工数管理!$Z$3:$Z$98,"")+COUNTIFS(工数管理!$AK$3:$AK$98,J$1,工数管理!$AA$3:$AA$98,"&lt;="&amp;$H291,工数管理!$AB$3:$AB$98,"")+COUNTIFS(工数管理!$AK$3:$AK$98,J$1,工数管理!$AC$3:$AC$98,"&lt;="&amp;$H291,工数管理!$AD$3:$AD$98,"")+COUNTIFS(工数管理!$AK$3:$AK$98,J$1,工数管理!$AE$3:$AE$98,"&lt;="&amp;$H291,工数管理!$AF$3:$AF$98,"")+COUNTIFS(工数管理!$AK$3:$AK$98,J$1,工数管理!$AG$3:$AG$98,"&lt;="&amp;$H291,工数管理!$AH$3:$AH$98,""))*($H291&lt;=工数管理!$AI$1))</f>
        <v>0</v>
      </c>
      <c r="K291" s="42">
        <f ca="1">IF(K$1="",0,COUNTIFS(工数管理!$AK$3:$AK$98,K$1,工数管理!$K$3:$K$98,"&lt;="&amp;$H291,工数管理!$L$3:$L$98,"&gt;="&amp;$H291)+COUNTIFS(工数管理!$AK$3:$AK$98,K$1,工数管理!$M$3:$M$98,"&lt;="&amp;$H291,工数管理!$N$3:$N$98,"&gt;="&amp;$H291)+COUNTIFS(工数管理!$AK$3:$AK$98,K$1,工数管理!$O$3:$O$98,"&lt;="&amp;$H291,工数管理!$P$3:$P$98,"&gt;="&amp;$H291)+COUNTIFS(工数管理!$AK$3:$AK$98,K$1,工数管理!$Q$3:$Q$98,"&lt;="&amp;$H291,工数管理!$R$3:$R$98,"&gt;="&amp;$H291)+COUNTIFS(工数管理!$AK$3:$AK$98,K$1,工数管理!$S$3:$S$98,"&lt;="&amp;$H291,工数管理!$T$3:$T$98,"&gt;="&amp;$H291)+COUNTIFS(工数管理!$AK$3:$AK$98,K$1,工数管理!$U$3:$U$98,"&lt;="&amp;$H291,工数管理!$V$3:$V$98,"&gt;="&amp;$H291)+COUNTIFS(工数管理!$AK$3:$AK$98,K$1,工数管理!$W$3:$W$98,"&lt;="&amp;$H291,工数管理!$X$3:$X$98,"&gt;="&amp;$H291)+COUNTIFS(工数管理!$AK$3:$AK$98,K$1,工数管理!$Y$3:$Y$98,"&lt;="&amp;$H291,工数管理!$Z$3:$Z$98,"&gt;="&amp;$H291)+COUNTIFS(工数管理!$AK$3:$AK$98,K$1,工数管理!$AA$3:$AA$98,"&lt;="&amp;$H291,工数管理!$AB$3:$AB$98,"&gt;="&amp;$H291)+COUNTIFS(工数管理!$AK$3:$AK$98,K$1,工数管理!$AC$3:$AC$98,"&lt;="&amp;$H291,工数管理!$AD$3:$AD$98,"&gt;="&amp;$H291)+COUNTIFS(工数管理!$AK$3:$AK$98,K$1,工数管理!$AE$3:$AE$98,"&lt;="&amp;$H291,工数管理!$AF$3:$AF$98,"&gt;="&amp;$H291)+COUNTIFS(工数管理!$AK$3:$AK$98,K$1,工数管理!$AG$3:$AG$98,"&lt;="&amp;$H291,工数管理!$AH$3:$AH$98,"&gt;="&amp;$H291)+(COUNTIFS(工数管理!$AK$3:$AK$98,K$1,工数管理!$K$3:$K$98,"&lt;="&amp;$H291,工数管理!$L$3:$L$98,"")+COUNTIFS(工数管理!$AK$3:$AK$98,K$1,工数管理!$M$3:$M$98,"&lt;="&amp;$H291,工数管理!$N$3:$N$98,"")+COUNTIFS(工数管理!$AK$3:$AK$98,K$1,工数管理!$O$3:$O$98,"&lt;="&amp;$H291,工数管理!$P$3:$P$98,"")+COUNTIFS(工数管理!$AK$3:$AK$98,K$1,工数管理!$Q$3:$Q$98,"&lt;="&amp;$H291,工数管理!$R$3:$R$98,"")+COUNTIFS(工数管理!$AK$3:$AK$98,K$1,工数管理!$S$3:$S$98,"&lt;="&amp;$H291,工数管理!$T$3:$T$98,"")+COUNTIFS(工数管理!$AK$3:$AK$98,K$1,工数管理!$U$3:$U$98,"&lt;="&amp;$H291,工数管理!$V$3:$V$98,"")+COUNTIFS(工数管理!$AK$3:$AK$98,K$1,工数管理!$W$3:$W$98,"&lt;="&amp;$H291,工数管理!$X$3:$X$98,"")+COUNTIFS(工数管理!$AK$3:$AK$98,K$1,工数管理!$Y$3:$Y$98,"&lt;="&amp;$H291,工数管理!$Z$3:$Z$98,"")+COUNTIFS(工数管理!$AK$3:$AK$98,K$1,工数管理!$AA$3:$AA$98,"&lt;="&amp;$H291,工数管理!$AB$3:$AB$98,"")+COUNTIFS(工数管理!$AK$3:$AK$98,K$1,工数管理!$AC$3:$AC$98,"&lt;="&amp;$H291,工数管理!$AD$3:$AD$98,"")+COUNTIFS(工数管理!$AK$3:$AK$98,K$1,工数管理!$AE$3:$AE$98,"&lt;="&amp;$H291,工数管理!$AF$3:$AF$98,"")+COUNTIFS(工数管理!$AK$3:$AK$98,K$1,工数管理!$AG$3:$AG$98,"&lt;="&amp;$H291,工数管理!$AH$3:$AH$98,""))*($H291&lt;=工数管理!$AI$1))</f>
        <v>0</v>
      </c>
      <c r="L291" s="42">
        <f ca="1">IF(L$1="",0,COUNTIFS(工数管理!$AK$3:$AK$98,L$1,工数管理!$K$3:$K$98,"&lt;="&amp;$H291,工数管理!$L$3:$L$98,"&gt;="&amp;$H291)+COUNTIFS(工数管理!$AK$3:$AK$98,L$1,工数管理!$M$3:$M$98,"&lt;="&amp;$H291,工数管理!$N$3:$N$98,"&gt;="&amp;$H291)+COUNTIFS(工数管理!$AK$3:$AK$98,L$1,工数管理!$O$3:$O$98,"&lt;="&amp;$H291,工数管理!$P$3:$P$98,"&gt;="&amp;$H291)+COUNTIFS(工数管理!$AK$3:$AK$98,L$1,工数管理!$Q$3:$Q$98,"&lt;="&amp;$H291,工数管理!$R$3:$R$98,"&gt;="&amp;$H291)+COUNTIFS(工数管理!$AK$3:$AK$98,L$1,工数管理!$S$3:$S$98,"&lt;="&amp;$H291,工数管理!$T$3:$T$98,"&gt;="&amp;$H291)+COUNTIFS(工数管理!$AK$3:$AK$98,L$1,工数管理!$U$3:$U$98,"&lt;="&amp;$H291,工数管理!$V$3:$V$98,"&gt;="&amp;$H291)+COUNTIFS(工数管理!$AK$3:$AK$98,L$1,工数管理!$W$3:$W$98,"&lt;="&amp;$H291,工数管理!$X$3:$X$98,"&gt;="&amp;$H291)+COUNTIFS(工数管理!$AK$3:$AK$98,L$1,工数管理!$Y$3:$Y$98,"&lt;="&amp;$H291,工数管理!$Z$3:$Z$98,"&gt;="&amp;$H291)+COUNTIFS(工数管理!$AK$3:$AK$98,L$1,工数管理!$AA$3:$AA$98,"&lt;="&amp;$H291,工数管理!$AB$3:$AB$98,"&gt;="&amp;$H291)+COUNTIFS(工数管理!$AK$3:$AK$98,L$1,工数管理!$AC$3:$AC$98,"&lt;="&amp;$H291,工数管理!$AD$3:$AD$98,"&gt;="&amp;$H291)+COUNTIFS(工数管理!$AK$3:$AK$98,L$1,工数管理!$AE$3:$AE$98,"&lt;="&amp;$H291,工数管理!$AF$3:$AF$98,"&gt;="&amp;$H291)+COUNTIFS(工数管理!$AK$3:$AK$98,L$1,工数管理!$AG$3:$AG$98,"&lt;="&amp;$H291,工数管理!$AH$3:$AH$98,"&gt;="&amp;$H291)+(COUNTIFS(工数管理!$AK$3:$AK$98,L$1,工数管理!$K$3:$K$98,"&lt;="&amp;$H291,工数管理!$L$3:$L$98,"")+COUNTIFS(工数管理!$AK$3:$AK$98,L$1,工数管理!$M$3:$M$98,"&lt;="&amp;$H291,工数管理!$N$3:$N$98,"")+COUNTIFS(工数管理!$AK$3:$AK$98,L$1,工数管理!$O$3:$O$98,"&lt;="&amp;$H291,工数管理!$P$3:$P$98,"")+COUNTIFS(工数管理!$AK$3:$AK$98,L$1,工数管理!$Q$3:$Q$98,"&lt;="&amp;$H291,工数管理!$R$3:$R$98,"")+COUNTIFS(工数管理!$AK$3:$AK$98,L$1,工数管理!$S$3:$S$98,"&lt;="&amp;$H291,工数管理!$T$3:$T$98,"")+COUNTIFS(工数管理!$AK$3:$AK$98,L$1,工数管理!$U$3:$U$98,"&lt;="&amp;$H291,工数管理!$V$3:$V$98,"")+COUNTIFS(工数管理!$AK$3:$AK$98,L$1,工数管理!$W$3:$W$98,"&lt;="&amp;$H291,工数管理!$X$3:$X$98,"")+COUNTIFS(工数管理!$AK$3:$AK$98,L$1,工数管理!$Y$3:$Y$98,"&lt;="&amp;$H291,工数管理!$Z$3:$Z$98,"")+COUNTIFS(工数管理!$AK$3:$AK$98,L$1,工数管理!$AA$3:$AA$98,"&lt;="&amp;$H291,工数管理!$AB$3:$AB$98,"")+COUNTIFS(工数管理!$AK$3:$AK$98,L$1,工数管理!$AC$3:$AC$98,"&lt;="&amp;$H291,工数管理!$AD$3:$AD$98,"")+COUNTIFS(工数管理!$AK$3:$AK$98,L$1,工数管理!$AE$3:$AE$98,"&lt;="&amp;$H291,工数管理!$AF$3:$AF$98,"")+COUNTIFS(工数管理!$AK$3:$AK$98,L$1,工数管理!$AG$3:$AG$98,"&lt;="&amp;$H291,工数管理!$AH$3:$AH$98,""))*($H291&lt;=工数管理!$AI$1))</f>
        <v>0</v>
      </c>
    </row>
    <row r="292" spans="8:12" x14ac:dyDescent="0.15">
      <c r="H292" s="41">
        <f t="shared" si="9"/>
        <v>46460</v>
      </c>
      <c r="I292" s="42">
        <f t="shared" si="8"/>
        <v>0</v>
      </c>
      <c r="J292" s="42">
        <f ca="1">IF(J$1="",0,COUNTIFS(工数管理!$AK$3:$AK$98,J$1,工数管理!$K$3:$K$98,"&lt;="&amp;$H292,工数管理!$L$3:$L$98,"&gt;="&amp;$H292)+COUNTIFS(工数管理!$AK$3:$AK$98,J$1,工数管理!$M$3:$M$98,"&lt;="&amp;$H292,工数管理!$N$3:$N$98,"&gt;="&amp;$H292)+COUNTIFS(工数管理!$AK$3:$AK$98,J$1,工数管理!$O$3:$O$98,"&lt;="&amp;$H292,工数管理!$P$3:$P$98,"&gt;="&amp;$H292)+COUNTIFS(工数管理!$AK$3:$AK$98,J$1,工数管理!$Q$3:$Q$98,"&lt;="&amp;$H292,工数管理!$R$3:$R$98,"&gt;="&amp;$H292)+COUNTIFS(工数管理!$AK$3:$AK$98,J$1,工数管理!$S$3:$S$98,"&lt;="&amp;$H292,工数管理!$T$3:$T$98,"&gt;="&amp;$H292)+COUNTIFS(工数管理!$AK$3:$AK$98,J$1,工数管理!$U$3:$U$98,"&lt;="&amp;$H292,工数管理!$V$3:$V$98,"&gt;="&amp;$H292)+COUNTIFS(工数管理!$AK$3:$AK$98,J$1,工数管理!$W$3:$W$98,"&lt;="&amp;$H292,工数管理!$X$3:$X$98,"&gt;="&amp;$H292)+COUNTIFS(工数管理!$AK$3:$AK$98,J$1,工数管理!$Y$3:$Y$98,"&lt;="&amp;$H292,工数管理!$Z$3:$Z$98,"&gt;="&amp;$H292)+COUNTIFS(工数管理!$AK$3:$AK$98,J$1,工数管理!$AA$3:$AA$98,"&lt;="&amp;$H292,工数管理!$AB$3:$AB$98,"&gt;="&amp;$H292)+COUNTIFS(工数管理!$AK$3:$AK$98,J$1,工数管理!$AC$3:$AC$98,"&lt;="&amp;$H292,工数管理!$AD$3:$AD$98,"&gt;="&amp;$H292)+COUNTIFS(工数管理!$AK$3:$AK$98,J$1,工数管理!$AE$3:$AE$98,"&lt;="&amp;$H292,工数管理!$AF$3:$AF$98,"&gt;="&amp;$H292)+COUNTIFS(工数管理!$AK$3:$AK$98,J$1,工数管理!$AG$3:$AG$98,"&lt;="&amp;$H292,工数管理!$AH$3:$AH$98,"&gt;="&amp;$H292)+(COUNTIFS(工数管理!$AK$3:$AK$98,J$1,工数管理!$K$3:$K$98,"&lt;="&amp;$H292,工数管理!$L$3:$L$98,"")+COUNTIFS(工数管理!$AK$3:$AK$98,J$1,工数管理!$M$3:$M$98,"&lt;="&amp;$H292,工数管理!$N$3:$N$98,"")+COUNTIFS(工数管理!$AK$3:$AK$98,J$1,工数管理!$O$3:$O$98,"&lt;="&amp;$H292,工数管理!$P$3:$P$98,"")+COUNTIFS(工数管理!$AK$3:$AK$98,J$1,工数管理!$Q$3:$Q$98,"&lt;="&amp;$H292,工数管理!$R$3:$R$98,"")+COUNTIFS(工数管理!$AK$3:$AK$98,J$1,工数管理!$S$3:$S$98,"&lt;="&amp;$H292,工数管理!$T$3:$T$98,"")+COUNTIFS(工数管理!$AK$3:$AK$98,J$1,工数管理!$U$3:$U$98,"&lt;="&amp;$H292,工数管理!$V$3:$V$98,"")+COUNTIFS(工数管理!$AK$3:$AK$98,J$1,工数管理!$W$3:$W$98,"&lt;="&amp;$H292,工数管理!$X$3:$X$98,"")+COUNTIFS(工数管理!$AK$3:$AK$98,J$1,工数管理!$Y$3:$Y$98,"&lt;="&amp;$H292,工数管理!$Z$3:$Z$98,"")+COUNTIFS(工数管理!$AK$3:$AK$98,J$1,工数管理!$AA$3:$AA$98,"&lt;="&amp;$H292,工数管理!$AB$3:$AB$98,"")+COUNTIFS(工数管理!$AK$3:$AK$98,J$1,工数管理!$AC$3:$AC$98,"&lt;="&amp;$H292,工数管理!$AD$3:$AD$98,"")+COUNTIFS(工数管理!$AK$3:$AK$98,J$1,工数管理!$AE$3:$AE$98,"&lt;="&amp;$H292,工数管理!$AF$3:$AF$98,"")+COUNTIFS(工数管理!$AK$3:$AK$98,J$1,工数管理!$AG$3:$AG$98,"&lt;="&amp;$H292,工数管理!$AH$3:$AH$98,""))*($H292&lt;=工数管理!$AI$1))</f>
        <v>0</v>
      </c>
      <c r="K292" s="42">
        <f ca="1">IF(K$1="",0,COUNTIFS(工数管理!$AK$3:$AK$98,K$1,工数管理!$K$3:$K$98,"&lt;="&amp;$H292,工数管理!$L$3:$L$98,"&gt;="&amp;$H292)+COUNTIFS(工数管理!$AK$3:$AK$98,K$1,工数管理!$M$3:$M$98,"&lt;="&amp;$H292,工数管理!$N$3:$N$98,"&gt;="&amp;$H292)+COUNTIFS(工数管理!$AK$3:$AK$98,K$1,工数管理!$O$3:$O$98,"&lt;="&amp;$H292,工数管理!$P$3:$P$98,"&gt;="&amp;$H292)+COUNTIFS(工数管理!$AK$3:$AK$98,K$1,工数管理!$Q$3:$Q$98,"&lt;="&amp;$H292,工数管理!$R$3:$R$98,"&gt;="&amp;$H292)+COUNTIFS(工数管理!$AK$3:$AK$98,K$1,工数管理!$S$3:$S$98,"&lt;="&amp;$H292,工数管理!$T$3:$T$98,"&gt;="&amp;$H292)+COUNTIFS(工数管理!$AK$3:$AK$98,K$1,工数管理!$U$3:$U$98,"&lt;="&amp;$H292,工数管理!$V$3:$V$98,"&gt;="&amp;$H292)+COUNTIFS(工数管理!$AK$3:$AK$98,K$1,工数管理!$W$3:$W$98,"&lt;="&amp;$H292,工数管理!$X$3:$X$98,"&gt;="&amp;$H292)+COUNTIFS(工数管理!$AK$3:$AK$98,K$1,工数管理!$Y$3:$Y$98,"&lt;="&amp;$H292,工数管理!$Z$3:$Z$98,"&gt;="&amp;$H292)+COUNTIFS(工数管理!$AK$3:$AK$98,K$1,工数管理!$AA$3:$AA$98,"&lt;="&amp;$H292,工数管理!$AB$3:$AB$98,"&gt;="&amp;$H292)+COUNTIFS(工数管理!$AK$3:$AK$98,K$1,工数管理!$AC$3:$AC$98,"&lt;="&amp;$H292,工数管理!$AD$3:$AD$98,"&gt;="&amp;$H292)+COUNTIFS(工数管理!$AK$3:$AK$98,K$1,工数管理!$AE$3:$AE$98,"&lt;="&amp;$H292,工数管理!$AF$3:$AF$98,"&gt;="&amp;$H292)+COUNTIFS(工数管理!$AK$3:$AK$98,K$1,工数管理!$AG$3:$AG$98,"&lt;="&amp;$H292,工数管理!$AH$3:$AH$98,"&gt;="&amp;$H292)+(COUNTIFS(工数管理!$AK$3:$AK$98,K$1,工数管理!$K$3:$K$98,"&lt;="&amp;$H292,工数管理!$L$3:$L$98,"")+COUNTIFS(工数管理!$AK$3:$AK$98,K$1,工数管理!$M$3:$M$98,"&lt;="&amp;$H292,工数管理!$N$3:$N$98,"")+COUNTIFS(工数管理!$AK$3:$AK$98,K$1,工数管理!$O$3:$O$98,"&lt;="&amp;$H292,工数管理!$P$3:$P$98,"")+COUNTIFS(工数管理!$AK$3:$AK$98,K$1,工数管理!$Q$3:$Q$98,"&lt;="&amp;$H292,工数管理!$R$3:$R$98,"")+COUNTIFS(工数管理!$AK$3:$AK$98,K$1,工数管理!$S$3:$S$98,"&lt;="&amp;$H292,工数管理!$T$3:$T$98,"")+COUNTIFS(工数管理!$AK$3:$AK$98,K$1,工数管理!$U$3:$U$98,"&lt;="&amp;$H292,工数管理!$V$3:$V$98,"")+COUNTIFS(工数管理!$AK$3:$AK$98,K$1,工数管理!$W$3:$W$98,"&lt;="&amp;$H292,工数管理!$X$3:$X$98,"")+COUNTIFS(工数管理!$AK$3:$AK$98,K$1,工数管理!$Y$3:$Y$98,"&lt;="&amp;$H292,工数管理!$Z$3:$Z$98,"")+COUNTIFS(工数管理!$AK$3:$AK$98,K$1,工数管理!$AA$3:$AA$98,"&lt;="&amp;$H292,工数管理!$AB$3:$AB$98,"")+COUNTIFS(工数管理!$AK$3:$AK$98,K$1,工数管理!$AC$3:$AC$98,"&lt;="&amp;$H292,工数管理!$AD$3:$AD$98,"")+COUNTIFS(工数管理!$AK$3:$AK$98,K$1,工数管理!$AE$3:$AE$98,"&lt;="&amp;$H292,工数管理!$AF$3:$AF$98,"")+COUNTIFS(工数管理!$AK$3:$AK$98,K$1,工数管理!$AG$3:$AG$98,"&lt;="&amp;$H292,工数管理!$AH$3:$AH$98,""))*($H292&lt;=工数管理!$AI$1))</f>
        <v>0</v>
      </c>
      <c r="L292" s="42">
        <f ca="1">IF(L$1="",0,COUNTIFS(工数管理!$AK$3:$AK$98,L$1,工数管理!$K$3:$K$98,"&lt;="&amp;$H292,工数管理!$L$3:$L$98,"&gt;="&amp;$H292)+COUNTIFS(工数管理!$AK$3:$AK$98,L$1,工数管理!$M$3:$M$98,"&lt;="&amp;$H292,工数管理!$N$3:$N$98,"&gt;="&amp;$H292)+COUNTIFS(工数管理!$AK$3:$AK$98,L$1,工数管理!$O$3:$O$98,"&lt;="&amp;$H292,工数管理!$P$3:$P$98,"&gt;="&amp;$H292)+COUNTIFS(工数管理!$AK$3:$AK$98,L$1,工数管理!$Q$3:$Q$98,"&lt;="&amp;$H292,工数管理!$R$3:$R$98,"&gt;="&amp;$H292)+COUNTIFS(工数管理!$AK$3:$AK$98,L$1,工数管理!$S$3:$S$98,"&lt;="&amp;$H292,工数管理!$T$3:$T$98,"&gt;="&amp;$H292)+COUNTIFS(工数管理!$AK$3:$AK$98,L$1,工数管理!$U$3:$U$98,"&lt;="&amp;$H292,工数管理!$V$3:$V$98,"&gt;="&amp;$H292)+COUNTIFS(工数管理!$AK$3:$AK$98,L$1,工数管理!$W$3:$W$98,"&lt;="&amp;$H292,工数管理!$X$3:$X$98,"&gt;="&amp;$H292)+COUNTIFS(工数管理!$AK$3:$AK$98,L$1,工数管理!$Y$3:$Y$98,"&lt;="&amp;$H292,工数管理!$Z$3:$Z$98,"&gt;="&amp;$H292)+COUNTIFS(工数管理!$AK$3:$AK$98,L$1,工数管理!$AA$3:$AA$98,"&lt;="&amp;$H292,工数管理!$AB$3:$AB$98,"&gt;="&amp;$H292)+COUNTIFS(工数管理!$AK$3:$AK$98,L$1,工数管理!$AC$3:$AC$98,"&lt;="&amp;$H292,工数管理!$AD$3:$AD$98,"&gt;="&amp;$H292)+COUNTIFS(工数管理!$AK$3:$AK$98,L$1,工数管理!$AE$3:$AE$98,"&lt;="&amp;$H292,工数管理!$AF$3:$AF$98,"&gt;="&amp;$H292)+COUNTIFS(工数管理!$AK$3:$AK$98,L$1,工数管理!$AG$3:$AG$98,"&lt;="&amp;$H292,工数管理!$AH$3:$AH$98,"&gt;="&amp;$H292)+(COUNTIFS(工数管理!$AK$3:$AK$98,L$1,工数管理!$K$3:$K$98,"&lt;="&amp;$H292,工数管理!$L$3:$L$98,"")+COUNTIFS(工数管理!$AK$3:$AK$98,L$1,工数管理!$M$3:$M$98,"&lt;="&amp;$H292,工数管理!$N$3:$N$98,"")+COUNTIFS(工数管理!$AK$3:$AK$98,L$1,工数管理!$O$3:$O$98,"&lt;="&amp;$H292,工数管理!$P$3:$P$98,"")+COUNTIFS(工数管理!$AK$3:$AK$98,L$1,工数管理!$Q$3:$Q$98,"&lt;="&amp;$H292,工数管理!$R$3:$R$98,"")+COUNTIFS(工数管理!$AK$3:$AK$98,L$1,工数管理!$S$3:$S$98,"&lt;="&amp;$H292,工数管理!$T$3:$T$98,"")+COUNTIFS(工数管理!$AK$3:$AK$98,L$1,工数管理!$U$3:$U$98,"&lt;="&amp;$H292,工数管理!$V$3:$V$98,"")+COUNTIFS(工数管理!$AK$3:$AK$98,L$1,工数管理!$W$3:$W$98,"&lt;="&amp;$H292,工数管理!$X$3:$X$98,"")+COUNTIFS(工数管理!$AK$3:$AK$98,L$1,工数管理!$Y$3:$Y$98,"&lt;="&amp;$H292,工数管理!$Z$3:$Z$98,"")+COUNTIFS(工数管理!$AK$3:$AK$98,L$1,工数管理!$AA$3:$AA$98,"&lt;="&amp;$H292,工数管理!$AB$3:$AB$98,"")+COUNTIFS(工数管理!$AK$3:$AK$98,L$1,工数管理!$AC$3:$AC$98,"&lt;="&amp;$H292,工数管理!$AD$3:$AD$98,"")+COUNTIFS(工数管理!$AK$3:$AK$98,L$1,工数管理!$AE$3:$AE$98,"&lt;="&amp;$H292,工数管理!$AF$3:$AF$98,"")+COUNTIFS(工数管理!$AK$3:$AK$98,L$1,工数管理!$AG$3:$AG$98,"&lt;="&amp;$H292,工数管理!$AH$3:$AH$98,""))*($H292&lt;=工数管理!$AI$1))</f>
        <v>0</v>
      </c>
    </row>
    <row r="293" spans="8:12" x14ac:dyDescent="0.15">
      <c r="H293" s="41">
        <f t="shared" si="9"/>
        <v>46461</v>
      </c>
      <c r="I293" s="42">
        <f t="shared" si="8"/>
        <v>1</v>
      </c>
      <c r="J293" s="42">
        <f ca="1">IF(J$1="",0,COUNTIFS(工数管理!$AK$3:$AK$98,J$1,工数管理!$K$3:$K$98,"&lt;="&amp;$H293,工数管理!$L$3:$L$98,"&gt;="&amp;$H293)+COUNTIFS(工数管理!$AK$3:$AK$98,J$1,工数管理!$M$3:$M$98,"&lt;="&amp;$H293,工数管理!$N$3:$N$98,"&gt;="&amp;$H293)+COUNTIFS(工数管理!$AK$3:$AK$98,J$1,工数管理!$O$3:$O$98,"&lt;="&amp;$H293,工数管理!$P$3:$P$98,"&gt;="&amp;$H293)+COUNTIFS(工数管理!$AK$3:$AK$98,J$1,工数管理!$Q$3:$Q$98,"&lt;="&amp;$H293,工数管理!$R$3:$R$98,"&gt;="&amp;$H293)+COUNTIFS(工数管理!$AK$3:$AK$98,J$1,工数管理!$S$3:$S$98,"&lt;="&amp;$H293,工数管理!$T$3:$T$98,"&gt;="&amp;$H293)+COUNTIFS(工数管理!$AK$3:$AK$98,J$1,工数管理!$U$3:$U$98,"&lt;="&amp;$H293,工数管理!$V$3:$V$98,"&gt;="&amp;$H293)+COUNTIFS(工数管理!$AK$3:$AK$98,J$1,工数管理!$W$3:$W$98,"&lt;="&amp;$H293,工数管理!$X$3:$X$98,"&gt;="&amp;$H293)+COUNTIFS(工数管理!$AK$3:$AK$98,J$1,工数管理!$Y$3:$Y$98,"&lt;="&amp;$H293,工数管理!$Z$3:$Z$98,"&gt;="&amp;$H293)+COUNTIFS(工数管理!$AK$3:$AK$98,J$1,工数管理!$AA$3:$AA$98,"&lt;="&amp;$H293,工数管理!$AB$3:$AB$98,"&gt;="&amp;$H293)+COUNTIFS(工数管理!$AK$3:$AK$98,J$1,工数管理!$AC$3:$AC$98,"&lt;="&amp;$H293,工数管理!$AD$3:$AD$98,"&gt;="&amp;$H293)+COUNTIFS(工数管理!$AK$3:$AK$98,J$1,工数管理!$AE$3:$AE$98,"&lt;="&amp;$H293,工数管理!$AF$3:$AF$98,"&gt;="&amp;$H293)+COUNTIFS(工数管理!$AK$3:$AK$98,J$1,工数管理!$AG$3:$AG$98,"&lt;="&amp;$H293,工数管理!$AH$3:$AH$98,"&gt;="&amp;$H293)+(COUNTIFS(工数管理!$AK$3:$AK$98,J$1,工数管理!$K$3:$K$98,"&lt;="&amp;$H293,工数管理!$L$3:$L$98,"")+COUNTIFS(工数管理!$AK$3:$AK$98,J$1,工数管理!$M$3:$M$98,"&lt;="&amp;$H293,工数管理!$N$3:$N$98,"")+COUNTIFS(工数管理!$AK$3:$AK$98,J$1,工数管理!$O$3:$O$98,"&lt;="&amp;$H293,工数管理!$P$3:$P$98,"")+COUNTIFS(工数管理!$AK$3:$AK$98,J$1,工数管理!$Q$3:$Q$98,"&lt;="&amp;$H293,工数管理!$R$3:$R$98,"")+COUNTIFS(工数管理!$AK$3:$AK$98,J$1,工数管理!$S$3:$S$98,"&lt;="&amp;$H293,工数管理!$T$3:$T$98,"")+COUNTIFS(工数管理!$AK$3:$AK$98,J$1,工数管理!$U$3:$U$98,"&lt;="&amp;$H293,工数管理!$V$3:$V$98,"")+COUNTIFS(工数管理!$AK$3:$AK$98,J$1,工数管理!$W$3:$W$98,"&lt;="&amp;$H293,工数管理!$X$3:$X$98,"")+COUNTIFS(工数管理!$AK$3:$AK$98,J$1,工数管理!$Y$3:$Y$98,"&lt;="&amp;$H293,工数管理!$Z$3:$Z$98,"")+COUNTIFS(工数管理!$AK$3:$AK$98,J$1,工数管理!$AA$3:$AA$98,"&lt;="&amp;$H293,工数管理!$AB$3:$AB$98,"")+COUNTIFS(工数管理!$AK$3:$AK$98,J$1,工数管理!$AC$3:$AC$98,"&lt;="&amp;$H293,工数管理!$AD$3:$AD$98,"")+COUNTIFS(工数管理!$AK$3:$AK$98,J$1,工数管理!$AE$3:$AE$98,"&lt;="&amp;$H293,工数管理!$AF$3:$AF$98,"")+COUNTIFS(工数管理!$AK$3:$AK$98,J$1,工数管理!$AG$3:$AG$98,"&lt;="&amp;$H293,工数管理!$AH$3:$AH$98,""))*($H293&lt;=工数管理!$AI$1))</f>
        <v>0</v>
      </c>
      <c r="K293" s="42">
        <f ca="1">IF(K$1="",0,COUNTIFS(工数管理!$AK$3:$AK$98,K$1,工数管理!$K$3:$K$98,"&lt;="&amp;$H293,工数管理!$L$3:$L$98,"&gt;="&amp;$H293)+COUNTIFS(工数管理!$AK$3:$AK$98,K$1,工数管理!$M$3:$M$98,"&lt;="&amp;$H293,工数管理!$N$3:$N$98,"&gt;="&amp;$H293)+COUNTIFS(工数管理!$AK$3:$AK$98,K$1,工数管理!$O$3:$O$98,"&lt;="&amp;$H293,工数管理!$P$3:$P$98,"&gt;="&amp;$H293)+COUNTIFS(工数管理!$AK$3:$AK$98,K$1,工数管理!$Q$3:$Q$98,"&lt;="&amp;$H293,工数管理!$R$3:$R$98,"&gt;="&amp;$H293)+COUNTIFS(工数管理!$AK$3:$AK$98,K$1,工数管理!$S$3:$S$98,"&lt;="&amp;$H293,工数管理!$T$3:$T$98,"&gt;="&amp;$H293)+COUNTIFS(工数管理!$AK$3:$AK$98,K$1,工数管理!$U$3:$U$98,"&lt;="&amp;$H293,工数管理!$V$3:$V$98,"&gt;="&amp;$H293)+COUNTIFS(工数管理!$AK$3:$AK$98,K$1,工数管理!$W$3:$W$98,"&lt;="&amp;$H293,工数管理!$X$3:$X$98,"&gt;="&amp;$H293)+COUNTIFS(工数管理!$AK$3:$AK$98,K$1,工数管理!$Y$3:$Y$98,"&lt;="&amp;$H293,工数管理!$Z$3:$Z$98,"&gt;="&amp;$H293)+COUNTIFS(工数管理!$AK$3:$AK$98,K$1,工数管理!$AA$3:$AA$98,"&lt;="&amp;$H293,工数管理!$AB$3:$AB$98,"&gt;="&amp;$H293)+COUNTIFS(工数管理!$AK$3:$AK$98,K$1,工数管理!$AC$3:$AC$98,"&lt;="&amp;$H293,工数管理!$AD$3:$AD$98,"&gt;="&amp;$H293)+COUNTIFS(工数管理!$AK$3:$AK$98,K$1,工数管理!$AE$3:$AE$98,"&lt;="&amp;$H293,工数管理!$AF$3:$AF$98,"&gt;="&amp;$H293)+COUNTIFS(工数管理!$AK$3:$AK$98,K$1,工数管理!$AG$3:$AG$98,"&lt;="&amp;$H293,工数管理!$AH$3:$AH$98,"&gt;="&amp;$H293)+(COUNTIFS(工数管理!$AK$3:$AK$98,K$1,工数管理!$K$3:$K$98,"&lt;="&amp;$H293,工数管理!$L$3:$L$98,"")+COUNTIFS(工数管理!$AK$3:$AK$98,K$1,工数管理!$M$3:$M$98,"&lt;="&amp;$H293,工数管理!$N$3:$N$98,"")+COUNTIFS(工数管理!$AK$3:$AK$98,K$1,工数管理!$O$3:$O$98,"&lt;="&amp;$H293,工数管理!$P$3:$P$98,"")+COUNTIFS(工数管理!$AK$3:$AK$98,K$1,工数管理!$Q$3:$Q$98,"&lt;="&amp;$H293,工数管理!$R$3:$R$98,"")+COUNTIFS(工数管理!$AK$3:$AK$98,K$1,工数管理!$S$3:$S$98,"&lt;="&amp;$H293,工数管理!$T$3:$T$98,"")+COUNTIFS(工数管理!$AK$3:$AK$98,K$1,工数管理!$U$3:$U$98,"&lt;="&amp;$H293,工数管理!$V$3:$V$98,"")+COUNTIFS(工数管理!$AK$3:$AK$98,K$1,工数管理!$W$3:$W$98,"&lt;="&amp;$H293,工数管理!$X$3:$X$98,"")+COUNTIFS(工数管理!$AK$3:$AK$98,K$1,工数管理!$Y$3:$Y$98,"&lt;="&amp;$H293,工数管理!$Z$3:$Z$98,"")+COUNTIFS(工数管理!$AK$3:$AK$98,K$1,工数管理!$AA$3:$AA$98,"&lt;="&amp;$H293,工数管理!$AB$3:$AB$98,"")+COUNTIFS(工数管理!$AK$3:$AK$98,K$1,工数管理!$AC$3:$AC$98,"&lt;="&amp;$H293,工数管理!$AD$3:$AD$98,"")+COUNTIFS(工数管理!$AK$3:$AK$98,K$1,工数管理!$AE$3:$AE$98,"&lt;="&amp;$H293,工数管理!$AF$3:$AF$98,"")+COUNTIFS(工数管理!$AK$3:$AK$98,K$1,工数管理!$AG$3:$AG$98,"&lt;="&amp;$H293,工数管理!$AH$3:$AH$98,""))*($H293&lt;=工数管理!$AI$1))</f>
        <v>0</v>
      </c>
      <c r="L293" s="42">
        <f ca="1">IF(L$1="",0,COUNTIFS(工数管理!$AK$3:$AK$98,L$1,工数管理!$K$3:$K$98,"&lt;="&amp;$H293,工数管理!$L$3:$L$98,"&gt;="&amp;$H293)+COUNTIFS(工数管理!$AK$3:$AK$98,L$1,工数管理!$M$3:$M$98,"&lt;="&amp;$H293,工数管理!$N$3:$N$98,"&gt;="&amp;$H293)+COUNTIFS(工数管理!$AK$3:$AK$98,L$1,工数管理!$O$3:$O$98,"&lt;="&amp;$H293,工数管理!$P$3:$P$98,"&gt;="&amp;$H293)+COUNTIFS(工数管理!$AK$3:$AK$98,L$1,工数管理!$Q$3:$Q$98,"&lt;="&amp;$H293,工数管理!$R$3:$R$98,"&gt;="&amp;$H293)+COUNTIFS(工数管理!$AK$3:$AK$98,L$1,工数管理!$S$3:$S$98,"&lt;="&amp;$H293,工数管理!$T$3:$T$98,"&gt;="&amp;$H293)+COUNTIFS(工数管理!$AK$3:$AK$98,L$1,工数管理!$U$3:$U$98,"&lt;="&amp;$H293,工数管理!$V$3:$V$98,"&gt;="&amp;$H293)+COUNTIFS(工数管理!$AK$3:$AK$98,L$1,工数管理!$W$3:$W$98,"&lt;="&amp;$H293,工数管理!$X$3:$X$98,"&gt;="&amp;$H293)+COUNTIFS(工数管理!$AK$3:$AK$98,L$1,工数管理!$Y$3:$Y$98,"&lt;="&amp;$H293,工数管理!$Z$3:$Z$98,"&gt;="&amp;$H293)+COUNTIFS(工数管理!$AK$3:$AK$98,L$1,工数管理!$AA$3:$AA$98,"&lt;="&amp;$H293,工数管理!$AB$3:$AB$98,"&gt;="&amp;$H293)+COUNTIFS(工数管理!$AK$3:$AK$98,L$1,工数管理!$AC$3:$AC$98,"&lt;="&amp;$H293,工数管理!$AD$3:$AD$98,"&gt;="&amp;$H293)+COUNTIFS(工数管理!$AK$3:$AK$98,L$1,工数管理!$AE$3:$AE$98,"&lt;="&amp;$H293,工数管理!$AF$3:$AF$98,"&gt;="&amp;$H293)+COUNTIFS(工数管理!$AK$3:$AK$98,L$1,工数管理!$AG$3:$AG$98,"&lt;="&amp;$H293,工数管理!$AH$3:$AH$98,"&gt;="&amp;$H293)+(COUNTIFS(工数管理!$AK$3:$AK$98,L$1,工数管理!$K$3:$K$98,"&lt;="&amp;$H293,工数管理!$L$3:$L$98,"")+COUNTIFS(工数管理!$AK$3:$AK$98,L$1,工数管理!$M$3:$M$98,"&lt;="&amp;$H293,工数管理!$N$3:$N$98,"")+COUNTIFS(工数管理!$AK$3:$AK$98,L$1,工数管理!$O$3:$O$98,"&lt;="&amp;$H293,工数管理!$P$3:$P$98,"")+COUNTIFS(工数管理!$AK$3:$AK$98,L$1,工数管理!$Q$3:$Q$98,"&lt;="&amp;$H293,工数管理!$R$3:$R$98,"")+COUNTIFS(工数管理!$AK$3:$AK$98,L$1,工数管理!$S$3:$S$98,"&lt;="&amp;$H293,工数管理!$T$3:$T$98,"")+COUNTIFS(工数管理!$AK$3:$AK$98,L$1,工数管理!$U$3:$U$98,"&lt;="&amp;$H293,工数管理!$V$3:$V$98,"")+COUNTIFS(工数管理!$AK$3:$AK$98,L$1,工数管理!$W$3:$W$98,"&lt;="&amp;$H293,工数管理!$X$3:$X$98,"")+COUNTIFS(工数管理!$AK$3:$AK$98,L$1,工数管理!$Y$3:$Y$98,"&lt;="&amp;$H293,工数管理!$Z$3:$Z$98,"")+COUNTIFS(工数管理!$AK$3:$AK$98,L$1,工数管理!$AA$3:$AA$98,"&lt;="&amp;$H293,工数管理!$AB$3:$AB$98,"")+COUNTIFS(工数管理!$AK$3:$AK$98,L$1,工数管理!$AC$3:$AC$98,"&lt;="&amp;$H293,工数管理!$AD$3:$AD$98,"")+COUNTIFS(工数管理!$AK$3:$AK$98,L$1,工数管理!$AE$3:$AE$98,"&lt;="&amp;$H293,工数管理!$AF$3:$AF$98,"")+COUNTIFS(工数管理!$AK$3:$AK$98,L$1,工数管理!$AG$3:$AG$98,"&lt;="&amp;$H293,工数管理!$AH$3:$AH$98,""))*($H293&lt;=工数管理!$AI$1))</f>
        <v>0</v>
      </c>
    </row>
    <row r="294" spans="8:12" x14ac:dyDescent="0.15">
      <c r="H294" s="41">
        <f t="shared" si="9"/>
        <v>46462</v>
      </c>
      <c r="I294" s="42">
        <f t="shared" si="8"/>
        <v>1</v>
      </c>
      <c r="J294" s="42">
        <f ca="1">IF(J$1="",0,COUNTIFS(工数管理!$AK$3:$AK$98,J$1,工数管理!$K$3:$K$98,"&lt;="&amp;$H294,工数管理!$L$3:$L$98,"&gt;="&amp;$H294)+COUNTIFS(工数管理!$AK$3:$AK$98,J$1,工数管理!$M$3:$M$98,"&lt;="&amp;$H294,工数管理!$N$3:$N$98,"&gt;="&amp;$H294)+COUNTIFS(工数管理!$AK$3:$AK$98,J$1,工数管理!$O$3:$O$98,"&lt;="&amp;$H294,工数管理!$P$3:$P$98,"&gt;="&amp;$H294)+COUNTIFS(工数管理!$AK$3:$AK$98,J$1,工数管理!$Q$3:$Q$98,"&lt;="&amp;$H294,工数管理!$R$3:$R$98,"&gt;="&amp;$H294)+COUNTIFS(工数管理!$AK$3:$AK$98,J$1,工数管理!$S$3:$S$98,"&lt;="&amp;$H294,工数管理!$T$3:$T$98,"&gt;="&amp;$H294)+COUNTIFS(工数管理!$AK$3:$AK$98,J$1,工数管理!$U$3:$U$98,"&lt;="&amp;$H294,工数管理!$V$3:$V$98,"&gt;="&amp;$H294)+COUNTIFS(工数管理!$AK$3:$AK$98,J$1,工数管理!$W$3:$W$98,"&lt;="&amp;$H294,工数管理!$X$3:$X$98,"&gt;="&amp;$H294)+COUNTIFS(工数管理!$AK$3:$AK$98,J$1,工数管理!$Y$3:$Y$98,"&lt;="&amp;$H294,工数管理!$Z$3:$Z$98,"&gt;="&amp;$H294)+COUNTIFS(工数管理!$AK$3:$AK$98,J$1,工数管理!$AA$3:$AA$98,"&lt;="&amp;$H294,工数管理!$AB$3:$AB$98,"&gt;="&amp;$H294)+COUNTIFS(工数管理!$AK$3:$AK$98,J$1,工数管理!$AC$3:$AC$98,"&lt;="&amp;$H294,工数管理!$AD$3:$AD$98,"&gt;="&amp;$H294)+COUNTIFS(工数管理!$AK$3:$AK$98,J$1,工数管理!$AE$3:$AE$98,"&lt;="&amp;$H294,工数管理!$AF$3:$AF$98,"&gt;="&amp;$H294)+COUNTIFS(工数管理!$AK$3:$AK$98,J$1,工数管理!$AG$3:$AG$98,"&lt;="&amp;$H294,工数管理!$AH$3:$AH$98,"&gt;="&amp;$H294)+(COUNTIFS(工数管理!$AK$3:$AK$98,J$1,工数管理!$K$3:$K$98,"&lt;="&amp;$H294,工数管理!$L$3:$L$98,"")+COUNTIFS(工数管理!$AK$3:$AK$98,J$1,工数管理!$M$3:$M$98,"&lt;="&amp;$H294,工数管理!$N$3:$N$98,"")+COUNTIFS(工数管理!$AK$3:$AK$98,J$1,工数管理!$O$3:$O$98,"&lt;="&amp;$H294,工数管理!$P$3:$P$98,"")+COUNTIFS(工数管理!$AK$3:$AK$98,J$1,工数管理!$Q$3:$Q$98,"&lt;="&amp;$H294,工数管理!$R$3:$R$98,"")+COUNTIFS(工数管理!$AK$3:$AK$98,J$1,工数管理!$S$3:$S$98,"&lt;="&amp;$H294,工数管理!$T$3:$T$98,"")+COUNTIFS(工数管理!$AK$3:$AK$98,J$1,工数管理!$U$3:$U$98,"&lt;="&amp;$H294,工数管理!$V$3:$V$98,"")+COUNTIFS(工数管理!$AK$3:$AK$98,J$1,工数管理!$W$3:$W$98,"&lt;="&amp;$H294,工数管理!$X$3:$X$98,"")+COUNTIFS(工数管理!$AK$3:$AK$98,J$1,工数管理!$Y$3:$Y$98,"&lt;="&amp;$H294,工数管理!$Z$3:$Z$98,"")+COUNTIFS(工数管理!$AK$3:$AK$98,J$1,工数管理!$AA$3:$AA$98,"&lt;="&amp;$H294,工数管理!$AB$3:$AB$98,"")+COUNTIFS(工数管理!$AK$3:$AK$98,J$1,工数管理!$AC$3:$AC$98,"&lt;="&amp;$H294,工数管理!$AD$3:$AD$98,"")+COUNTIFS(工数管理!$AK$3:$AK$98,J$1,工数管理!$AE$3:$AE$98,"&lt;="&amp;$H294,工数管理!$AF$3:$AF$98,"")+COUNTIFS(工数管理!$AK$3:$AK$98,J$1,工数管理!$AG$3:$AG$98,"&lt;="&amp;$H294,工数管理!$AH$3:$AH$98,""))*($H294&lt;=工数管理!$AI$1))</f>
        <v>0</v>
      </c>
      <c r="K294" s="42">
        <f ca="1">IF(K$1="",0,COUNTIFS(工数管理!$AK$3:$AK$98,K$1,工数管理!$K$3:$K$98,"&lt;="&amp;$H294,工数管理!$L$3:$L$98,"&gt;="&amp;$H294)+COUNTIFS(工数管理!$AK$3:$AK$98,K$1,工数管理!$M$3:$M$98,"&lt;="&amp;$H294,工数管理!$N$3:$N$98,"&gt;="&amp;$H294)+COUNTIFS(工数管理!$AK$3:$AK$98,K$1,工数管理!$O$3:$O$98,"&lt;="&amp;$H294,工数管理!$P$3:$P$98,"&gt;="&amp;$H294)+COUNTIFS(工数管理!$AK$3:$AK$98,K$1,工数管理!$Q$3:$Q$98,"&lt;="&amp;$H294,工数管理!$R$3:$R$98,"&gt;="&amp;$H294)+COUNTIFS(工数管理!$AK$3:$AK$98,K$1,工数管理!$S$3:$S$98,"&lt;="&amp;$H294,工数管理!$T$3:$T$98,"&gt;="&amp;$H294)+COUNTIFS(工数管理!$AK$3:$AK$98,K$1,工数管理!$U$3:$U$98,"&lt;="&amp;$H294,工数管理!$V$3:$V$98,"&gt;="&amp;$H294)+COUNTIFS(工数管理!$AK$3:$AK$98,K$1,工数管理!$W$3:$W$98,"&lt;="&amp;$H294,工数管理!$X$3:$X$98,"&gt;="&amp;$H294)+COUNTIFS(工数管理!$AK$3:$AK$98,K$1,工数管理!$Y$3:$Y$98,"&lt;="&amp;$H294,工数管理!$Z$3:$Z$98,"&gt;="&amp;$H294)+COUNTIFS(工数管理!$AK$3:$AK$98,K$1,工数管理!$AA$3:$AA$98,"&lt;="&amp;$H294,工数管理!$AB$3:$AB$98,"&gt;="&amp;$H294)+COUNTIFS(工数管理!$AK$3:$AK$98,K$1,工数管理!$AC$3:$AC$98,"&lt;="&amp;$H294,工数管理!$AD$3:$AD$98,"&gt;="&amp;$H294)+COUNTIFS(工数管理!$AK$3:$AK$98,K$1,工数管理!$AE$3:$AE$98,"&lt;="&amp;$H294,工数管理!$AF$3:$AF$98,"&gt;="&amp;$H294)+COUNTIFS(工数管理!$AK$3:$AK$98,K$1,工数管理!$AG$3:$AG$98,"&lt;="&amp;$H294,工数管理!$AH$3:$AH$98,"&gt;="&amp;$H294)+(COUNTIFS(工数管理!$AK$3:$AK$98,K$1,工数管理!$K$3:$K$98,"&lt;="&amp;$H294,工数管理!$L$3:$L$98,"")+COUNTIFS(工数管理!$AK$3:$AK$98,K$1,工数管理!$M$3:$M$98,"&lt;="&amp;$H294,工数管理!$N$3:$N$98,"")+COUNTIFS(工数管理!$AK$3:$AK$98,K$1,工数管理!$O$3:$O$98,"&lt;="&amp;$H294,工数管理!$P$3:$P$98,"")+COUNTIFS(工数管理!$AK$3:$AK$98,K$1,工数管理!$Q$3:$Q$98,"&lt;="&amp;$H294,工数管理!$R$3:$R$98,"")+COUNTIFS(工数管理!$AK$3:$AK$98,K$1,工数管理!$S$3:$S$98,"&lt;="&amp;$H294,工数管理!$T$3:$T$98,"")+COUNTIFS(工数管理!$AK$3:$AK$98,K$1,工数管理!$U$3:$U$98,"&lt;="&amp;$H294,工数管理!$V$3:$V$98,"")+COUNTIFS(工数管理!$AK$3:$AK$98,K$1,工数管理!$W$3:$W$98,"&lt;="&amp;$H294,工数管理!$X$3:$X$98,"")+COUNTIFS(工数管理!$AK$3:$AK$98,K$1,工数管理!$Y$3:$Y$98,"&lt;="&amp;$H294,工数管理!$Z$3:$Z$98,"")+COUNTIFS(工数管理!$AK$3:$AK$98,K$1,工数管理!$AA$3:$AA$98,"&lt;="&amp;$H294,工数管理!$AB$3:$AB$98,"")+COUNTIFS(工数管理!$AK$3:$AK$98,K$1,工数管理!$AC$3:$AC$98,"&lt;="&amp;$H294,工数管理!$AD$3:$AD$98,"")+COUNTIFS(工数管理!$AK$3:$AK$98,K$1,工数管理!$AE$3:$AE$98,"&lt;="&amp;$H294,工数管理!$AF$3:$AF$98,"")+COUNTIFS(工数管理!$AK$3:$AK$98,K$1,工数管理!$AG$3:$AG$98,"&lt;="&amp;$H294,工数管理!$AH$3:$AH$98,""))*($H294&lt;=工数管理!$AI$1))</f>
        <v>0</v>
      </c>
      <c r="L294" s="42">
        <f ca="1">IF(L$1="",0,COUNTIFS(工数管理!$AK$3:$AK$98,L$1,工数管理!$K$3:$K$98,"&lt;="&amp;$H294,工数管理!$L$3:$L$98,"&gt;="&amp;$H294)+COUNTIFS(工数管理!$AK$3:$AK$98,L$1,工数管理!$M$3:$M$98,"&lt;="&amp;$H294,工数管理!$N$3:$N$98,"&gt;="&amp;$H294)+COUNTIFS(工数管理!$AK$3:$AK$98,L$1,工数管理!$O$3:$O$98,"&lt;="&amp;$H294,工数管理!$P$3:$P$98,"&gt;="&amp;$H294)+COUNTIFS(工数管理!$AK$3:$AK$98,L$1,工数管理!$Q$3:$Q$98,"&lt;="&amp;$H294,工数管理!$R$3:$R$98,"&gt;="&amp;$H294)+COUNTIFS(工数管理!$AK$3:$AK$98,L$1,工数管理!$S$3:$S$98,"&lt;="&amp;$H294,工数管理!$T$3:$T$98,"&gt;="&amp;$H294)+COUNTIFS(工数管理!$AK$3:$AK$98,L$1,工数管理!$U$3:$U$98,"&lt;="&amp;$H294,工数管理!$V$3:$V$98,"&gt;="&amp;$H294)+COUNTIFS(工数管理!$AK$3:$AK$98,L$1,工数管理!$W$3:$W$98,"&lt;="&amp;$H294,工数管理!$X$3:$X$98,"&gt;="&amp;$H294)+COUNTIFS(工数管理!$AK$3:$AK$98,L$1,工数管理!$Y$3:$Y$98,"&lt;="&amp;$H294,工数管理!$Z$3:$Z$98,"&gt;="&amp;$H294)+COUNTIFS(工数管理!$AK$3:$AK$98,L$1,工数管理!$AA$3:$AA$98,"&lt;="&amp;$H294,工数管理!$AB$3:$AB$98,"&gt;="&amp;$H294)+COUNTIFS(工数管理!$AK$3:$AK$98,L$1,工数管理!$AC$3:$AC$98,"&lt;="&amp;$H294,工数管理!$AD$3:$AD$98,"&gt;="&amp;$H294)+COUNTIFS(工数管理!$AK$3:$AK$98,L$1,工数管理!$AE$3:$AE$98,"&lt;="&amp;$H294,工数管理!$AF$3:$AF$98,"&gt;="&amp;$H294)+COUNTIFS(工数管理!$AK$3:$AK$98,L$1,工数管理!$AG$3:$AG$98,"&lt;="&amp;$H294,工数管理!$AH$3:$AH$98,"&gt;="&amp;$H294)+(COUNTIFS(工数管理!$AK$3:$AK$98,L$1,工数管理!$K$3:$K$98,"&lt;="&amp;$H294,工数管理!$L$3:$L$98,"")+COUNTIFS(工数管理!$AK$3:$AK$98,L$1,工数管理!$M$3:$M$98,"&lt;="&amp;$H294,工数管理!$N$3:$N$98,"")+COUNTIFS(工数管理!$AK$3:$AK$98,L$1,工数管理!$O$3:$O$98,"&lt;="&amp;$H294,工数管理!$P$3:$P$98,"")+COUNTIFS(工数管理!$AK$3:$AK$98,L$1,工数管理!$Q$3:$Q$98,"&lt;="&amp;$H294,工数管理!$R$3:$R$98,"")+COUNTIFS(工数管理!$AK$3:$AK$98,L$1,工数管理!$S$3:$S$98,"&lt;="&amp;$H294,工数管理!$T$3:$T$98,"")+COUNTIFS(工数管理!$AK$3:$AK$98,L$1,工数管理!$U$3:$U$98,"&lt;="&amp;$H294,工数管理!$V$3:$V$98,"")+COUNTIFS(工数管理!$AK$3:$AK$98,L$1,工数管理!$W$3:$W$98,"&lt;="&amp;$H294,工数管理!$X$3:$X$98,"")+COUNTIFS(工数管理!$AK$3:$AK$98,L$1,工数管理!$Y$3:$Y$98,"&lt;="&amp;$H294,工数管理!$Z$3:$Z$98,"")+COUNTIFS(工数管理!$AK$3:$AK$98,L$1,工数管理!$AA$3:$AA$98,"&lt;="&amp;$H294,工数管理!$AB$3:$AB$98,"")+COUNTIFS(工数管理!$AK$3:$AK$98,L$1,工数管理!$AC$3:$AC$98,"&lt;="&amp;$H294,工数管理!$AD$3:$AD$98,"")+COUNTIFS(工数管理!$AK$3:$AK$98,L$1,工数管理!$AE$3:$AE$98,"&lt;="&amp;$H294,工数管理!$AF$3:$AF$98,"")+COUNTIFS(工数管理!$AK$3:$AK$98,L$1,工数管理!$AG$3:$AG$98,"&lt;="&amp;$H294,工数管理!$AH$3:$AH$98,""))*($H294&lt;=工数管理!$AI$1))</f>
        <v>0</v>
      </c>
    </row>
    <row r="295" spans="8:12" x14ac:dyDescent="0.15">
      <c r="H295" s="41">
        <f t="shared" si="9"/>
        <v>46463</v>
      </c>
      <c r="I295" s="42">
        <f t="shared" si="8"/>
        <v>1</v>
      </c>
      <c r="J295" s="42">
        <f ca="1">IF(J$1="",0,COUNTIFS(工数管理!$AK$3:$AK$98,J$1,工数管理!$K$3:$K$98,"&lt;="&amp;$H295,工数管理!$L$3:$L$98,"&gt;="&amp;$H295)+COUNTIFS(工数管理!$AK$3:$AK$98,J$1,工数管理!$M$3:$M$98,"&lt;="&amp;$H295,工数管理!$N$3:$N$98,"&gt;="&amp;$H295)+COUNTIFS(工数管理!$AK$3:$AK$98,J$1,工数管理!$O$3:$O$98,"&lt;="&amp;$H295,工数管理!$P$3:$P$98,"&gt;="&amp;$H295)+COUNTIFS(工数管理!$AK$3:$AK$98,J$1,工数管理!$Q$3:$Q$98,"&lt;="&amp;$H295,工数管理!$R$3:$R$98,"&gt;="&amp;$H295)+COUNTIFS(工数管理!$AK$3:$AK$98,J$1,工数管理!$S$3:$S$98,"&lt;="&amp;$H295,工数管理!$T$3:$T$98,"&gt;="&amp;$H295)+COUNTIFS(工数管理!$AK$3:$AK$98,J$1,工数管理!$U$3:$U$98,"&lt;="&amp;$H295,工数管理!$V$3:$V$98,"&gt;="&amp;$H295)+COUNTIFS(工数管理!$AK$3:$AK$98,J$1,工数管理!$W$3:$W$98,"&lt;="&amp;$H295,工数管理!$X$3:$X$98,"&gt;="&amp;$H295)+COUNTIFS(工数管理!$AK$3:$AK$98,J$1,工数管理!$Y$3:$Y$98,"&lt;="&amp;$H295,工数管理!$Z$3:$Z$98,"&gt;="&amp;$H295)+COUNTIFS(工数管理!$AK$3:$AK$98,J$1,工数管理!$AA$3:$AA$98,"&lt;="&amp;$H295,工数管理!$AB$3:$AB$98,"&gt;="&amp;$H295)+COUNTIFS(工数管理!$AK$3:$AK$98,J$1,工数管理!$AC$3:$AC$98,"&lt;="&amp;$H295,工数管理!$AD$3:$AD$98,"&gt;="&amp;$H295)+COUNTIFS(工数管理!$AK$3:$AK$98,J$1,工数管理!$AE$3:$AE$98,"&lt;="&amp;$H295,工数管理!$AF$3:$AF$98,"&gt;="&amp;$H295)+COUNTIFS(工数管理!$AK$3:$AK$98,J$1,工数管理!$AG$3:$AG$98,"&lt;="&amp;$H295,工数管理!$AH$3:$AH$98,"&gt;="&amp;$H295)+(COUNTIFS(工数管理!$AK$3:$AK$98,J$1,工数管理!$K$3:$K$98,"&lt;="&amp;$H295,工数管理!$L$3:$L$98,"")+COUNTIFS(工数管理!$AK$3:$AK$98,J$1,工数管理!$M$3:$M$98,"&lt;="&amp;$H295,工数管理!$N$3:$N$98,"")+COUNTIFS(工数管理!$AK$3:$AK$98,J$1,工数管理!$O$3:$O$98,"&lt;="&amp;$H295,工数管理!$P$3:$P$98,"")+COUNTIFS(工数管理!$AK$3:$AK$98,J$1,工数管理!$Q$3:$Q$98,"&lt;="&amp;$H295,工数管理!$R$3:$R$98,"")+COUNTIFS(工数管理!$AK$3:$AK$98,J$1,工数管理!$S$3:$S$98,"&lt;="&amp;$H295,工数管理!$T$3:$T$98,"")+COUNTIFS(工数管理!$AK$3:$AK$98,J$1,工数管理!$U$3:$U$98,"&lt;="&amp;$H295,工数管理!$V$3:$V$98,"")+COUNTIFS(工数管理!$AK$3:$AK$98,J$1,工数管理!$W$3:$W$98,"&lt;="&amp;$H295,工数管理!$X$3:$X$98,"")+COUNTIFS(工数管理!$AK$3:$AK$98,J$1,工数管理!$Y$3:$Y$98,"&lt;="&amp;$H295,工数管理!$Z$3:$Z$98,"")+COUNTIFS(工数管理!$AK$3:$AK$98,J$1,工数管理!$AA$3:$AA$98,"&lt;="&amp;$H295,工数管理!$AB$3:$AB$98,"")+COUNTIFS(工数管理!$AK$3:$AK$98,J$1,工数管理!$AC$3:$AC$98,"&lt;="&amp;$H295,工数管理!$AD$3:$AD$98,"")+COUNTIFS(工数管理!$AK$3:$AK$98,J$1,工数管理!$AE$3:$AE$98,"&lt;="&amp;$H295,工数管理!$AF$3:$AF$98,"")+COUNTIFS(工数管理!$AK$3:$AK$98,J$1,工数管理!$AG$3:$AG$98,"&lt;="&amp;$H295,工数管理!$AH$3:$AH$98,""))*($H295&lt;=工数管理!$AI$1))</f>
        <v>0</v>
      </c>
      <c r="K295" s="42">
        <f ca="1">IF(K$1="",0,COUNTIFS(工数管理!$AK$3:$AK$98,K$1,工数管理!$K$3:$K$98,"&lt;="&amp;$H295,工数管理!$L$3:$L$98,"&gt;="&amp;$H295)+COUNTIFS(工数管理!$AK$3:$AK$98,K$1,工数管理!$M$3:$M$98,"&lt;="&amp;$H295,工数管理!$N$3:$N$98,"&gt;="&amp;$H295)+COUNTIFS(工数管理!$AK$3:$AK$98,K$1,工数管理!$O$3:$O$98,"&lt;="&amp;$H295,工数管理!$P$3:$P$98,"&gt;="&amp;$H295)+COUNTIFS(工数管理!$AK$3:$AK$98,K$1,工数管理!$Q$3:$Q$98,"&lt;="&amp;$H295,工数管理!$R$3:$R$98,"&gt;="&amp;$H295)+COUNTIFS(工数管理!$AK$3:$AK$98,K$1,工数管理!$S$3:$S$98,"&lt;="&amp;$H295,工数管理!$T$3:$T$98,"&gt;="&amp;$H295)+COUNTIFS(工数管理!$AK$3:$AK$98,K$1,工数管理!$U$3:$U$98,"&lt;="&amp;$H295,工数管理!$V$3:$V$98,"&gt;="&amp;$H295)+COUNTIFS(工数管理!$AK$3:$AK$98,K$1,工数管理!$W$3:$W$98,"&lt;="&amp;$H295,工数管理!$X$3:$X$98,"&gt;="&amp;$H295)+COUNTIFS(工数管理!$AK$3:$AK$98,K$1,工数管理!$Y$3:$Y$98,"&lt;="&amp;$H295,工数管理!$Z$3:$Z$98,"&gt;="&amp;$H295)+COUNTIFS(工数管理!$AK$3:$AK$98,K$1,工数管理!$AA$3:$AA$98,"&lt;="&amp;$H295,工数管理!$AB$3:$AB$98,"&gt;="&amp;$H295)+COUNTIFS(工数管理!$AK$3:$AK$98,K$1,工数管理!$AC$3:$AC$98,"&lt;="&amp;$H295,工数管理!$AD$3:$AD$98,"&gt;="&amp;$H295)+COUNTIFS(工数管理!$AK$3:$AK$98,K$1,工数管理!$AE$3:$AE$98,"&lt;="&amp;$H295,工数管理!$AF$3:$AF$98,"&gt;="&amp;$H295)+COUNTIFS(工数管理!$AK$3:$AK$98,K$1,工数管理!$AG$3:$AG$98,"&lt;="&amp;$H295,工数管理!$AH$3:$AH$98,"&gt;="&amp;$H295)+(COUNTIFS(工数管理!$AK$3:$AK$98,K$1,工数管理!$K$3:$K$98,"&lt;="&amp;$H295,工数管理!$L$3:$L$98,"")+COUNTIFS(工数管理!$AK$3:$AK$98,K$1,工数管理!$M$3:$M$98,"&lt;="&amp;$H295,工数管理!$N$3:$N$98,"")+COUNTIFS(工数管理!$AK$3:$AK$98,K$1,工数管理!$O$3:$O$98,"&lt;="&amp;$H295,工数管理!$P$3:$P$98,"")+COUNTIFS(工数管理!$AK$3:$AK$98,K$1,工数管理!$Q$3:$Q$98,"&lt;="&amp;$H295,工数管理!$R$3:$R$98,"")+COUNTIFS(工数管理!$AK$3:$AK$98,K$1,工数管理!$S$3:$S$98,"&lt;="&amp;$H295,工数管理!$T$3:$T$98,"")+COUNTIFS(工数管理!$AK$3:$AK$98,K$1,工数管理!$U$3:$U$98,"&lt;="&amp;$H295,工数管理!$V$3:$V$98,"")+COUNTIFS(工数管理!$AK$3:$AK$98,K$1,工数管理!$W$3:$W$98,"&lt;="&amp;$H295,工数管理!$X$3:$X$98,"")+COUNTIFS(工数管理!$AK$3:$AK$98,K$1,工数管理!$Y$3:$Y$98,"&lt;="&amp;$H295,工数管理!$Z$3:$Z$98,"")+COUNTIFS(工数管理!$AK$3:$AK$98,K$1,工数管理!$AA$3:$AA$98,"&lt;="&amp;$H295,工数管理!$AB$3:$AB$98,"")+COUNTIFS(工数管理!$AK$3:$AK$98,K$1,工数管理!$AC$3:$AC$98,"&lt;="&amp;$H295,工数管理!$AD$3:$AD$98,"")+COUNTIFS(工数管理!$AK$3:$AK$98,K$1,工数管理!$AE$3:$AE$98,"&lt;="&amp;$H295,工数管理!$AF$3:$AF$98,"")+COUNTIFS(工数管理!$AK$3:$AK$98,K$1,工数管理!$AG$3:$AG$98,"&lt;="&amp;$H295,工数管理!$AH$3:$AH$98,""))*($H295&lt;=工数管理!$AI$1))</f>
        <v>0</v>
      </c>
      <c r="L295" s="42">
        <f ca="1">IF(L$1="",0,COUNTIFS(工数管理!$AK$3:$AK$98,L$1,工数管理!$K$3:$K$98,"&lt;="&amp;$H295,工数管理!$L$3:$L$98,"&gt;="&amp;$H295)+COUNTIFS(工数管理!$AK$3:$AK$98,L$1,工数管理!$M$3:$M$98,"&lt;="&amp;$H295,工数管理!$N$3:$N$98,"&gt;="&amp;$H295)+COUNTIFS(工数管理!$AK$3:$AK$98,L$1,工数管理!$O$3:$O$98,"&lt;="&amp;$H295,工数管理!$P$3:$P$98,"&gt;="&amp;$H295)+COUNTIFS(工数管理!$AK$3:$AK$98,L$1,工数管理!$Q$3:$Q$98,"&lt;="&amp;$H295,工数管理!$R$3:$R$98,"&gt;="&amp;$H295)+COUNTIFS(工数管理!$AK$3:$AK$98,L$1,工数管理!$S$3:$S$98,"&lt;="&amp;$H295,工数管理!$T$3:$T$98,"&gt;="&amp;$H295)+COUNTIFS(工数管理!$AK$3:$AK$98,L$1,工数管理!$U$3:$U$98,"&lt;="&amp;$H295,工数管理!$V$3:$V$98,"&gt;="&amp;$H295)+COUNTIFS(工数管理!$AK$3:$AK$98,L$1,工数管理!$W$3:$W$98,"&lt;="&amp;$H295,工数管理!$X$3:$X$98,"&gt;="&amp;$H295)+COUNTIFS(工数管理!$AK$3:$AK$98,L$1,工数管理!$Y$3:$Y$98,"&lt;="&amp;$H295,工数管理!$Z$3:$Z$98,"&gt;="&amp;$H295)+COUNTIFS(工数管理!$AK$3:$AK$98,L$1,工数管理!$AA$3:$AA$98,"&lt;="&amp;$H295,工数管理!$AB$3:$AB$98,"&gt;="&amp;$H295)+COUNTIFS(工数管理!$AK$3:$AK$98,L$1,工数管理!$AC$3:$AC$98,"&lt;="&amp;$H295,工数管理!$AD$3:$AD$98,"&gt;="&amp;$H295)+COUNTIFS(工数管理!$AK$3:$AK$98,L$1,工数管理!$AE$3:$AE$98,"&lt;="&amp;$H295,工数管理!$AF$3:$AF$98,"&gt;="&amp;$H295)+COUNTIFS(工数管理!$AK$3:$AK$98,L$1,工数管理!$AG$3:$AG$98,"&lt;="&amp;$H295,工数管理!$AH$3:$AH$98,"&gt;="&amp;$H295)+(COUNTIFS(工数管理!$AK$3:$AK$98,L$1,工数管理!$K$3:$K$98,"&lt;="&amp;$H295,工数管理!$L$3:$L$98,"")+COUNTIFS(工数管理!$AK$3:$AK$98,L$1,工数管理!$M$3:$M$98,"&lt;="&amp;$H295,工数管理!$N$3:$N$98,"")+COUNTIFS(工数管理!$AK$3:$AK$98,L$1,工数管理!$O$3:$O$98,"&lt;="&amp;$H295,工数管理!$P$3:$P$98,"")+COUNTIFS(工数管理!$AK$3:$AK$98,L$1,工数管理!$Q$3:$Q$98,"&lt;="&amp;$H295,工数管理!$R$3:$R$98,"")+COUNTIFS(工数管理!$AK$3:$AK$98,L$1,工数管理!$S$3:$S$98,"&lt;="&amp;$H295,工数管理!$T$3:$T$98,"")+COUNTIFS(工数管理!$AK$3:$AK$98,L$1,工数管理!$U$3:$U$98,"&lt;="&amp;$H295,工数管理!$V$3:$V$98,"")+COUNTIFS(工数管理!$AK$3:$AK$98,L$1,工数管理!$W$3:$W$98,"&lt;="&amp;$H295,工数管理!$X$3:$X$98,"")+COUNTIFS(工数管理!$AK$3:$AK$98,L$1,工数管理!$Y$3:$Y$98,"&lt;="&amp;$H295,工数管理!$Z$3:$Z$98,"")+COUNTIFS(工数管理!$AK$3:$AK$98,L$1,工数管理!$AA$3:$AA$98,"&lt;="&amp;$H295,工数管理!$AB$3:$AB$98,"")+COUNTIFS(工数管理!$AK$3:$AK$98,L$1,工数管理!$AC$3:$AC$98,"&lt;="&amp;$H295,工数管理!$AD$3:$AD$98,"")+COUNTIFS(工数管理!$AK$3:$AK$98,L$1,工数管理!$AE$3:$AE$98,"&lt;="&amp;$H295,工数管理!$AF$3:$AF$98,"")+COUNTIFS(工数管理!$AK$3:$AK$98,L$1,工数管理!$AG$3:$AG$98,"&lt;="&amp;$H295,工数管理!$AH$3:$AH$98,""))*($H295&lt;=工数管理!$AI$1))</f>
        <v>0</v>
      </c>
    </row>
    <row r="296" spans="8:12" x14ac:dyDescent="0.15">
      <c r="H296" s="41">
        <f t="shared" si="9"/>
        <v>46464</v>
      </c>
      <c r="I296" s="42">
        <f t="shared" si="8"/>
        <v>1</v>
      </c>
      <c r="J296" s="42">
        <f ca="1">IF(J$1="",0,COUNTIFS(工数管理!$AK$3:$AK$98,J$1,工数管理!$K$3:$K$98,"&lt;="&amp;$H296,工数管理!$L$3:$L$98,"&gt;="&amp;$H296)+COUNTIFS(工数管理!$AK$3:$AK$98,J$1,工数管理!$M$3:$M$98,"&lt;="&amp;$H296,工数管理!$N$3:$N$98,"&gt;="&amp;$H296)+COUNTIFS(工数管理!$AK$3:$AK$98,J$1,工数管理!$O$3:$O$98,"&lt;="&amp;$H296,工数管理!$P$3:$P$98,"&gt;="&amp;$H296)+COUNTIFS(工数管理!$AK$3:$AK$98,J$1,工数管理!$Q$3:$Q$98,"&lt;="&amp;$H296,工数管理!$R$3:$R$98,"&gt;="&amp;$H296)+COUNTIFS(工数管理!$AK$3:$AK$98,J$1,工数管理!$S$3:$S$98,"&lt;="&amp;$H296,工数管理!$T$3:$T$98,"&gt;="&amp;$H296)+COUNTIFS(工数管理!$AK$3:$AK$98,J$1,工数管理!$U$3:$U$98,"&lt;="&amp;$H296,工数管理!$V$3:$V$98,"&gt;="&amp;$H296)+COUNTIFS(工数管理!$AK$3:$AK$98,J$1,工数管理!$W$3:$W$98,"&lt;="&amp;$H296,工数管理!$X$3:$X$98,"&gt;="&amp;$H296)+COUNTIFS(工数管理!$AK$3:$AK$98,J$1,工数管理!$Y$3:$Y$98,"&lt;="&amp;$H296,工数管理!$Z$3:$Z$98,"&gt;="&amp;$H296)+COUNTIFS(工数管理!$AK$3:$AK$98,J$1,工数管理!$AA$3:$AA$98,"&lt;="&amp;$H296,工数管理!$AB$3:$AB$98,"&gt;="&amp;$H296)+COUNTIFS(工数管理!$AK$3:$AK$98,J$1,工数管理!$AC$3:$AC$98,"&lt;="&amp;$H296,工数管理!$AD$3:$AD$98,"&gt;="&amp;$H296)+COUNTIFS(工数管理!$AK$3:$AK$98,J$1,工数管理!$AE$3:$AE$98,"&lt;="&amp;$H296,工数管理!$AF$3:$AF$98,"&gt;="&amp;$H296)+COUNTIFS(工数管理!$AK$3:$AK$98,J$1,工数管理!$AG$3:$AG$98,"&lt;="&amp;$H296,工数管理!$AH$3:$AH$98,"&gt;="&amp;$H296)+(COUNTIFS(工数管理!$AK$3:$AK$98,J$1,工数管理!$K$3:$K$98,"&lt;="&amp;$H296,工数管理!$L$3:$L$98,"")+COUNTIFS(工数管理!$AK$3:$AK$98,J$1,工数管理!$M$3:$M$98,"&lt;="&amp;$H296,工数管理!$N$3:$N$98,"")+COUNTIFS(工数管理!$AK$3:$AK$98,J$1,工数管理!$O$3:$O$98,"&lt;="&amp;$H296,工数管理!$P$3:$P$98,"")+COUNTIFS(工数管理!$AK$3:$AK$98,J$1,工数管理!$Q$3:$Q$98,"&lt;="&amp;$H296,工数管理!$R$3:$R$98,"")+COUNTIFS(工数管理!$AK$3:$AK$98,J$1,工数管理!$S$3:$S$98,"&lt;="&amp;$H296,工数管理!$T$3:$T$98,"")+COUNTIFS(工数管理!$AK$3:$AK$98,J$1,工数管理!$U$3:$U$98,"&lt;="&amp;$H296,工数管理!$V$3:$V$98,"")+COUNTIFS(工数管理!$AK$3:$AK$98,J$1,工数管理!$W$3:$W$98,"&lt;="&amp;$H296,工数管理!$X$3:$X$98,"")+COUNTIFS(工数管理!$AK$3:$AK$98,J$1,工数管理!$Y$3:$Y$98,"&lt;="&amp;$H296,工数管理!$Z$3:$Z$98,"")+COUNTIFS(工数管理!$AK$3:$AK$98,J$1,工数管理!$AA$3:$AA$98,"&lt;="&amp;$H296,工数管理!$AB$3:$AB$98,"")+COUNTIFS(工数管理!$AK$3:$AK$98,J$1,工数管理!$AC$3:$AC$98,"&lt;="&amp;$H296,工数管理!$AD$3:$AD$98,"")+COUNTIFS(工数管理!$AK$3:$AK$98,J$1,工数管理!$AE$3:$AE$98,"&lt;="&amp;$H296,工数管理!$AF$3:$AF$98,"")+COUNTIFS(工数管理!$AK$3:$AK$98,J$1,工数管理!$AG$3:$AG$98,"&lt;="&amp;$H296,工数管理!$AH$3:$AH$98,""))*($H296&lt;=工数管理!$AI$1))</f>
        <v>0</v>
      </c>
      <c r="K296" s="42">
        <f ca="1">IF(K$1="",0,COUNTIFS(工数管理!$AK$3:$AK$98,K$1,工数管理!$K$3:$K$98,"&lt;="&amp;$H296,工数管理!$L$3:$L$98,"&gt;="&amp;$H296)+COUNTIFS(工数管理!$AK$3:$AK$98,K$1,工数管理!$M$3:$M$98,"&lt;="&amp;$H296,工数管理!$N$3:$N$98,"&gt;="&amp;$H296)+COUNTIFS(工数管理!$AK$3:$AK$98,K$1,工数管理!$O$3:$O$98,"&lt;="&amp;$H296,工数管理!$P$3:$P$98,"&gt;="&amp;$H296)+COUNTIFS(工数管理!$AK$3:$AK$98,K$1,工数管理!$Q$3:$Q$98,"&lt;="&amp;$H296,工数管理!$R$3:$R$98,"&gt;="&amp;$H296)+COUNTIFS(工数管理!$AK$3:$AK$98,K$1,工数管理!$S$3:$S$98,"&lt;="&amp;$H296,工数管理!$T$3:$T$98,"&gt;="&amp;$H296)+COUNTIFS(工数管理!$AK$3:$AK$98,K$1,工数管理!$U$3:$U$98,"&lt;="&amp;$H296,工数管理!$V$3:$V$98,"&gt;="&amp;$H296)+COUNTIFS(工数管理!$AK$3:$AK$98,K$1,工数管理!$W$3:$W$98,"&lt;="&amp;$H296,工数管理!$X$3:$X$98,"&gt;="&amp;$H296)+COUNTIFS(工数管理!$AK$3:$AK$98,K$1,工数管理!$Y$3:$Y$98,"&lt;="&amp;$H296,工数管理!$Z$3:$Z$98,"&gt;="&amp;$H296)+COUNTIFS(工数管理!$AK$3:$AK$98,K$1,工数管理!$AA$3:$AA$98,"&lt;="&amp;$H296,工数管理!$AB$3:$AB$98,"&gt;="&amp;$H296)+COUNTIFS(工数管理!$AK$3:$AK$98,K$1,工数管理!$AC$3:$AC$98,"&lt;="&amp;$H296,工数管理!$AD$3:$AD$98,"&gt;="&amp;$H296)+COUNTIFS(工数管理!$AK$3:$AK$98,K$1,工数管理!$AE$3:$AE$98,"&lt;="&amp;$H296,工数管理!$AF$3:$AF$98,"&gt;="&amp;$H296)+COUNTIFS(工数管理!$AK$3:$AK$98,K$1,工数管理!$AG$3:$AG$98,"&lt;="&amp;$H296,工数管理!$AH$3:$AH$98,"&gt;="&amp;$H296)+(COUNTIFS(工数管理!$AK$3:$AK$98,K$1,工数管理!$K$3:$K$98,"&lt;="&amp;$H296,工数管理!$L$3:$L$98,"")+COUNTIFS(工数管理!$AK$3:$AK$98,K$1,工数管理!$M$3:$M$98,"&lt;="&amp;$H296,工数管理!$N$3:$N$98,"")+COUNTIFS(工数管理!$AK$3:$AK$98,K$1,工数管理!$O$3:$O$98,"&lt;="&amp;$H296,工数管理!$P$3:$P$98,"")+COUNTIFS(工数管理!$AK$3:$AK$98,K$1,工数管理!$Q$3:$Q$98,"&lt;="&amp;$H296,工数管理!$R$3:$R$98,"")+COUNTIFS(工数管理!$AK$3:$AK$98,K$1,工数管理!$S$3:$S$98,"&lt;="&amp;$H296,工数管理!$T$3:$T$98,"")+COUNTIFS(工数管理!$AK$3:$AK$98,K$1,工数管理!$U$3:$U$98,"&lt;="&amp;$H296,工数管理!$V$3:$V$98,"")+COUNTIFS(工数管理!$AK$3:$AK$98,K$1,工数管理!$W$3:$W$98,"&lt;="&amp;$H296,工数管理!$X$3:$X$98,"")+COUNTIFS(工数管理!$AK$3:$AK$98,K$1,工数管理!$Y$3:$Y$98,"&lt;="&amp;$H296,工数管理!$Z$3:$Z$98,"")+COUNTIFS(工数管理!$AK$3:$AK$98,K$1,工数管理!$AA$3:$AA$98,"&lt;="&amp;$H296,工数管理!$AB$3:$AB$98,"")+COUNTIFS(工数管理!$AK$3:$AK$98,K$1,工数管理!$AC$3:$AC$98,"&lt;="&amp;$H296,工数管理!$AD$3:$AD$98,"")+COUNTIFS(工数管理!$AK$3:$AK$98,K$1,工数管理!$AE$3:$AE$98,"&lt;="&amp;$H296,工数管理!$AF$3:$AF$98,"")+COUNTIFS(工数管理!$AK$3:$AK$98,K$1,工数管理!$AG$3:$AG$98,"&lt;="&amp;$H296,工数管理!$AH$3:$AH$98,""))*($H296&lt;=工数管理!$AI$1))</f>
        <v>0</v>
      </c>
      <c r="L296" s="42">
        <f ca="1">IF(L$1="",0,COUNTIFS(工数管理!$AK$3:$AK$98,L$1,工数管理!$K$3:$K$98,"&lt;="&amp;$H296,工数管理!$L$3:$L$98,"&gt;="&amp;$H296)+COUNTIFS(工数管理!$AK$3:$AK$98,L$1,工数管理!$M$3:$M$98,"&lt;="&amp;$H296,工数管理!$N$3:$N$98,"&gt;="&amp;$H296)+COUNTIFS(工数管理!$AK$3:$AK$98,L$1,工数管理!$O$3:$O$98,"&lt;="&amp;$H296,工数管理!$P$3:$P$98,"&gt;="&amp;$H296)+COUNTIFS(工数管理!$AK$3:$AK$98,L$1,工数管理!$Q$3:$Q$98,"&lt;="&amp;$H296,工数管理!$R$3:$R$98,"&gt;="&amp;$H296)+COUNTIFS(工数管理!$AK$3:$AK$98,L$1,工数管理!$S$3:$S$98,"&lt;="&amp;$H296,工数管理!$T$3:$T$98,"&gt;="&amp;$H296)+COUNTIFS(工数管理!$AK$3:$AK$98,L$1,工数管理!$U$3:$U$98,"&lt;="&amp;$H296,工数管理!$V$3:$V$98,"&gt;="&amp;$H296)+COUNTIFS(工数管理!$AK$3:$AK$98,L$1,工数管理!$W$3:$W$98,"&lt;="&amp;$H296,工数管理!$X$3:$X$98,"&gt;="&amp;$H296)+COUNTIFS(工数管理!$AK$3:$AK$98,L$1,工数管理!$Y$3:$Y$98,"&lt;="&amp;$H296,工数管理!$Z$3:$Z$98,"&gt;="&amp;$H296)+COUNTIFS(工数管理!$AK$3:$AK$98,L$1,工数管理!$AA$3:$AA$98,"&lt;="&amp;$H296,工数管理!$AB$3:$AB$98,"&gt;="&amp;$H296)+COUNTIFS(工数管理!$AK$3:$AK$98,L$1,工数管理!$AC$3:$AC$98,"&lt;="&amp;$H296,工数管理!$AD$3:$AD$98,"&gt;="&amp;$H296)+COUNTIFS(工数管理!$AK$3:$AK$98,L$1,工数管理!$AE$3:$AE$98,"&lt;="&amp;$H296,工数管理!$AF$3:$AF$98,"&gt;="&amp;$H296)+COUNTIFS(工数管理!$AK$3:$AK$98,L$1,工数管理!$AG$3:$AG$98,"&lt;="&amp;$H296,工数管理!$AH$3:$AH$98,"&gt;="&amp;$H296)+(COUNTIFS(工数管理!$AK$3:$AK$98,L$1,工数管理!$K$3:$K$98,"&lt;="&amp;$H296,工数管理!$L$3:$L$98,"")+COUNTIFS(工数管理!$AK$3:$AK$98,L$1,工数管理!$M$3:$M$98,"&lt;="&amp;$H296,工数管理!$N$3:$N$98,"")+COUNTIFS(工数管理!$AK$3:$AK$98,L$1,工数管理!$O$3:$O$98,"&lt;="&amp;$H296,工数管理!$P$3:$P$98,"")+COUNTIFS(工数管理!$AK$3:$AK$98,L$1,工数管理!$Q$3:$Q$98,"&lt;="&amp;$H296,工数管理!$R$3:$R$98,"")+COUNTIFS(工数管理!$AK$3:$AK$98,L$1,工数管理!$S$3:$S$98,"&lt;="&amp;$H296,工数管理!$T$3:$T$98,"")+COUNTIFS(工数管理!$AK$3:$AK$98,L$1,工数管理!$U$3:$U$98,"&lt;="&amp;$H296,工数管理!$V$3:$V$98,"")+COUNTIFS(工数管理!$AK$3:$AK$98,L$1,工数管理!$W$3:$W$98,"&lt;="&amp;$H296,工数管理!$X$3:$X$98,"")+COUNTIFS(工数管理!$AK$3:$AK$98,L$1,工数管理!$Y$3:$Y$98,"&lt;="&amp;$H296,工数管理!$Z$3:$Z$98,"")+COUNTIFS(工数管理!$AK$3:$AK$98,L$1,工数管理!$AA$3:$AA$98,"&lt;="&amp;$H296,工数管理!$AB$3:$AB$98,"")+COUNTIFS(工数管理!$AK$3:$AK$98,L$1,工数管理!$AC$3:$AC$98,"&lt;="&amp;$H296,工数管理!$AD$3:$AD$98,"")+COUNTIFS(工数管理!$AK$3:$AK$98,L$1,工数管理!$AE$3:$AE$98,"&lt;="&amp;$H296,工数管理!$AF$3:$AF$98,"")+COUNTIFS(工数管理!$AK$3:$AK$98,L$1,工数管理!$AG$3:$AG$98,"&lt;="&amp;$H296,工数管理!$AH$3:$AH$98,""))*($H296&lt;=工数管理!$AI$1))</f>
        <v>0</v>
      </c>
    </row>
    <row r="297" spans="8:12" x14ac:dyDescent="0.15">
      <c r="H297" s="41">
        <f t="shared" si="9"/>
        <v>46465</v>
      </c>
      <c r="I297" s="42">
        <f t="shared" si="8"/>
        <v>1</v>
      </c>
      <c r="J297" s="42">
        <f ca="1">IF(J$1="",0,COUNTIFS(工数管理!$AK$3:$AK$98,J$1,工数管理!$K$3:$K$98,"&lt;="&amp;$H297,工数管理!$L$3:$L$98,"&gt;="&amp;$H297)+COUNTIFS(工数管理!$AK$3:$AK$98,J$1,工数管理!$M$3:$M$98,"&lt;="&amp;$H297,工数管理!$N$3:$N$98,"&gt;="&amp;$H297)+COUNTIFS(工数管理!$AK$3:$AK$98,J$1,工数管理!$O$3:$O$98,"&lt;="&amp;$H297,工数管理!$P$3:$P$98,"&gt;="&amp;$H297)+COUNTIFS(工数管理!$AK$3:$AK$98,J$1,工数管理!$Q$3:$Q$98,"&lt;="&amp;$H297,工数管理!$R$3:$R$98,"&gt;="&amp;$H297)+COUNTIFS(工数管理!$AK$3:$AK$98,J$1,工数管理!$S$3:$S$98,"&lt;="&amp;$H297,工数管理!$T$3:$T$98,"&gt;="&amp;$H297)+COUNTIFS(工数管理!$AK$3:$AK$98,J$1,工数管理!$U$3:$U$98,"&lt;="&amp;$H297,工数管理!$V$3:$V$98,"&gt;="&amp;$H297)+COUNTIFS(工数管理!$AK$3:$AK$98,J$1,工数管理!$W$3:$W$98,"&lt;="&amp;$H297,工数管理!$X$3:$X$98,"&gt;="&amp;$H297)+COUNTIFS(工数管理!$AK$3:$AK$98,J$1,工数管理!$Y$3:$Y$98,"&lt;="&amp;$H297,工数管理!$Z$3:$Z$98,"&gt;="&amp;$H297)+COUNTIFS(工数管理!$AK$3:$AK$98,J$1,工数管理!$AA$3:$AA$98,"&lt;="&amp;$H297,工数管理!$AB$3:$AB$98,"&gt;="&amp;$H297)+COUNTIFS(工数管理!$AK$3:$AK$98,J$1,工数管理!$AC$3:$AC$98,"&lt;="&amp;$H297,工数管理!$AD$3:$AD$98,"&gt;="&amp;$H297)+COUNTIFS(工数管理!$AK$3:$AK$98,J$1,工数管理!$AE$3:$AE$98,"&lt;="&amp;$H297,工数管理!$AF$3:$AF$98,"&gt;="&amp;$H297)+COUNTIFS(工数管理!$AK$3:$AK$98,J$1,工数管理!$AG$3:$AG$98,"&lt;="&amp;$H297,工数管理!$AH$3:$AH$98,"&gt;="&amp;$H297)+(COUNTIFS(工数管理!$AK$3:$AK$98,J$1,工数管理!$K$3:$K$98,"&lt;="&amp;$H297,工数管理!$L$3:$L$98,"")+COUNTIFS(工数管理!$AK$3:$AK$98,J$1,工数管理!$M$3:$M$98,"&lt;="&amp;$H297,工数管理!$N$3:$N$98,"")+COUNTIFS(工数管理!$AK$3:$AK$98,J$1,工数管理!$O$3:$O$98,"&lt;="&amp;$H297,工数管理!$P$3:$P$98,"")+COUNTIFS(工数管理!$AK$3:$AK$98,J$1,工数管理!$Q$3:$Q$98,"&lt;="&amp;$H297,工数管理!$R$3:$R$98,"")+COUNTIFS(工数管理!$AK$3:$AK$98,J$1,工数管理!$S$3:$S$98,"&lt;="&amp;$H297,工数管理!$T$3:$T$98,"")+COUNTIFS(工数管理!$AK$3:$AK$98,J$1,工数管理!$U$3:$U$98,"&lt;="&amp;$H297,工数管理!$V$3:$V$98,"")+COUNTIFS(工数管理!$AK$3:$AK$98,J$1,工数管理!$W$3:$W$98,"&lt;="&amp;$H297,工数管理!$X$3:$X$98,"")+COUNTIFS(工数管理!$AK$3:$AK$98,J$1,工数管理!$Y$3:$Y$98,"&lt;="&amp;$H297,工数管理!$Z$3:$Z$98,"")+COUNTIFS(工数管理!$AK$3:$AK$98,J$1,工数管理!$AA$3:$AA$98,"&lt;="&amp;$H297,工数管理!$AB$3:$AB$98,"")+COUNTIFS(工数管理!$AK$3:$AK$98,J$1,工数管理!$AC$3:$AC$98,"&lt;="&amp;$H297,工数管理!$AD$3:$AD$98,"")+COUNTIFS(工数管理!$AK$3:$AK$98,J$1,工数管理!$AE$3:$AE$98,"&lt;="&amp;$H297,工数管理!$AF$3:$AF$98,"")+COUNTIFS(工数管理!$AK$3:$AK$98,J$1,工数管理!$AG$3:$AG$98,"&lt;="&amp;$H297,工数管理!$AH$3:$AH$98,""))*($H297&lt;=工数管理!$AI$1))</f>
        <v>0</v>
      </c>
      <c r="K297" s="42">
        <f ca="1">IF(K$1="",0,COUNTIFS(工数管理!$AK$3:$AK$98,K$1,工数管理!$K$3:$K$98,"&lt;="&amp;$H297,工数管理!$L$3:$L$98,"&gt;="&amp;$H297)+COUNTIFS(工数管理!$AK$3:$AK$98,K$1,工数管理!$M$3:$M$98,"&lt;="&amp;$H297,工数管理!$N$3:$N$98,"&gt;="&amp;$H297)+COUNTIFS(工数管理!$AK$3:$AK$98,K$1,工数管理!$O$3:$O$98,"&lt;="&amp;$H297,工数管理!$P$3:$P$98,"&gt;="&amp;$H297)+COUNTIFS(工数管理!$AK$3:$AK$98,K$1,工数管理!$Q$3:$Q$98,"&lt;="&amp;$H297,工数管理!$R$3:$R$98,"&gt;="&amp;$H297)+COUNTIFS(工数管理!$AK$3:$AK$98,K$1,工数管理!$S$3:$S$98,"&lt;="&amp;$H297,工数管理!$T$3:$T$98,"&gt;="&amp;$H297)+COUNTIFS(工数管理!$AK$3:$AK$98,K$1,工数管理!$U$3:$U$98,"&lt;="&amp;$H297,工数管理!$V$3:$V$98,"&gt;="&amp;$H297)+COUNTIFS(工数管理!$AK$3:$AK$98,K$1,工数管理!$W$3:$W$98,"&lt;="&amp;$H297,工数管理!$X$3:$X$98,"&gt;="&amp;$H297)+COUNTIFS(工数管理!$AK$3:$AK$98,K$1,工数管理!$Y$3:$Y$98,"&lt;="&amp;$H297,工数管理!$Z$3:$Z$98,"&gt;="&amp;$H297)+COUNTIFS(工数管理!$AK$3:$AK$98,K$1,工数管理!$AA$3:$AA$98,"&lt;="&amp;$H297,工数管理!$AB$3:$AB$98,"&gt;="&amp;$H297)+COUNTIFS(工数管理!$AK$3:$AK$98,K$1,工数管理!$AC$3:$AC$98,"&lt;="&amp;$H297,工数管理!$AD$3:$AD$98,"&gt;="&amp;$H297)+COUNTIFS(工数管理!$AK$3:$AK$98,K$1,工数管理!$AE$3:$AE$98,"&lt;="&amp;$H297,工数管理!$AF$3:$AF$98,"&gt;="&amp;$H297)+COUNTIFS(工数管理!$AK$3:$AK$98,K$1,工数管理!$AG$3:$AG$98,"&lt;="&amp;$H297,工数管理!$AH$3:$AH$98,"&gt;="&amp;$H297)+(COUNTIFS(工数管理!$AK$3:$AK$98,K$1,工数管理!$K$3:$K$98,"&lt;="&amp;$H297,工数管理!$L$3:$L$98,"")+COUNTIFS(工数管理!$AK$3:$AK$98,K$1,工数管理!$M$3:$M$98,"&lt;="&amp;$H297,工数管理!$N$3:$N$98,"")+COUNTIFS(工数管理!$AK$3:$AK$98,K$1,工数管理!$O$3:$O$98,"&lt;="&amp;$H297,工数管理!$P$3:$P$98,"")+COUNTIFS(工数管理!$AK$3:$AK$98,K$1,工数管理!$Q$3:$Q$98,"&lt;="&amp;$H297,工数管理!$R$3:$R$98,"")+COUNTIFS(工数管理!$AK$3:$AK$98,K$1,工数管理!$S$3:$S$98,"&lt;="&amp;$H297,工数管理!$T$3:$T$98,"")+COUNTIFS(工数管理!$AK$3:$AK$98,K$1,工数管理!$U$3:$U$98,"&lt;="&amp;$H297,工数管理!$V$3:$V$98,"")+COUNTIFS(工数管理!$AK$3:$AK$98,K$1,工数管理!$W$3:$W$98,"&lt;="&amp;$H297,工数管理!$X$3:$X$98,"")+COUNTIFS(工数管理!$AK$3:$AK$98,K$1,工数管理!$Y$3:$Y$98,"&lt;="&amp;$H297,工数管理!$Z$3:$Z$98,"")+COUNTIFS(工数管理!$AK$3:$AK$98,K$1,工数管理!$AA$3:$AA$98,"&lt;="&amp;$H297,工数管理!$AB$3:$AB$98,"")+COUNTIFS(工数管理!$AK$3:$AK$98,K$1,工数管理!$AC$3:$AC$98,"&lt;="&amp;$H297,工数管理!$AD$3:$AD$98,"")+COUNTIFS(工数管理!$AK$3:$AK$98,K$1,工数管理!$AE$3:$AE$98,"&lt;="&amp;$H297,工数管理!$AF$3:$AF$98,"")+COUNTIFS(工数管理!$AK$3:$AK$98,K$1,工数管理!$AG$3:$AG$98,"&lt;="&amp;$H297,工数管理!$AH$3:$AH$98,""))*($H297&lt;=工数管理!$AI$1))</f>
        <v>0</v>
      </c>
      <c r="L297" s="42">
        <f ca="1">IF(L$1="",0,COUNTIFS(工数管理!$AK$3:$AK$98,L$1,工数管理!$K$3:$K$98,"&lt;="&amp;$H297,工数管理!$L$3:$L$98,"&gt;="&amp;$H297)+COUNTIFS(工数管理!$AK$3:$AK$98,L$1,工数管理!$M$3:$M$98,"&lt;="&amp;$H297,工数管理!$N$3:$N$98,"&gt;="&amp;$H297)+COUNTIFS(工数管理!$AK$3:$AK$98,L$1,工数管理!$O$3:$O$98,"&lt;="&amp;$H297,工数管理!$P$3:$P$98,"&gt;="&amp;$H297)+COUNTIFS(工数管理!$AK$3:$AK$98,L$1,工数管理!$Q$3:$Q$98,"&lt;="&amp;$H297,工数管理!$R$3:$R$98,"&gt;="&amp;$H297)+COUNTIFS(工数管理!$AK$3:$AK$98,L$1,工数管理!$S$3:$S$98,"&lt;="&amp;$H297,工数管理!$T$3:$T$98,"&gt;="&amp;$H297)+COUNTIFS(工数管理!$AK$3:$AK$98,L$1,工数管理!$U$3:$U$98,"&lt;="&amp;$H297,工数管理!$V$3:$V$98,"&gt;="&amp;$H297)+COUNTIFS(工数管理!$AK$3:$AK$98,L$1,工数管理!$W$3:$W$98,"&lt;="&amp;$H297,工数管理!$X$3:$X$98,"&gt;="&amp;$H297)+COUNTIFS(工数管理!$AK$3:$AK$98,L$1,工数管理!$Y$3:$Y$98,"&lt;="&amp;$H297,工数管理!$Z$3:$Z$98,"&gt;="&amp;$H297)+COUNTIFS(工数管理!$AK$3:$AK$98,L$1,工数管理!$AA$3:$AA$98,"&lt;="&amp;$H297,工数管理!$AB$3:$AB$98,"&gt;="&amp;$H297)+COUNTIFS(工数管理!$AK$3:$AK$98,L$1,工数管理!$AC$3:$AC$98,"&lt;="&amp;$H297,工数管理!$AD$3:$AD$98,"&gt;="&amp;$H297)+COUNTIFS(工数管理!$AK$3:$AK$98,L$1,工数管理!$AE$3:$AE$98,"&lt;="&amp;$H297,工数管理!$AF$3:$AF$98,"&gt;="&amp;$H297)+COUNTIFS(工数管理!$AK$3:$AK$98,L$1,工数管理!$AG$3:$AG$98,"&lt;="&amp;$H297,工数管理!$AH$3:$AH$98,"&gt;="&amp;$H297)+(COUNTIFS(工数管理!$AK$3:$AK$98,L$1,工数管理!$K$3:$K$98,"&lt;="&amp;$H297,工数管理!$L$3:$L$98,"")+COUNTIFS(工数管理!$AK$3:$AK$98,L$1,工数管理!$M$3:$M$98,"&lt;="&amp;$H297,工数管理!$N$3:$N$98,"")+COUNTIFS(工数管理!$AK$3:$AK$98,L$1,工数管理!$O$3:$O$98,"&lt;="&amp;$H297,工数管理!$P$3:$P$98,"")+COUNTIFS(工数管理!$AK$3:$AK$98,L$1,工数管理!$Q$3:$Q$98,"&lt;="&amp;$H297,工数管理!$R$3:$R$98,"")+COUNTIFS(工数管理!$AK$3:$AK$98,L$1,工数管理!$S$3:$S$98,"&lt;="&amp;$H297,工数管理!$T$3:$T$98,"")+COUNTIFS(工数管理!$AK$3:$AK$98,L$1,工数管理!$U$3:$U$98,"&lt;="&amp;$H297,工数管理!$V$3:$V$98,"")+COUNTIFS(工数管理!$AK$3:$AK$98,L$1,工数管理!$W$3:$W$98,"&lt;="&amp;$H297,工数管理!$X$3:$X$98,"")+COUNTIFS(工数管理!$AK$3:$AK$98,L$1,工数管理!$Y$3:$Y$98,"&lt;="&amp;$H297,工数管理!$Z$3:$Z$98,"")+COUNTIFS(工数管理!$AK$3:$AK$98,L$1,工数管理!$AA$3:$AA$98,"&lt;="&amp;$H297,工数管理!$AB$3:$AB$98,"")+COUNTIFS(工数管理!$AK$3:$AK$98,L$1,工数管理!$AC$3:$AC$98,"&lt;="&amp;$H297,工数管理!$AD$3:$AD$98,"")+COUNTIFS(工数管理!$AK$3:$AK$98,L$1,工数管理!$AE$3:$AE$98,"&lt;="&amp;$H297,工数管理!$AF$3:$AF$98,"")+COUNTIFS(工数管理!$AK$3:$AK$98,L$1,工数管理!$AG$3:$AG$98,"&lt;="&amp;$H297,工数管理!$AH$3:$AH$98,""))*($H297&lt;=工数管理!$AI$1))</f>
        <v>0</v>
      </c>
    </row>
    <row r="298" spans="8:12" x14ac:dyDescent="0.15">
      <c r="H298" s="41">
        <f t="shared" si="9"/>
        <v>46466</v>
      </c>
      <c r="I298" s="42">
        <f t="shared" si="8"/>
        <v>0</v>
      </c>
      <c r="J298" s="42">
        <f ca="1">IF(J$1="",0,COUNTIFS(工数管理!$AK$3:$AK$98,J$1,工数管理!$K$3:$K$98,"&lt;="&amp;$H298,工数管理!$L$3:$L$98,"&gt;="&amp;$H298)+COUNTIFS(工数管理!$AK$3:$AK$98,J$1,工数管理!$M$3:$M$98,"&lt;="&amp;$H298,工数管理!$N$3:$N$98,"&gt;="&amp;$H298)+COUNTIFS(工数管理!$AK$3:$AK$98,J$1,工数管理!$O$3:$O$98,"&lt;="&amp;$H298,工数管理!$P$3:$P$98,"&gt;="&amp;$H298)+COUNTIFS(工数管理!$AK$3:$AK$98,J$1,工数管理!$Q$3:$Q$98,"&lt;="&amp;$H298,工数管理!$R$3:$R$98,"&gt;="&amp;$H298)+COUNTIFS(工数管理!$AK$3:$AK$98,J$1,工数管理!$S$3:$S$98,"&lt;="&amp;$H298,工数管理!$T$3:$T$98,"&gt;="&amp;$H298)+COUNTIFS(工数管理!$AK$3:$AK$98,J$1,工数管理!$U$3:$U$98,"&lt;="&amp;$H298,工数管理!$V$3:$V$98,"&gt;="&amp;$H298)+COUNTIFS(工数管理!$AK$3:$AK$98,J$1,工数管理!$W$3:$W$98,"&lt;="&amp;$H298,工数管理!$X$3:$X$98,"&gt;="&amp;$H298)+COUNTIFS(工数管理!$AK$3:$AK$98,J$1,工数管理!$Y$3:$Y$98,"&lt;="&amp;$H298,工数管理!$Z$3:$Z$98,"&gt;="&amp;$H298)+COUNTIFS(工数管理!$AK$3:$AK$98,J$1,工数管理!$AA$3:$AA$98,"&lt;="&amp;$H298,工数管理!$AB$3:$AB$98,"&gt;="&amp;$H298)+COUNTIFS(工数管理!$AK$3:$AK$98,J$1,工数管理!$AC$3:$AC$98,"&lt;="&amp;$H298,工数管理!$AD$3:$AD$98,"&gt;="&amp;$H298)+COUNTIFS(工数管理!$AK$3:$AK$98,J$1,工数管理!$AE$3:$AE$98,"&lt;="&amp;$H298,工数管理!$AF$3:$AF$98,"&gt;="&amp;$H298)+COUNTIFS(工数管理!$AK$3:$AK$98,J$1,工数管理!$AG$3:$AG$98,"&lt;="&amp;$H298,工数管理!$AH$3:$AH$98,"&gt;="&amp;$H298)+(COUNTIFS(工数管理!$AK$3:$AK$98,J$1,工数管理!$K$3:$K$98,"&lt;="&amp;$H298,工数管理!$L$3:$L$98,"")+COUNTIFS(工数管理!$AK$3:$AK$98,J$1,工数管理!$M$3:$M$98,"&lt;="&amp;$H298,工数管理!$N$3:$N$98,"")+COUNTIFS(工数管理!$AK$3:$AK$98,J$1,工数管理!$O$3:$O$98,"&lt;="&amp;$H298,工数管理!$P$3:$P$98,"")+COUNTIFS(工数管理!$AK$3:$AK$98,J$1,工数管理!$Q$3:$Q$98,"&lt;="&amp;$H298,工数管理!$R$3:$R$98,"")+COUNTIFS(工数管理!$AK$3:$AK$98,J$1,工数管理!$S$3:$S$98,"&lt;="&amp;$H298,工数管理!$T$3:$T$98,"")+COUNTIFS(工数管理!$AK$3:$AK$98,J$1,工数管理!$U$3:$U$98,"&lt;="&amp;$H298,工数管理!$V$3:$V$98,"")+COUNTIFS(工数管理!$AK$3:$AK$98,J$1,工数管理!$W$3:$W$98,"&lt;="&amp;$H298,工数管理!$X$3:$X$98,"")+COUNTIFS(工数管理!$AK$3:$AK$98,J$1,工数管理!$Y$3:$Y$98,"&lt;="&amp;$H298,工数管理!$Z$3:$Z$98,"")+COUNTIFS(工数管理!$AK$3:$AK$98,J$1,工数管理!$AA$3:$AA$98,"&lt;="&amp;$H298,工数管理!$AB$3:$AB$98,"")+COUNTIFS(工数管理!$AK$3:$AK$98,J$1,工数管理!$AC$3:$AC$98,"&lt;="&amp;$H298,工数管理!$AD$3:$AD$98,"")+COUNTIFS(工数管理!$AK$3:$AK$98,J$1,工数管理!$AE$3:$AE$98,"&lt;="&amp;$H298,工数管理!$AF$3:$AF$98,"")+COUNTIFS(工数管理!$AK$3:$AK$98,J$1,工数管理!$AG$3:$AG$98,"&lt;="&amp;$H298,工数管理!$AH$3:$AH$98,""))*($H298&lt;=工数管理!$AI$1))</f>
        <v>0</v>
      </c>
      <c r="K298" s="42">
        <f ca="1">IF(K$1="",0,COUNTIFS(工数管理!$AK$3:$AK$98,K$1,工数管理!$K$3:$K$98,"&lt;="&amp;$H298,工数管理!$L$3:$L$98,"&gt;="&amp;$H298)+COUNTIFS(工数管理!$AK$3:$AK$98,K$1,工数管理!$M$3:$M$98,"&lt;="&amp;$H298,工数管理!$N$3:$N$98,"&gt;="&amp;$H298)+COUNTIFS(工数管理!$AK$3:$AK$98,K$1,工数管理!$O$3:$O$98,"&lt;="&amp;$H298,工数管理!$P$3:$P$98,"&gt;="&amp;$H298)+COUNTIFS(工数管理!$AK$3:$AK$98,K$1,工数管理!$Q$3:$Q$98,"&lt;="&amp;$H298,工数管理!$R$3:$R$98,"&gt;="&amp;$H298)+COUNTIFS(工数管理!$AK$3:$AK$98,K$1,工数管理!$S$3:$S$98,"&lt;="&amp;$H298,工数管理!$T$3:$T$98,"&gt;="&amp;$H298)+COUNTIFS(工数管理!$AK$3:$AK$98,K$1,工数管理!$U$3:$U$98,"&lt;="&amp;$H298,工数管理!$V$3:$V$98,"&gt;="&amp;$H298)+COUNTIFS(工数管理!$AK$3:$AK$98,K$1,工数管理!$W$3:$W$98,"&lt;="&amp;$H298,工数管理!$X$3:$X$98,"&gt;="&amp;$H298)+COUNTIFS(工数管理!$AK$3:$AK$98,K$1,工数管理!$Y$3:$Y$98,"&lt;="&amp;$H298,工数管理!$Z$3:$Z$98,"&gt;="&amp;$H298)+COUNTIFS(工数管理!$AK$3:$AK$98,K$1,工数管理!$AA$3:$AA$98,"&lt;="&amp;$H298,工数管理!$AB$3:$AB$98,"&gt;="&amp;$H298)+COUNTIFS(工数管理!$AK$3:$AK$98,K$1,工数管理!$AC$3:$AC$98,"&lt;="&amp;$H298,工数管理!$AD$3:$AD$98,"&gt;="&amp;$H298)+COUNTIFS(工数管理!$AK$3:$AK$98,K$1,工数管理!$AE$3:$AE$98,"&lt;="&amp;$H298,工数管理!$AF$3:$AF$98,"&gt;="&amp;$H298)+COUNTIFS(工数管理!$AK$3:$AK$98,K$1,工数管理!$AG$3:$AG$98,"&lt;="&amp;$H298,工数管理!$AH$3:$AH$98,"&gt;="&amp;$H298)+(COUNTIFS(工数管理!$AK$3:$AK$98,K$1,工数管理!$K$3:$K$98,"&lt;="&amp;$H298,工数管理!$L$3:$L$98,"")+COUNTIFS(工数管理!$AK$3:$AK$98,K$1,工数管理!$M$3:$M$98,"&lt;="&amp;$H298,工数管理!$N$3:$N$98,"")+COUNTIFS(工数管理!$AK$3:$AK$98,K$1,工数管理!$O$3:$O$98,"&lt;="&amp;$H298,工数管理!$P$3:$P$98,"")+COUNTIFS(工数管理!$AK$3:$AK$98,K$1,工数管理!$Q$3:$Q$98,"&lt;="&amp;$H298,工数管理!$R$3:$R$98,"")+COUNTIFS(工数管理!$AK$3:$AK$98,K$1,工数管理!$S$3:$S$98,"&lt;="&amp;$H298,工数管理!$T$3:$T$98,"")+COUNTIFS(工数管理!$AK$3:$AK$98,K$1,工数管理!$U$3:$U$98,"&lt;="&amp;$H298,工数管理!$V$3:$V$98,"")+COUNTIFS(工数管理!$AK$3:$AK$98,K$1,工数管理!$W$3:$W$98,"&lt;="&amp;$H298,工数管理!$X$3:$X$98,"")+COUNTIFS(工数管理!$AK$3:$AK$98,K$1,工数管理!$Y$3:$Y$98,"&lt;="&amp;$H298,工数管理!$Z$3:$Z$98,"")+COUNTIFS(工数管理!$AK$3:$AK$98,K$1,工数管理!$AA$3:$AA$98,"&lt;="&amp;$H298,工数管理!$AB$3:$AB$98,"")+COUNTIFS(工数管理!$AK$3:$AK$98,K$1,工数管理!$AC$3:$AC$98,"&lt;="&amp;$H298,工数管理!$AD$3:$AD$98,"")+COUNTIFS(工数管理!$AK$3:$AK$98,K$1,工数管理!$AE$3:$AE$98,"&lt;="&amp;$H298,工数管理!$AF$3:$AF$98,"")+COUNTIFS(工数管理!$AK$3:$AK$98,K$1,工数管理!$AG$3:$AG$98,"&lt;="&amp;$H298,工数管理!$AH$3:$AH$98,""))*($H298&lt;=工数管理!$AI$1))</f>
        <v>0</v>
      </c>
      <c r="L298" s="42">
        <f ca="1">IF(L$1="",0,COUNTIFS(工数管理!$AK$3:$AK$98,L$1,工数管理!$K$3:$K$98,"&lt;="&amp;$H298,工数管理!$L$3:$L$98,"&gt;="&amp;$H298)+COUNTIFS(工数管理!$AK$3:$AK$98,L$1,工数管理!$M$3:$M$98,"&lt;="&amp;$H298,工数管理!$N$3:$N$98,"&gt;="&amp;$H298)+COUNTIFS(工数管理!$AK$3:$AK$98,L$1,工数管理!$O$3:$O$98,"&lt;="&amp;$H298,工数管理!$P$3:$P$98,"&gt;="&amp;$H298)+COUNTIFS(工数管理!$AK$3:$AK$98,L$1,工数管理!$Q$3:$Q$98,"&lt;="&amp;$H298,工数管理!$R$3:$R$98,"&gt;="&amp;$H298)+COUNTIFS(工数管理!$AK$3:$AK$98,L$1,工数管理!$S$3:$S$98,"&lt;="&amp;$H298,工数管理!$T$3:$T$98,"&gt;="&amp;$H298)+COUNTIFS(工数管理!$AK$3:$AK$98,L$1,工数管理!$U$3:$U$98,"&lt;="&amp;$H298,工数管理!$V$3:$V$98,"&gt;="&amp;$H298)+COUNTIFS(工数管理!$AK$3:$AK$98,L$1,工数管理!$W$3:$W$98,"&lt;="&amp;$H298,工数管理!$X$3:$X$98,"&gt;="&amp;$H298)+COUNTIFS(工数管理!$AK$3:$AK$98,L$1,工数管理!$Y$3:$Y$98,"&lt;="&amp;$H298,工数管理!$Z$3:$Z$98,"&gt;="&amp;$H298)+COUNTIFS(工数管理!$AK$3:$AK$98,L$1,工数管理!$AA$3:$AA$98,"&lt;="&amp;$H298,工数管理!$AB$3:$AB$98,"&gt;="&amp;$H298)+COUNTIFS(工数管理!$AK$3:$AK$98,L$1,工数管理!$AC$3:$AC$98,"&lt;="&amp;$H298,工数管理!$AD$3:$AD$98,"&gt;="&amp;$H298)+COUNTIFS(工数管理!$AK$3:$AK$98,L$1,工数管理!$AE$3:$AE$98,"&lt;="&amp;$H298,工数管理!$AF$3:$AF$98,"&gt;="&amp;$H298)+COUNTIFS(工数管理!$AK$3:$AK$98,L$1,工数管理!$AG$3:$AG$98,"&lt;="&amp;$H298,工数管理!$AH$3:$AH$98,"&gt;="&amp;$H298)+(COUNTIFS(工数管理!$AK$3:$AK$98,L$1,工数管理!$K$3:$K$98,"&lt;="&amp;$H298,工数管理!$L$3:$L$98,"")+COUNTIFS(工数管理!$AK$3:$AK$98,L$1,工数管理!$M$3:$M$98,"&lt;="&amp;$H298,工数管理!$N$3:$N$98,"")+COUNTIFS(工数管理!$AK$3:$AK$98,L$1,工数管理!$O$3:$O$98,"&lt;="&amp;$H298,工数管理!$P$3:$P$98,"")+COUNTIFS(工数管理!$AK$3:$AK$98,L$1,工数管理!$Q$3:$Q$98,"&lt;="&amp;$H298,工数管理!$R$3:$R$98,"")+COUNTIFS(工数管理!$AK$3:$AK$98,L$1,工数管理!$S$3:$S$98,"&lt;="&amp;$H298,工数管理!$T$3:$T$98,"")+COUNTIFS(工数管理!$AK$3:$AK$98,L$1,工数管理!$U$3:$U$98,"&lt;="&amp;$H298,工数管理!$V$3:$V$98,"")+COUNTIFS(工数管理!$AK$3:$AK$98,L$1,工数管理!$W$3:$W$98,"&lt;="&amp;$H298,工数管理!$X$3:$X$98,"")+COUNTIFS(工数管理!$AK$3:$AK$98,L$1,工数管理!$Y$3:$Y$98,"&lt;="&amp;$H298,工数管理!$Z$3:$Z$98,"")+COUNTIFS(工数管理!$AK$3:$AK$98,L$1,工数管理!$AA$3:$AA$98,"&lt;="&amp;$H298,工数管理!$AB$3:$AB$98,"")+COUNTIFS(工数管理!$AK$3:$AK$98,L$1,工数管理!$AC$3:$AC$98,"&lt;="&amp;$H298,工数管理!$AD$3:$AD$98,"")+COUNTIFS(工数管理!$AK$3:$AK$98,L$1,工数管理!$AE$3:$AE$98,"&lt;="&amp;$H298,工数管理!$AF$3:$AF$98,"")+COUNTIFS(工数管理!$AK$3:$AK$98,L$1,工数管理!$AG$3:$AG$98,"&lt;="&amp;$H298,工数管理!$AH$3:$AH$98,""))*($H298&lt;=工数管理!$AI$1))</f>
        <v>0</v>
      </c>
    </row>
    <row r="299" spans="8:12" x14ac:dyDescent="0.15">
      <c r="H299" s="41">
        <f t="shared" si="9"/>
        <v>46467</v>
      </c>
      <c r="I299" s="42">
        <f t="shared" si="8"/>
        <v>0</v>
      </c>
      <c r="J299" s="42">
        <f ca="1">IF(J$1="",0,COUNTIFS(工数管理!$AK$3:$AK$98,J$1,工数管理!$K$3:$K$98,"&lt;="&amp;$H299,工数管理!$L$3:$L$98,"&gt;="&amp;$H299)+COUNTIFS(工数管理!$AK$3:$AK$98,J$1,工数管理!$M$3:$M$98,"&lt;="&amp;$H299,工数管理!$N$3:$N$98,"&gt;="&amp;$H299)+COUNTIFS(工数管理!$AK$3:$AK$98,J$1,工数管理!$O$3:$O$98,"&lt;="&amp;$H299,工数管理!$P$3:$P$98,"&gt;="&amp;$H299)+COUNTIFS(工数管理!$AK$3:$AK$98,J$1,工数管理!$Q$3:$Q$98,"&lt;="&amp;$H299,工数管理!$R$3:$R$98,"&gt;="&amp;$H299)+COUNTIFS(工数管理!$AK$3:$AK$98,J$1,工数管理!$S$3:$S$98,"&lt;="&amp;$H299,工数管理!$T$3:$T$98,"&gt;="&amp;$H299)+COUNTIFS(工数管理!$AK$3:$AK$98,J$1,工数管理!$U$3:$U$98,"&lt;="&amp;$H299,工数管理!$V$3:$V$98,"&gt;="&amp;$H299)+COUNTIFS(工数管理!$AK$3:$AK$98,J$1,工数管理!$W$3:$W$98,"&lt;="&amp;$H299,工数管理!$X$3:$X$98,"&gt;="&amp;$H299)+COUNTIFS(工数管理!$AK$3:$AK$98,J$1,工数管理!$Y$3:$Y$98,"&lt;="&amp;$H299,工数管理!$Z$3:$Z$98,"&gt;="&amp;$H299)+COUNTIFS(工数管理!$AK$3:$AK$98,J$1,工数管理!$AA$3:$AA$98,"&lt;="&amp;$H299,工数管理!$AB$3:$AB$98,"&gt;="&amp;$H299)+COUNTIFS(工数管理!$AK$3:$AK$98,J$1,工数管理!$AC$3:$AC$98,"&lt;="&amp;$H299,工数管理!$AD$3:$AD$98,"&gt;="&amp;$H299)+COUNTIFS(工数管理!$AK$3:$AK$98,J$1,工数管理!$AE$3:$AE$98,"&lt;="&amp;$H299,工数管理!$AF$3:$AF$98,"&gt;="&amp;$H299)+COUNTIFS(工数管理!$AK$3:$AK$98,J$1,工数管理!$AG$3:$AG$98,"&lt;="&amp;$H299,工数管理!$AH$3:$AH$98,"&gt;="&amp;$H299)+(COUNTIFS(工数管理!$AK$3:$AK$98,J$1,工数管理!$K$3:$K$98,"&lt;="&amp;$H299,工数管理!$L$3:$L$98,"")+COUNTIFS(工数管理!$AK$3:$AK$98,J$1,工数管理!$M$3:$M$98,"&lt;="&amp;$H299,工数管理!$N$3:$N$98,"")+COUNTIFS(工数管理!$AK$3:$AK$98,J$1,工数管理!$O$3:$O$98,"&lt;="&amp;$H299,工数管理!$P$3:$P$98,"")+COUNTIFS(工数管理!$AK$3:$AK$98,J$1,工数管理!$Q$3:$Q$98,"&lt;="&amp;$H299,工数管理!$R$3:$R$98,"")+COUNTIFS(工数管理!$AK$3:$AK$98,J$1,工数管理!$S$3:$S$98,"&lt;="&amp;$H299,工数管理!$T$3:$T$98,"")+COUNTIFS(工数管理!$AK$3:$AK$98,J$1,工数管理!$U$3:$U$98,"&lt;="&amp;$H299,工数管理!$V$3:$V$98,"")+COUNTIFS(工数管理!$AK$3:$AK$98,J$1,工数管理!$W$3:$W$98,"&lt;="&amp;$H299,工数管理!$X$3:$X$98,"")+COUNTIFS(工数管理!$AK$3:$AK$98,J$1,工数管理!$Y$3:$Y$98,"&lt;="&amp;$H299,工数管理!$Z$3:$Z$98,"")+COUNTIFS(工数管理!$AK$3:$AK$98,J$1,工数管理!$AA$3:$AA$98,"&lt;="&amp;$H299,工数管理!$AB$3:$AB$98,"")+COUNTIFS(工数管理!$AK$3:$AK$98,J$1,工数管理!$AC$3:$AC$98,"&lt;="&amp;$H299,工数管理!$AD$3:$AD$98,"")+COUNTIFS(工数管理!$AK$3:$AK$98,J$1,工数管理!$AE$3:$AE$98,"&lt;="&amp;$H299,工数管理!$AF$3:$AF$98,"")+COUNTIFS(工数管理!$AK$3:$AK$98,J$1,工数管理!$AG$3:$AG$98,"&lt;="&amp;$H299,工数管理!$AH$3:$AH$98,""))*($H299&lt;=工数管理!$AI$1))</f>
        <v>0</v>
      </c>
      <c r="K299" s="42">
        <f ca="1">IF(K$1="",0,COUNTIFS(工数管理!$AK$3:$AK$98,K$1,工数管理!$K$3:$K$98,"&lt;="&amp;$H299,工数管理!$L$3:$L$98,"&gt;="&amp;$H299)+COUNTIFS(工数管理!$AK$3:$AK$98,K$1,工数管理!$M$3:$M$98,"&lt;="&amp;$H299,工数管理!$N$3:$N$98,"&gt;="&amp;$H299)+COUNTIFS(工数管理!$AK$3:$AK$98,K$1,工数管理!$O$3:$O$98,"&lt;="&amp;$H299,工数管理!$P$3:$P$98,"&gt;="&amp;$H299)+COUNTIFS(工数管理!$AK$3:$AK$98,K$1,工数管理!$Q$3:$Q$98,"&lt;="&amp;$H299,工数管理!$R$3:$R$98,"&gt;="&amp;$H299)+COUNTIFS(工数管理!$AK$3:$AK$98,K$1,工数管理!$S$3:$S$98,"&lt;="&amp;$H299,工数管理!$T$3:$T$98,"&gt;="&amp;$H299)+COUNTIFS(工数管理!$AK$3:$AK$98,K$1,工数管理!$U$3:$U$98,"&lt;="&amp;$H299,工数管理!$V$3:$V$98,"&gt;="&amp;$H299)+COUNTIFS(工数管理!$AK$3:$AK$98,K$1,工数管理!$W$3:$W$98,"&lt;="&amp;$H299,工数管理!$X$3:$X$98,"&gt;="&amp;$H299)+COUNTIFS(工数管理!$AK$3:$AK$98,K$1,工数管理!$Y$3:$Y$98,"&lt;="&amp;$H299,工数管理!$Z$3:$Z$98,"&gt;="&amp;$H299)+COUNTIFS(工数管理!$AK$3:$AK$98,K$1,工数管理!$AA$3:$AA$98,"&lt;="&amp;$H299,工数管理!$AB$3:$AB$98,"&gt;="&amp;$H299)+COUNTIFS(工数管理!$AK$3:$AK$98,K$1,工数管理!$AC$3:$AC$98,"&lt;="&amp;$H299,工数管理!$AD$3:$AD$98,"&gt;="&amp;$H299)+COUNTIFS(工数管理!$AK$3:$AK$98,K$1,工数管理!$AE$3:$AE$98,"&lt;="&amp;$H299,工数管理!$AF$3:$AF$98,"&gt;="&amp;$H299)+COUNTIFS(工数管理!$AK$3:$AK$98,K$1,工数管理!$AG$3:$AG$98,"&lt;="&amp;$H299,工数管理!$AH$3:$AH$98,"&gt;="&amp;$H299)+(COUNTIFS(工数管理!$AK$3:$AK$98,K$1,工数管理!$K$3:$K$98,"&lt;="&amp;$H299,工数管理!$L$3:$L$98,"")+COUNTIFS(工数管理!$AK$3:$AK$98,K$1,工数管理!$M$3:$M$98,"&lt;="&amp;$H299,工数管理!$N$3:$N$98,"")+COUNTIFS(工数管理!$AK$3:$AK$98,K$1,工数管理!$O$3:$O$98,"&lt;="&amp;$H299,工数管理!$P$3:$P$98,"")+COUNTIFS(工数管理!$AK$3:$AK$98,K$1,工数管理!$Q$3:$Q$98,"&lt;="&amp;$H299,工数管理!$R$3:$R$98,"")+COUNTIFS(工数管理!$AK$3:$AK$98,K$1,工数管理!$S$3:$S$98,"&lt;="&amp;$H299,工数管理!$T$3:$T$98,"")+COUNTIFS(工数管理!$AK$3:$AK$98,K$1,工数管理!$U$3:$U$98,"&lt;="&amp;$H299,工数管理!$V$3:$V$98,"")+COUNTIFS(工数管理!$AK$3:$AK$98,K$1,工数管理!$W$3:$W$98,"&lt;="&amp;$H299,工数管理!$X$3:$X$98,"")+COUNTIFS(工数管理!$AK$3:$AK$98,K$1,工数管理!$Y$3:$Y$98,"&lt;="&amp;$H299,工数管理!$Z$3:$Z$98,"")+COUNTIFS(工数管理!$AK$3:$AK$98,K$1,工数管理!$AA$3:$AA$98,"&lt;="&amp;$H299,工数管理!$AB$3:$AB$98,"")+COUNTIFS(工数管理!$AK$3:$AK$98,K$1,工数管理!$AC$3:$AC$98,"&lt;="&amp;$H299,工数管理!$AD$3:$AD$98,"")+COUNTIFS(工数管理!$AK$3:$AK$98,K$1,工数管理!$AE$3:$AE$98,"&lt;="&amp;$H299,工数管理!$AF$3:$AF$98,"")+COUNTIFS(工数管理!$AK$3:$AK$98,K$1,工数管理!$AG$3:$AG$98,"&lt;="&amp;$H299,工数管理!$AH$3:$AH$98,""))*($H299&lt;=工数管理!$AI$1))</f>
        <v>0</v>
      </c>
      <c r="L299" s="42">
        <f ca="1">IF(L$1="",0,COUNTIFS(工数管理!$AK$3:$AK$98,L$1,工数管理!$K$3:$K$98,"&lt;="&amp;$H299,工数管理!$L$3:$L$98,"&gt;="&amp;$H299)+COUNTIFS(工数管理!$AK$3:$AK$98,L$1,工数管理!$M$3:$M$98,"&lt;="&amp;$H299,工数管理!$N$3:$N$98,"&gt;="&amp;$H299)+COUNTIFS(工数管理!$AK$3:$AK$98,L$1,工数管理!$O$3:$O$98,"&lt;="&amp;$H299,工数管理!$P$3:$P$98,"&gt;="&amp;$H299)+COUNTIFS(工数管理!$AK$3:$AK$98,L$1,工数管理!$Q$3:$Q$98,"&lt;="&amp;$H299,工数管理!$R$3:$R$98,"&gt;="&amp;$H299)+COUNTIFS(工数管理!$AK$3:$AK$98,L$1,工数管理!$S$3:$S$98,"&lt;="&amp;$H299,工数管理!$T$3:$T$98,"&gt;="&amp;$H299)+COUNTIFS(工数管理!$AK$3:$AK$98,L$1,工数管理!$U$3:$U$98,"&lt;="&amp;$H299,工数管理!$V$3:$V$98,"&gt;="&amp;$H299)+COUNTIFS(工数管理!$AK$3:$AK$98,L$1,工数管理!$W$3:$W$98,"&lt;="&amp;$H299,工数管理!$X$3:$X$98,"&gt;="&amp;$H299)+COUNTIFS(工数管理!$AK$3:$AK$98,L$1,工数管理!$Y$3:$Y$98,"&lt;="&amp;$H299,工数管理!$Z$3:$Z$98,"&gt;="&amp;$H299)+COUNTIFS(工数管理!$AK$3:$AK$98,L$1,工数管理!$AA$3:$AA$98,"&lt;="&amp;$H299,工数管理!$AB$3:$AB$98,"&gt;="&amp;$H299)+COUNTIFS(工数管理!$AK$3:$AK$98,L$1,工数管理!$AC$3:$AC$98,"&lt;="&amp;$H299,工数管理!$AD$3:$AD$98,"&gt;="&amp;$H299)+COUNTIFS(工数管理!$AK$3:$AK$98,L$1,工数管理!$AE$3:$AE$98,"&lt;="&amp;$H299,工数管理!$AF$3:$AF$98,"&gt;="&amp;$H299)+COUNTIFS(工数管理!$AK$3:$AK$98,L$1,工数管理!$AG$3:$AG$98,"&lt;="&amp;$H299,工数管理!$AH$3:$AH$98,"&gt;="&amp;$H299)+(COUNTIFS(工数管理!$AK$3:$AK$98,L$1,工数管理!$K$3:$K$98,"&lt;="&amp;$H299,工数管理!$L$3:$L$98,"")+COUNTIFS(工数管理!$AK$3:$AK$98,L$1,工数管理!$M$3:$M$98,"&lt;="&amp;$H299,工数管理!$N$3:$N$98,"")+COUNTIFS(工数管理!$AK$3:$AK$98,L$1,工数管理!$O$3:$O$98,"&lt;="&amp;$H299,工数管理!$P$3:$P$98,"")+COUNTIFS(工数管理!$AK$3:$AK$98,L$1,工数管理!$Q$3:$Q$98,"&lt;="&amp;$H299,工数管理!$R$3:$R$98,"")+COUNTIFS(工数管理!$AK$3:$AK$98,L$1,工数管理!$S$3:$S$98,"&lt;="&amp;$H299,工数管理!$T$3:$T$98,"")+COUNTIFS(工数管理!$AK$3:$AK$98,L$1,工数管理!$U$3:$U$98,"&lt;="&amp;$H299,工数管理!$V$3:$V$98,"")+COUNTIFS(工数管理!$AK$3:$AK$98,L$1,工数管理!$W$3:$W$98,"&lt;="&amp;$H299,工数管理!$X$3:$X$98,"")+COUNTIFS(工数管理!$AK$3:$AK$98,L$1,工数管理!$Y$3:$Y$98,"&lt;="&amp;$H299,工数管理!$Z$3:$Z$98,"")+COUNTIFS(工数管理!$AK$3:$AK$98,L$1,工数管理!$AA$3:$AA$98,"&lt;="&amp;$H299,工数管理!$AB$3:$AB$98,"")+COUNTIFS(工数管理!$AK$3:$AK$98,L$1,工数管理!$AC$3:$AC$98,"&lt;="&amp;$H299,工数管理!$AD$3:$AD$98,"")+COUNTIFS(工数管理!$AK$3:$AK$98,L$1,工数管理!$AE$3:$AE$98,"&lt;="&amp;$H299,工数管理!$AF$3:$AF$98,"")+COUNTIFS(工数管理!$AK$3:$AK$98,L$1,工数管理!$AG$3:$AG$98,"&lt;="&amp;$H299,工数管理!$AH$3:$AH$98,""))*($H299&lt;=工数管理!$AI$1))</f>
        <v>0</v>
      </c>
    </row>
    <row r="300" spans="8:12" x14ac:dyDescent="0.15">
      <c r="H300" s="41">
        <f t="shared" si="9"/>
        <v>46468</v>
      </c>
      <c r="I300" s="42">
        <f t="shared" si="8"/>
        <v>0</v>
      </c>
      <c r="J300" s="42">
        <f ca="1">IF(J$1="",0,COUNTIFS(工数管理!$AK$3:$AK$98,J$1,工数管理!$K$3:$K$98,"&lt;="&amp;$H300,工数管理!$L$3:$L$98,"&gt;="&amp;$H300)+COUNTIFS(工数管理!$AK$3:$AK$98,J$1,工数管理!$M$3:$M$98,"&lt;="&amp;$H300,工数管理!$N$3:$N$98,"&gt;="&amp;$H300)+COUNTIFS(工数管理!$AK$3:$AK$98,J$1,工数管理!$O$3:$O$98,"&lt;="&amp;$H300,工数管理!$P$3:$P$98,"&gt;="&amp;$H300)+COUNTIFS(工数管理!$AK$3:$AK$98,J$1,工数管理!$Q$3:$Q$98,"&lt;="&amp;$H300,工数管理!$R$3:$R$98,"&gt;="&amp;$H300)+COUNTIFS(工数管理!$AK$3:$AK$98,J$1,工数管理!$S$3:$S$98,"&lt;="&amp;$H300,工数管理!$T$3:$T$98,"&gt;="&amp;$H300)+COUNTIFS(工数管理!$AK$3:$AK$98,J$1,工数管理!$U$3:$U$98,"&lt;="&amp;$H300,工数管理!$V$3:$V$98,"&gt;="&amp;$H300)+COUNTIFS(工数管理!$AK$3:$AK$98,J$1,工数管理!$W$3:$W$98,"&lt;="&amp;$H300,工数管理!$X$3:$X$98,"&gt;="&amp;$H300)+COUNTIFS(工数管理!$AK$3:$AK$98,J$1,工数管理!$Y$3:$Y$98,"&lt;="&amp;$H300,工数管理!$Z$3:$Z$98,"&gt;="&amp;$H300)+COUNTIFS(工数管理!$AK$3:$AK$98,J$1,工数管理!$AA$3:$AA$98,"&lt;="&amp;$H300,工数管理!$AB$3:$AB$98,"&gt;="&amp;$H300)+COUNTIFS(工数管理!$AK$3:$AK$98,J$1,工数管理!$AC$3:$AC$98,"&lt;="&amp;$H300,工数管理!$AD$3:$AD$98,"&gt;="&amp;$H300)+COUNTIFS(工数管理!$AK$3:$AK$98,J$1,工数管理!$AE$3:$AE$98,"&lt;="&amp;$H300,工数管理!$AF$3:$AF$98,"&gt;="&amp;$H300)+COUNTIFS(工数管理!$AK$3:$AK$98,J$1,工数管理!$AG$3:$AG$98,"&lt;="&amp;$H300,工数管理!$AH$3:$AH$98,"&gt;="&amp;$H300)+(COUNTIFS(工数管理!$AK$3:$AK$98,J$1,工数管理!$K$3:$K$98,"&lt;="&amp;$H300,工数管理!$L$3:$L$98,"")+COUNTIFS(工数管理!$AK$3:$AK$98,J$1,工数管理!$M$3:$M$98,"&lt;="&amp;$H300,工数管理!$N$3:$N$98,"")+COUNTIFS(工数管理!$AK$3:$AK$98,J$1,工数管理!$O$3:$O$98,"&lt;="&amp;$H300,工数管理!$P$3:$P$98,"")+COUNTIFS(工数管理!$AK$3:$AK$98,J$1,工数管理!$Q$3:$Q$98,"&lt;="&amp;$H300,工数管理!$R$3:$R$98,"")+COUNTIFS(工数管理!$AK$3:$AK$98,J$1,工数管理!$S$3:$S$98,"&lt;="&amp;$H300,工数管理!$T$3:$T$98,"")+COUNTIFS(工数管理!$AK$3:$AK$98,J$1,工数管理!$U$3:$U$98,"&lt;="&amp;$H300,工数管理!$V$3:$V$98,"")+COUNTIFS(工数管理!$AK$3:$AK$98,J$1,工数管理!$W$3:$W$98,"&lt;="&amp;$H300,工数管理!$X$3:$X$98,"")+COUNTIFS(工数管理!$AK$3:$AK$98,J$1,工数管理!$Y$3:$Y$98,"&lt;="&amp;$H300,工数管理!$Z$3:$Z$98,"")+COUNTIFS(工数管理!$AK$3:$AK$98,J$1,工数管理!$AA$3:$AA$98,"&lt;="&amp;$H300,工数管理!$AB$3:$AB$98,"")+COUNTIFS(工数管理!$AK$3:$AK$98,J$1,工数管理!$AC$3:$AC$98,"&lt;="&amp;$H300,工数管理!$AD$3:$AD$98,"")+COUNTIFS(工数管理!$AK$3:$AK$98,J$1,工数管理!$AE$3:$AE$98,"&lt;="&amp;$H300,工数管理!$AF$3:$AF$98,"")+COUNTIFS(工数管理!$AK$3:$AK$98,J$1,工数管理!$AG$3:$AG$98,"&lt;="&amp;$H300,工数管理!$AH$3:$AH$98,""))*($H300&lt;=工数管理!$AI$1))</f>
        <v>0</v>
      </c>
      <c r="K300" s="42">
        <f ca="1">IF(K$1="",0,COUNTIFS(工数管理!$AK$3:$AK$98,K$1,工数管理!$K$3:$K$98,"&lt;="&amp;$H300,工数管理!$L$3:$L$98,"&gt;="&amp;$H300)+COUNTIFS(工数管理!$AK$3:$AK$98,K$1,工数管理!$M$3:$M$98,"&lt;="&amp;$H300,工数管理!$N$3:$N$98,"&gt;="&amp;$H300)+COUNTIFS(工数管理!$AK$3:$AK$98,K$1,工数管理!$O$3:$O$98,"&lt;="&amp;$H300,工数管理!$P$3:$P$98,"&gt;="&amp;$H300)+COUNTIFS(工数管理!$AK$3:$AK$98,K$1,工数管理!$Q$3:$Q$98,"&lt;="&amp;$H300,工数管理!$R$3:$R$98,"&gt;="&amp;$H300)+COUNTIFS(工数管理!$AK$3:$AK$98,K$1,工数管理!$S$3:$S$98,"&lt;="&amp;$H300,工数管理!$T$3:$T$98,"&gt;="&amp;$H300)+COUNTIFS(工数管理!$AK$3:$AK$98,K$1,工数管理!$U$3:$U$98,"&lt;="&amp;$H300,工数管理!$V$3:$V$98,"&gt;="&amp;$H300)+COUNTIFS(工数管理!$AK$3:$AK$98,K$1,工数管理!$W$3:$W$98,"&lt;="&amp;$H300,工数管理!$X$3:$X$98,"&gt;="&amp;$H300)+COUNTIFS(工数管理!$AK$3:$AK$98,K$1,工数管理!$Y$3:$Y$98,"&lt;="&amp;$H300,工数管理!$Z$3:$Z$98,"&gt;="&amp;$H300)+COUNTIFS(工数管理!$AK$3:$AK$98,K$1,工数管理!$AA$3:$AA$98,"&lt;="&amp;$H300,工数管理!$AB$3:$AB$98,"&gt;="&amp;$H300)+COUNTIFS(工数管理!$AK$3:$AK$98,K$1,工数管理!$AC$3:$AC$98,"&lt;="&amp;$H300,工数管理!$AD$3:$AD$98,"&gt;="&amp;$H300)+COUNTIFS(工数管理!$AK$3:$AK$98,K$1,工数管理!$AE$3:$AE$98,"&lt;="&amp;$H300,工数管理!$AF$3:$AF$98,"&gt;="&amp;$H300)+COUNTIFS(工数管理!$AK$3:$AK$98,K$1,工数管理!$AG$3:$AG$98,"&lt;="&amp;$H300,工数管理!$AH$3:$AH$98,"&gt;="&amp;$H300)+(COUNTIFS(工数管理!$AK$3:$AK$98,K$1,工数管理!$K$3:$K$98,"&lt;="&amp;$H300,工数管理!$L$3:$L$98,"")+COUNTIFS(工数管理!$AK$3:$AK$98,K$1,工数管理!$M$3:$M$98,"&lt;="&amp;$H300,工数管理!$N$3:$N$98,"")+COUNTIFS(工数管理!$AK$3:$AK$98,K$1,工数管理!$O$3:$O$98,"&lt;="&amp;$H300,工数管理!$P$3:$P$98,"")+COUNTIFS(工数管理!$AK$3:$AK$98,K$1,工数管理!$Q$3:$Q$98,"&lt;="&amp;$H300,工数管理!$R$3:$R$98,"")+COUNTIFS(工数管理!$AK$3:$AK$98,K$1,工数管理!$S$3:$S$98,"&lt;="&amp;$H300,工数管理!$T$3:$T$98,"")+COUNTIFS(工数管理!$AK$3:$AK$98,K$1,工数管理!$U$3:$U$98,"&lt;="&amp;$H300,工数管理!$V$3:$V$98,"")+COUNTIFS(工数管理!$AK$3:$AK$98,K$1,工数管理!$W$3:$W$98,"&lt;="&amp;$H300,工数管理!$X$3:$X$98,"")+COUNTIFS(工数管理!$AK$3:$AK$98,K$1,工数管理!$Y$3:$Y$98,"&lt;="&amp;$H300,工数管理!$Z$3:$Z$98,"")+COUNTIFS(工数管理!$AK$3:$AK$98,K$1,工数管理!$AA$3:$AA$98,"&lt;="&amp;$H300,工数管理!$AB$3:$AB$98,"")+COUNTIFS(工数管理!$AK$3:$AK$98,K$1,工数管理!$AC$3:$AC$98,"&lt;="&amp;$H300,工数管理!$AD$3:$AD$98,"")+COUNTIFS(工数管理!$AK$3:$AK$98,K$1,工数管理!$AE$3:$AE$98,"&lt;="&amp;$H300,工数管理!$AF$3:$AF$98,"")+COUNTIFS(工数管理!$AK$3:$AK$98,K$1,工数管理!$AG$3:$AG$98,"&lt;="&amp;$H300,工数管理!$AH$3:$AH$98,""))*($H300&lt;=工数管理!$AI$1))</f>
        <v>0</v>
      </c>
      <c r="L300" s="42">
        <f ca="1">IF(L$1="",0,COUNTIFS(工数管理!$AK$3:$AK$98,L$1,工数管理!$K$3:$K$98,"&lt;="&amp;$H300,工数管理!$L$3:$L$98,"&gt;="&amp;$H300)+COUNTIFS(工数管理!$AK$3:$AK$98,L$1,工数管理!$M$3:$M$98,"&lt;="&amp;$H300,工数管理!$N$3:$N$98,"&gt;="&amp;$H300)+COUNTIFS(工数管理!$AK$3:$AK$98,L$1,工数管理!$O$3:$O$98,"&lt;="&amp;$H300,工数管理!$P$3:$P$98,"&gt;="&amp;$H300)+COUNTIFS(工数管理!$AK$3:$AK$98,L$1,工数管理!$Q$3:$Q$98,"&lt;="&amp;$H300,工数管理!$R$3:$R$98,"&gt;="&amp;$H300)+COUNTIFS(工数管理!$AK$3:$AK$98,L$1,工数管理!$S$3:$S$98,"&lt;="&amp;$H300,工数管理!$T$3:$T$98,"&gt;="&amp;$H300)+COUNTIFS(工数管理!$AK$3:$AK$98,L$1,工数管理!$U$3:$U$98,"&lt;="&amp;$H300,工数管理!$V$3:$V$98,"&gt;="&amp;$H300)+COUNTIFS(工数管理!$AK$3:$AK$98,L$1,工数管理!$W$3:$W$98,"&lt;="&amp;$H300,工数管理!$X$3:$X$98,"&gt;="&amp;$H300)+COUNTIFS(工数管理!$AK$3:$AK$98,L$1,工数管理!$Y$3:$Y$98,"&lt;="&amp;$H300,工数管理!$Z$3:$Z$98,"&gt;="&amp;$H300)+COUNTIFS(工数管理!$AK$3:$AK$98,L$1,工数管理!$AA$3:$AA$98,"&lt;="&amp;$H300,工数管理!$AB$3:$AB$98,"&gt;="&amp;$H300)+COUNTIFS(工数管理!$AK$3:$AK$98,L$1,工数管理!$AC$3:$AC$98,"&lt;="&amp;$H300,工数管理!$AD$3:$AD$98,"&gt;="&amp;$H300)+COUNTIFS(工数管理!$AK$3:$AK$98,L$1,工数管理!$AE$3:$AE$98,"&lt;="&amp;$H300,工数管理!$AF$3:$AF$98,"&gt;="&amp;$H300)+COUNTIFS(工数管理!$AK$3:$AK$98,L$1,工数管理!$AG$3:$AG$98,"&lt;="&amp;$H300,工数管理!$AH$3:$AH$98,"&gt;="&amp;$H300)+(COUNTIFS(工数管理!$AK$3:$AK$98,L$1,工数管理!$K$3:$K$98,"&lt;="&amp;$H300,工数管理!$L$3:$L$98,"")+COUNTIFS(工数管理!$AK$3:$AK$98,L$1,工数管理!$M$3:$M$98,"&lt;="&amp;$H300,工数管理!$N$3:$N$98,"")+COUNTIFS(工数管理!$AK$3:$AK$98,L$1,工数管理!$O$3:$O$98,"&lt;="&amp;$H300,工数管理!$P$3:$P$98,"")+COUNTIFS(工数管理!$AK$3:$AK$98,L$1,工数管理!$Q$3:$Q$98,"&lt;="&amp;$H300,工数管理!$R$3:$R$98,"")+COUNTIFS(工数管理!$AK$3:$AK$98,L$1,工数管理!$S$3:$S$98,"&lt;="&amp;$H300,工数管理!$T$3:$T$98,"")+COUNTIFS(工数管理!$AK$3:$AK$98,L$1,工数管理!$U$3:$U$98,"&lt;="&amp;$H300,工数管理!$V$3:$V$98,"")+COUNTIFS(工数管理!$AK$3:$AK$98,L$1,工数管理!$W$3:$W$98,"&lt;="&amp;$H300,工数管理!$X$3:$X$98,"")+COUNTIFS(工数管理!$AK$3:$AK$98,L$1,工数管理!$Y$3:$Y$98,"&lt;="&amp;$H300,工数管理!$Z$3:$Z$98,"")+COUNTIFS(工数管理!$AK$3:$AK$98,L$1,工数管理!$AA$3:$AA$98,"&lt;="&amp;$H300,工数管理!$AB$3:$AB$98,"")+COUNTIFS(工数管理!$AK$3:$AK$98,L$1,工数管理!$AC$3:$AC$98,"&lt;="&amp;$H300,工数管理!$AD$3:$AD$98,"")+COUNTIFS(工数管理!$AK$3:$AK$98,L$1,工数管理!$AE$3:$AE$98,"&lt;="&amp;$H300,工数管理!$AF$3:$AF$98,"")+COUNTIFS(工数管理!$AK$3:$AK$98,L$1,工数管理!$AG$3:$AG$98,"&lt;="&amp;$H300,工数管理!$AH$3:$AH$98,""))*($H300&lt;=工数管理!$AI$1))</f>
        <v>0</v>
      </c>
    </row>
    <row r="301" spans="8:12" x14ac:dyDescent="0.15">
      <c r="H301" s="41">
        <f t="shared" si="9"/>
        <v>46469</v>
      </c>
      <c r="I301" s="42">
        <f t="shared" si="8"/>
        <v>1</v>
      </c>
      <c r="J301" s="42">
        <f ca="1">IF(J$1="",0,COUNTIFS(工数管理!$AK$3:$AK$98,J$1,工数管理!$K$3:$K$98,"&lt;="&amp;$H301,工数管理!$L$3:$L$98,"&gt;="&amp;$H301)+COUNTIFS(工数管理!$AK$3:$AK$98,J$1,工数管理!$M$3:$M$98,"&lt;="&amp;$H301,工数管理!$N$3:$N$98,"&gt;="&amp;$H301)+COUNTIFS(工数管理!$AK$3:$AK$98,J$1,工数管理!$O$3:$O$98,"&lt;="&amp;$H301,工数管理!$P$3:$P$98,"&gt;="&amp;$H301)+COUNTIFS(工数管理!$AK$3:$AK$98,J$1,工数管理!$Q$3:$Q$98,"&lt;="&amp;$H301,工数管理!$R$3:$R$98,"&gt;="&amp;$H301)+COUNTIFS(工数管理!$AK$3:$AK$98,J$1,工数管理!$S$3:$S$98,"&lt;="&amp;$H301,工数管理!$T$3:$T$98,"&gt;="&amp;$H301)+COUNTIFS(工数管理!$AK$3:$AK$98,J$1,工数管理!$U$3:$U$98,"&lt;="&amp;$H301,工数管理!$V$3:$V$98,"&gt;="&amp;$H301)+COUNTIFS(工数管理!$AK$3:$AK$98,J$1,工数管理!$W$3:$W$98,"&lt;="&amp;$H301,工数管理!$X$3:$X$98,"&gt;="&amp;$H301)+COUNTIFS(工数管理!$AK$3:$AK$98,J$1,工数管理!$Y$3:$Y$98,"&lt;="&amp;$H301,工数管理!$Z$3:$Z$98,"&gt;="&amp;$H301)+COUNTIFS(工数管理!$AK$3:$AK$98,J$1,工数管理!$AA$3:$AA$98,"&lt;="&amp;$H301,工数管理!$AB$3:$AB$98,"&gt;="&amp;$H301)+COUNTIFS(工数管理!$AK$3:$AK$98,J$1,工数管理!$AC$3:$AC$98,"&lt;="&amp;$H301,工数管理!$AD$3:$AD$98,"&gt;="&amp;$H301)+COUNTIFS(工数管理!$AK$3:$AK$98,J$1,工数管理!$AE$3:$AE$98,"&lt;="&amp;$H301,工数管理!$AF$3:$AF$98,"&gt;="&amp;$H301)+COUNTIFS(工数管理!$AK$3:$AK$98,J$1,工数管理!$AG$3:$AG$98,"&lt;="&amp;$H301,工数管理!$AH$3:$AH$98,"&gt;="&amp;$H301)+(COUNTIFS(工数管理!$AK$3:$AK$98,J$1,工数管理!$K$3:$K$98,"&lt;="&amp;$H301,工数管理!$L$3:$L$98,"")+COUNTIFS(工数管理!$AK$3:$AK$98,J$1,工数管理!$M$3:$M$98,"&lt;="&amp;$H301,工数管理!$N$3:$N$98,"")+COUNTIFS(工数管理!$AK$3:$AK$98,J$1,工数管理!$O$3:$O$98,"&lt;="&amp;$H301,工数管理!$P$3:$P$98,"")+COUNTIFS(工数管理!$AK$3:$AK$98,J$1,工数管理!$Q$3:$Q$98,"&lt;="&amp;$H301,工数管理!$R$3:$R$98,"")+COUNTIFS(工数管理!$AK$3:$AK$98,J$1,工数管理!$S$3:$S$98,"&lt;="&amp;$H301,工数管理!$T$3:$T$98,"")+COUNTIFS(工数管理!$AK$3:$AK$98,J$1,工数管理!$U$3:$U$98,"&lt;="&amp;$H301,工数管理!$V$3:$V$98,"")+COUNTIFS(工数管理!$AK$3:$AK$98,J$1,工数管理!$W$3:$W$98,"&lt;="&amp;$H301,工数管理!$X$3:$X$98,"")+COUNTIFS(工数管理!$AK$3:$AK$98,J$1,工数管理!$Y$3:$Y$98,"&lt;="&amp;$H301,工数管理!$Z$3:$Z$98,"")+COUNTIFS(工数管理!$AK$3:$AK$98,J$1,工数管理!$AA$3:$AA$98,"&lt;="&amp;$H301,工数管理!$AB$3:$AB$98,"")+COUNTIFS(工数管理!$AK$3:$AK$98,J$1,工数管理!$AC$3:$AC$98,"&lt;="&amp;$H301,工数管理!$AD$3:$AD$98,"")+COUNTIFS(工数管理!$AK$3:$AK$98,J$1,工数管理!$AE$3:$AE$98,"&lt;="&amp;$H301,工数管理!$AF$3:$AF$98,"")+COUNTIFS(工数管理!$AK$3:$AK$98,J$1,工数管理!$AG$3:$AG$98,"&lt;="&amp;$H301,工数管理!$AH$3:$AH$98,""))*($H301&lt;=工数管理!$AI$1))</f>
        <v>0</v>
      </c>
      <c r="K301" s="42">
        <f ca="1">IF(K$1="",0,COUNTIFS(工数管理!$AK$3:$AK$98,K$1,工数管理!$K$3:$K$98,"&lt;="&amp;$H301,工数管理!$L$3:$L$98,"&gt;="&amp;$H301)+COUNTIFS(工数管理!$AK$3:$AK$98,K$1,工数管理!$M$3:$M$98,"&lt;="&amp;$H301,工数管理!$N$3:$N$98,"&gt;="&amp;$H301)+COUNTIFS(工数管理!$AK$3:$AK$98,K$1,工数管理!$O$3:$O$98,"&lt;="&amp;$H301,工数管理!$P$3:$P$98,"&gt;="&amp;$H301)+COUNTIFS(工数管理!$AK$3:$AK$98,K$1,工数管理!$Q$3:$Q$98,"&lt;="&amp;$H301,工数管理!$R$3:$R$98,"&gt;="&amp;$H301)+COUNTIFS(工数管理!$AK$3:$AK$98,K$1,工数管理!$S$3:$S$98,"&lt;="&amp;$H301,工数管理!$T$3:$T$98,"&gt;="&amp;$H301)+COUNTIFS(工数管理!$AK$3:$AK$98,K$1,工数管理!$U$3:$U$98,"&lt;="&amp;$H301,工数管理!$V$3:$V$98,"&gt;="&amp;$H301)+COUNTIFS(工数管理!$AK$3:$AK$98,K$1,工数管理!$W$3:$W$98,"&lt;="&amp;$H301,工数管理!$X$3:$X$98,"&gt;="&amp;$H301)+COUNTIFS(工数管理!$AK$3:$AK$98,K$1,工数管理!$Y$3:$Y$98,"&lt;="&amp;$H301,工数管理!$Z$3:$Z$98,"&gt;="&amp;$H301)+COUNTIFS(工数管理!$AK$3:$AK$98,K$1,工数管理!$AA$3:$AA$98,"&lt;="&amp;$H301,工数管理!$AB$3:$AB$98,"&gt;="&amp;$H301)+COUNTIFS(工数管理!$AK$3:$AK$98,K$1,工数管理!$AC$3:$AC$98,"&lt;="&amp;$H301,工数管理!$AD$3:$AD$98,"&gt;="&amp;$H301)+COUNTIFS(工数管理!$AK$3:$AK$98,K$1,工数管理!$AE$3:$AE$98,"&lt;="&amp;$H301,工数管理!$AF$3:$AF$98,"&gt;="&amp;$H301)+COUNTIFS(工数管理!$AK$3:$AK$98,K$1,工数管理!$AG$3:$AG$98,"&lt;="&amp;$H301,工数管理!$AH$3:$AH$98,"&gt;="&amp;$H301)+(COUNTIFS(工数管理!$AK$3:$AK$98,K$1,工数管理!$K$3:$K$98,"&lt;="&amp;$H301,工数管理!$L$3:$L$98,"")+COUNTIFS(工数管理!$AK$3:$AK$98,K$1,工数管理!$M$3:$M$98,"&lt;="&amp;$H301,工数管理!$N$3:$N$98,"")+COUNTIFS(工数管理!$AK$3:$AK$98,K$1,工数管理!$O$3:$O$98,"&lt;="&amp;$H301,工数管理!$P$3:$P$98,"")+COUNTIFS(工数管理!$AK$3:$AK$98,K$1,工数管理!$Q$3:$Q$98,"&lt;="&amp;$H301,工数管理!$R$3:$R$98,"")+COUNTIFS(工数管理!$AK$3:$AK$98,K$1,工数管理!$S$3:$S$98,"&lt;="&amp;$H301,工数管理!$T$3:$T$98,"")+COUNTIFS(工数管理!$AK$3:$AK$98,K$1,工数管理!$U$3:$U$98,"&lt;="&amp;$H301,工数管理!$V$3:$V$98,"")+COUNTIFS(工数管理!$AK$3:$AK$98,K$1,工数管理!$W$3:$W$98,"&lt;="&amp;$H301,工数管理!$X$3:$X$98,"")+COUNTIFS(工数管理!$AK$3:$AK$98,K$1,工数管理!$Y$3:$Y$98,"&lt;="&amp;$H301,工数管理!$Z$3:$Z$98,"")+COUNTIFS(工数管理!$AK$3:$AK$98,K$1,工数管理!$AA$3:$AA$98,"&lt;="&amp;$H301,工数管理!$AB$3:$AB$98,"")+COUNTIFS(工数管理!$AK$3:$AK$98,K$1,工数管理!$AC$3:$AC$98,"&lt;="&amp;$H301,工数管理!$AD$3:$AD$98,"")+COUNTIFS(工数管理!$AK$3:$AK$98,K$1,工数管理!$AE$3:$AE$98,"&lt;="&amp;$H301,工数管理!$AF$3:$AF$98,"")+COUNTIFS(工数管理!$AK$3:$AK$98,K$1,工数管理!$AG$3:$AG$98,"&lt;="&amp;$H301,工数管理!$AH$3:$AH$98,""))*($H301&lt;=工数管理!$AI$1))</f>
        <v>0</v>
      </c>
      <c r="L301" s="42">
        <f ca="1">IF(L$1="",0,COUNTIFS(工数管理!$AK$3:$AK$98,L$1,工数管理!$K$3:$K$98,"&lt;="&amp;$H301,工数管理!$L$3:$L$98,"&gt;="&amp;$H301)+COUNTIFS(工数管理!$AK$3:$AK$98,L$1,工数管理!$M$3:$M$98,"&lt;="&amp;$H301,工数管理!$N$3:$N$98,"&gt;="&amp;$H301)+COUNTIFS(工数管理!$AK$3:$AK$98,L$1,工数管理!$O$3:$O$98,"&lt;="&amp;$H301,工数管理!$P$3:$P$98,"&gt;="&amp;$H301)+COUNTIFS(工数管理!$AK$3:$AK$98,L$1,工数管理!$Q$3:$Q$98,"&lt;="&amp;$H301,工数管理!$R$3:$R$98,"&gt;="&amp;$H301)+COUNTIFS(工数管理!$AK$3:$AK$98,L$1,工数管理!$S$3:$S$98,"&lt;="&amp;$H301,工数管理!$T$3:$T$98,"&gt;="&amp;$H301)+COUNTIFS(工数管理!$AK$3:$AK$98,L$1,工数管理!$U$3:$U$98,"&lt;="&amp;$H301,工数管理!$V$3:$V$98,"&gt;="&amp;$H301)+COUNTIFS(工数管理!$AK$3:$AK$98,L$1,工数管理!$W$3:$W$98,"&lt;="&amp;$H301,工数管理!$X$3:$X$98,"&gt;="&amp;$H301)+COUNTIFS(工数管理!$AK$3:$AK$98,L$1,工数管理!$Y$3:$Y$98,"&lt;="&amp;$H301,工数管理!$Z$3:$Z$98,"&gt;="&amp;$H301)+COUNTIFS(工数管理!$AK$3:$AK$98,L$1,工数管理!$AA$3:$AA$98,"&lt;="&amp;$H301,工数管理!$AB$3:$AB$98,"&gt;="&amp;$H301)+COUNTIFS(工数管理!$AK$3:$AK$98,L$1,工数管理!$AC$3:$AC$98,"&lt;="&amp;$H301,工数管理!$AD$3:$AD$98,"&gt;="&amp;$H301)+COUNTIFS(工数管理!$AK$3:$AK$98,L$1,工数管理!$AE$3:$AE$98,"&lt;="&amp;$H301,工数管理!$AF$3:$AF$98,"&gt;="&amp;$H301)+COUNTIFS(工数管理!$AK$3:$AK$98,L$1,工数管理!$AG$3:$AG$98,"&lt;="&amp;$H301,工数管理!$AH$3:$AH$98,"&gt;="&amp;$H301)+(COUNTIFS(工数管理!$AK$3:$AK$98,L$1,工数管理!$K$3:$K$98,"&lt;="&amp;$H301,工数管理!$L$3:$L$98,"")+COUNTIFS(工数管理!$AK$3:$AK$98,L$1,工数管理!$M$3:$M$98,"&lt;="&amp;$H301,工数管理!$N$3:$N$98,"")+COUNTIFS(工数管理!$AK$3:$AK$98,L$1,工数管理!$O$3:$O$98,"&lt;="&amp;$H301,工数管理!$P$3:$P$98,"")+COUNTIFS(工数管理!$AK$3:$AK$98,L$1,工数管理!$Q$3:$Q$98,"&lt;="&amp;$H301,工数管理!$R$3:$R$98,"")+COUNTIFS(工数管理!$AK$3:$AK$98,L$1,工数管理!$S$3:$S$98,"&lt;="&amp;$H301,工数管理!$T$3:$T$98,"")+COUNTIFS(工数管理!$AK$3:$AK$98,L$1,工数管理!$U$3:$U$98,"&lt;="&amp;$H301,工数管理!$V$3:$V$98,"")+COUNTIFS(工数管理!$AK$3:$AK$98,L$1,工数管理!$W$3:$W$98,"&lt;="&amp;$H301,工数管理!$X$3:$X$98,"")+COUNTIFS(工数管理!$AK$3:$AK$98,L$1,工数管理!$Y$3:$Y$98,"&lt;="&amp;$H301,工数管理!$Z$3:$Z$98,"")+COUNTIFS(工数管理!$AK$3:$AK$98,L$1,工数管理!$AA$3:$AA$98,"&lt;="&amp;$H301,工数管理!$AB$3:$AB$98,"")+COUNTIFS(工数管理!$AK$3:$AK$98,L$1,工数管理!$AC$3:$AC$98,"&lt;="&amp;$H301,工数管理!$AD$3:$AD$98,"")+COUNTIFS(工数管理!$AK$3:$AK$98,L$1,工数管理!$AE$3:$AE$98,"&lt;="&amp;$H301,工数管理!$AF$3:$AF$98,"")+COUNTIFS(工数管理!$AK$3:$AK$98,L$1,工数管理!$AG$3:$AG$98,"&lt;="&amp;$H301,工数管理!$AH$3:$AH$98,""))*($H301&lt;=工数管理!$AI$1))</f>
        <v>0</v>
      </c>
    </row>
    <row r="302" spans="8:12" x14ac:dyDescent="0.15">
      <c r="H302" s="41">
        <f t="shared" si="9"/>
        <v>46470</v>
      </c>
      <c r="I302" s="42">
        <f t="shared" si="8"/>
        <v>1</v>
      </c>
      <c r="J302" s="42">
        <f ca="1">IF(J$1="",0,COUNTIFS(工数管理!$AK$3:$AK$98,J$1,工数管理!$K$3:$K$98,"&lt;="&amp;$H302,工数管理!$L$3:$L$98,"&gt;="&amp;$H302)+COUNTIFS(工数管理!$AK$3:$AK$98,J$1,工数管理!$M$3:$M$98,"&lt;="&amp;$H302,工数管理!$N$3:$N$98,"&gt;="&amp;$H302)+COUNTIFS(工数管理!$AK$3:$AK$98,J$1,工数管理!$O$3:$O$98,"&lt;="&amp;$H302,工数管理!$P$3:$P$98,"&gt;="&amp;$H302)+COUNTIFS(工数管理!$AK$3:$AK$98,J$1,工数管理!$Q$3:$Q$98,"&lt;="&amp;$H302,工数管理!$R$3:$R$98,"&gt;="&amp;$H302)+COUNTIFS(工数管理!$AK$3:$AK$98,J$1,工数管理!$S$3:$S$98,"&lt;="&amp;$H302,工数管理!$T$3:$T$98,"&gt;="&amp;$H302)+COUNTIFS(工数管理!$AK$3:$AK$98,J$1,工数管理!$U$3:$U$98,"&lt;="&amp;$H302,工数管理!$V$3:$V$98,"&gt;="&amp;$H302)+COUNTIFS(工数管理!$AK$3:$AK$98,J$1,工数管理!$W$3:$W$98,"&lt;="&amp;$H302,工数管理!$X$3:$X$98,"&gt;="&amp;$H302)+COUNTIFS(工数管理!$AK$3:$AK$98,J$1,工数管理!$Y$3:$Y$98,"&lt;="&amp;$H302,工数管理!$Z$3:$Z$98,"&gt;="&amp;$H302)+COUNTIFS(工数管理!$AK$3:$AK$98,J$1,工数管理!$AA$3:$AA$98,"&lt;="&amp;$H302,工数管理!$AB$3:$AB$98,"&gt;="&amp;$H302)+COUNTIFS(工数管理!$AK$3:$AK$98,J$1,工数管理!$AC$3:$AC$98,"&lt;="&amp;$H302,工数管理!$AD$3:$AD$98,"&gt;="&amp;$H302)+COUNTIFS(工数管理!$AK$3:$AK$98,J$1,工数管理!$AE$3:$AE$98,"&lt;="&amp;$H302,工数管理!$AF$3:$AF$98,"&gt;="&amp;$H302)+COUNTIFS(工数管理!$AK$3:$AK$98,J$1,工数管理!$AG$3:$AG$98,"&lt;="&amp;$H302,工数管理!$AH$3:$AH$98,"&gt;="&amp;$H302)+(COUNTIFS(工数管理!$AK$3:$AK$98,J$1,工数管理!$K$3:$K$98,"&lt;="&amp;$H302,工数管理!$L$3:$L$98,"")+COUNTIFS(工数管理!$AK$3:$AK$98,J$1,工数管理!$M$3:$M$98,"&lt;="&amp;$H302,工数管理!$N$3:$N$98,"")+COUNTIFS(工数管理!$AK$3:$AK$98,J$1,工数管理!$O$3:$O$98,"&lt;="&amp;$H302,工数管理!$P$3:$P$98,"")+COUNTIFS(工数管理!$AK$3:$AK$98,J$1,工数管理!$Q$3:$Q$98,"&lt;="&amp;$H302,工数管理!$R$3:$R$98,"")+COUNTIFS(工数管理!$AK$3:$AK$98,J$1,工数管理!$S$3:$S$98,"&lt;="&amp;$H302,工数管理!$T$3:$T$98,"")+COUNTIFS(工数管理!$AK$3:$AK$98,J$1,工数管理!$U$3:$U$98,"&lt;="&amp;$H302,工数管理!$V$3:$V$98,"")+COUNTIFS(工数管理!$AK$3:$AK$98,J$1,工数管理!$W$3:$W$98,"&lt;="&amp;$H302,工数管理!$X$3:$X$98,"")+COUNTIFS(工数管理!$AK$3:$AK$98,J$1,工数管理!$Y$3:$Y$98,"&lt;="&amp;$H302,工数管理!$Z$3:$Z$98,"")+COUNTIFS(工数管理!$AK$3:$AK$98,J$1,工数管理!$AA$3:$AA$98,"&lt;="&amp;$H302,工数管理!$AB$3:$AB$98,"")+COUNTIFS(工数管理!$AK$3:$AK$98,J$1,工数管理!$AC$3:$AC$98,"&lt;="&amp;$H302,工数管理!$AD$3:$AD$98,"")+COUNTIFS(工数管理!$AK$3:$AK$98,J$1,工数管理!$AE$3:$AE$98,"&lt;="&amp;$H302,工数管理!$AF$3:$AF$98,"")+COUNTIFS(工数管理!$AK$3:$AK$98,J$1,工数管理!$AG$3:$AG$98,"&lt;="&amp;$H302,工数管理!$AH$3:$AH$98,""))*($H302&lt;=工数管理!$AI$1))</f>
        <v>0</v>
      </c>
      <c r="K302" s="42">
        <f ca="1">IF(K$1="",0,COUNTIFS(工数管理!$AK$3:$AK$98,K$1,工数管理!$K$3:$K$98,"&lt;="&amp;$H302,工数管理!$L$3:$L$98,"&gt;="&amp;$H302)+COUNTIFS(工数管理!$AK$3:$AK$98,K$1,工数管理!$M$3:$M$98,"&lt;="&amp;$H302,工数管理!$N$3:$N$98,"&gt;="&amp;$H302)+COUNTIFS(工数管理!$AK$3:$AK$98,K$1,工数管理!$O$3:$O$98,"&lt;="&amp;$H302,工数管理!$P$3:$P$98,"&gt;="&amp;$H302)+COUNTIFS(工数管理!$AK$3:$AK$98,K$1,工数管理!$Q$3:$Q$98,"&lt;="&amp;$H302,工数管理!$R$3:$R$98,"&gt;="&amp;$H302)+COUNTIFS(工数管理!$AK$3:$AK$98,K$1,工数管理!$S$3:$S$98,"&lt;="&amp;$H302,工数管理!$T$3:$T$98,"&gt;="&amp;$H302)+COUNTIFS(工数管理!$AK$3:$AK$98,K$1,工数管理!$U$3:$U$98,"&lt;="&amp;$H302,工数管理!$V$3:$V$98,"&gt;="&amp;$H302)+COUNTIFS(工数管理!$AK$3:$AK$98,K$1,工数管理!$W$3:$W$98,"&lt;="&amp;$H302,工数管理!$X$3:$X$98,"&gt;="&amp;$H302)+COUNTIFS(工数管理!$AK$3:$AK$98,K$1,工数管理!$Y$3:$Y$98,"&lt;="&amp;$H302,工数管理!$Z$3:$Z$98,"&gt;="&amp;$H302)+COUNTIFS(工数管理!$AK$3:$AK$98,K$1,工数管理!$AA$3:$AA$98,"&lt;="&amp;$H302,工数管理!$AB$3:$AB$98,"&gt;="&amp;$H302)+COUNTIFS(工数管理!$AK$3:$AK$98,K$1,工数管理!$AC$3:$AC$98,"&lt;="&amp;$H302,工数管理!$AD$3:$AD$98,"&gt;="&amp;$H302)+COUNTIFS(工数管理!$AK$3:$AK$98,K$1,工数管理!$AE$3:$AE$98,"&lt;="&amp;$H302,工数管理!$AF$3:$AF$98,"&gt;="&amp;$H302)+COUNTIFS(工数管理!$AK$3:$AK$98,K$1,工数管理!$AG$3:$AG$98,"&lt;="&amp;$H302,工数管理!$AH$3:$AH$98,"&gt;="&amp;$H302)+(COUNTIFS(工数管理!$AK$3:$AK$98,K$1,工数管理!$K$3:$K$98,"&lt;="&amp;$H302,工数管理!$L$3:$L$98,"")+COUNTIFS(工数管理!$AK$3:$AK$98,K$1,工数管理!$M$3:$M$98,"&lt;="&amp;$H302,工数管理!$N$3:$N$98,"")+COUNTIFS(工数管理!$AK$3:$AK$98,K$1,工数管理!$O$3:$O$98,"&lt;="&amp;$H302,工数管理!$P$3:$P$98,"")+COUNTIFS(工数管理!$AK$3:$AK$98,K$1,工数管理!$Q$3:$Q$98,"&lt;="&amp;$H302,工数管理!$R$3:$R$98,"")+COUNTIFS(工数管理!$AK$3:$AK$98,K$1,工数管理!$S$3:$S$98,"&lt;="&amp;$H302,工数管理!$T$3:$T$98,"")+COUNTIFS(工数管理!$AK$3:$AK$98,K$1,工数管理!$U$3:$U$98,"&lt;="&amp;$H302,工数管理!$V$3:$V$98,"")+COUNTIFS(工数管理!$AK$3:$AK$98,K$1,工数管理!$W$3:$W$98,"&lt;="&amp;$H302,工数管理!$X$3:$X$98,"")+COUNTIFS(工数管理!$AK$3:$AK$98,K$1,工数管理!$Y$3:$Y$98,"&lt;="&amp;$H302,工数管理!$Z$3:$Z$98,"")+COUNTIFS(工数管理!$AK$3:$AK$98,K$1,工数管理!$AA$3:$AA$98,"&lt;="&amp;$H302,工数管理!$AB$3:$AB$98,"")+COUNTIFS(工数管理!$AK$3:$AK$98,K$1,工数管理!$AC$3:$AC$98,"&lt;="&amp;$H302,工数管理!$AD$3:$AD$98,"")+COUNTIFS(工数管理!$AK$3:$AK$98,K$1,工数管理!$AE$3:$AE$98,"&lt;="&amp;$H302,工数管理!$AF$3:$AF$98,"")+COUNTIFS(工数管理!$AK$3:$AK$98,K$1,工数管理!$AG$3:$AG$98,"&lt;="&amp;$H302,工数管理!$AH$3:$AH$98,""))*($H302&lt;=工数管理!$AI$1))</f>
        <v>0</v>
      </c>
      <c r="L302" s="42">
        <f ca="1">IF(L$1="",0,COUNTIFS(工数管理!$AK$3:$AK$98,L$1,工数管理!$K$3:$K$98,"&lt;="&amp;$H302,工数管理!$L$3:$L$98,"&gt;="&amp;$H302)+COUNTIFS(工数管理!$AK$3:$AK$98,L$1,工数管理!$M$3:$M$98,"&lt;="&amp;$H302,工数管理!$N$3:$N$98,"&gt;="&amp;$H302)+COUNTIFS(工数管理!$AK$3:$AK$98,L$1,工数管理!$O$3:$O$98,"&lt;="&amp;$H302,工数管理!$P$3:$P$98,"&gt;="&amp;$H302)+COUNTIFS(工数管理!$AK$3:$AK$98,L$1,工数管理!$Q$3:$Q$98,"&lt;="&amp;$H302,工数管理!$R$3:$R$98,"&gt;="&amp;$H302)+COUNTIFS(工数管理!$AK$3:$AK$98,L$1,工数管理!$S$3:$S$98,"&lt;="&amp;$H302,工数管理!$T$3:$T$98,"&gt;="&amp;$H302)+COUNTIFS(工数管理!$AK$3:$AK$98,L$1,工数管理!$U$3:$U$98,"&lt;="&amp;$H302,工数管理!$V$3:$V$98,"&gt;="&amp;$H302)+COUNTIFS(工数管理!$AK$3:$AK$98,L$1,工数管理!$W$3:$W$98,"&lt;="&amp;$H302,工数管理!$X$3:$X$98,"&gt;="&amp;$H302)+COUNTIFS(工数管理!$AK$3:$AK$98,L$1,工数管理!$Y$3:$Y$98,"&lt;="&amp;$H302,工数管理!$Z$3:$Z$98,"&gt;="&amp;$H302)+COUNTIFS(工数管理!$AK$3:$AK$98,L$1,工数管理!$AA$3:$AA$98,"&lt;="&amp;$H302,工数管理!$AB$3:$AB$98,"&gt;="&amp;$H302)+COUNTIFS(工数管理!$AK$3:$AK$98,L$1,工数管理!$AC$3:$AC$98,"&lt;="&amp;$H302,工数管理!$AD$3:$AD$98,"&gt;="&amp;$H302)+COUNTIFS(工数管理!$AK$3:$AK$98,L$1,工数管理!$AE$3:$AE$98,"&lt;="&amp;$H302,工数管理!$AF$3:$AF$98,"&gt;="&amp;$H302)+COUNTIFS(工数管理!$AK$3:$AK$98,L$1,工数管理!$AG$3:$AG$98,"&lt;="&amp;$H302,工数管理!$AH$3:$AH$98,"&gt;="&amp;$H302)+(COUNTIFS(工数管理!$AK$3:$AK$98,L$1,工数管理!$K$3:$K$98,"&lt;="&amp;$H302,工数管理!$L$3:$L$98,"")+COUNTIFS(工数管理!$AK$3:$AK$98,L$1,工数管理!$M$3:$M$98,"&lt;="&amp;$H302,工数管理!$N$3:$N$98,"")+COUNTIFS(工数管理!$AK$3:$AK$98,L$1,工数管理!$O$3:$O$98,"&lt;="&amp;$H302,工数管理!$P$3:$P$98,"")+COUNTIFS(工数管理!$AK$3:$AK$98,L$1,工数管理!$Q$3:$Q$98,"&lt;="&amp;$H302,工数管理!$R$3:$R$98,"")+COUNTIFS(工数管理!$AK$3:$AK$98,L$1,工数管理!$S$3:$S$98,"&lt;="&amp;$H302,工数管理!$T$3:$T$98,"")+COUNTIFS(工数管理!$AK$3:$AK$98,L$1,工数管理!$U$3:$U$98,"&lt;="&amp;$H302,工数管理!$V$3:$V$98,"")+COUNTIFS(工数管理!$AK$3:$AK$98,L$1,工数管理!$W$3:$W$98,"&lt;="&amp;$H302,工数管理!$X$3:$X$98,"")+COUNTIFS(工数管理!$AK$3:$AK$98,L$1,工数管理!$Y$3:$Y$98,"&lt;="&amp;$H302,工数管理!$Z$3:$Z$98,"")+COUNTIFS(工数管理!$AK$3:$AK$98,L$1,工数管理!$AA$3:$AA$98,"&lt;="&amp;$H302,工数管理!$AB$3:$AB$98,"")+COUNTIFS(工数管理!$AK$3:$AK$98,L$1,工数管理!$AC$3:$AC$98,"&lt;="&amp;$H302,工数管理!$AD$3:$AD$98,"")+COUNTIFS(工数管理!$AK$3:$AK$98,L$1,工数管理!$AE$3:$AE$98,"&lt;="&amp;$H302,工数管理!$AF$3:$AF$98,"")+COUNTIFS(工数管理!$AK$3:$AK$98,L$1,工数管理!$AG$3:$AG$98,"&lt;="&amp;$H302,工数管理!$AH$3:$AH$98,""))*($H302&lt;=工数管理!$AI$1))</f>
        <v>0</v>
      </c>
    </row>
    <row r="303" spans="8:12" x14ac:dyDescent="0.15">
      <c r="H303" s="41">
        <f t="shared" si="9"/>
        <v>46471</v>
      </c>
      <c r="I303" s="42">
        <f t="shared" si="8"/>
        <v>1</v>
      </c>
      <c r="J303" s="42">
        <f ca="1">IF(J$1="",0,COUNTIFS(工数管理!$AK$3:$AK$98,J$1,工数管理!$K$3:$K$98,"&lt;="&amp;$H303,工数管理!$L$3:$L$98,"&gt;="&amp;$H303)+COUNTIFS(工数管理!$AK$3:$AK$98,J$1,工数管理!$M$3:$M$98,"&lt;="&amp;$H303,工数管理!$N$3:$N$98,"&gt;="&amp;$H303)+COUNTIFS(工数管理!$AK$3:$AK$98,J$1,工数管理!$O$3:$O$98,"&lt;="&amp;$H303,工数管理!$P$3:$P$98,"&gt;="&amp;$H303)+COUNTIFS(工数管理!$AK$3:$AK$98,J$1,工数管理!$Q$3:$Q$98,"&lt;="&amp;$H303,工数管理!$R$3:$R$98,"&gt;="&amp;$H303)+COUNTIFS(工数管理!$AK$3:$AK$98,J$1,工数管理!$S$3:$S$98,"&lt;="&amp;$H303,工数管理!$T$3:$T$98,"&gt;="&amp;$H303)+COUNTIFS(工数管理!$AK$3:$AK$98,J$1,工数管理!$U$3:$U$98,"&lt;="&amp;$H303,工数管理!$V$3:$V$98,"&gt;="&amp;$H303)+COUNTIFS(工数管理!$AK$3:$AK$98,J$1,工数管理!$W$3:$W$98,"&lt;="&amp;$H303,工数管理!$X$3:$X$98,"&gt;="&amp;$H303)+COUNTIFS(工数管理!$AK$3:$AK$98,J$1,工数管理!$Y$3:$Y$98,"&lt;="&amp;$H303,工数管理!$Z$3:$Z$98,"&gt;="&amp;$H303)+COUNTIFS(工数管理!$AK$3:$AK$98,J$1,工数管理!$AA$3:$AA$98,"&lt;="&amp;$H303,工数管理!$AB$3:$AB$98,"&gt;="&amp;$H303)+COUNTIFS(工数管理!$AK$3:$AK$98,J$1,工数管理!$AC$3:$AC$98,"&lt;="&amp;$H303,工数管理!$AD$3:$AD$98,"&gt;="&amp;$H303)+COUNTIFS(工数管理!$AK$3:$AK$98,J$1,工数管理!$AE$3:$AE$98,"&lt;="&amp;$H303,工数管理!$AF$3:$AF$98,"&gt;="&amp;$H303)+COUNTIFS(工数管理!$AK$3:$AK$98,J$1,工数管理!$AG$3:$AG$98,"&lt;="&amp;$H303,工数管理!$AH$3:$AH$98,"&gt;="&amp;$H303)+(COUNTIFS(工数管理!$AK$3:$AK$98,J$1,工数管理!$K$3:$K$98,"&lt;="&amp;$H303,工数管理!$L$3:$L$98,"")+COUNTIFS(工数管理!$AK$3:$AK$98,J$1,工数管理!$M$3:$M$98,"&lt;="&amp;$H303,工数管理!$N$3:$N$98,"")+COUNTIFS(工数管理!$AK$3:$AK$98,J$1,工数管理!$O$3:$O$98,"&lt;="&amp;$H303,工数管理!$P$3:$P$98,"")+COUNTIFS(工数管理!$AK$3:$AK$98,J$1,工数管理!$Q$3:$Q$98,"&lt;="&amp;$H303,工数管理!$R$3:$R$98,"")+COUNTIFS(工数管理!$AK$3:$AK$98,J$1,工数管理!$S$3:$S$98,"&lt;="&amp;$H303,工数管理!$T$3:$T$98,"")+COUNTIFS(工数管理!$AK$3:$AK$98,J$1,工数管理!$U$3:$U$98,"&lt;="&amp;$H303,工数管理!$V$3:$V$98,"")+COUNTIFS(工数管理!$AK$3:$AK$98,J$1,工数管理!$W$3:$W$98,"&lt;="&amp;$H303,工数管理!$X$3:$X$98,"")+COUNTIFS(工数管理!$AK$3:$AK$98,J$1,工数管理!$Y$3:$Y$98,"&lt;="&amp;$H303,工数管理!$Z$3:$Z$98,"")+COUNTIFS(工数管理!$AK$3:$AK$98,J$1,工数管理!$AA$3:$AA$98,"&lt;="&amp;$H303,工数管理!$AB$3:$AB$98,"")+COUNTIFS(工数管理!$AK$3:$AK$98,J$1,工数管理!$AC$3:$AC$98,"&lt;="&amp;$H303,工数管理!$AD$3:$AD$98,"")+COUNTIFS(工数管理!$AK$3:$AK$98,J$1,工数管理!$AE$3:$AE$98,"&lt;="&amp;$H303,工数管理!$AF$3:$AF$98,"")+COUNTIFS(工数管理!$AK$3:$AK$98,J$1,工数管理!$AG$3:$AG$98,"&lt;="&amp;$H303,工数管理!$AH$3:$AH$98,""))*($H303&lt;=工数管理!$AI$1))</f>
        <v>0</v>
      </c>
      <c r="K303" s="42">
        <f ca="1">IF(K$1="",0,COUNTIFS(工数管理!$AK$3:$AK$98,K$1,工数管理!$K$3:$K$98,"&lt;="&amp;$H303,工数管理!$L$3:$L$98,"&gt;="&amp;$H303)+COUNTIFS(工数管理!$AK$3:$AK$98,K$1,工数管理!$M$3:$M$98,"&lt;="&amp;$H303,工数管理!$N$3:$N$98,"&gt;="&amp;$H303)+COUNTIFS(工数管理!$AK$3:$AK$98,K$1,工数管理!$O$3:$O$98,"&lt;="&amp;$H303,工数管理!$P$3:$P$98,"&gt;="&amp;$H303)+COUNTIFS(工数管理!$AK$3:$AK$98,K$1,工数管理!$Q$3:$Q$98,"&lt;="&amp;$H303,工数管理!$R$3:$R$98,"&gt;="&amp;$H303)+COUNTIFS(工数管理!$AK$3:$AK$98,K$1,工数管理!$S$3:$S$98,"&lt;="&amp;$H303,工数管理!$T$3:$T$98,"&gt;="&amp;$H303)+COUNTIFS(工数管理!$AK$3:$AK$98,K$1,工数管理!$U$3:$U$98,"&lt;="&amp;$H303,工数管理!$V$3:$V$98,"&gt;="&amp;$H303)+COUNTIFS(工数管理!$AK$3:$AK$98,K$1,工数管理!$W$3:$W$98,"&lt;="&amp;$H303,工数管理!$X$3:$X$98,"&gt;="&amp;$H303)+COUNTIFS(工数管理!$AK$3:$AK$98,K$1,工数管理!$Y$3:$Y$98,"&lt;="&amp;$H303,工数管理!$Z$3:$Z$98,"&gt;="&amp;$H303)+COUNTIFS(工数管理!$AK$3:$AK$98,K$1,工数管理!$AA$3:$AA$98,"&lt;="&amp;$H303,工数管理!$AB$3:$AB$98,"&gt;="&amp;$H303)+COUNTIFS(工数管理!$AK$3:$AK$98,K$1,工数管理!$AC$3:$AC$98,"&lt;="&amp;$H303,工数管理!$AD$3:$AD$98,"&gt;="&amp;$H303)+COUNTIFS(工数管理!$AK$3:$AK$98,K$1,工数管理!$AE$3:$AE$98,"&lt;="&amp;$H303,工数管理!$AF$3:$AF$98,"&gt;="&amp;$H303)+COUNTIFS(工数管理!$AK$3:$AK$98,K$1,工数管理!$AG$3:$AG$98,"&lt;="&amp;$H303,工数管理!$AH$3:$AH$98,"&gt;="&amp;$H303)+(COUNTIFS(工数管理!$AK$3:$AK$98,K$1,工数管理!$K$3:$K$98,"&lt;="&amp;$H303,工数管理!$L$3:$L$98,"")+COUNTIFS(工数管理!$AK$3:$AK$98,K$1,工数管理!$M$3:$M$98,"&lt;="&amp;$H303,工数管理!$N$3:$N$98,"")+COUNTIFS(工数管理!$AK$3:$AK$98,K$1,工数管理!$O$3:$O$98,"&lt;="&amp;$H303,工数管理!$P$3:$P$98,"")+COUNTIFS(工数管理!$AK$3:$AK$98,K$1,工数管理!$Q$3:$Q$98,"&lt;="&amp;$H303,工数管理!$R$3:$R$98,"")+COUNTIFS(工数管理!$AK$3:$AK$98,K$1,工数管理!$S$3:$S$98,"&lt;="&amp;$H303,工数管理!$T$3:$T$98,"")+COUNTIFS(工数管理!$AK$3:$AK$98,K$1,工数管理!$U$3:$U$98,"&lt;="&amp;$H303,工数管理!$V$3:$V$98,"")+COUNTIFS(工数管理!$AK$3:$AK$98,K$1,工数管理!$W$3:$W$98,"&lt;="&amp;$H303,工数管理!$X$3:$X$98,"")+COUNTIFS(工数管理!$AK$3:$AK$98,K$1,工数管理!$Y$3:$Y$98,"&lt;="&amp;$H303,工数管理!$Z$3:$Z$98,"")+COUNTIFS(工数管理!$AK$3:$AK$98,K$1,工数管理!$AA$3:$AA$98,"&lt;="&amp;$H303,工数管理!$AB$3:$AB$98,"")+COUNTIFS(工数管理!$AK$3:$AK$98,K$1,工数管理!$AC$3:$AC$98,"&lt;="&amp;$H303,工数管理!$AD$3:$AD$98,"")+COUNTIFS(工数管理!$AK$3:$AK$98,K$1,工数管理!$AE$3:$AE$98,"&lt;="&amp;$H303,工数管理!$AF$3:$AF$98,"")+COUNTIFS(工数管理!$AK$3:$AK$98,K$1,工数管理!$AG$3:$AG$98,"&lt;="&amp;$H303,工数管理!$AH$3:$AH$98,""))*($H303&lt;=工数管理!$AI$1))</f>
        <v>0</v>
      </c>
      <c r="L303" s="42">
        <f ca="1">IF(L$1="",0,COUNTIFS(工数管理!$AK$3:$AK$98,L$1,工数管理!$K$3:$K$98,"&lt;="&amp;$H303,工数管理!$L$3:$L$98,"&gt;="&amp;$H303)+COUNTIFS(工数管理!$AK$3:$AK$98,L$1,工数管理!$M$3:$M$98,"&lt;="&amp;$H303,工数管理!$N$3:$N$98,"&gt;="&amp;$H303)+COUNTIFS(工数管理!$AK$3:$AK$98,L$1,工数管理!$O$3:$O$98,"&lt;="&amp;$H303,工数管理!$P$3:$P$98,"&gt;="&amp;$H303)+COUNTIFS(工数管理!$AK$3:$AK$98,L$1,工数管理!$Q$3:$Q$98,"&lt;="&amp;$H303,工数管理!$R$3:$R$98,"&gt;="&amp;$H303)+COUNTIFS(工数管理!$AK$3:$AK$98,L$1,工数管理!$S$3:$S$98,"&lt;="&amp;$H303,工数管理!$T$3:$T$98,"&gt;="&amp;$H303)+COUNTIFS(工数管理!$AK$3:$AK$98,L$1,工数管理!$U$3:$U$98,"&lt;="&amp;$H303,工数管理!$V$3:$V$98,"&gt;="&amp;$H303)+COUNTIFS(工数管理!$AK$3:$AK$98,L$1,工数管理!$W$3:$W$98,"&lt;="&amp;$H303,工数管理!$X$3:$X$98,"&gt;="&amp;$H303)+COUNTIFS(工数管理!$AK$3:$AK$98,L$1,工数管理!$Y$3:$Y$98,"&lt;="&amp;$H303,工数管理!$Z$3:$Z$98,"&gt;="&amp;$H303)+COUNTIFS(工数管理!$AK$3:$AK$98,L$1,工数管理!$AA$3:$AA$98,"&lt;="&amp;$H303,工数管理!$AB$3:$AB$98,"&gt;="&amp;$H303)+COUNTIFS(工数管理!$AK$3:$AK$98,L$1,工数管理!$AC$3:$AC$98,"&lt;="&amp;$H303,工数管理!$AD$3:$AD$98,"&gt;="&amp;$H303)+COUNTIFS(工数管理!$AK$3:$AK$98,L$1,工数管理!$AE$3:$AE$98,"&lt;="&amp;$H303,工数管理!$AF$3:$AF$98,"&gt;="&amp;$H303)+COUNTIFS(工数管理!$AK$3:$AK$98,L$1,工数管理!$AG$3:$AG$98,"&lt;="&amp;$H303,工数管理!$AH$3:$AH$98,"&gt;="&amp;$H303)+(COUNTIFS(工数管理!$AK$3:$AK$98,L$1,工数管理!$K$3:$K$98,"&lt;="&amp;$H303,工数管理!$L$3:$L$98,"")+COUNTIFS(工数管理!$AK$3:$AK$98,L$1,工数管理!$M$3:$M$98,"&lt;="&amp;$H303,工数管理!$N$3:$N$98,"")+COUNTIFS(工数管理!$AK$3:$AK$98,L$1,工数管理!$O$3:$O$98,"&lt;="&amp;$H303,工数管理!$P$3:$P$98,"")+COUNTIFS(工数管理!$AK$3:$AK$98,L$1,工数管理!$Q$3:$Q$98,"&lt;="&amp;$H303,工数管理!$R$3:$R$98,"")+COUNTIFS(工数管理!$AK$3:$AK$98,L$1,工数管理!$S$3:$S$98,"&lt;="&amp;$H303,工数管理!$T$3:$T$98,"")+COUNTIFS(工数管理!$AK$3:$AK$98,L$1,工数管理!$U$3:$U$98,"&lt;="&amp;$H303,工数管理!$V$3:$V$98,"")+COUNTIFS(工数管理!$AK$3:$AK$98,L$1,工数管理!$W$3:$W$98,"&lt;="&amp;$H303,工数管理!$X$3:$X$98,"")+COUNTIFS(工数管理!$AK$3:$AK$98,L$1,工数管理!$Y$3:$Y$98,"&lt;="&amp;$H303,工数管理!$Z$3:$Z$98,"")+COUNTIFS(工数管理!$AK$3:$AK$98,L$1,工数管理!$AA$3:$AA$98,"&lt;="&amp;$H303,工数管理!$AB$3:$AB$98,"")+COUNTIFS(工数管理!$AK$3:$AK$98,L$1,工数管理!$AC$3:$AC$98,"&lt;="&amp;$H303,工数管理!$AD$3:$AD$98,"")+COUNTIFS(工数管理!$AK$3:$AK$98,L$1,工数管理!$AE$3:$AE$98,"&lt;="&amp;$H303,工数管理!$AF$3:$AF$98,"")+COUNTIFS(工数管理!$AK$3:$AK$98,L$1,工数管理!$AG$3:$AG$98,"&lt;="&amp;$H303,工数管理!$AH$3:$AH$98,""))*($H303&lt;=工数管理!$AI$1))</f>
        <v>0</v>
      </c>
    </row>
    <row r="304" spans="8:12" x14ac:dyDescent="0.15">
      <c r="H304" s="41">
        <f t="shared" si="9"/>
        <v>46472</v>
      </c>
      <c r="I304" s="42">
        <f t="shared" si="8"/>
        <v>1</v>
      </c>
      <c r="J304" s="42">
        <f ca="1">IF(J$1="",0,COUNTIFS(工数管理!$AK$3:$AK$98,J$1,工数管理!$K$3:$K$98,"&lt;="&amp;$H304,工数管理!$L$3:$L$98,"&gt;="&amp;$H304)+COUNTIFS(工数管理!$AK$3:$AK$98,J$1,工数管理!$M$3:$M$98,"&lt;="&amp;$H304,工数管理!$N$3:$N$98,"&gt;="&amp;$H304)+COUNTIFS(工数管理!$AK$3:$AK$98,J$1,工数管理!$O$3:$O$98,"&lt;="&amp;$H304,工数管理!$P$3:$P$98,"&gt;="&amp;$H304)+COUNTIFS(工数管理!$AK$3:$AK$98,J$1,工数管理!$Q$3:$Q$98,"&lt;="&amp;$H304,工数管理!$R$3:$R$98,"&gt;="&amp;$H304)+COUNTIFS(工数管理!$AK$3:$AK$98,J$1,工数管理!$S$3:$S$98,"&lt;="&amp;$H304,工数管理!$T$3:$T$98,"&gt;="&amp;$H304)+COUNTIFS(工数管理!$AK$3:$AK$98,J$1,工数管理!$U$3:$U$98,"&lt;="&amp;$H304,工数管理!$V$3:$V$98,"&gt;="&amp;$H304)+COUNTIFS(工数管理!$AK$3:$AK$98,J$1,工数管理!$W$3:$W$98,"&lt;="&amp;$H304,工数管理!$X$3:$X$98,"&gt;="&amp;$H304)+COUNTIFS(工数管理!$AK$3:$AK$98,J$1,工数管理!$Y$3:$Y$98,"&lt;="&amp;$H304,工数管理!$Z$3:$Z$98,"&gt;="&amp;$H304)+COUNTIFS(工数管理!$AK$3:$AK$98,J$1,工数管理!$AA$3:$AA$98,"&lt;="&amp;$H304,工数管理!$AB$3:$AB$98,"&gt;="&amp;$H304)+COUNTIFS(工数管理!$AK$3:$AK$98,J$1,工数管理!$AC$3:$AC$98,"&lt;="&amp;$H304,工数管理!$AD$3:$AD$98,"&gt;="&amp;$H304)+COUNTIFS(工数管理!$AK$3:$AK$98,J$1,工数管理!$AE$3:$AE$98,"&lt;="&amp;$H304,工数管理!$AF$3:$AF$98,"&gt;="&amp;$H304)+COUNTIFS(工数管理!$AK$3:$AK$98,J$1,工数管理!$AG$3:$AG$98,"&lt;="&amp;$H304,工数管理!$AH$3:$AH$98,"&gt;="&amp;$H304)+(COUNTIFS(工数管理!$AK$3:$AK$98,J$1,工数管理!$K$3:$K$98,"&lt;="&amp;$H304,工数管理!$L$3:$L$98,"")+COUNTIFS(工数管理!$AK$3:$AK$98,J$1,工数管理!$M$3:$M$98,"&lt;="&amp;$H304,工数管理!$N$3:$N$98,"")+COUNTIFS(工数管理!$AK$3:$AK$98,J$1,工数管理!$O$3:$O$98,"&lt;="&amp;$H304,工数管理!$P$3:$P$98,"")+COUNTIFS(工数管理!$AK$3:$AK$98,J$1,工数管理!$Q$3:$Q$98,"&lt;="&amp;$H304,工数管理!$R$3:$R$98,"")+COUNTIFS(工数管理!$AK$3:$AK$98,J$1,工数管理!$S$3:$S$98,"&lt;="&amp;$H304,工数管理!$T$3:$T$98,"")+COUNTIFS(工数管理!$AK$3:$AK$98,J$1,工数管理!$U$3:$U$98,"&lt;="&amp;$H304,工数管理!$V$3:$V$98,"")+COUNTIFS(工数管理!$AK$3:$AK$98,J$1,工数管理!$W$3:$W$98,"&lt;="&amp;$H304,工数管理!$X$3:$X$98,"")+COUNTIFS(工数管理!$AK$3:$AK$98,J$1,工数管理!$Y$3:$Y$98,"&lt;="&amp;$H304,工数管理!$Z$3:$Z$98,"")+COUNTIFS(工数管理!$AK$3:$AK$98,J$1,工数管理!$AA$3:$AA$98,"&lt;="&amp;$H304,工数管理!$AB$3:$AB$98,"")+COUNTIFS(工数管理!$AK$3:$AK$98,J$1,工数管理!$AC$3:$AC$98,"&lt;="&amp;$H304,工数管理!$AD$3:$AD$98,"")+COUNTIFS(工数管理!$AK$3:$AK$98,J$1,工数管理!$AE$3:$AE$98,"&lt;="&amp;$H304,工数管理!$AF$3:$AF$98,"")+COUNTIFS(工数管理!$AK$3:$AK$98,J$1,工数管理!$AG$3:$AG$98,"&lt;="&amp;$H304,工数管理!$AH$3:$AH$98,""))*($H304&lt;=工数管理!$AI$1))</f>
        <v>0</v>
      </c>
      <c r="K304" s="42">
        <f ca="1">IF(K$1="",0,COUNTIFS(工数管理!$AK$3:$AK$98,K$1,工数管理!$K$3:$K$98,"&lt;="&amp;$H304,工数管理!$L$3:$L$98,"&gt;="&amp;$H304)+COUNTIFS(工数管理!$AK$3:$AK$98,K$1,工数管理!$M$3:$M$98,"&lt;="&amp;$H304,工数管理!$N$3:$N$98,"&gt;="&amp;$H304)+COUNTIFS(工数管理!$AK$3:$AK$98,K$1,工数管理!$O$3:$O$98,"&lt;="&amp;$H304,工数管理!$P$3:$P$98,"&gt;="&amp;$H304)+COUNTIFS(工数管理!$AK$3:$AK$98,K$1,工数管理!$Q$3:$Q$98,"&lt;="&amp;$H304,工数管理!$R$3:$R$98,"&gt;="&amp;$H304)+COUNTIFS(工数管理!$AK$3:$AK$98,K$1,工数管理!$S$3:$S$98,"&lt;="&amp;$H304,工数管理!$T$3:$T$98,"&gt;="&amp;$H304)+COUNTIFS(工数管理!$AK$3:$AK$98,K$1,工数管理!$U$3:$U$98,"&lt;="&amp;$H304,工数管理!$V$3:$V$98,"&gt;="&amp;$H304)+COUNTIFS(工数管理!$AK$3:$AK$98,K$1,工数管理!$W$3:$W$98,"&lt;="&amp;$H304,工数管理!$X$3:$X$98,"&gt;="&amp;$H304)+COUNTIFS(工数管理!$AK$3:$AK$98,K$1,工数管理!$Y$3:$Y$98,"&lt;="&amp;$H304,工数管理!$Z$3:$Z$98,"&gt;="&amp;$H304)+COUNTIFS(工数管理!$AK$3:$AK$98,K$1,工数管理!$AA$3:$AA$98,"&lt;="&amp;$H304,工数管理!$AB$3:$AB$98,"&gt;="&amp;$H304)+COUNTIFS(工数管理!$AK$3:$AK$98,K$1,工数管理!$AC$3:$AC$98,"&lt;="&amp;$H304,工数管理!$AD$3:$AD$98,"&gt;="&amp;$H304)+COUNTIFS(工数管理!$AK$3:$AK$98,K$1,工数管理!$AE$3:$AE$98,"&lt;="&amp;$H304,工数管理!$AF$3:$AF$98,"&gt;="&amp;$H304)+COUNTIFS(工数管理!$AK$3:$AK$98,K$1,工数管理!$AG$3:$AG$98,"&lt;="&amp;$H304,工数管理!$AH$3:$AH$98,"&gt;="&amp;$H304)+(COUNTIFS(工数管理!$AK$3:$AK$98,K$1,工数管理!$K$3:$K$98,"&lt;="&amp;$H304,工数管理!$L$3:$L$98,"")+COUNTIFS(工数管理!$AK$3:$AK$98,K$1,工数管理!$M$3:$M$98,"&lt;="&amp;$H304,工数管理!$N$3:$N$98,"")+COUNTIFS(工数管理!$AK$3:$AK$98,K$1,工数管理!$O$3:$O$98,"&lt;="&amp;$H304,工数管理!$P$3:$P$98,"")+COUNTIFS(工数管理!$AK$3:$AK$98,K$1,工数管理!$Q$3:$Q$98,"&lt;="&amp;$H304,工数管理!$R$3:$R$98,"")+COUNTIFS(工数管理!$AK$3:$AK$98,K$1,工数管理!$S$3:$S$98,"&lt;="&amp;$H304,工数管理!$T$3:$T$98,"")+COUNTIFS(工数管理!$AK$3:$AK$98,K$1,工数管理!$U$3:$U$98,"&lt;="&amp;$H304,工数管理!$V$3:$V$98,"")+COUNTIFS(工数管理!$AK$3:$AK$98,K$1,工数管理!$W$3:$W$98,"&lt;="&amp;$H304,工数管理!$X$3:$X$98,"")+COUNTIFS(工数管理!$AK$3:$AK$98,K$1,工数管理!$Y$3:$Y$98,"&lt;="&amp;$H304,工数管理!$Z$3:$Z$98,"")+COUNTIFS(工数管理!$AK$3:$AK$98,K$1,工数管理!$AA$3:$AA$98,"&lt;="&amp;$H304,工数管理!$AB$3:$AB$98,"")+COUNTIFS(工数管理!$AK$3:$AK$98,K$1,工数管理!$AC$3:$AC$98,"&lt;="&amp;$H304,工数管理!$AD$3:$AD$98,"")+COUNTIFS(工数管理!$AK$3:$AK$98,K$1,工数管理!$AE$3:$AE$98,"&lt;="&amp;$H304,工数管理!$AF$3:$AF$98,"")+COUNTIFS(工数管理!$AK$3:$AK$98,K$1,工数管理!$AG$3:$AG$98,"&lt;="&amp;$H304,工数管理!$AH$3:$AH$98,""))*($H304&lt;=工数管理!$AI$1))</f>
        <v>0</v>
      </c>
      <c r="L304" s="42">
        <f ca="1">IF(L$1="",0,COUNTIFS(工数管理!$AK$3:$AK$98,L$1,工数管理!$K$3:$K$98,"&lt;="&amp;$H304,工数管理!$L$3:$L$98,"&gt;="&amp;$H304)+COUNTIFS(工数管理!$AK$3:$AK$98,L$1,工数管理!$M$3:$M$98,"&lt;="&amp;$H304,工数管理!$N$3:$N$98,"&gt;="&amp;$H304)+COUNTIFS(工数管理!$AK$3:$AK$98,L$1,工数管理!$O$3:$O$98,"&lt;="&amp;$H304,工数管理!$P$3:$P$98,"&gt;="&amp;$H304)+COUNTIFS(工数管理!$AK$3:$AK$98,L$1,工数管理!$Q$3:$Q$98,"&lt;="&amp;$H304,工数管理!$R$3:$R$98,"&gt;="&amp;$H304)+COUNTIFS(工数管理!$AK$3:$AK$98,L$1,工数管理!$S$3:$S$98,"&lt;="&amp;$H304,工数管理!$T$3:$T$98,"&gt;="&amp;$H304)+COUNTIFS(工数管理!$AK$3:$AK$98,L$1,工数管理!$U$3:$U$98,"&lt;="&amp;$H304,工数管理!$V$3:$V$98,"&gt;="&amp;$H304)+COUNTIFS(工数管理!$AK$3:$AK$98,L$1,工数管理!$W$3:$W$98,"&lt;="&amp;$H304,工数管理!$X$3:$X$98,"&gt;="&amp;$H304)+COUNTIFS(工数管理!$AK$3:$AK$98,L$1,工数管理!$Y$3:$Y$98,"&lt;="&amp;$H304,工数管理!$Z$3:$Z$98,"&gt;="&amp;$H304)+COUNTIFS(工数管理!$AK$3:$AK$98,L$1,工数管理!$AA$3:$AA$98,"&lt;="&amp;$H304,工数管理!$AB$3:$AB$98,"&gt;="&amp;$H304)+COUNTIFS(工数管理!$AK$3:$AK$98,L$1,工数管理!$AC$3:$AC$98,"&lt;="&amp;$H304,工数管理!$AD$3:$AD$98,"&gt;="&amp;$H304)+COUNTIFS(工数管理!$AK$3:$AK$98,L$1,工数管理!$AE$3:$AE$98,"&lt;="&amp;$H304,工数管理!$AF$3:$AF$98,"&gt;="&amp;$H304)+COUNTIFS(工数管理!$AK$3:$AK$98,L$1,工数管理!$AG$3:$AG$98,"&lt;="&amp;$H304,工数管理!$AH$3:$AH$98,"&gt;="&amp;$H304)+(COUNTIFS(工数管理!$AK$3:$AK$98,L$1,工数管理!$K$3:$K$98,"&lt;="&amp;$H304,工数管理!$L$3:$L$98,"")+COUNTIFS(工数管理!$AK$3:$AK$98,L$1,工数管理!$M$3:$M$98,"&lt;="&amp;$H304,工数管理!$N$3:$N$98,"")+COUNTIFS(工数管理!$AK$3:$AK$98,L$1,工数管理!$O$3:$O$98,"&lt;="&amp;$H304,工数管理!$P$3:$P$98,"")+COUNTIFS(工数管理!$AK$3:$AK$98,L$1,工数管理!$Q$3:$Q$98,"&lt;="&amp;$H304,工数管理!$R$3:$R$98,"")+COUNTIFS(工数管理!$AK$3:$AK$98,L$1,工数管理!$S$3:$S$98,"&lt;="&amp;$H304,工数管理!$T$3:$T$98,"")+COUNTIFS(工数管理!$AK$3:$AK$98,L$1,工数管理!$U$3:$U$98,"&lt;="&amp;$H304,工数管理!$V$3:$V$98,"")+COUNTIFS(工数管理!$AK$3:$AK$98,L$1,工数管理!$W$3:$W$98,"&lt;="&amp;$H304,工数管理!$X$3:$X$98,"")+COUNTIFS(工数管理!$AK$3:$AK$98,L$1,工数管理!$Y$3:$Y$98,"&lt;="&amp;$H304,工数管理!$Z$3:$Z$98,"")+COUNTIFS(工数管理!$AK$3:$AK$98,L$1,工数管理!$AA$3:$AA$98,"&lt;="&amp;$H304,工数管理!$AB$3:$AB$98,"")+COUNTIFS(工数管理!$AK$3:$AK$98,L$1,工数管理!$AC$3:$AC$98,"&lt;="&amp;$H304,工数管理!$AD$3:$AD$98,"")+COUNTIFS(工数管理!$AK$3:$AK$98,L$1,工数管理!$AE$3:$AE$98,"&lt;="&amp;$H304,工数管理!$AF$3:$AF$98,"")+COUNTIFS(工数管理!$AK$3:$AK$98,L$1,工数管理!$AG$3:$AG$98,"&lt;="&amp;$H304,工数管理!$AH$3:$AH$98,""))*($H304&lt;=工数管理!$AI$1))</f>
        <v>0</v>
      </c>
    </row>
    <row r="305" spans="8:12" x14ac:dyDescent="0.15">
      <c r="H305" s="41">
        <f t="shared" si="9"/>
        <v>46473</v>
      </c>
      <c r="I305" s="42">
        <f t="shared" si="8"/>
        <v>0</v>
      </c>
      <c r="J305" s="42">
        <f ca="1">IF(J$1="",0,COUNTIFS(工数管理!$AK$3:$AK$98,J$1,工数管理!$K$3:$K$98,"&lt;="&amp;$H305,工数管理!$L$3:$L$98,"&gt;="&amp;$H305)+COUNTIFS(工数管理!$AK$3:$AK$98,J$1,工数管理!$M$3:$M$98,"&lt;="&amp;$H305,工数管理!$N$3:$N$98,"&gt;="&amp;$H305)+COUNTIFS(工数管理!$AK$3:$AK$98,J$1,工数管理!$O$3:$O$98,"&lt;="&amp;$H305,工数管理!$P$3:$P$98,"&gt;="&amp;$H305)+COUNTIFS(工数管理!$AK$3:$AK$98,J$1,工数管理!$Q$3:$Q$98,"&lt;="&amp;$H305,工数管理!$R$3:$R$98,"&gt;="&amp;$H305)+COUNTIFS(工数管理!$AK$3:$AK$98,J$1,工数管理!$S$3:$S$98,"&lt;="&amp;$H305,工数管理!$T$3:$T$98,"&gt;="&amp;$H305)+COUNTIFS(工数管理!$AK$3:$AK$98,J$1,工数管理!$U$3:$U$98,"&lt;="&amp;$H305,工数管理!$V$3:$V$98,"&gt;="&amp;$H305)+COUNTIFS(工数管理!$AK$3:$AK$98,J$1,工数管理!$W$3:$W$98,"&lt;="&amp;$H305,工数管理!$X$3:$X$98,"&gt;="&amp;$H305)+COUNTIFS(工数管理!$AK$3:$AK$98,J$1,工数管理!$Y$3:$Y$98,"&lt;="&amp;$H305,工数管理!$Z$3:$Z$98,"&gt;="&amp;$H305)+COUNTIFS(工数管理!$AK$3:$AK$98,J$1,工数管理!$AA$3:$AA$98,"&lt;="&amp;$H305,工数管理!$AB$3:$AB$98,"&gt;="&amp;$H305)+COUNTIFS(工数管理!$AK$3:$AK$98,J$1,工数管理!$AC$3:$AC$98,"&lt;="&amp;$H305,工数管理!$AD$3:$AD$98,"&gt;="&amp;$H305)+COUNTIFS(工数管理!$AK$3:$AK$98,J$1,工数管理!$AE$3:$AE$98,"&lt;="&amp;$H305,工数管理!$AF$3:$AF$98,"&gt;="&amp;$H305)+COUNTIFS(工数管理!$AK$3:$AK$98,J$1,工数管理!$AG$3:$AG$98,"&lt;="&amp;$H305,工数管理!$AH$3:$AH$98,"&gt;="&amp;$H305)+(COUNTIFS(工数管理!$AK$3:$AK$98,J$1,工数管理!$K$3:$K$98,"&lt;="&amp;$H305,工数管理!$L$3:$L$98,"")+COUNTIFS(工数管理!$AK$3:$AK$98,J$1,工数管理!$M$3:$M$98,"&lt;="&amp;$H305,工数管理!$N$3:$N$98,"")+COUNTIFS(工数管理!$AK$3:$AK$98,J$1,工数管理!$O$3:$O$98,"&lt;="&amp;$H305,工数管理!$P$3:$P$98,"")+COUNTIFS(工数管理!$AK$3:$AK$98,J$1,工数管理!$Q$3:$Q$98,"&lt;="&amp;$H305,工数管理!$R$3:$R$98,"")+COUNTIFS(工数管理!$AK$3:$AK$98,J$1,工数管理!$S$3:$S$98,"&lt;="&amp;$H305,工数管理!$T$3:$T$98,"")+COUNTIFS(工数管理!$AK$3:$AK$98,J$1,工数管理!$U$3:$U$98,"&lt;="&amp;$H305,工数管理!$V$3:$V$98,"")+COUNTIFS(工数管理!$AK$3:$AK$98,J$1,工数管理!$W$3:$W$98,"&lt;="&amp;$H305,工数管理!$X$3:$X$98,"")+COUNTIFS(工数管理!$AK$3:$AK$98,J$1,工数管理!$Y$3:$Y$98,"&lt;="&amp;$H305,工数管理!$Z$3:$Z$98,"")+COUNTIFS(工数管理!$AK$3:$AK$98,J$1,工数管理!$AA$3:$AA$98,"&lt;="&amp;$H305,工数管理!$AB$3:$AB$98,"")+COUNTIFS(工数管理!$AK$3:$AK$98,J$1,工数管理!$AC$3:$AC$98,"&lt;="&amp;$H305,工数管理!$AD$3:$AD$98,"")+COUNTIFS(工数管理!$AK$3:$AK$98,J$1,工数管理!$AE$3:$AE$98,"&lt;="&amp;$H305,工数管理!$AF$3:$AF$98,"")+COUNTIFS(工数管理!$AK$3:$AK$98,J$1,工数管理!$AG$3:$AG$98,"&lt;="&amp;$H305,工数管理!$AH$3:$AH$98,""))*($H305&lt;=工数管理!$AI$1))</f>
        <v>0</v>
      </c>
      <c r="K305" s="42">
        <f ca="1">IF(K$1="",0,COUNTIFS(工数管理!$AK$3:$AK$98,K$1,工数管理!$K$3:$K$98,"&lt;="&amp;$H305,工数管理!$L$3:$L$98,"&gt;="&amp;$H305)+COUNTIFS(工数管理!$AK$3:$AK$98,K$1,工数管理!$M$3:$M$98,"&lt;="&amp;$H305,工数管理!$N$3:$N$98,"&gt;="&amp;$H305)+COUNTIFS(工数管理!$AK$3:$AK$98,K$1,工数管理!$O$3:$O$98,"&lt;="&amp;$H305,工数管理!$P$3:$P$98,"&gt;="&amp;$H305)+COUNTIFS(工数管理!$AK$3:$AK$98,K$1,工数管理!$Q$3:$Q$98,"&lt;="&amp;$H305,工数管理!$R$3:$R$98,"&gt;="&amp;$H305)+COUNTIFS(工数管理!$AK$3:$AK$98,K$1,工数管理!$S$3:$S$98,"&lt;="&amp;$H305,工数管理!$T$3:$T$98,"&gt;="&amp;$H305)+COUNTIFS(工数管理!$AK$3:$AK$98,K$1,工数管理!$U$3:$U$98,"&lt;="&amp;$H305,工数管理!$V$3:$V$98,"&gt;="&amp;$H305)+COUNTIFS(工数管理!$AK$3:$AK$98,K$1,工数管理!$W$3:$W$98,"&lt;="&amp;$H305,工数管理!$X$3:$X$98,"&gt;="&amp;$H305)+COUNTIFS(工数管理!$AK$3:$AK$98,K$1,工数管理!$Y$3:$Y$98,"&lt;="&amp;$H305,工数管理!$Z$3:$Z$98,"&gt;="&amp;$H305)+COUNTIFS(工数管理!$AK$3:$AK$98,K$1,工数管理!$AA$3:$AA$98,"&lt;="&amp;$H305,工数管理!$AB$3:$AB$98,"&gt;="&amp;$H305)+COUNTIFS(工数管理!$AK$3:$AK$98,K$1,工数管理!$AC$3:$AC$98,"&lt;="&amp;$H305,工数管理!$AD$3:$AD$98,"&gt;="&amp;$H305)+COUNTIFS(工数管理!$AK$3:$AK$98,K$1,工数管理!$AE$3:$AE$98,"&lt;="&amp;$H305,工数管理!$AF$3:$AF$98,"&gt;="&amp;$H305)+COUNTIFS(工数管理!$AK$3:$AK$98,K$1,工数管理!$AG$3:$AG$98,"&lt;="&amp;$H305,工数管理!$AH$3:$AH$98,"&gt;="&amp;$H305)+(COUNTIFS(工数管理!$AK$3:$AK$98,K$1,工数管理!$K$3:$K$98,"&lt;="&amp;$H305,工数管理!$L$3:$L$98,"")+COUNTIFS(工数管理!$AK$3:$AK$98,K$1,工数管理!$M$3:$M$98,"&lt;="&amp;$H305,工数管理!$N$3:$N$98,"")+COUNTIFS(工数管理!$AK$3:$AK$98,K$1,工数管理!$O$3:$O$98,"&lt;="&amp;$H305,工数管理!$P$3:$P$98,"")+COUNTIFS(工数管理!$AK$3:$AK$98,K$1,工数管理!$Q$3:$Q$98,"&lt;="&amp;$H305,工数管理!$R$3:$R$98,"")+COUNTIFS(工数管理!$AK$3:$AK$98,K$1,工数管理!$S$3:$S$98,"&lt;="&amp;$H305,工数管理!$T$3:$T$98,"")+COUNTIFS(工数管理!$AK$3:$AK$98,K$1,工数管理!$U$3:$U$98,"&lt;="&amp;$H305,工数管理!$V$3:$V$98,"")+COUNTIFS(工数管理!$AK$3:$AK$98,K$1,工数管理!$W$3:$W$98,"&lt;="&amp;$H305,工数管理!$X$3:$X$98,"")+COUNTIFS(工数管理!$AK$3:$AK$98,K$1,工数管理!$Y$3:$Y$98,"&lt;="&amp;$H305,工数管理!$Z$3:$Z$98,"")+COUNTIFS(工数管理!$AK$3:$AK$98,K$1,工数管理!$AA$3:$AA$98,"&lt;="&amp;$H305,工数管理!$AB$3:$AB$98,"")+COUNTIFS(工数管理!$AK$3:$AK$98,K$1,工数管理!$AC$3:$AC$98,"&lt;="&amp;$H305,工数管理!$AD$3:$AD$98,"")+COUNTIFS(工数管理!$AK$3:$AK$98,K$1,工数管理!$AE$3:$AE$98,"&lt;="&amp;$H305,工数管理!$AF$3:$AF$98,"")+COUNTIFS(工数管理!$AK$3:$AK$98,K$1,工数管理!$AG$3:$AG$98,"&lt;="&amp;$H305,工数管理!$AH$3:$AH$98,""))*($H305&lt;=工数管理!$AI$1))</f>
        <v>0</v>
      </c>
      <c r="L305" s="42">
        <f ca="1">IF(L$1="",0,COUNTIFS(工数管理!$AK$3:$AK$98,L$1,工数管理!$K$3:$K$98,"&lt;="&amp;$H305,工数管理!$L$3:$L$98,"&gt;="&amp;$H305)+COUNTIFS(工数管理!$AK$3:$AK$98,L$1,工数管理!$M$3:$M$98,"&lt;="&amp;$H305,工数管理!$N$3:$N$98,"&gt;="&amp;$H305)+COUNTIFS(工数管理!$AK$3:$AK$98,L$1,工数管理!$O$3:$O$98,"&lt;="&amp;$H305,工数管理!$P$3:$P$98,"&gt;="&amp;$H305)+COUNTIFS(工数管理!$AK$3:$AK$98,L$1,工数管理!$Q$3:$Q$98,"&lt;="&amp;$H305,工数管理!$R$3:$R$98,"&gt;="&amp;$H305)+COUNTIFS(工数管理!$AK$3:$AK$98,L$1,工数管理!$S$3:$S$98,"&lt;="&amp;$H305,工数管理!$T$3:$T$98,"&gt;="&amp;$H305)+COUNTIFS(工数管理!$AK$3:$AK$98,L$1,工数管理!$U$3:$U$98,"&lt;="&amp;$H305,工数管理!$V$3:$V$98,"&gt;="&amp;$H305)+COUNTIFS(工数管理!$AK$3:$AK$98,L$1,工数管理!$W$3:$W$98,"&lt;="&amp;$H305,工数管理!$X$3:$X$98,"&gt;="&amp;$H305)+COUNTIFS(工数管理!$AK$3:$AK$98,L$1,工数管理!$Y$3:$Y$98,"&lt;="&amp;$H305,工数管理!$Z$3:$Z$98,"&gt;="&amp;$H305)+COUNTIFS(工数管理!$AK$3:$AK$98,L$1,工数管理!$AA$3:$AA$98,"&lt;="&amp;$H305,工数管理!$AB$3:$AB$98,"&gt;="&amp;$H305)+COUNTIFS(工数管理!$AK$3:$AK$98,L$1,工数管理!$AC$3:$AC$98,"&lt;="&amp;$H305,工数管理!$AD$3:$AD$98,"&gt;="&amp;$H305)+COUNTIFS(工数管理!$AK$3:$AK$98,L$1,工数管理!$AE$3:$AE$98,"&lt;="&amp;$H305,工数管理!$AF$3:$AF$98,"&gt;="&amp;$H305)+COUNTIFS(工数管理!$AK$3:$AK$98,L$1,工数管理!$AG$3:$AG$98,"&lt;="&amp;$H305,工数管理!$AH$3:$AH$98,"&gt;="&amp;$H305)+(COUNTIFS(工数管理!$AK$3:$AK$98,L$1,工数管理!$K$3:$K$98,"&lt;="&amp;$H305,工数管理!$L$3:$L$98,"")+COUNTIFS(工数管理!$AK$3:$AK$98,L$1,工数管理!$M$3:$M$98,"&lt;="&amp;$H305,工数管理!$N$3:$N$98,"")+COUNTIFS(工数管理!$AK$3:$AK$98,L$1,工数管理!$O$3:$O$98,"&lt;="&amp;$H305,工数管理!$P$3:$P$98,"")+COUNTIFS(工数管理!$AK$3:$AK$98,L$1,工数管理!$Q$3:$Q$98,"&lt;="&amp;$H305,工数管理!$R$3:$R$98,"")+COUNTIFS(工数管理!$AK$3:$AK$98,L$1,工数管理!$S$3:$S$98,"&lt;="&amp;$H305,工数管理!$T$3:$T$98,"")+COUNTIFS(工数管理!$AK$3:$AK$98,L$1,工数管理!$U$3:$U$98,"&lt;="&amp;$H305,工数管理!$V$3:$V$98,"")+COUNTIFS(工数管理!$AK$3:$AK$98,L$1,工数管理!$W$3:$W$98,"&lt;="&amp;$H305,工数管理!$X$3:$X$98,"")+COUNTIFS(工数管理!$AK$3:$AK$98,L$1,工数管理!$Y$3:$Y$98,"&lt;="&amp;$H305,工数管理!$Z$3:$Z$98,"")+COUNTIFS(工数管理!$AK$3:$AK$98,L$1,工数管理!$AA$3:$AA$98,"&lt;="&amp;$H305,工数管理!$AB$3:$AB$98,"")+COUNTIFS(工数管理!$AK$3:$AK$98,L$1,工数管理!$AC$3:$AC$98,"&lt;="&amp;$H305,工数管理!$AD$3:$AD$98,"")+COUNTIFS(工数管理!$AK$3:$AK$98,L$1,工数管理!$AE$3:$AE$98,"&lt;="&amp;$H305,工数管理!$AF$3:$AF$98,"")+COUNTIFS(工数管理!$AK$3:$AK$98,L$1,工数管理!$AG$3:$AG$98,"&lt;="&amp;$H305,工数管理!$AH$3:$AH$98,""))*($H305&lt;=工数管理!$AI$1))</f>
        <v>0</v>
      </c>
    </row>
  </sheetData>
  <phoneticPr fontId="4"/>
  <pageMargins left="0.75" right="0.75" top="1" bottom="1" header="0.5" footer="0.5"/>
  <ignoredErrors>
    <ignoredError sqref="H1:L305" numberStoredAsText="1" formula="1" formulaRange="1" unlocked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showGridLines="0" workbookViewId="0"/>
  </sheetViews>
  <sheetFormatPr defaultRowHeight="13.5" x14ac:dyDescent="0.15"/>
  <cols>
    <col min="1" max="1" width="130" customWidth="1"/>
  </cols>
  <sheetData>
    <row r="1" spans="1:1" ht="15" customHeight="1" x14ac:dyDescent="0.15">
      <c r="A1" s="1" t="s">
        <v>6</v>
      </c>
    </row>
    <row r="2" spans="1:1" x14ac:dyDescent="0.15">
      <c r="A2" s="2" t="s">
        <v>7</v>
      </c>
    </row>
    <row r="3" spans="1:1" x14ac:dyDescent="0.15">
      <c r="A3" s="2" t="s">
        <v>8</v>
      </c>
    </row>
    <row r="4" spans="1:1" x14ac:dyDescent="0.15">
      <c r="A4" s="2" t="s">
        <v>9</v>
      </c>
    </row>
    <row r="5" spans="1:1" x14ac:dyDescent="0.15">
      <c r="A5" s="2" t="s">
        <v>10</v>
      </c>
    </row>
    <row r="6" spans="1:1" x14ac:dyDescent="0.15">
      <c r="A6" s="2" t="s">
        <v>11</v>
      </c>
    </row>
    <row r="7" spans="1:1" x14ac:dyDescent="0.15">
      <c r="A7" s="2" t="s">
        <v>12</v>
      </c>
    </row>
    <row r="8" spans="1:1" x14ac:dyDescent="0.15">
      <c r="A8" s="2" t="s">
        <v>13</v>
      </c>
    </row>
    <row r="9" spans="1:1" x14ac:dyDescent="0.15">
      <c r="A9" s="2" t="s">
        <v>14</v>
      </c>
    </row>
    <row r="10" spans="1:1" x14ac:dyDescent="0.15">
      <c r="A10" s="2" t="s">
        <v>15</v>
      </c>
    </row>
    <row r="11" spans="1:1" x14ac:dyDescent="0.15">
      <c r="A11" s="2" t="s">
        <v>16</v>
      </c>
    </row>
    <row r="12" spans="1:1" x14ac:dyDescent="0.15">
      <c r="A12" s="2" t="s">
        <v>17</v>
      </c>
    </row>
    <row r="13" spans="1:1" x14ac:dyDescent="0.15">
      <c r="A13" s="2" t="s">
        <v>18</v>
      </c>
    </row>
    <row r="14" spans="1:1" x14ac:dyDescent="0.15">
      <c r="A14" s="2" t="s">
        <v>19</v>
      </c>
    </row>
    <row r="15" spans="1:1" x14ac:dyDescent="0.15">
      <c r="A15" s="2" t="s">
        <v>20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工数管理</vt:lpstr>
      <vt:lpstr>Gantt</vt:lpstr>
      <vt:lpstr>祝日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優佳 花木</cp:lastModifiedBy>
  <dcterms:created xsi:type="dcterms:W3CDTF">2026-10-07T03:49:36Z</dcterms:created>
  <dcterms:modified xsi:type="dcterms:W3CDTF">2026-10-07T12:26:33Z</dcterms:modified>
</cp:coreProperties>
</file>